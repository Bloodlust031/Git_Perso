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60" yWindow="96" windowWidth="17520" windowHeight="9612" tabRatio="789"/>
  </bookViews>
  <sheets>
    <sheet name="Annexe Ican" sheetId="1" r:id="rId1"/>
    <sheet name="Donnees_brutes" sheetId="2" r:id="rId2"/>
    <sheet name="Donnees_triees" sheetId="3" r:id="rId3"/>
    <sheet name="Fichier de conf" sheetId="18" r:id="rId4"/>
    <sheet name="Datalog" sheetId="17" r:id="rId5"/>
    <sheet name="Datalog_Diag" sheetId="27" r:id="rId6"/>
    <sheet name="Debug Ican" sheetId="5" r:id="rId7"/>
    <sheet name="CalculMapping" sheetId="11" r:id="rId8"/>
    <sheet name="Liste_Services" sheetId="19" r:id="rId9"/>
    <sheet name="ucStates" sheetId="28" r:id="rId10"/>
    <sheet name="TTSConv" sheetId="21" r:id="rId11"/>
    <sheet name="Gen_Fic_VCI" sheetId="26" r:id="rId12"/>
    <sheet name="Param_Serveur" sheetId="9" r:id="rId13"/>
    <sheet name="CRV_Context" sheetId="22" r:id="rId14"/>
    <sheet name="CRV_Data" sheetId="25" r:id="rId15"/>
    <sheet name="CRV_Summary" sheetId="24" r:id="rId16"/>
    <sheet name="Mapping OBD" sheetId="7" r:id="rId17"/>
    <sheet name="Top_Veh" sheetId="10" r:id="rId18"/>
    <sheet name="Param" sheetId="16" r:id="rId19"/>
    <sheet name="Annexe" sheetId="4" r:id="rId20"/>
  </sheets>
  <functionGroups builtInGroupCount="17"/>
  <externalReferences>
    <externalReference r:id="rId21"/>
  </externalReferences>
  <definedNames>
    <definedName name="_xlnm._FilterDatabase" localSheetId="0" hidden="1">'Annexe Ican'!$H$12:$M$233</definedName>
    <definedName name="_xlnm._FilterDatabase" localSheetId="14" hidden="1">CRV_Data!$G$3:$HV$3</definedName>
    <definedName name="_xlnm._FilterDatabase" localSheetId="1" hidden="1">Donnees_brutes!$A$2:$A$60</definedName>
    <definedName name="_xlnm._FilterDatabase" localSheetId="2" hidden="1">Donnees_triees!$B$3:$LT$3</definedName>
    <definedName name="_xlnm._FilterDatabase" localSheetId="8" hidden="1">Liste_Services!$A$1:$H$38</definedName>
    <definedName name="_xlnm._FilterDatabase" localSheetId="16" hidden="1">'Mapping OBD'!$A$7:$KR$47</definedName>
    <definedName name="_xlnm._FilterDatabase" localSheetId="18" hidden="1">Param!$A$2:$L$91</definedName>
    <definedName name="_xlnm._FilterDatabase" localSheetId="12" hidden="1">Param_Serveur!$A$2:$AF$569</definedName>
    <definedName name="Adresse_fic_base">'Annexe Ican'!$D$1</definedName>
    <definedName name="devise" localSheetId="14">#REF!</definedName>
    <definedName name="devise" localSheetId="4">#REF!</definedName>
    <definedName name="devise" localSheetId="5">#REF!</definedName>
    <definedName name="devise" localSheetId="3">#REF!</definedName>
    <definedName name="devise" localSheetId="9">#REF!</definedName>
    <definedName name="devise">#REF!</definedName>
    <definedName name="_xlnm.Print_Titles" localSheetId="7">CalculMapping!$3:$3</definedName>
    <definedName name="_xlnm.Print_Titles" localSheetId="11">Gen_Fic_VCI!$A$1:$IV$4</definedName>
    <definedName name="puissance" localSheetId="14">#REF!</definedName>
    <definedName name="puissance" localSheetId="4">#REF!</definedName>
    <definedName name="puissance" localSheetId="5">#REF!</definedName>
    <definedName name="puissance" localSheetId="3">#REF!</definedName>
    <definedName name="puissance" localSheetId="9">#REF!</definedName>
    <definedName name="puissance">#REF!</definedName>
    <definedName name="rmc" localSheetId="12">Param_Serveur!$H$72</definedName>
    <definedName name="saisie" localSheetId="14">#REF!</definedName>
    <definedName name="saisie" localSheetId="4">#REF!</definedName>
    <definedName name="saisie" localSheetId="5">#REF!</definedName>
    <definedName name="saisie" localSheetId="3">#REF!</definedName>
    <definedName name="saisie" localSheetId="9">#REF!</definedName>
    <definedName name="saisie">#REF!</definedName>
    <definedName name="TAB_TITULAIRE">Annexe!$F$2</definedName>
    <definedName name="TAB_USER">Annexe!$K$2</definedName>
    <definedName name="taux" localSheetId="14">#REF!</definedName>
    <definedName name="taux" localSheetId="4">#REF!</definedName>
    <definedName name="taux" localSheetId="5">#REF!</definedName>
    <definedName name="taux" localSheetId="3">#REF!</definedName>
    <definedName name="taux" localSheetId="9">#REF!</definedName>
    <definedName name="taux">#REF!</definedName>
    <definedName name="TimeUnitTypes" localSheetId="11">'[1]Data Map'!$D$145:$D$146</definedName>
    <definedName name="TimeUnitTypes">'[1]Data Map'!$D$145:$D$146</definedName>
    <definedName name="total" localSheetId="14">#REF!</definedName>
    <definedName name="total" localSheetId="4">#REF!</definedName>
    <definedName name="total" localSheetId="5">#REF!</definedName>
    <definedName name="total" localSheetId="3">#REF!</definedName>
    <definedName name="total" localSheetId="9">#REF!</definedName>
    <definedName name="total">#REF!</definedName>
    <definedName name="TTS_Digit">TTSConv!$G$12:$G$75</definedName>
    <definedName name="TTS_Name">TTSConv!$C$12:$C$75</definedName>
    <definedName name="TTS_State">TTSConv!$J$12:$K$16</definedName>
    <definedName name="TTS_Tab_to_Convert">TTSConv!$C$3:$H$8</definedName>
    <definedName name="TTS_Trad">TTSConv!$H$12:$H$75</definedName>
    <definedName name="tx" localSheetId="14">#REF!</definedName>
    <definedName name="tx" localSheetId="4">#REF!</definedName>
    <definedName name="tx" localSheetId="5">#REF!</definedName>
    <definedName name="tx" localSheetId="3">#REF!</definedName>
    <definedName name="tx" localSheetId="9">#REF!</definedName>
    <definedName name="tx">#REF!</definedName>
    <definedName name="_xlnm.Print_Area" localSheetId="7">CalculMapping!$A$1:$AH$33</definedName>
    <definedName name="_xlnm.Print_Area" localSheetId="12">Param_Serveur!$B$2:$AF$559</definedName>
  </definedNames>
  <calcPr calcId="145621"/>
</workbook>
</file>

<file path=xl/calcChain.xml><?xml version="1.0" encoding="utf-8"?>
<calcChain xmlns="http://schemas.openxmlformats.org/spreadsheetml/2006/main">
  <c r="AA622" i="9" l="1"/>
  <c r="Z622" i="9"/>
  <c r="Y622" i="9"/>
  <c r="X622" i="9"/>
  <c r="W622" i="9"/>
  <c r="V622" i="9"/>
  <c r="U622" i="9"/>
  <c r="T622" i="9"/>
  <c r="R622" i="9"/>
  <c r="Q622" i="9"/>
  <c r="P622" i="9"/>
  <c r="O622" i="9"/>
  <c r="AA621" i="9"/>
  <c r="AA625" i="9" s="1"/>
  <c r="Y621" i="9"/>
  <c r="Y625" i="9" s="1"/>
  <c r="U621" i="9"/>
  <c r="T621" i="9"/>
  <c r="T625" i="9" s="1"/>
  <c r="AA617" i="9"/>
  <c r="Z617" i="9"/>
  <c r="Y617" i="9"/>
  <c r="X617" i="9"/>
  <c r="W617" i="9"/>
  <c r="V617" i="9"/>
  <c r="U617" i="9"/>
  <c r="T617" i="9"/>
  <c r="R617" i="9"/>
  <c r="Q617" i="9"/>
  <c r="P617" i="9"/>
  <c r="O617" i="9"/>
  <c r="L429" i="9"/>
  <c r="L428" i="9"/>
  <c r="L275" i="9"/>
  <c r="B198" i="9"/>
  <c r="L197" i="9"/>
  <c r="L196" i="9"/>
  <c r="L195" i="9"/>
  <c r="L194" i="9"/>
  <c r="B186" i="9"/>
  <c r="B187" i="9" s="1"/>
  <c r="L149" i="9"/>
  <c r="L148" i="9"/>
  <c r="L147" i="9"/>
  <c r="L146" i="9"/>
  <c r="L145" i="9"/>
  <c r="L144" i="9"/>
  <c r="L143" i="9"/>
  <c r="L142" i="9"/>
  <c r="L141" i="9"/>
  <c r="L140" i="9"/>
  <c r="B102" i="9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L63" i="9"/>
  <c r="L62" i="9"/>
  <c r="L61" i="9"/>
  <c r="L60" i="9"/>
  <c r="L59" i="9"/>
  <c r="L58" i="9"/>
  <c r="L57" i="9"/>
  <c r="L56" i="9"/>
  <c r="L55" i="9"/>
  <c r="L54" i="9"/>
  <c r="L53" i="9"/>
  <c r="L52" i="9"/>
  <c r="L51" i="9"/>
  <c r="L50" i="9"/>
  <c r="L49" i="9"/>
  <c r="L48" i="9"/>
  <c r="L47" i="9"/>
  <c r="L46" i="9"/>
  <c r="L45" i="9"/>
  <c r="L44" i="9"/>
  <c r="L43" i="9"/>
  <c r="L42" i="9"/>
  <c r="L41" i="9"/>
  <c r="L40" i="9"/>
  <c r="L39" i="9"/>
  <c r="L38" i="9"/>
  <c r="L37" i="9"/>
  <c r="L36" i="9"/>
  <c r="L35" i="9"/>
  <c r="L34" i="9"/>
  <c r="L33" i="9"/>
  <c r="L32" i="9"/>
  <c r="L31" i="9"/>
  <c r="L30" i="9"/>
  <c r="L29" i="9"/>
  <c r="L28" i="9"/>
  <c r="L27" i="9"/>
  <c r="L26" i="9"/>
  <c r="L25" i="9"/>
  <c r="L24" i="9"/>
  <c r="L23" i="9"/>
  <c r="L22" i="9"/>
  <c r="L21" i="9"/>
  <c r="L20" i="9"/>
  <c r="L18" i="9"/>
  <c r="L17" i="9"/>
  <c r="L16" i="9"/>
  <c r="L15" i="9"/>
  <c r="L14" i="9"/>
  <c r="X621" i="9" s="1"/>
  <c r="X625" i="9" s="1"/>
  <c r="L13" i="9"/>
  <c r="R621" i="9" s="1"/>
  <c r="R625" i="9" s="1"/>
  <c r="L12" i="9"/>
  <c r="L11" i="9"/>
  <c r="L10" i="9"/>
  <c r="L9" i="9"/>
  <c r="L8" i="9"/>
  <c r="L7" i="9"/>
  <c r="L6" i="9"/>
  <c r="L3" i="9"/>
  <c r="V621" i="9" s="1"/>
  <c r="V625" i="9" s="1"/>
  <c r="U625" i="9" l="1"/>
  <c r="O621" i="9"/>
  <c r="O625" i="9" s="1"/>
  <c r="Q621" i="9"/>
  <c r="Q625" i="9" s="1"/>
  <c r="Z621" i="9"/>
  <c r="Z625" i="9" s="1"/>
  <c r="P621" i="9"/>
  <c r="P625" i="9" s="1"/>
  <c r="W621" i="9"/>
  <c r="W625" i="9" s="1"/>
  <c r="AF265" i="28" l="1"/>
  <c r="AF264" i="28"/>
  <c r="AF263" i="28"/>
  <c r="AF262" i="28"/>
  <c r="AF261" i="28"/>
  <c r="AF260" i="28"/>
  <c r="AF259" i="28"/>
  <c r="AF258" i="28"/>
  <c r="AF257" i="28"/>
  <c r="AF256" i="28"/>
  <c r="AF255" i="28"/>
  <c r="AF254" i="28"/>
  <c r="AF253" i="28"/>
  <c r="AF252" i="28"/>
  <c r="AF251" i="28"/>
  <c r="AF250" i="28"/>
  <c r="AF249" i="28"/>
  <c r="AF248" i="28"/>
  <c r="AF247" i="28"/>
  <c r="AF246" i="28"/>
  <c r="AF245" i="28"/>
  <c r="AF244" i="28"/>
  <c r="AF243" i="28"/>
  <c r="AF242" i="28"/>
  <c r="AF241" i="28"/>
  <c r="AF240" i="28"/>
  <c r="AF239" i="28"/>
  <c r="AF238" i="28"/>
  <c r="AF237" i="28"/>
  <c r="AF236" i="28"/>
  <c r="AF235" i="28"/>
  <c r="AF234" i="28"/>
  <c r="AF233" i="28"/>
  <c r="AF232" i="28"/>
  <c r="AF231" i="28"/>
  <c r="AF230" i="28"/>
  <c r="AF229" i="28"/>
  <c r="AF228" i="28"/>
  <c r="AF227" i="28"/>
  <c r="AF226" i="28"/>
  <c r="AF225" i="28"/>
  <c r="AF224" i="28"/>
  <c r="AF223" i="28"/>
  <c r="AF222" i="28"/>
  <c r="AF221" i="28"/>
  <c r="AF220" i="28"/>
  <c r="AF219" i="28"/>
  <c r="AF218" i="28"/>
  <c r="AF217" i="28"/>
  <c r="AF216" i="28"/>
  <c r="AF215" i="28"/>
  <c r="AF214" i="28"/>
  <c r="AF213" i="28"/>
  <c r="AF212" i="28"/>
  <c r="AF211" i="28"/>
  <c r="AF210" i="28"/>
  <c r="AF209" i="28"/>
  <c r="AF208" i="28"/>
  <c r="AF207" i="28"/>
  <c r="AF206" i="28"/>
  <c r="AF205" i="28"/>
  <c r="AF204" i="28"/>
  <c r="AF203" i="28"/>
  <c r="AF202" i="28"/>
  <c r="AF201" i="28"/>
  <c r="AF200" i="28"/>
  <c r="AF199" i="28"/>
  <c r="AF198" i="28"/>
  <c r="AF197" i="28"/>
  <c r="AF196" i="28"/>
  <c r="AF195" i="28"/>
  <c r="AF194" i="28"/>
  <c r="AF193" i="28"/>
  <c r="AF192" i="28"/>
  <c r="AF191" i="28"/>
  <c r="AF190" i="28"/>
  <c r="AF189" i="28"/>
  <c r="AF188" i="28"/>
  <c r="AF187" i="28"/>
  <c r="AF186" i="28"/>
  <c r="AF185" i="28"/>
  <c r="AF184" i="28"/>
  <c r="AF183" i="28"/>
  <c r="AF182" i="28"/>
  <c r="AF181" i="28"/>
  <c r="AF180" i="28"/>
  <c r="AF179" i="28"/>
  <c r="AF178" i="28"/>
  <c r="AF177" i="28"/>
  <c r="AF176" i="28"/>
  <c r="AF175" i="28"/>
  <c r="AF174" i="28"/>
  <c r="AF173" i="28"/>
  <c r="AF172" i="28"/>
  <c r="AF171" i="28"/>
  <c r="AF170" i="28"/>
  <c r="AF169" i="28"/>
  <c r="AF168" i="28"/>
  <c r="AF167" i="28"/>
  <c r="AF166" i="28"/>
  <c r="AF165" i="28"/>
  <c r="AF164" i="28"/>
  <c r="AF163" i="28"/>
  <c r="AF162" i="28"/>
  <c r="AF161" i="28"/>
  <c r="AF160" i="28"/>
  <c r="AF159" i="28"/>
  <c r="AF158" i="28"/>
  <c r="AF157" i="28"/>
  <c r="AF156" i="28"/>
  <c r="AF155" i="28"/>
  <c r="AF154" i="28"/>
  <c r="AF153" i="28"/>
  <c r="AF152" i="28"/>
  <c r="AF151" i="28"/>
  <c r="AF150" i="28"/>
  <c r="AF149" i="28"/>
  <c r="AF148" i="28"/>
  <c r="AF147" i="28"/>
  <c r="AF146" i="28"/>
  <c r="AF145" i="28"/>
  <c r="AF144" i="28"/>
  <c r="AF143" i="28"/>
  <c r="AF142" i="28"/>
  <c r="AF141" i="28"/>
  <c r="AF140" i="28"/>
  <c r="AF139" i="28"/>
  <c r="AF138" i="28"/>
  <c r="AF137" i="28"/>
  <c r="AF136" i="28"/>
  <c r="AF135" i="28"/>
  <c r="AF134" i="28"/>
  <c r="AF133" i="28"/>
  <c r="AF132" i="28"/>
  <c r="AF131" i="28"/>
  <c r="AF130" i="28"/>
  <c r="AF129" i="28"/>
  <c r="AF128" i="28"/>
  <c r="AF127" i="28"/>
  <c r="AF126" i="28"/>
  <c r="AF125" i="28"/>
  <c r="AF124" i="28"/>
  <c r="AF123" i="28"/>
  <c r="AF122" i="28"/>
  <c r="AF121" i="28"/>
  <c r="AF120" i="28"/>
  <c r="AF119" i="28"/>
  <c r="AF118" i="28"/>
  <c r="AF117" i="28"/>
  <c r="AF116" i="28"/>
  <c r="AF115" i="28"/>
  <c r="AF114" i="28"/>
  <c r="AF113" i="28"/>
  <c r="AF112" i="28"/>
  <c r="AF111" i="28"/>
  <c r="AF110" i="28"/>
  <c r="AF109" i="28"/>
  <c r="AF108" i="28"/>
  <c r="AF107" i="28"/>
  <c r="AF106" i="28"/>
  <c r="AF105" i="28"/>
  <c r="AF104" i="28"/>
  <c r="AF103" i="28"/>
  <c r="AF102" i="28"/>
  <c r="AF101" i="28"/>
  <c r="AF100" i="28"/>
  <c r="AF99" i="28"/>
  <c r="AF98" i="28"/>
  <c r="AF97" i="28"/>
  <c r="AF96" i="28"/>
  <c r="AF95" i="28"/>
  <c r="AF94" i="28"/>
  <c r="AF93" i="28"/>
  <c r="AF92" i="28"/>
  <c r="AF91" i="28"/>
  <c r="AF90" i="28"/>
  <c r="AF89" i="28"/>
  <c r="AF88" i="28"/>
  <c r="AF87" i="28"/>
  <c r="AF86" i="28"/>
  <c r="AF85" i="28"/>
  <c r="AF84" i="28"/>
  <c r="AF83" i="28"/>
  <c r="AF82" i="28"/>
  <c r="AF81" i="28"/>
  <c r="AF80" i="28"/>
  <c r="AF79" i="28"/>
  <c r="AF78" i="28"/>
  <c r="AF77" i="28"/>
  <c r="AF76" i="28"/>
  <c r="AF75" i="28"/>
  <c r="AF74" i="28"/>
  <c r="AF73" i="28"/>
  <c r="AF72" i="28"/>
  <c r="AF71" i="28"/>
  <c r="AF70" i="28"/>
  <c r="AF69" i="28"/>
  <c r="AF68" i="28"/>
  <c r="AF67" i="28"/>
  <c r="AF66" i="28"/>
  <c r="AF65" i="28"/>
  <c r="AF64" i="28"/>
  <c r="AF63" i="28"/>
  <c r="AF62" i="28"/>
  <c r="AF61" i="28"/>
  <c r="AF60" i="28"/>
  <c r="AF59" i="28"/>
  <c r="AF58" i="28"/>
  <c r="AF57" i="28"/>
  <c r="AF56" i="28"/>
  <c r="AF55" i="28"/>
  <c r="AF54" i="28"/>
  <c r="AF53" i="28"/>
  <c r="AF52" i="28"/>
  <c r="AF51" i="28"/>
  <c r="AF50" i="28"/>
  <c r="AF49" i="28"/>
  <c r="AF48" i="28"/>
  <c r="AF47" i="28"/>
  <c r="AF46" i="28"/>
  <c r="AF45" i="28"/>
  <c r="AF44" i="28"/>
  <c r="AF43" i="28"/>
  <c r="AF42" i="28"/>
  <c r="AF41" i="28"/>
  <c r="AF40" i="28"/>
  <c r="AF39" i="28"/>
  <c r="AF38" i="28"/>
  <c r="AF37" i="28"/>
  <c r="AF36" i="28"/>
  <c r="AF35" i="28"/>
  <c r="AF34" i="28"/>
  <c r="AF33" i="28"/>
  <c r="AF32" i="28"/>
  <c r="AF31" i="28"/>
  <c r="AF30" i="28"/>
  <c r="AF29" i="28"/>
  <c r="AF28" i="28"/>
  <c r="AF27" i="28"/>
  <c r="AF26" i="28"/>
  <c r="AF25" i="28"/>
  <c r="AF24" i="28"/>
  <c r="AF23" i="28"/>
  <c r="AF22" i="28"/>
  <c r="AF21" i="28"/>
  <c r="AF20" i="28"/>
  <c r="AF19" i="28"/>
  <c r="AF18" i="28"/>
  <c r="AF17" i="28"/>
  <c r="AF16" i="28"/>
  <c r="AF15" i="28"/>
  <c r="AF14" i="28"/>
  <c r="AF13" i="28"/>
  <c r="AF12" i="28"/>
  <c r="AF11" i="28"/>
  <c r="AF10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</calcChain>
</file>

<file path=xl/sharedStrings.xml><?xml version="1.0" encoding="utf-8"?>
<sst xmlns="http://schemas.openxmlformats.org/spreadsheetml/2006/main" count="26442" uniqueCount="5567">
  <si>
    <t>TYPEID1</t>
  </si>
  <si>
    <t>//unsigned long long u64; (little endian)</t>
  </si>
  <si>
    <t>IDX_KM_START</t>
  </si>
  <si>
    <t>TYPEID2</t>
  </si>
  <si>
    <t>//unsigned long  u32; (little endian)</t>
  </si>
  <si>
    <t>IDX_KM_END</t>
  </si>
  <si>
    <t>TYPEID3</t>
  </si>
  <si>
    <t>//unsigned short u16; (little endian)</t>
  </si>
  <si>
    <t>IDX_VBAT1</t>
  </si>
  <si>
    <t>TYPEID4</t>
  </si>
  <si>
    <t>//unsigned char  u8;</t>
  </si>
  <si>
    <t>IDX_NIV_HUILE</t>
  </si>
  <si>
    <t>TYPEID5</t>
  </si>
  <si>
    <t>//unsigned long long u64; (big endian)</t>
  </si>
  <si>
    <t>IDX_NIV_CARB_START</t>
  </si>
  <si>
    <t>TYPEID6</t>
  </si>
  <si>
    <t>//unsigned long  u32; (big endian)</t>
  </si>
  <si>
    <t>IDX_NIV_CARB_END</t>
  </si>
  <si>
    <t>TYPEID7</t>
  </si>
  <si>
    <t>//unsigned short u16; (big endian)</t>
  </si>
  <si>
    <t>TYPEID8</t>
  </si>
  <si>
    <t>//signed long long s64; (little endian) (bit de poids fort design le signe 0-&gt; positif 1-&gt;negatif) 8</t>
  </si>
  <si>
    <t>IDX_NBJ_AV_MAINT</t>
  </si>
  <si>
    <t>TYPEID9</t>
  </si>
  <si>
    <t>//signed long s32; (little endian) (bit de poids fort design le signe 0-&gt; positif 1-&gt;negatif)</t>
  </si>
  <si>
    <t>IDX_VIN</t>
  </si>
  <si>
    <t>TYPEID10</t>
  </si>
  <si>
    <t>//signed short s16; (little endian) (bit de poids fort design le signe 0-&gt; positif 1-&gt;negatif)</t>
  </si>
  <si>
    <t>IDX_VBAT2</t>
  </si>
  <si>
    <t>TYPEID11</t>
  </si>
  <si>
    <t>//signed char s8; (bit de poids fort design le signe 0-&gt; positif 1-&gt;negatif)</t>
  </si>
  <si>
    <t>IDX_DISTRIB_SPEED</t>
  </si>
  <si>
    <t>TYPEID12</t>
  </si>
  <si>
    <t>IDX_DISTRIB_ENGINE_RPM</t>
  </si>
  <si>
    <t>TYPEID13</t>
  </si>
  <si>
    <t>//signed long s32; (big endian) (bit de poids fort design le signe 0-&gt; positif 1-&gt;negatif)</t>
  </si>
  <si>
    <t>IDX_DISTRIB_ENGINE_TEMP</t>
  </si>
  <si>
    <t>TYPEID14</t>
  </si>
  <si>
    <t>//signed short s16; (big endian) (bit de poids fort design le signe 0-&gt; positif 1-&gt;negatif)</t>
  </si>
  <si>
    <t>IDX_DISTRIB_IMAP</t>
  </si>
  <si>
    <t>TYPEID15</t>
  </si>
  <si>
    <t>//signed long long s64; (little endian) (complement a 2)</t>
  </si>
  <si>
    <t>IDX_NB_SS</t>
  </si>
  <si>
    <t>TYPEID16</t>
  </si>
  <si>
    <t>//signed long s32; (little endian) (complement a 2)</t>
  </si>
  <si>
    <t>IDX_PRESS_ROUE_AVG</t>
  </si>
  <si>
    <t>TYPEID17</t>
  </si>
  <si>
    <t>//signed short s16; (little endian) (complement a 2)</t>
  </si>
  <si>
    <t>IDX_PRESS_ROUE_AVD</t>
  </si>
  <si>
    <t>TYPEID18</t>
  </si>
  <si>
    <t>//signed char s8;  (complement a 2)</t>
  </si>
  <si>
    <t>IDX_PRESS_ROUE_ARD</t>
  </si>
  <si>
    <t>TYPEID19</t>
  </si>
  <si>
    <t>//signed long long s64; (big endian) (complement a 2)</t>
  </si>
  <si>
    <t>IDX_PRESS_ROUE_ARG</t>
  </si>
  <si>
    <t>TYPEID20</t>
  </si>
  <si>
    <t>//signed long s32; (big endian) (complement a 2)</t>
  </si>
  <si>
    <t>IDX_IMEI</t>
  </si>
  <si>
    <t>TYPEID21</t>
  </si>
  <si>
    <t>//signed short s16; (big endian) (complement a 2)</t>
  </si>
  <si>
    <t>IDX_START_DATE</t>
  </si>
  <si>
    <t>TYPEID22</t>
  </si>
  <si>
    <t>//T&amp;D short</t>
  </si>
  <si>
    <t>IDX_START_TIME</t>
  </si>
  <si>
    <t>TYPEID23</t>
  </si>
  <si>
    <t xml:space="preserve">//T&amp;D SAMI </t>
  </si>
  <si>
    <t>IDX_END_DATE</t>
  </si>
  <si>
    <t>TYPEID24</t>
  </si>
  <si>
    <t>//string</t>
  </si>
  <si>
    <t>IDX_END_TIME</t>
  </si>
  <si>
    <t>TYPEID25</t>
  </si>
  <si>
    <t>//Ignored</t>
  </si>
  <si>
    <t>Arborescence de départ</t>
  </si>
  <si>
    <t>Trame brute</t>
  </si>
  <si>
    <t>nom du fichier</t>
  </si>
  <si>
    <t>Date</t>
  </si>
  <si>
    <t>Heure</t>
  </si>
  <si>
    <t>Taille</t>
  </si>
  <si>
    <t>Donnees brutes</t>
  </si>
  <si>
    <t>Big Endian</t>
  </si>
  <si>
    <t>Oui</t>
  </si>
  <si>
    <t>Non</t>
  </si>
  <si>
    <t>Signe</t>
  </si>
  <si>
    <t>Commentaire</t>
  </si>
  <si>
    <t>Numéro</t>
  </si>
  <si>
    <t>Type</t>
  </si>
  <si>
    <t>ID</t>
  </si>
  <si>
    <t>a (y=ax+b)</t>
  </si>
  <si>
    <t>b (y=ax+b)</t>
  </si>
  <si>
    <t>Nom</t>
  </si>
  <si>
    <t>Unité</t>
  </si>
  <si>
    <t>Km</t>
  </si>
  <si>
    <t>V</t>
  </si>
  <si>
    <t>%</t>
  </si>
  <si>
    <t>L</t>
  </si>
  <si>
    <t>J</t>
  </si>
  <si>
    <t>Bar</t>
  </si>
  <si>
    <t>Tension batterie</t>
  </si>
  <si>
    <t>Niveau d'huile mesuré</t>
  </si>
  <si>
    <t>Kilométrage avant maintenance</t>
  </si>
  <si>
    <t>Nb de jours avant maintenance</t>
  </si>
  <si>
    <t>VIN</t>
  </si>
  <si>
    <t>Tension Batterie 2</t>
  </si>
  <si>
    <t>NB de passage en Stop&amp;Start</t>
  </si>
  <si>
    <t>Pression Roue AVG</t>
  </si>
  <si>
    <t>Pression Roue AVD</t>
  </si>
  <si>
    <t>Pression Roue ARD</t>
  </si>
  <si>
    <t>Pression Roue ARG</t>
  </si>
  <si>
    <t>IMEI</t>
  </si>
  <si>
    <t>Date début</t>
  </si>
  <si>
    <t>Heure début</t>
  </si>
  <si>
    <t>Date fin</t>
  </si>
  <si>
    <t>Heure fin</t>
  </si>
  <si>
    <t>Kilometrage début</t>
  </si>
  <si>
    <t>Kilometrage fin</t>
  </si>
  <si>
    <t>Distrib IMAP</t>
  </si>
  <si>
    <t>Distrib vitesse</t>
  </si>
  <si>
    <t>Distrib RPM</t>
  </si>
  <si>
    <t>Distrib température moteur</t>
  </si>
  <si>
    <t>1</t>
  </si>
  <si>
    <t>Fichier</t>
  </si>
  <si>
    <t>IDX_DISTRIB_MAF</t>
  </si>
  <si>
    <t>IDX_SERVICE_KM</t>
  </si>
  <si>
    <t>IDX_SERVICE_MOUNTH</t>
  </si>
  <si>
    <t>IDX_BRAKE_LEVEL</t>
  </si>
  <si>
    <t>IDX_THROTLE</t>
  </si>
  <si>
    <t>IDX_DISTRIB_INJ</t>
  </si>
  <si>
    <t>IDX_NB_ERROR</t>
  </si>
  <si>
    <t>IDX_ALARM_VOYANT</t>
  </si>
  <si>
    <t>IDX_ALERTE_VOYANT</t>
  </si>
  <si>
    <t>IDX_TABLEAU_BORD</t>
  </si>
  <si>
    <t>Distrib MAF</t>
  </si>
  <si>
    <t>Mois</t>
  </si>
  <si>
    <t>Distrib INJ</t>
  </si>
  <si>
    <t>Propriétaire</t>
  </si>
  <si>
    <t>VF7LC9HXCAY540985</t>
  </si>
  <si>
    <t>Nicolas Delpoux</t>
  </si>
  <si>
    <t>Pascal Fulcheri</t>
  </si>
  <si>
    <t>VF7SH9HXC9T512026</t>
  </si>
  <si>
    <t>VF7NC9HD8DY504538</t>
  </si>
  <si>
    <t>Vincent Pujol</t>
  </si>
  <si>
    <t>Aurelie Picart</t>
  </si>
  <si>
    <t>-</t>
  </si>
  <si>
    <t>IDX_VBAT_START</t>
  </si>
  <si>
    <t>IDX_VBAT_END</t>
  </si>
  <si>
    <t>IDX_VBAT_MIN</t>
  </si>
  <si>
    <t>IDX_VBAT_MAX</t>
  </si>
  <si>
    <t>mV</t>
  </si>
  <si>
    <t>Tension Batterie start</t>
  </si>
  <si>
    <t>Tension Batterie End</t>
  </si>
  <si>
    <t>Tension Batterie Min</t>
  </si>
  <si>
    <t>Tension Batterie Max</t>
  </si>
  <si>
    <t>IDX_KM_EST</t>
  </si>
  <si>
    <t>m</t>
  </si>
  <si>
    <t>Kilométrage estimé</t>
  </si>
  <si>
    <t>IDX_SERIAL</t>
  </si>
  <si>
    <t>IDX_FW_VERSION</t>
  </si>
  <si>
    <t>IDX_SW_VERSION</t>
  </si>
  <si>
    <t>NumSérie</t>
  </si>
  <si>
    <t>V FW</t>
  </si>
  <si>
    <t>V SW</t>
  </si>
  <si>
    <t>IDX_NB_ARRET_MOT</t>
  </si>
  <si>
    <t>Key Off Count</t>
  </si>
  <si>
    <t>IDX_ACCEL_MAX</t>
  </si>
  <si>
    <t>IDX_FREIN_MAX</t>
  </si>
  <si>
    <t>IDX_COOLANT_TEMP_MIN</t>
  </si>
  <si>
    <t>IDX_OIL_TEMP_MIN</t>
  </si>
  <si>
    <t>IDX_OIL_TEMP_MAX</t>
  </si>
  <si>
    <t>Accel Max</t>
  </si>
  <si>
    <t>Frein Max</t>
  </si>
  <si>
    <t>°C</t>
  </si>
  <si>
    <t>IDX_COOLANT_TEMP_MAX</t>
  </si>
  <si>
    <t>Temp huile min</t>
  </si>
  <si>
    <t>Temp huile max</t>
  </si>
  <si>
    <t>Temp liquide refroidissement min</t>
  </si>
  <si>
    <t>Temp liquide refroidissement max</t>
  </si>
  <si>
    <t>10</t>
  </si>
  <si>
    <t>39</t>
  </si>
  <si>
    <t>IDX_RALENTI_TIME</t>
  </si>
  <si>
    <t>IDX_RALENTI_CONSO_1</t>
  </si>
  <si>
    <t>IDX_RALENTI_CONSO_2</t>
  </si>
  <si>
    <t>IDX_SPEED_MAX</t>
  </si>
  <si>
    <t>IDX_RPM_MAX</t>
  </si>
  <si>
    <t>IDX_MIL_START</t>
  </si>
  <si>
    <t>IDX_MIL_END</t>
  </si>
  <si>
    <t>IDX_FUEL_TYPE</t>
  </si>
  <si>
    <t>IDX_PID_MPM_00</t>
  </si>
  <si>
    <t>IDX_PID_IDENT</t>
  </si>
  <si>
    <t>IDX_PID_MPM_20</t>
  </si>
  <si>
    <t>IDX_PID_MPM_40</t>
  </si>
  <si>
    <t>IDX_PID_MPM_60</t>
  </si>
  <si>
    <t>IDX_PID_MPM_80</t>
  </si>
  <si>
    <t>IDX_PID_MPM_A0</t>
  </si>
  <si>
    <t>IDX_PID_MPM_E0</t>
  </si>
  <si>
    <t>IDX_PID_MPM_C0</t>
  </si>
  <si>
    <t>IDX_DISTRIB_CHARGE_BATT</t>
  </si>
  <si>
    <t>IDX_DISTRIB_AMBIANT_AIR_TEMP</t>
  </si>
  <si>
    <t>IDX_DISTRIB_VBAT</t>
  </si>
  <si>
    <t>IDX_DISTRIB_THROTLE</t>
  </si>
  <si>
    <t>48</t>
  </si>
  <si>
    <t>IDX_DISTRIB_OIL_TEMP</t>
  </si>
  <si>
    <t>DISTRIB_THROTLE</t>
  </si>
  <si>
    <t>DISTRIB_AMBIANT_AIR_TEMP</t>
  </si>
  <si>
    <t>DISTRIB_OIL_TEMP</t>
  </si>
  <si>
    <t>DISTRIB_CHARGE_BATT</t>
  </si>
  <si>
    <t>FUEL_TYPE</t>
  </si>
  <si>
    <t>DISTRIB_VBAT</t>
  </si>
  <si>
    <t>14</t>
  </si>
  <si>
    <t>91</t>
  </si>
  <si>
    <t>41</t>
  </si>
  <si>
    <t>84</t>
  </si>
  <si>
    <t>15</t>
  </si>
  <si>
    <t>77</t>
  </si>
  <si>
    <t>7</t>
  </si>
  <si>
    <t>16</t>
  </si>
  <si>
    <t>18</t>
  </si>
  <si>
    <t>69</t>
  </si>
  <si>
    <t>70</t>
  </si>
  <si>
    <t>95</t>
  </si>
  <si>
    <t>88</t>
  </si>
  <si>
    <t>46</t>
  </si>
  <si>
    <t>53</t>
  </si>
  <si>
    <t>13</t>
  </si>
  <si>
    <t>67</t>
  </si>
  <si>
    <t>11</t>
  </si>
  <si>
    <t>0D</t>
  </si>
  <si>
    <t>GET_OBD_ENGRPM,</t>
  </si>
  <si>
    <t>START_GET_OBD_ENGRPM,</t>
  </si>
  <si>
    <t>WAITING_GET_OBD_ENGRPM,</t>
  </si>
  <si>
    <t>WAITING,</t>
  </si>
  <si>
    <t>DO_NOTHING,</t>
  </si>
  <si>
    <t>GO_TO_SLEEP,</t>
  </si>
  <si>
    <t>GET_OBD_SPEED,</t>
  </si>
  <si>
    <t>WAITING_GET_OBD_SPEED,</t>
  </si>
  <si>
    <t>GET_OBD_PID_MPM,</t>
  </si>
  <si>
    <t>WAITING_GET_OBD_PID_MPM,</t>
  </si>
  <si>
    <t>GET_OBD_PID_Ident,</t>
  </si>
  <si>
    <t>WAITING_GET_OBD_PID_Ident,</t>
  </si>
  <si>
    <t>DO_Calcul_Tab_PID_Present,</t>
  </si>
  <si>
    <t>GET_OBD_VIN,</t>
  </si>
  <si>
    <t>WAITING_GET_OBD_VIN,</t>
  </si>
  <si>
    <t>GET_OBD_NIV_CARB,</t>
  </si>
  <si>
    <t>WAITING_GET_OBD_NIV_CARB,</t>
  </si>
  <si>
    <t>GET_OBD_MIL,</t>
  </si>
  <si>
    <t>WAITING_GET_OBD_MIL,</t>
  </si>
  <si>
    <t>GET_OBD_WATER_TEMP,</t>
  </si>
  <si>
    <t>WAITING_GET_OBD_WATER_TEMP,</t>
  </si>
  <si>
    <t>GET_OBD_FUEL_TYPE,</t>
  </si>
  <si>
    <t>WAITING_GET_OBD_FUEL_TYPE,</t>
  </si>
  <si>
    <t>GET_OBD_PARAM_CONSO_1_1,</t>
  </si>
  <si>
    <t>WAITING_GET_OBD_PARAM_CONSO_1_1,</t>
  </si>
  <si>
    <t>GET_OBD_PARAM_CONSO_1_2,</t>
  </si>
  <si>
    <t>WAITING_GET_OBD_PARAM_CONSO_1_2,</t>
  </si>
  <si>
    <t>GET_OBD_PARAM_CONSO_2_1,</t>
  </si>
  <si>
    <t>WAITING_GET_OBD_PARAM_CONSO_2_1,</t>
  </si>
  <si>
    <t>GET_OBD_PARAM_CONSO_2_2,</t>
  </si>
  <si>
    <t>WAITING_GET_OBD_PARAM_CONSO_2_2,</t>
  </si>
  <si>
    <t>GET_OBD_OIL_TEMP,</t>
  </si>
  <si>
    <t>WAITING_GET_OBD_OIL_TEMP,</t>
  </si>
  <si>
    <t>GET_OBD_THROTTLE,</t>
  </si>
  <si>
    <t>WAITING_GET_OBD_THROTTLE,</t>
  </si>
  <si>
    <t>GET_OBD_AMB_AIR_TEMP,</t>
  </si>
  <si>
    <t>WAITING_GET_OBD_AMB_AIR_TEMP,//24</t>
  </si>
  <si>
    <t>GET_OBD_BATT_CHARGE,</t>
  </si>
  <si>
    <t>WAITING_GET_OBD_BATT_CHARGE,</t>
  </si>
  <si>
    <t>GET_LECT_DEF,</t>
  </si>
  <si>
    <t>WAITING_GET_LECT_DEF,</t>
  </si>
  <si>
    <t>RECO,</t>
  </si>
  <si>
    <t>FINISH_RECO,</t>
  </si>
  <si>
    <t>ERROR,</t>
  </si>
  <si>
    <t>DO_CALCUL_VBAT,</t>
  </si>
  <si>
    <t>DO_CALCUL_KM,</t>
  </si>
  <si>
    <t>REPEAT_REQ,</t>
  </si>
  <si>
    <t>SEND_GPRS,</t>
  </si>
  <si>
    <t>Phase_Start</t>
  </si>
  <si>
    <t>Phase_Rolling</t>
  </si>
  <si>
    <t>Phase_End</t>
  </si>
  <si>
    <t>State</t>
  </si>
  <si>
    <t>Phase</t>
  </si>
  <si>
    <t>Arrêt</t>
  </si>
  <si>
    <t>Ralenti</t>
  </si>
  <si>
    <t>Electrique</t>
  </si>
  <si>
    <t>Roulant</t>
  </si>
  <si>
    <t>Conditions</t>
  </si>
  <si>
    <t>Véhicules testés:</t>
  </si>
  <si>
    <t>PID - Mode 09 - Ident</t>
  </si>
  <si>
    <t>PID - Mode 01 - Show current data</t>
  </si>
  <si>
    <t>Marque</t>
  </si>
  <si>
    <t>Code VIN</t>
  </si>
  <si>
    <t>VIN récupérable</t>
  </si>
  <si>
    <t>Carburant</t>
  </si>
  <si>
    <t>Motorisation</t>
  </si>
  <si>
    <t>Stop&amp;Start / Hybride</t>
  </si>
  <si>
    <t>Date de mise en circulation</t>
  </si>
  <si>
    <t xml:space="preserve">Commentaire </t>
  </si>
  <si>
    <t>norme OBD</t>
  </si>
  <si>
    <t>Date récup</t>
  </si>
  <si>
    <t>Nomfic</t>
  </si>
  <si>
    <t>VIN Message Count in PID 02. Only for ISO 9141-2, ISO 14230-4 and SAE J1850.</t>
  </si>
  <si>
    <t>Vehicle Identification Number (VIN)</t>
  </si>
  <si>
    <t>Calibration ID message count for PID 04. Only for ISO 9141-2, ISO 14230-4 and SAE J1850.</t>
  </si>
  <si>
    <t>Calibration ID</t>
  </si>
  <si>
    <t>Calibration verification numbers (CVN) message count for PID 06. Only for ISO 9141-2, ISO 14230-4 and SAE J1850.</t>
  </si>
  <si>
    <t>Calibration Verification Numbers (CVN)</t>
  </si>
  <si>
    <t>In-use performance tracking message count for PID08. Only for ISO 9141-2, ISO 14230-4 and SAE J1850.</t>
  </si>
  <si>
    <t>In-use performance tracking</t>
  </si>
  <si>
    <t>ECU name message count for PID 0A</t>
  </si>
  <si>
    <t>ECU name</t>
  </si>
  <si>
    <t>MessageCount ESN</t>
  </si>
  <si>
    <t>Engine Serial Number</t>
  </si>
  <si>
    <t>MessageCount EROTAN</t>
  </si>
  <si>
    <t>Exhaust Regulation Or Type Approval
Number</t>
  </si>
  <si>
    <t>Protocol Identification</t>
  </si>
  <si>
    <t>WWH-OBD GTR Number</t>
  </si>
  <si>
    <t>Monitor status since DTCs cleared. (Includes malfunction indicator lamp (MIL) status and number of DTCs.)</t>
  </si>
  <si>
    <t>Freeze DTC</t>
  </si>
  <si>
    <t>Fuel system status</t>
  </si>
  <si>
    <t>Calculated engine load value</t>
  </si>
  <si>
    <t>Engine coolant temperature</t>
  </si>
  <si>
    <t>Short term fuel % trim—Bank 1</t>
  </si>
  <si>
    <t>Long term fuel % trim—Bank 1</t>
  </si>
  <si>
    <t>Short term fuel % trim—Bank 2</t>
  </si>
  <si>
    <t>Long term fuel % trim—Bank 2</t>
  </si>
  <si>
    <t>Fuel pressure</t>
  </si>
  <si>
    <t>Intake manifold absolute pressure</t>
  </si>
  <si>
    <t>Engine RPM</t>
  </si>
  <si>
    <t>Vehicle speed</t>
  </si>
  <si>
    <t>Timing advance</t>
  </si>
  <si>
    <t>Intake air temperature</t>
  </si>
  <si>
    <t>MAF air flow rate</t>
  </si>
  <si>
    <t>Throttle position</t>
  </si>
  <si>
    <t>Commanded secondary air status</t>
  </si>
  <si>
    <t>Oxygen sensors present</t>
  </si>
  <si>
    <t>Bank 1, Sensor 1: Oxygen sensor voltage, Short term fuel trim</t>
  </si>
  <si>
    <t>Bank 1, Sensor 2: Oxygen sensor voltage, Short term fuel trim</t>
  </si>
  <si>
    <t>Bank 1, Sensor 3: Oxygen sensor voltage, Short term fuel trim</t>
  </si>
  <si>
    <t>Bank 1, Sensor 4: Oxygen sensor voltage, Short term fuel trim</t>
  </si>
  <si>
    <t>Bank 2, Sensor 1: Oxygen sensor voltage, Short term fuel trim</t>
  </si>
  <si>
    <t>Bank 2, Sensor 2: Oxygen sensor voltage, Short term fuel trim</t>
  </si>
  <si>
    <t>Bank 2, Sensor 3: Oxygen sensor voltage, Short term fuel trim</t>
  </si>
  <si>
    <t>Bank 2, Sensor 4: Oxygen sensor voltage, Short term fuel trim</t>
  </si>
  <si>
    <t>OBD standards this vehicle conforms to</t>
  </si>
  <si>
    <t>Auxiliary input status</t>
  </si>
  <si>
    <t>Run time since engine start</t>
  </si>
  <si>
    <t>PIDs supported [21 - 40]</t>
  </si>
  <si>
    <t>Distance traveled with malfunction indicator lamp (MIL) on</t>
  </si>
  <si>
    <t>Fuel Rail Pressure (relative to manifold vacuum)</t>
  </si>
  <si>
    <t>Fuel Rail Pressure (diesel, or gasoline direct inject)</t>
  </si>
  <si>
    <t>O2S1_WR_lambda(1): Equivalence Ratio Voltage</t>
  </si>
  <si>
    <t>O2S2_WR_lambda(1): Equivalence Ratio Voltage</t>
  </si>
  <si>
    <t>O2S3_WR_lambda(1): Equivalence Ratio Voltage</t>
  </si>
  <si>
    <t>O2S4_WR_lambda(1): Equivalence Ratio Voltage</t>
  </si>
  <si>
    <t>O2S5_WR_lambda(1): Equivalence Ratio Voltage</t>
  </si>
  <si>
    <t>O2S6_WR_lambda(1): Equivalence Ratio Voltage</t>
  </si>
  <si>
    <t>O2S7_WR_lambda(1): Equivalence Ratio Voltage</t>
  </si>
  <si>
    <t>O2S8_WR_lambda(1): Equivalence Ratio Voltage</t>
  </si>
  <si>
    <t>Commanded EGR</t>
  </si>
  <si>
    <t>EGR Error</t>
  </si>
  <si>
    <t>Commanded evaporative purge</t>
  </si>
  <si>
    <t>Fuel Level Input</t>
  </si>
  <si>
    <t># of warm-ups since codes cleared</t>
  </si>
  <si>
    <t>Distance traveled since codes cleared</t>
  </si>
  <si>
    <t>Evap. System Vapor Pressure</t>
  </si>
  <si>
    <t>Barometric pressure</t>
  </si>
  <si>
    <t>O2S1_WR_lambda(1): Equivalence Ratio Current</t>
  </si>
  <si>
    <t>O2S2_WR_lambda(1): Equivalence Ratio Current</t>
  </si>
  <si>
    <t>O2S3_WR_lambda(1): Equivalence Ratio Current</t>
  </si>
  <si>
    <t>O2S4_WR_lambda(1): Equivalence Ratio Current</t>
  </si>
  <si>
    <t>O2S5_WR_lambda(1): Equivalence Ratio Current</t>
  </si>
  <si>
    <t>O2S6_WR_lambda(1): Equivalence Ratio Current</t>
  </si>
  <si>
    <t>O2S7_WR_lambda(1): Equivalence Ratio Current</t>
  </si>
  <si>
    <t>O2S8_WR_lambda(1): Equivalence Ratio Current</t>
  </si>
  <si>
    <t>Catalyst Temperature Bank 1, Sensor 1</t>
  </si>
  <si>
    <t>Catalyst Temperature Bank 2, Sensor 1</t>
  </si>
  <si>
    <t>Catalyst Temperature Bank 1, Sensor 2</t>
  </si>
  <si>
    <t>Catalyst Temperature Bank 2, Sensor 2</t>
  </si>
  <si>
    <t>PIDs supported [41 - 60]</t>
  </si>
  <si>
    <t>Monitor status this drive cycle</t>
  </si>
  <si>
    <t>Control module voltage</t>
  </si>
  <si>
    <t>Absolute load value</t>
  </si>
  <si>
    <t>Command equivalence ratio</t>
  </si>
  <si>
    <t>Relative throttle position</t>
  </si>
  <si>
    <t>Ambient air temperature</t>
  </si>
  <si>
    <t>Absolute throttle position B</t>
  </si>
  <si>
    <t>Absolute throttle position C</t>
  </si>
  <si>
    <t>Accelerator pedal position D</t>
  </si>
  <si>
    <t>Accelerator pedal position E</t>
  </si>
  <si>
    <t>Accelerator pedal position F</t>
  </si>
  <si>
    <t>Commanded throttle actuator</t>
  </si>
  <si>
    <t>Time run with MIL on</t>
  </si>
  <si>
    <t>Time since trouble codes cleared</t>
  </si>
  <si>
    <t>Maximum value for equivalence ratio, oxygen sensor voltage, oxygen sensor current, and intake manifold absolute pressure</t>
  </si>
  <si>
    <t>Maximum value for air flow rate from mass air flow sensor</t>
  </si>
  <si>
    <t>Fuel Type</t>
  </si>
  <si>
    <t>Ethanol fuel %</t>
  </si>
  <si>
    <t>Absolute Evap system Vapor Pressure</t>
  </si>
  <si>
    <t>Evap system vapor pressure</t>
  </si>
  <si>
    <t>Short term secondary oxygen sensor trim bank 1 and bank 3</t>
  </si>
  <si>
    <t>Long term secondary oxygen sensor trim bank 1 and bank 3</t>
  </si>
  <si>
    <t>Short term secondary oxygen sensor trim bank 2 and bank 4</t>
  </si>
  <si>
    <t>Long term secondary oxygen sensor trim bank 2 and bank 4</t>
  </si>
  <si>
    <t>Fuel rail pressure (absolute)</t>
  </si>
  <si>
    <t>Relative accelerator pedal position</t>
  </si>
  <si>
    <t>Hybrid battery pack remaining life</t>
  </si>
  <si>
    <t>Engine oil temperature</t>
  </si>
  <si>
    <t>Fuel injection timing</t>
  </si>
  <si>
    <t>Engine fuel rate</t>
  </si>
  <si>
    <t>Emission requirements to which vehicle is designed</t>
  </si>
  <si>
    <t>PIDs supported [61 - 80]</t>
  </si>
  <si>
    <t>Driver's demand engine - percent torque</t>
  </si>
  <si>
    <t>Actual engine - percent torque</t>
  </si>
  <si>
    <t>Engine reference torque</t>
  </si>
  <si>
    <t>Engine percent torque data</t>
  </si>
  <si>
    <t>Auxiliary input / output supported</t>
  </si>
  <si>
    <t>Mass air flow sensor</t>
  </si>
  <si>
    <t>Intake air temperature sensor</t>
  </si>
  <si>
    <t>Commanded EGR and EGR Error</t>
  </si>
  <si>
    <t>Commanded Diesel intake air flow control and relative intake air flow position</t>
  </si>
  <si>
    <t>Exhaust gas recirculation temperature</t>
  </si>
  <si>
    <t>Commanded throttle actuator control and relative throttle position</t>
  </si>
  <si>
    <t>Fuel pressure control system</t>
  </si>
  <si>
    <t>Injection pressure control system</t>
  </si>
  <si>
    <t>Turbocharger compressor inlet pressure</t>
  </si>
  <si>
    <t>Boost pressure control</t>
  </si>
  <si>
    <t>Variable Geometry turbo (VGT) control</t>
  </si>
  <si>
    <t>Wastegate control</t>
  </si>
  <si>
    <t>Exhaust pressure</t>
  </si>
  <si>
    <t>Turbocharger RPM</t>
  </si>
  <si>
    <t>Turbocharger temperature</t>
  </si>
  <si>
    <t>Charge air cooler temperature (CACT)</t>
  </si>
  <si>
    <t>Exhaust Gas temperature (EGT) Bank 1</t>
  </si>
  <si>
    <t>Exhaust Gas temperature (EGT) Bank 2</t>
  </si>
  <si>
    <t>Diesel particulate filter (DPF)</t>
  </si>
  <si>
    <t>Diesel Particulate filter (DPF) temperature</t>
  </si>
  <si>
    <t>NOx NTE control area status</t>
  </si>
  <si>
    <t>PM NTE control area status</t>
  </si>
  <si>
    <t>Engine run time</t>
  </si>
  <si>
    <t>PIDs supported [81 - A0]</t>
  </si>
  <si>
    <t>Engine run time for Auxiliary Emissions Control Device(AECD)</t>
  </si>
  <si>
    <t>NOx sensor</t>
  </si>
  <si>
    <t>Manifold surface temperature</t>
  </si>
  <si>
    <t>NOx reagent system</t>
  </si>
  <si>
    <t>Particulate matter (PM) sensor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</si>
  <si>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</si>
  <si>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</si>
  <si>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</si>
  <si>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</si>
  <si>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</si>
  <si>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</si>
  <si>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</si>
  <si>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</si>
  <si>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</si>
  <si>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0A</t>
  </si>
  <si>
    <t>0B</t>
  </si>
  <si>
    <t>0C</t>
  </si>
  <si>
    <t>0E</t>
  </si>
  <si>
    <t>0F</t>
  </si>
  <si>
    <t>12</t>
  </si>
  <si>
    <t>17</t>
  </si>
  <si>
    <t>19</t>
  </si>
  <si>
    <t>1A</t>
  </si>
  <si>
    <t>1B</t>
  </si>
  <si>
    <t>1C</t>
  </si>
  <si>
    <t>1D</t>
  </si>
  <si>
    <t>1E</t>
  </si>
  <si>
    <t>1F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</si>
  <si>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</si>
  <si>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</si>
  <si>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</si>
  <si>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</si>
  <si>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</si>
  <si>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</si>
  <si>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</si>
  <si>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</si>
  <si>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</si>
  <si>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</si>
  <si>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2A</t>
  </si>
  <si>
    <t>2B</t>
  </si>
  <si>
    <t>2C</t>
  </si>
  <si>
    <t>2D</t>
  </si>
  <si>
    <t>2E</t>
  </si>
  <si>
    <t>2F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</si>
  <si>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</si>
  <si>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</si>
  <si>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</si>
  <si>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</si>
  <si>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</si>
  <si>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</si>
  <si>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</si>
  <si>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</si>
  <si>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</si>
  <si>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3A</t>
  </si>
  <si>
    <t>3B</t>
  </si>
  <si>
    <t>3C</t>
  </si>
  <si>
    <t>3D</t>
  </si>
  <si>
    <t>3E</t>
  </si>
  <si>
    <t>3F</t>
  </si>
  <si>
    <t>40</t>
  </si>
  <si>
    <t>42</t>
  </si>
  <si>
    <t>43</t>
  </si>
  <si>
    <t>44</t>
  </si>
  <si>
    <t>45</t>
  </si>
  <si>
    <t>47</t>
  </si>
  <si>
    <t>49</t>
  </si>
  <si>
    <t>4A</t>
  </si>
  <si>
    <t>4B</t>
  </si>
  <si>
    <t>4C</t>
  </si>
  <si>
    <t>4D</t>
  </si>
  <si>
    <t>4E</t>
  </si>
  <si>
    <t>4F</t>
  </si>
  <si>
    <t>50</t>
  </si>
  <si>
    <t>51</t>
  </si>
  <si>
    <t>52</t>
  </si>
  <si>
    <t>54</t>
  </si>
  <si>
    <t>55</t>
  </si>
  <si>
    <t>56</t>
  </si>
  <si>
    <t>57</t>
  </si>
  <si>
    <t>58</t>
  </si>
  <si>
    <t>59</t>
  </si>
  <si>
    <t>5A</t>
  </si>
  <si>
    <t>5B</t>
  </si>
  <si>
    <t>5C</t>
  </si>
  <si>
    <t>5D</t>
  </si>
  <si>
    <t>5E</t>
  </si>
  <si>
    <t>5F</t>
  </si>
  <si>
    <t>60</t>
  </si>
  <si>
    <t>61</t>
  </si>
  <si>
    <t>62</t>
  </si>
  <si>
    <t>63</t>
  </si>
  <si>
    <t>64</t>
  </si>
  <si>
    <t>65</t>
  </si>
  <si>
    <t>66</t>
  </si>
  <si>
    <t>68</t>
  </si>
  <si>
    <t>6A</t>
  </si>
  <si>
    <t>6B</t>
  </si>
  <si>
    <t>6C</t>
  </si>
  <si>
    <t>6D</t>
  </si>
  <si>
    <t>6E</t>
  </si>
  <si>
    <t>6F</t>
  </si>
  <si>
    <t>71</t>
  </si>
  <si>
    <t>72</t>
  </si>
  <si>
    <t>73</t>
  </si>
  <si>
    <t>74</t>
  </si>
  <si>
    <t>75</t>
  </si>
  <si>
    <t>76</t>
  </si>
  <si>
    <t>78</t>
  </si>
  <si>
    <t>79</t>
  </si>
  <si>
    <t>7A</t>
  </si>
  <si>
    <t>7B</t>
  </si>
  <si>
    <t>7C</t>
  </si>
  <si>
    <t>7D</t>
  </si>
  <si>
    <t>7E</t>
  </si>
  <si>
    <t>7F</t>
  </si>
  <si>
    <t>80</t>
  </si>
  <si>
    <t>81</t>
  </si>
  <si>
    <t>82</t>
  </si>
  <si>
    <t>83</t>
  </si>
  <si>
    <t>85</t>
  </si>
  <si>
    <t>86</t>
  </si>
  <si>
    <t>87</t>
  </si>
  <si>
    <t>89</t>
  </si>
  <si>
    <t>8A</t>
  </si>
  <si>
    <t>8B</t>
  </si>
  <si>
    <t>8C</t>
  </si>
  <si>
    <t>8D</t>
  </si>
  <si>
    <t>8E</t>
  </si>
  <si>
    <t>8F</t>
  </si>
  <si>
    <t>90</t>
  </si>
  <si>
    <t>92</t>
  </si>
  <si>
    <t>93</t>
  </si>
  <si>
    <t>94</t>
  </si>
  <si>
    <t>96</t>
  </si>
  <si>
    <t>97</t>
  </si>
  <si>
    <t>98</t>
  </si>
  <si>
    <t>99</t>
  </si>
  <si>
    <t>9A</t>
  </si>
  <si>
    <t>9B</t>
  </si>
  <si>
    <t>9C</t>
  </si>
  <si>
    <t>9D</t>
  </si>
  <si>
    <t>9E</t>
  </si>
  <si>
    <t>9F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</si>
  <si>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</si>
  <si>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</si>
  <si>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</si>
  <si>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</si>
  <si>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</si>
  <si>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</si>
  <si>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</si>
  <si>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</si>
  <si>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</si>
  <si>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</si>
  <si>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</si>
  <si>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</si>
  <si>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</si>
  <si>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</si>
  <si>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</si>
  <si>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</si>
  <si>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</si>
  <si>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</si>
  <si>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</si>
  <si>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</si>
  <si>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</si>
  <si>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</si>
  <si>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</si>
  <si>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</si>
  <si>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</si>
  <si>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</si>
  <si>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</si>
  <si>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</si>
  <si>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</si>
  <si>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</si>
  <si>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BE</t>
  </si>
  <si>
    <t>BF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</si>
  <si>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</si>
  <si>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</si>
  <si>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</si>
  <si>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</si>
  <si>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</si>
  <si>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</si>
  <si>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</si>
  <si>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</si>
  <si>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</si>
  <si>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</si>
  <si>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CA</t>
  </si>
  <si>
    <t>CB</t>
  </si>
  <si>
    <t>CC</t>
  </si>
  <si>
    <t>CD</t>
  </si>
  <si>
    <t>CE</t>
  </si>
  <si>
    <t>CF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</si>
  <si>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</si>
  <si>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</si>
  <si>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</si>
  <si>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</si>
  <si>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</si>
  <si>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</si>
  <si>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</si>
  <si>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</si>
  <si>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</si>
  <si>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</si>
  <si>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DA</t>
  </si>
  <si>
    <t>DB</t>
  </si>
  <si>
    <t>DC</t>
  </si>
  <si>
    <t>DD</t>
  </si>
  <si>
    <t>DE</t>
  </si>
  <si>
    <t>DF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</si>
  <si>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</si>
  <si>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</si>
  <si>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</si>
  <si>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</si>
  <si>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</si>
  <si>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</si>
  <si>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</si>
  <si>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</si>
  <si>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</si>
  <si>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</si>
  <si>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EA</t>
  </si>
  <si>
    <t>EB</t>
  </si>
  <si>
    <t>EC</t>
  </si>
  <si>
    <t>ED</t>
  </si>
  <si>
    <t>EE</t>
  </si>
  <si>
    <t>EF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</si>
  <si>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</si>
  <si>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</si>
  <si>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</si>
  <si>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</si>
  <si>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</si>
  <si>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</si>
  <si>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</si>
  <si>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</si>
  <si>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</si>
  <si>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</si>
  <si>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FA</t>
  </si>
  <si>
    <t>FB</t>
  </si>
  <si>
    <t>FC</t>
  </si>
  <si>
    <t>FD</t>
  </si>
  <si>
    <t>FE</t>
  </si>
  <si>
    <t>FF</t>
  </si>
  <si>
    <t>Citroen</t>
  </si>
  <si>
    <t>C3 Picasso (A58)</t>
  </si>
  <si>
    <t>LASSARA</t>
  </si>
  <si>
    <t>VF7SH5FW09T569410</t>
  </si>
  <si>
    <t>Essence</t>
  </si>
  <si>
    <t>1,6l / 120ch</t>
  </si>
  <si>
    <t>5FW</t>
  </si>
  <si>
    <t>ISO15765</t>
  </si>
  <si>
    <t>?</t>
  </si>
  <si>
    <t>7E8</t>
  </si>
  <si>
    <t>Berlingo</t>
  </si>
  <si>
    <t>Pierre Albisson</t>
  </si>
  <si>
    <t>VF7GJRHYK93239924</t>
  </si>
  <si>
    <t>Diesel</t>
  </si>
  <si>
    <t>2,0l / 90ch</t>
  </si>
  <si>
    <t>RHY</t>
  </si>
  <si>
    <t>OBD K</t>
  </si>
  <si>
    <t>ISO14230</t>
  </si>
  <si>
    <t>12-02-2014_14-06-49</t>
  </si>
  <si>
    <t>DECRIPT_AWFI_CITROEN_BERLINGO_12-02-2014_14-09-04.xml</t>
  </si>
  <si>
    <t>0010</t>
  </si>
  <si>
    <t>C4 (B7)</t>
  </si>
  <si>
    <t>1,6l / 115ch</t>
  </si>
  <si>
    <t>9HD</t>
  </si>
  <si>
    <t>Stop&amp;Start</t>
  </si>
  <si>
    <t>04-02-2014_14-48-52</t>
  </si>
  <si>
    <t>DECRIPT_AWFI_CITROEN_OBD_VEH_04-02-2014_14-50-23.xml</t>
  </si>
  <si>
    <t>07E9
07E8</t>
  </si>
  <si>
    <t>07E9</t>
  </si>
  <si>
    <t>07E8</t>
  </si>
  <si>
    <t>07E8
07E9</t>
  </si>
  <si>
    <t>Ford</t>
  </si>
  <si>
    <t>Cmax</t>
  </si>
  <si>
    <t>Julien Montaut</t>
  </si>
  <si>
    <t>WF0JXXWPBJBC69986</t>
  </si>
  <si>
    <t>11-02-2014_10-11-51</t>
  </si>
  <si>
    <t>DECRIPT_AWFI_FORD_OBD_VEH_11-02-2014_10-13-11.xml</t>
  </si>
  <si>
    <t>Hyundai I20</t>
  </si>
  <si>
    <t>Jerome Devay</t>
  </si>
  <si>
    <t>MALBC51SP9M060311</t>
  </si>
  <si>
    <t>1,5l / 90ch</t>
  </si>
  <si>
    <t>10-02-2014_21-47-30</t>
  </si>
  <si>
    <t>DECRIPT_AWFI_HYUNDAI_OBD_VEH_10-02-2014_21-48-49.xml</t>
  </si>
  <si>
    <t>Mazda</t>
  </si>
  <si>
    <t>Premacy</t>
  </si>
  <si>
    <t>Jérôme Gauran</t>
  </si>
  <si>
    <t>ISO9141</t>
  </si>
  <si>
    <t>14-02-2014_10-34-09</t>
  </si>
  <si>
    <t>DECRIPT_AWFI_MAZDA_PREMACY_14-02-2014_10-35-54.xml</t>
  </si>
  <si>
    <t>Nissan</t>
  </si>
  <si>
    <t>Note</t>
  </si>
  <si>
    <t>SJNFDAE11U2035163</t>
  </si>
  <si>
    <t>1,5l / 86ch</t>
  </si>
  <si>
    <t>10-02-2014_21-27-31</t>
  </si>
  <si>
    <t>DECRIPT_AWFI_NISSAN_OBD_VEH_10-02-2014_21-30-44.xml</t>
  </si>
  <si>
    <t>Peugeot</t>
  </si>
  <si>
    <t>307 (T5 can)</t>
  </si>
  <si>
    <t>VF33C9HXC84529738</t>
  </si>
  <si>
    <t>1,6l / 90ch</t>
  </si>
  <si>
    <t>9HX</t>
  </si>
  <si>
    <t>03-02-2014_13-54-04</t>
  </si>
  <si>
    <t>DECRIPT_AWFI_PEUGEOT_OBD_VEH_03-02-2014_13-55-02.xml</t>
  </si>
  <si>
    <t>3008 (T84 hy)</t>
  </si>
  <si>
    <t>Privé</t>
  </si>
  <si>
    <t>VF3HURHC8DS180354</t>
  </si>
  <si>
    <t>2,0l / 200ch</t>
  </si>
  <si>
    <t>RHC</t>
  </si>
  <si>
    <t>Hybride</t>
  </si>
  <si>
    <t>29-01-2014_21-02-54</t>
  </si>
  <si>
    <t>DECRIPT_AWFI_PEUGEOT_OBD_VEH_29-01-2014_21-05-15.xml</t>
  </si>
  <si>
    <t>Renault</t>
  </si>
  <si>
    <t>Clio 3</t>
  </si>
  <si>
    <t>Jean-Michel Lafargue</t>
  </si>
  <si>
    <t>VF1BRCF0H42677513</t>
  </si>
  <si>
    <t>14-02-2014_11-00-20</t>
  </si>
  <si>
    <t>DECRIPT_AWFI_RENAULT_CLIO_14-02-2014_11-01-30.xml</t>
  </si>
  <si>
    <t>Kangoo</t>
  </si>
  <si>
    <t>VF1FC0JAF24959211</t>
  </si>
  <si>
    <t>ISO14230_5B</t>
  </si>
  <si>
    <t>15-02-2014_09-57-58</t>
  </si>
  <si>
    <t>DECRIPT_AWFI_RENAULT_KANGOO_15-02-2014_10-00-43.xml</t>
  </si>
  <si>
    <t>007A</t>
  </si>
  <si>
    <t>Mégane 2 Break</t>
  </si>
  <si>
    <t>Hassan Hajji</t>
  </si>
  <si>
    <t>VF1KMSEC637185104</t>
  </si>
  <si>
    <t>14-02-2014_10-41-57</t>
  </si>
  <si>
    <t>DECRIPT_AWFI_RENAULT_MEGANE-III_14-02-2014_10-43-36.xml</t>
  </si>
  <si>
    <t>Mégane 3</t>
  </si>
  <si>
    <t>VF1BZ0B0642158151</t>
  </si>
  <si>
    <t>15-02-2014_09-53-21</t>
  </si>
  <si>
    <t>DECRIPT_AWFI_RENAULT_MEGANE-III_15-02-2014_09-54-37.xml</t>
  </si>
  <si>
    <t>Volkswagen</t>
  </si>
  <si>
    <t>Golf 5</t>
  </si>
  <si>
    <t>Cedric Mathe</t>
  </si>
  <si>
    <t>WVWZZZ1KZ5B037437</t>
  </si>
  <si>
    <t>14-02-2014_10-20-07</t>
  </si>
  <si>
    <t>DECRIPT_AWFI_VehBrand_OBD_VEH_14-02-2014_10-21-26.xml</t>
  </si>
  <si>
    <t>Focus</t>
  </si>
  <si>
    <t>Olivier Duffaut</t>
  </si>
  <si>
    <t>WF0AXXGCDA3D71304</t>
  </si>
  <si>
    <t>Pas de trace récupérée (voir BZ 4002)</t>
  </si>
  <si>
    <t>04-02-2014_14-21-31</t>
  </si>
  <si>
    <t>DECRIPT_AWFI_CITROEN_OBD_VEH_04-02-2014_14-22-49.xml</t>
  </si>
  <si>
    <t>Alexandre Plot</t>
  </si>
  <si>
    <t>WVWZZZ1KZ9W548453</t>
  </si>
  <si>
    <t>125ch/1,4L</t>
  </si>
  <si>
    <t>10-03-2014_14-43-26</t>
  </si>
  <si>
    <t>DECRIPT_AWFI_VehBrand_VehIntName_10-03-2014_14-45-24.xml</t>
  </si>
  <si>
    <t>Pagès Mathieu</t>
  </si>
  <si>
    <t>VF34C9HZH55277543</t>
  </si>
  <si>
    <t>110ch</t>
  </si>
  <si>
    <t>10-03-2014_13-13-09</t>
  </si>
  <si>
    <t>DECRIPT_AWFI_VehBrand_VehIntName_10-03-2014_13-14-49.xml</t>
  </si>
  <si>
    <t>Mégane III Dci
Mégane Coupé du monde Rugby série limité</t>
  </si>
  <si>
    <t>Dominique Barrieu</t>
  </si>
  <si>
    <t>110ch/1,4L</t>
  </si>
  <si>
    <t>10-03-2014_15-13-39</t>
  </si>
  <si>
    <t>DECRIPT_AWFI_VehBrand_VehIntName_10-03-2014_15-14-35.xml</t>
  </si>
  <si>
    <t>Citroën</t>
  </si>
  <si>
    <t>1,6L/90kw</t>
  </si>
  <si>
    <t>10-03-2014_16-06-21</t>
  </si>
  <si>
    <t>DECRIPT_AWFI_VehBrand_VehIntName_10-03-2014_16-07-03.xml</t>
  </si>
  <si>
    <t>Dacia</t>
  </si>
  <si>
    <t>Sandero</t>
  </si>
  <si>
    <t>Philippe Dufrene</t>
  </si>
  <si>
    <t>UU1BSDMER42162866</t>
  </si>
  <si>
    <t>GPL/Essence</t>
  </si>
  <si>
    <t>Le véhicule n'est pas conforme à la norme OBDII</t>
  </si>
  <si>
    <t>11-03-2014_10-12-13</t>
  </si>
  <si>
    <t>DECRIPT_AWFI_VehBrand_VehIntName_11-03-2014_10-15-07.xml</t>
  </si>
  <si>
    <t>C4 Picasso</t>
  </si>
  <si>
    <t>Pascal Deneau</t>
  </si>
  <si>
    <t>VF7UA9HZH45395385</t>
  </si>
  <si>
    <t>110ch / 1,6l</t>
  </si>
  <si>
    <t>11-03-2014_10-57-03</t>
  </si>
  <si>
    <t>DECRIPT_AWFI_VehBrand_VehIntName_11-03-2014_10-58-18.xml</t>
  </si>
  <si>
    <t>Debard Automobiles</t>
  </si>
  <si>
    <t>VF7RDRHH8AL532481</t>
  </si>
  <si>
    <t>160ch/ 2L</t>
  </si>
  <si>
    <t>11-03-2014_15-50-40</t>
  </si>
  <si>
    <t>DECRIPT_AWFI_VehBrand_VehIntName_11-03-2014_15-52-44.xml</t>
  </si>
  <si>
    <t>VF30U9HR8BS294408</t>
  </si>
  <si>
    <t>112ch/1,6L</t>
  </si>
  <si>
    <t>11-03-2014_16-04-03</t>
  </si>
  <si>
    <t>DECRIPT_AWFI_VehBrand_VehIntName_11-03-2014_16-07-12.xml</t>
  </si>
  <si>
    <t>Mercedes</t>
  </si>
  <si>
    <t>Classe A (W169)
A200 CDI AvantGarde
(107)</t>
  </si>
  <si>
    <t>136ch</t>
  </si>
  <si>
    <t>11-03-2014_16-26-39</t>
  </si>
  <si>
    <t>DECRIPT_AWFI_VehBrand_VehIntName_11-03-2014_16-28-41.xml</t>
  </si>
  <si>
    <t>Clio IV Tce
(130)</t>
  </si>
  <si>
    <t>VF15R5A0H50128555</t>
  </si>
  <si>
    <t>11-03-2014_16-57-15</t>
  </si>
  <si>
    <t>DECRIPT_AWFI_VehBrand_VehIntName_11-03-2014_16-58-17.xml</t>
  </si>
  <si>
    <t>Alfa Romeo</t>
  </si>
  <si>
    <t>Guiletta</t>
  </si>
  <si>
    <t>Pierrick Tine</t>
  </si>
  <si>
    <t>ISO15765_29B</t>
  </si>
  <si>
    <t>18-03-2014_11-06-33</t>
  </si>
  <si>
    <t>DECRIPT_AWFI_VehBrand_VehIntName_18-03-2014_11-09-47.xml</t>
  </si>
  <si>
    <t>F110</t>
  </si>
  <si>
    <t>Fleet message</t>
  </si>
  <si>
    <t>Journey\ecofleet and Maintenance Data</t>
  </si>
  <si>
    <t>Passengers count / stop bus</t>
  </si>
  <si>
    <t>Fault status</t>
  </si>
  <si>
    <t>Interlock</t>
  </si>
  <si>
    <t>Agricultural</t>
  </si>
  <si>
    <t>Light vehicle</t>
  </si>
  <si>
    <t>TACOT</t>
  </si>
  <si>
    <t>Source</t>
  </si>
  <si>
    <t>Data. Nb.</t>
  </si>
  <si>
    <t>Data / Signal name</t>
  </si>
  <si>
    <t>Type PGN / Other</t>
  </si>
  <si>
    <t>SPN / Other Number</t>
  </si>
  <si>
    <t>Type of data</t>
  </si>
  <si>
    <t>Description</t>
  </si>
  <si>
    <t>Format of data</t>
  </si>
  <si>
    <t>Sep. Nb.</t>
  </si>
  <si>
    <t>Lengh (Bytes)</t>
  </si>
  <si>
    <t>Lengh (Char)</t>
  </si>
  <si>
    <t>Bus FMS</t>
  </si>
  <si>
    <t>Truck FMS</t>
  </si>
  <si>
    <t>Bus
100</t>
  </si>
  <si>
    <t>Truck
101</t>
  </si>
  <si>
    <t>Bus
102</t>
  </si>
  <si>
    <t>Truck
103</t>
  </si>
  <si>
    <t>Bus
104</t>
  </si>
  <si>
    <t>Truck
105</t>
  </si>
  <si>
    <t>Bus
106</t>
  </si>
  <si>
    <t>Truck
107</t>
  </si>
  <si>
    <t>Bus
108</t>
  </si>
  <si>
    <t>Agri
109</t>
  </si>
  <si>
    <r>
      <t xml:space="preserve">Light
</t>
    </r>
    <r>
      <rPr>
        <sz val="10"/>
        <color indexed="10"/>
        <rFont val="Arial"/>
        <family val="2"/>
      </rPr>
      <t>111</t>
    </r>
  </si>
  <si>
    <t>FMS V00.02</t>
  </si>
  <si>
    <t xml:space="preserve">Brake switch </t>
  </si>
  <si>
    <t>CCVS</t>
  </si>
  <si>
    <t>FEF1</t>
  </si>
  <si>
    <t>FMS_Read</t>
  </si>
  <si>
    <t>Hexa</t>
  </si>
  <si>
    <t>NA</t>
  </si>
  <si>
    <t>Cruise control status</t>
  </si>
  <si>
    <t>Clutch switch</t>
  </si>
  <si>
    <t>Vehicle speed (wheel based)</t>
  </si>
  <si>
    <t>Km/h</t>
  </si>
  <si>
    <t>Parking Brake Switch</t>
  </si>
  <si>
    <t>PTO State</t>
  </si>
  <si>
    <t>Accelerator pedal position</t>
  </si>
  <si>
    <t>EEC2</t>
  </si>
  <si>
    <t>F003</t>
  </si>
  <si>
    <t>0.1 %</t>
  </si>
  <si>
    <t>Engine Percent Load</t>
  </si>
  <si>
    <t>Total fuel used</t>
  </si>
  <si>
    <t>LFC</t>
  </si>
  <si>
    <t>FEE9</t>
  </si>
  <si>
    <t>mL</t>
  </si>
  <si>
    <t>Total fuel used (high resolution)</t>
  </si>
  <si>
    <t>HRLFC</t>
  </si>
  <si>
    <t>FD09</t>
  </si>
  <si>
    <t>Fuel level</t>
  </si>
  <si>
    <t>FEFC</t>
  </si>
  <si>
    <t>Engine speed</t>
  </si>
  <si>
    <t>EEC1</t>
  </si>
  <si>
    <t>F004</t>
  </si>
  <si>
    <t>rpm</t>
  </si>
  <si>
    <t>Axle location</t>
  </si>
  <si>
    <t>VW</t>
  </si>
  <si>
    <t>FEEA</t>
  </si>
  <si>
    <t>Tire location</t>
  </si>
  <si>
    <t>Axle Weight</t>
  </si>
  <si>
    <t>Kg</t>
  </si>
  <si>
    <t>Total engine hours</t>
  </si>
  <si>
    <t>HOURS</t>
  </si>
  <si>
    <t>FEE5</t>
  </si>
  <si>
    <t>h</t>
  </si>
  <si>
    <t>Vehicle identification number</t>
  </si>
  <si>
    <t>VI</t>
  </si>
  <si>
    <t>FEEC</t>
  </si>
  <si>
    <t>ASCII</t>
  </si>
  <si>
    <t>FMS-Request supported</t>
  </si>
  <si>
    <t>FMS</t>
  </si>
  <si>
    <t>FDD1</t>
  </si>
  <si>
    <t>FMS-Diagnostic supported</t>
  </si>
  <si>
    <t>FMS-standard interface identity</t>
  </si>
  <si>
    <t>High resolution total vehicle distance</t>
  </si>
  <si>
    <t>VDHR</t>
  </si>
  <si>
    <t>FEC1</t>
  </si>
  <si>
    <t>Service Distance</t>
  </si>
  <si>
    <t>SERV</t>
  </si>
  <si>
    <t>FEC0</t>
  </si>
  <si>
    <t>Driver recognize</t>
  </si>
  <si>
    <t>TCO1</t>
  </si>
  <si>
    <t>FE6C</t>
  </si>
  <si>
    <t>Driver 1 working state</t>
  </si>
  <si>
    <t>Driver 2 working state</t>
  </si>
  <si>
    <t>Overspeed</t>
  </si>
  <si>
    <t>Driver 1 card</t>
  </si>
  <si>
    <t>Driver 1 time related states</t>
  </si>
  <si>
    <t>Driver 2 card</t>
  </si>
  <si>
    <t>Driver 2 time related states</t>
  </si>
  <si>
    <t>Direction indicator</t>
  </si>
  <si>
    <t>Tachograph performance</t>
  </si>
  <si>
    <t>Handling information</t>
  </si>
  <si>
    <t>Tachograph event</t>
  </si>
  <si>
    <t>Tachograph vehicle speed</t>
  </si>
  <si>
    <t>ET1</t>
  </si>
  <si>
    <t>FEEE</t>
  </si>
  <si>
    <t>(X-40)°C</t>
  </si>
  <si>
    <t>Ambient Air Temperature</t>
  </si>
  <si>
    <t>AMB</t>
  </si>
  <si>
    <t>FEF5</t>
  </si>
  <si>
    <t>(0,03125X-273)°C</t>
  </si>
  <si>
    <t>Status 2 of doors</t>
  </si>
  <si>
    <t>DC1</t>
  </si>
  <si>
    <t>FE4E</t>
  </si>
  <si>
    <t>Ramp/wheel chairlift status</t>
  </si>
  <si>
    <t>Position of doors</t>
  </si>
  <si>
    <t>Status of doors 1 - 10</t>
  </si>
  <si>
    <t>DC2</t>
  </si>
  <si>
    <t>3416-3440</t>
  </si>
  <si>
    <t>FDA5</t>
  </si>
  <si>
    <t>Time / date</t>
  </si>
  <si>
    <t>TD</t>
  </si>
  <si>
    <t>959-964</t>
  </si>
  <si>
    <t>FEE6</t>
  </si>
  <si>
    <t>Service brake air pressure circuit 1</t>
  </si>
  <si>
    <t>AIR1</t>
  </si>
  <si>
    <t>FEAE</t>
  </si>
  <si>
    <t>kPa</t>
  </si>
  <si>
    <t>Service brake air pressure circuit 2</t>
  </si>
  <si>
    <t>Alternator 1 status</t>
  </si>
  <si>
    <t>AS</t>
  </si>
  <si>
    <t>FED5</t>
  </si>
  <si>
    <t>Alternator 2 status</t>
  </si>
  <si>
    <t>Alternator 3 status</t>
  </si>
  <si>
    <t>Alternator 4 status</t>
  </si>
  <si>
    <t>Select Gear</t>
  </si>
  <si>
    <t>ETC2</t>
  </si>
  <si>
    <t>F005</t>
  </si>
  <si>
    <t>Current Gear</t>
  </si>
  <si>
    <t>Bellow pressure front axle Left</t>
  </si>
  <si>
    <t>ASC4</t>
  </si>
  <si>
    <t>FE58</t>
  </si>
  <si>
    <t>0.1 kPa</t>
  </si>
  <si>
    <t>Bellow pressure front axle Right</t>
  </si>
  <si>
    <t>Bellow pressure rear axle Left</t>
  </si>
  <si>
    <t>Bellow pressure rear axle Right</t>
  </si>
  <si>
    <t>Driver Identification</t>
  </si>
  <si>
    <t>DI</t>
  </si>
  <si>
    <t>1625/1626</t>
  </si>
  <si>
    <t>FE6B</t>
  </si>
  <si>
    <t>Fuel Rate</t>
  </si>
  <si>
    <t>LFE</t>
  </si>
  <si>
    <t>FEF2</t>
  </si>
  <si>
    <t>mL/h</t>
  </si>
  <si>
    <t>Instantaneous Fuel Economy</t>
  </si>
  <si>
    <t>m/L</t>
  </si>
  <si>
    <t>At least one PTO engaged</t>
  </si>
  <si>
    <t>PTODE</t>
  </si>
  <si>
    <t>FDA4</t>
  </si>
  <si>
    <t>FMS Tell Tale Status</t>
  </si>
  <si>
    <t>FMS1</t>
  </si>
  <si>
    <t>Not Def.</t>
  </si>
  <si>
    <t>FD7D</t>
  </si>
  <si>
    <t>FMSHighVehicleDistanceResolution</t>
  </si>
  <si>
    <t>FMSTotalFuelUsed</t>
  </si>
  <si>
    <t>GPS</t>
  </si>
  <si>
    <t>Time (hhmmss UTC)</t>
  </si>
  <si>
    <t>CGA</t>
  </si>
  <si>
    <t>TGU_Read</t>
  </si>
  <si>
    <t>Time</t>
  </si>
  <si>
    <t>Latitude</t>
  </si>
  <si>
    <t>decimal degrees</t>
  </si>
  <si>
    <t>Longitude</t>
  </si>
  <si>
    <t>Fix quality</t>
  </si>
  <si>
    <t>Number of satellites</t>
  </si>
  <si>
    <t>Altitude</t>
  </si>
  <si>
    <t>Speed over ground</t>
  </si>
  <si>
    <t>RMC</t>
  </si>
  <si>
    <t>Knots</t>
  </si>
  <si>
    <t>Track angle</t>
  </si>
  <si>
    <t>degrees</t>
  </si>
  <si>
    <t>Date (ddmmyy)</t>
  </si>
  <si>
    <t>Internal</t>
  </si>
  <si>
    <t>Hardware type</t>
  </si>
  <si>
    <t>UCE</t>
  </si>
  <si>
    <t>TGU</t>
  </si>
  <si>
    <t xml:space="preserve">Hardware serial number </t>
  </si>
  <si>
    <t>Firmware version (VV.RR)</t>
  </si>
  <si>
    <t xml:space="preserve">IMEI </t>
  </si>
  <si>
    <t>Igition state (0=Off, 1=On)</t>
  </si>
  <si>
    <t>Passengers counting</t>
  </si>
  <si>
    <t>Logical Inputs state (1 bit / input)</t>
  </si>
  <si>
    <t>Event ID (Key On / Key Off / driver card / tachy mode / Recurent / Start Journey / End journey)</t>
  </si>
  <si>
    <t>Journey Status (No journey / Ongoing)</t>
  </si>
  <si>
    <t>Driver 1 ID (If defined)</t>
  </si>
  <si>
    <t>Fleet vehicle Identifier (Park vehicle ID)</t>
  </si>
  <si>
    <t>Interlock status</t>
  </si>
  <si>
    <t xml:space="preserve">Operating device Time </t>
  </si>
  <si>
    <t>SAMI_Read</t>
  </si>
  <si>
    <t>Lateral accelerometer offset</t>
  </si>
  <si>
    <t>TGU Identifier</t>
  </si>
  <si>
    <t>TGU Start Journey Date</t>
  </si>
  <si>
    <t>Epoch Time</t>
  </si>
  <si>
    <t>TGU End Journey Date</t>
  </si>
  <si>
    <t>Driver 2 ID  (If defined)</t>
  </si>
  <si>
    <t>Driver 1 current activity duration</t>
  </si>
  <si>
    <t>minute</t>
  </si>
  <si>
    <t>Driver 2 current activity duration</t>
  </si>
  <si>
    <t>Tour number</t>
  </si>
  <si>
    <t>SAMI</t>
  </si>
  <si>
    <t>Longitudinal accelerometer offset</t>
  </si>
  <si>
    <t>Vertical accelerometer offset</t>
  </si>
  <si>
    <t>Maintenance / Ecofleet</t>
  </si>
  <si>
    <t>Start Latitude</t>
  </si>
  <si>
    <t>Start_J</t>
  </si>
  <si>
    <t>Start Longitude</t>
  </si>
  <si>
    <t>Start Date</t>
  </si>
  <si>
    <t>Start time</t>
  </si>
  <si>
    <t>End Latitude</t>
  </si>
  <si>
    <t>End_J</t>
  </si>
  <si>
    <t>End Longitude</t>
  </si>
  <si>
    <t>End Date</t>
  </si>
  <si>
    <t>End time</t>
  </si>
  <si>
    <t>Start vehicle Distance</t>
  </si>
  <si>
    <t>Stop vehicle Distance</t>
  </si>
  <si>
    <t>Start tank level</t>
  </si>
  <si>
    <t>Journey</t>
  </si>
  <si>
    <t>TGU_IN_CNT</t>
  </si>
  <si>
    <t>Stop tank level</t>
  </si>
  <si>
    <t>Key On/Key Off count</t>
  </si>
  <si>
    <t>Crank count (TGU input)</t>
  </si>
  <si>
    <t>Crank Time (TGU input)</t>
  </si>
  <si>
    <t>Used fuel</t>
  </si>
  <si>
    <t>Delta</t>
  </si>
  <si>
    <t>Idle Time</t>
  </si>
  <si>
    <t>Duration</t>
  </si>
  <si>
    <t>s</t>
  </si>
  <si>
    <t>Idle Fuel</t>
  </si>
  <si>
    <t>Integration</t>
  </si>
  <si>
    <t>uL (L*10^6)</t>
  </si>
  <si>
    <t>Speed Max</t>
  </si>
  <si>
    <t>Val_max</t>
  </si>
  <si>
    <t>0x0D</t>
  </si>
  <si>
    <t>Max engine coolant Temp</t>
  </si>
  <si>
    <t>0x05</t>
  </si>
  <si>
    <t>Max Engine RPM</t>
  </si>
  <si>
    <t>0x0C</t>
  </si>
  <si>
    <t>Brake Count</t>
  </si>
  <si>
    <t>Count</t>
  </si>
  <si>
    <t>Brake Time</t>
  </si>
  <si>
    <t>Brake drive distance</t>
  </si>
  <si>
    <t>Distance</t>
  </si>
  <si>
    <t>Clutch Count</t>
  </si>
  <si>
    <t>Activation PTO Count</t>
  </si>
  <si>
    <t>Activation PTO duration</t>
  </si>
  <si>
    <t>Activation PTO drive distance</t>
  </si>
  <si>
    <t>Activation Cruise Control Count</t>
  </si>
  <si>
    <t>Activation Cruise Control duration</t>
  </si>
  <si>
    <t>Activation Cruise Control drive distance</t>
  </si>
  <si>
    <t>Used fuel at start of service</t>
  </si>
  <si>
    <t>Used fuel at stop of service</t>
  </si>
  <si>
    <t>Ligne ID at start of journey</t>
  </si>
  <si>
    <t>AVMS</t>
  </si>
  <si>
    <t>Service ID at start of journey</t>
  </si>
  <si>
    <t>Event generating start of service</t>
  </si>
  <si>
    <t>Event generating stop of service</t>
  </si>
  <si>
    <t>Gas delivery pressure at start of service</t>
  </si>
  <si>
    <t>Gas delivery pressure at end of service</t>
  </si>
  <si>
    <t>Total engine hours at start of service</t>
  </si>
  <si>
    <t>Total engine hours at end of service</t>
  </si>
  <si>
    <t>Total engine revolutions at start of service</t>
  </si>
  <si>
    <t>n</t>
  </si>
  <si>
    <t>Total engine revolutions at end of service</t>
  </si>
  <si>
    <t>Tell tale status at start of service</t>
  </si>
  <si>
    <t>Status</t>
  </si>
  <si>
    <t>0x01</t>
  </si>
  <si>
    <t>Tell tale status at end of service</t>
  </si>
  <si>
    <t>Battery voltage at start of service</t>
  </si>
  <si>
    <t>Battery voltage at end of service</t>
  </si>
  <si>
    <t>Battery current at start of service</t>
  </si>
  <si>
    <t>mA</t>
  </si>
  <si>
    <t>Battery current at end of service</t>
  </si>
  <si>
    <t>SAMI status (80 bits / one bit by error code) at start of service</t>
  </si>
  <si>
    <t>SAMI status (80 bits / one bit by error code) at stop of service</t>
  </si>
  <si>
    <t>Total Fuel Used with PTO Active</t>
  </si>
  <si>
    <t>Max Harsh Accel</t>
  </si>
  <si>
    <t>0.1G</t>
  </si>
  <si>
    <t>Max Harsh Brake</t>
  </si>
  <si>
    <t>Min engine coolant Temp</t>
  </si>
  <si>
    <t>Min engine Oil Temp</t>
  </si>
  <si>
    <t>Max engine Oil Temp</t>
  </si>
  <si>
    <t>Min transmission Oil Temp</t>
  </si>
  <si>
    <t>Max transmission Oil Temp</t>
  </si>
  <si>
    <t>Min engine Oil pressure</t>
  </si>
  <si>
    <t>KPA</t>
  </si>
  <si>
    <t>Max engine Oil pressure</t>
  </si>
  <si>
    <t>Min Boost pressure</t>
  </si>
  <si>
    <t>Max Boots Oil pressure</t>
  </si>
  <si>
    <t>Min retardater Oil Temp</t>
  </si>
  <si>
    <t>Max retardater Oil Temp</t>
  </si>
  <si>
    <t>Min slip clutch</t>
  </si>
  <si>
    <t>Max slip clutch</t>
  </si>
  <si>
    <t>Min Battery voltage</t>
  </si>
  <si>
    <t>Max Battery voltage</t>
  </si>
  <si>
    <t>Positive variation of altitude</t>
  </si>
  <si>
    <t>Cumul</t>
  </si>
  <si>
    <t>Negative variation of altitude</t>
  </si>
  <si>
    <t xml:space="preserve">Used fuel during engine braking </t>
  </si>
  <si>
    <t>ml</t>
  </si>
  <si>
    <t>Duration of engine braking</t>
  </si>
  <si>
    <t>Distance of engine braking</t>
  </si>
  <si>
    <t>Start battery 1 State Of Charge</t>
  </si>
  <si>
    <t>Value</t>
  </si>
  <si>
    <t>Stop battery 1 State Of Charge</t>
  </si>
  <si>
    <t>Start battery 2 State Of Charge</t>
  </si>
  <si>
    <t>Stop battery 2 State Of Charge</t>
  </si>
  <si>
    <t xml:space="preserve">Time activation additional cabin heater </t>
  </si>
  <si>
    <t>Drive time (tachy information)</t>
  </si>
  <si>
    <t>Work time (tachy information)</t>
  </si>
  <si>
    <t xml:space="preserve">Time activation cabin heater </t>
  </si>
  <si>
    <t>Time activation  cabin climatisation</t>
  </si>
  <si>
    <t>0.1 L</t>
  </si>
  <si>
    <t>Start Fix quality</t>
  </si>
  <si>
    <t>End Fix quality</t>
  </si>
  <si>
    <t>Start Altitude</t>
  </si>
  <si>
    <t>End Altitude</t>
  </si>
  <si>
    <t>Start Number of satellites</t>
  </si>
  <si>
    <t>End Number of satellites</t>
  </si>
  <si>
    <t>Shortage Engine coolant level</t>
  </si>
  <si>
    <t>ShortageTransmission coolant level</t>
  </si>
  <si>
    <t>Shortage Battery 1 coolant level</t>
  </si>
  <si>
    <t>Shortage Battery 2 coolant level</t>
  </si>
  <si>
    <t>Start Engine oil level</t>
  </si>
  <si>
    <t>Bus parameters</t>
  </si>
  <si>
    <t>Door 1 Count</t>
  </si>
  <si>
    <t>Door 2 Count</t>
  </si>
  <si>
    <t>Door 3 Count</t>
  </si>
  <si>
    <t>Door 4 Count</t>
  </si>
  <si>
    <t>Vehicle stops count</t>
  </si>
  <si>
    <t>Vehicle stop Time</t>
  </si>
  <si>
    <t>Count reverse gear 1</t>
  </si>
  <si>
    <t>Distance drive reverse gear 1</t>
  </si>
  <si>
    <t>Count reverse gear 2</t>
  </si>
  <si>
    <t>Distance drive reverse gear 2</t>
  </si>
  <si>
    <t>Count front gear 1</t>
  </si>
  <si>
    <t>Distance drive front gear 1</t>
  </si>
  <si>
    <t>Count front gear 2</t>
  </si>
  <si>
    <t>Distance drive front gear 2</t>
  </si>
  <si>
    <t>Count front gear 3</t>
  </si>
  <si>
    <t>Distance drive front gear 3</t>
  </si>
  <si>
    <t>Count front gear 4</t>
  </si>
  <si>
    <t>Distance drive front gear 4</t>
  </si>
  <si>
    <t>Count front gear 5</t>
  </si>
  <si>
    <t>Distance drive front gear 5</t>
  </si>
  <si>
    <t>Count front gear 6</t>
  </si>
  <si>
    <t>Distance drive front gear 6</t>
  </si>
  <si>
    <t>Count front gear 7</t>
  </si>
  <si>
    <t>Distance drive front gear 7</t>
  </si>
  <si>
    <t>Count front gear 8</t>
  </si>
  <si>
    <t>Distance drive front gear 8</t>
  </si>
  <si>
    <t xml:space="preserve">Start journey passengers count </t>
  </si>
  <si>
    <t xml:space="preserve">End journey passengers count </t>
  </si>
  <si>
    <t>Unlocked doors time</t>
  </si>
  <si>
    <t>Door 1 opened time</t>
  </si>
  <si>
    <t>Door 2 opened time</t>
  </si>
  <si>
    <t>Door 3 opened time</t>
  </si>
  <si>
    <t>Door 4 opened time</t>
  </si>
  <si>
    <t>Power feedback during brake</t>
  </si>
  <si>
    <t>KW</t>
  </si>
  <si>
    <t>Brake factor (power feedback/power brakes)</t>
  </si>
  <si>
    <t>Accelerator pedal up Count</t>
  </si>
  <si>
    <t>Accelerator pedal up Time</t>
  </si>
  <si>
    <t>Accelerator pedal up distance</t>
  </si>
  <si>
    <t>Duration drive reverse gear 1</t>
  </si>
  <si>
    <t>Duration drive reverse gear 2</t>
  </si>
  <si>
    <t>Duration drive front gear 1</t>
  </si>
  <si>
    <t>Duration drive front gear 2</t>
  </si>
  <si>
    <t>Duration drive front gear 3</t>
  </si>
  <si>
    <t>Duration drive front gear 4</t>
  </si>
  <si>
    <t>Duration drive front gear 5</t>
  </si>
  <si>
    <t>Duration drive front gear 6</t>
  </si>
  <si>
    <t>Duration drive front gear 7</t>
  </si>
  <si>
    <t>Duration drive front gear 8</t>
  </si>
  <si>
    <t>Count front gear 9</t>
  </si>
  <si>
    <t>Distance drive front gear 9</t>
  </si>
  <si>
    <t>Count front gear 10</t>
  </si>
  <si>
    <t>Distance drive front gear 10</t>
  </si>
  <si>
    <t>Count front gear 11</t>
  </si>
  <si>
    <t>Distance drive front gear 11</t>
  </si>
  <si>
    <t>Count front gear 12</t>
  </si>
  <si>
    <t>Distance drive front gear 12</t>
  </si>
  <si>
    <t>Count front gear 13</t>
  </si>
  <si>
    <t>Distance drive front gear 13</t>
  </si>
  <si>
    <t>Count front gear 14</t>
  </si>
  <si>
    <t>Distance drive front gear 14</t>
  </si>
  <si>
    <t>Count front gear 15</t>
  </si>
  <si>
    <t>Distance drive front gear 15</t>
  </si>
  <si>
    <t>Count front gear 16</t>
  </si>
  <si>
    <t>Distance drive front gear 16</t>
  </si>
  <si>
    <t>Duration drive front gear 9</t>
  </si>
  <si>
    <t>Duration drive front gear 10</t>
  </si>
  <si>
    <t>Duration drive front gear 11</t>
  </si>
  <si>
    <t>Duration drive front gear 12</t>
  </si>
  <si>
    <t>Duration drive front gear 13</t>
  </si>
  <si>
    <t>Duration drive front gear 14</t>
  </si>
  <si>
    <t>Duration drive front gear 15</t>
  </si>
  <si>
    <t>Duration drive front gear 16</t>
  </si>
  <si>
    <t>Parameters Distribution</t>
  </si>
  <si>
    <t>Throtle position distribution (10 values 0-100 %)</t>
  </si>
  <si>
    <t>Distribution</t>
  </si>
  <si>
    <t>0x11</t>
  </si>
  <si>
    <t>Vehicle Speed distribution (12 values 0-120 km/h)</t>
  </si>
  <si>
    <t>Vehicle Speed distribution (10 values 0-200 km/h)</t>
  </si>
  <si>
    <t>Engine RPM distribution (10 values 0-2500 rpm)</t>
  </si>
  <si>
    <t>Engine RPM distribution (10 values 0-10000 rpm)</t>
  </si>
  <si>
    <t>Boost pressure distribution (10 values 0-500 KPA)</t>
  </si>
  <si>
    <t>Barometric pressure distribution (10 values 0-125 KPA)</t>
  </si>
  <si>
    <t>Battery voltage distribution(10 values 16-36 V)</t>
  </si>
  <si>
    <t>Battery voltage distribution(10 values 6-16 V)</t>
  </si>
  <si>
    <t>Percent clutch slip distribution (10 values 0 to 100 %)</t>
  </si>
  <si>
    <t>Engine oil distribution (10 values 0-1000 KPA)</t>
  </si>
  <si>
    <t>Fuel delivery pressure distribution (10 values 0-1000 KPA)</t>
  </si>
  <si>
    <t>Engine torque distribution (10 values 0-100%)</t>
  </si>
  <si>
    <t>Used fuel distribution</t>
  </si>
  <si>
    <t>Throttle distribution used fuel (10 values)</t>
  </si>
  <si>
    <t>Vehicle Speed distribution used fuel (14 values)</t>
  </si>
  <si>
    <t>Engine RPM distribution used fuel (10 values)</t>
  </si>
  <si>
    <t>Engine RPM distribution used fuel / PTO Off (11 values)</t>
  </si>
  <si>
    <t>Vehicle Speed distribution used fuel / PTO Off (14 values)</t>
  </si>
  <si>
    <t>Throttle distribution used fuel / PTO Off (10 values)</t>
  </si>
  <si>
    <t>Engine RPM distribution used fuel / PTO On (11 values)</t>
  </si>
  <si>
    <t>Engine RPM distribution used fuel / PTO Off and vehicle speed = 0 (11 values)</t>
  </si>
  <si>
    <t>Engine RPM distribution used fuel / PTO On and vehicle speed = 0 (11 values)</t>
  </si>
  <si>
    <t>Engine RPM distribution used fuel / cruise control OFF &amp; vehicle speed &gt; 0 (11 values)</t>
  </si>
  <si>
    <t>Engine RPM distribution used fuel / cruise control ON &amp; vehicle speed &gt; 0 (11 values)</t>
  </si>
  <si>
    <t>Vehicle Speed distribution used fuel / Cruise Control Off (14 values)</t>
  </si>
  <si>
    <t>Vehicle Speed distribution used fuel / Cruise Control On (14 values)</t>
  </si>
  <si>
    <t>Throttle distribution used fuel / Cruise Control Off (10 values) and vehicle speed &gt; 0</t>
  </si>
  <si>
    <t>Throttle distribution used fuel / Cruise Control On (10 values) and vehicle speed &gt; 0</t>
  </si>
  <si>
    <t>Duration distribution</t>
  </si>
  <si>
    <t>Throttle distribution duration (10 values)</t>
  </si>
  <si>
    <t>Vehicle Speed distribution duration (14 values)</t>
  </si>
  <si>
    <t>Engine RPM distribution duration (10 values)</t>
  </si>
  <si>
    <t>Throttle distribution duration / PTO Off (10 values)</t>
  </si>
  <si>
    <t>Engine RPM distribution duration / PTO Off (11 values)</t>
  </si>
  <si>
    <t>Engine RPM distribution duration / PTO On (11 values)</t>
  </si>
  <si>
    <t xml:space="preserve">Engine RPM distribution duration / PTO Off and vehicle speed = 0 (11 values) </t>
  </si>
  <si>
    <t xml:space="preserve">Engine RPM distribution duration / PTO On and vehicle speed = 0 (11 values) </t>
  </si>
  <si>
    <t>Engine RPM distribution duration / Cruise Control OFF and vehicle speed &gt; 0 (11 values)</t>
  </si>
  <si>
    <t>Engine RPM distribution duration / Cruise Control ON and vehicle speed &gt; 0 (11 values)</t>
  </si>
  <si>
    <t>Vehicle Speed duration distribution / Cruise Control OFF (14 values)</t>
  </si>
  <si>
    <t>Vehicle Speed duration distribution / Cruise Control ON (14 values)</t>
  </si>
  <si>
    <t>Throttle distribution duration / Cruise Control OFF and vehicle speed &gt; 0 (10 values)</t>
  </si>
  <si>
    <t>Throttle distribution duration / Cruise Control ON and vehicle speed &gt; 0 (10 values)</t>
  </si>
  <si>
    <t>Engine RPM distribution duration / Throttle pedal not pressed and vehicle speed &gt; 0 (11 values)</t>
  </si>
  <si>
    <t>Altitude distribution duration with vehicle speed &gt; 0  (9 values)</t>
  </si>
  <si>
    <t>Distance distribution</t>
  </si>
  <si>
    <t>Throttle distribution distance (10 values)</t>
  </si>
  <si>
    <t>Vehicle Speed distribution distance (14 values)</t>
  </si>
  <si>
    <t>Engine RPM distribution distance (11 values)</t>
  </si>
  <si>
    <t>Engine RPM distribution distance with Cruise Control OFF (11 values)</t>
  </si>
  <si>
    <t>Engine RPM distribution distance with Cruise Control ON  (11 values)</t>
  </si>
  <si>
    <t>Vehicle Speed duration distribution with Cruise Control OFF (14 values)</t>
  </si>
  <si>
    <t>Vehicle Speed duration distribution with Cruise Control ON  (14 values)</t>
  </si>
  <si>
    <t>Throttle distribution distance with Cruise Control OFF and vehicle speed &gt; 0 (10 values)</t>
  </si>
  <si>
    <t>Throttle distribution distance with Cruise Control ON and vehicle speed &gt; 0 (10 values)</t>
  </si>
  <si>
    <t>Engine RPM distribution distance / Throttle pedal not pressed and vehicle speed &gt; 0 (11 values)</t>
  </si>
  <si>
    <t>Acceleration distribution</t>
  </si>
  <si>
    <t>0.001G</t>
  </si>
  <si>
    <t>Fuel rate distribution (20 values 0-100 L/h))</t>
  </si>
  <si>
    <t>Fuel rate distribution (20 values 0-20 L/100 Km)</t>
  </si>
  <si>
    <t>Temperature distribution</t>
  </si>
  <si>
    <t>Engine coolant temperature distribution (10 values -40 to 160 °C)</t>
  </si>
  <si>
    <t>Ambiant Air temperature distribution (10 values -40 to +60 °C)</t>
  </si>
  <si>
    <t>Engine oil temperature distribution (10 values -40 to 160 °C)</t>
  </si>
  <si>
    <t>Transmission oil temperature distribution (10 values -40 to 160 °C)</t>
  </si>
  <si>
    <t>Retarder oil temperature distribution (10 values -40 to 160 °C)</t>
  </si>
  <si>
    <t>Inlet (air admission) engine temperature distribution (10 values -20 to 80 °C)</t>
  </si>
  <si>
    <t>Weight Distribution</t>
  </si>
  <si>
    <t xml:space="preserve">Average Vehicle Weight </t>
  </si>
  <si>
    <t>Batery distribution</t>
  </si>
  <si>
    <t>State of charge battery 1 (10 values 10 % to 100%)</t>
  </si>
  <si>
    <t>State of charge battery 2 (10 values 10 % to 100%)</t>
  </si>
  <si>
    <t>Battery 1 temperature distribution (10 values 0°C to 50 °C)</t>
  </si>
  <si>
    <t>Drive system coolant tempearture distribution (10 values 0°C to 100 °C)</t>
  </si>
  <si>
    <t>Power generator distribution (10 values -250KW to 250 KW)</t>
  </si>
  <si>
    <t>Drive motor power distribution (10 values -250KW to 250 KW)</t>
  </si>
  <si>
    <t>Feedback brakes power in batteries</t>
  </si>
  <si>
    <t>Bus voltage drive système distrinution (10 values 300V to 800V)</t>
  </si>
  <si>
    <t>Brake factor distribution (10 vallues 0% to 100%)</t>
  </si>
  <si>
    <t>Cabin temperature distribution (10 values -40°C to 60°C)</t>
  </si>
  <si>
    <t>Engine coolant level distribution (10 vallues 0% to 100%)</t>
  </si>
  <si>
    <t>Transmission coolant level distribution (10 vallues 0% to 100%)</t>
  </si>
  <si>
    <t>Excess parameters</t>
  </si>
  <si>
    <t>Excess throttle count</t>
  </si>
  <si>
    <t>Excess throttle duration</t>
  </si>
  <si>
    <t>Excess throttle drive distance</t>
  </si>
  <si>
    <t>Excess vehicule speed count</t>
  </si>
  <si>
    <t>Excess vehicule speed duration</t>
  </si>
  <si>
    <t>Excess vehicule speed drive distance</t>
  </si>
  <si>
    <t>Excess engine RPM count</t>
  </si>
  <si>
    <t>Excess engine RPM duration</t>
  </si>
  <si>
    <t>Excess engine RPM drive distance</t>
  </si>
  <si>
    <t>Tank level under level count</t>
  </si>
  <si>
    <t>Tank level under level duration</t>
  </si>
  <si>
    <t>Tank level under level drive distance</t>
  </si>
  <si>
    <t>Harsh Brake count</t>
  </si>
  <si>
    <t>Harsh Accel count</t>
  </si>
  <si>
    <t>Harsh Corner count</t>
  </si>
  <si>
    <t>Driver score</t>
  </si>
  <si>
    <t>To be defined</t>
  </si>
  <si>
    <t>Excess engine coolant temperature count</t>
  </si>
  <si>
    <t>Excess engine coolant temperature duration</t>
  </si>
  <si>
    <t>Excess engine coolant temperature drive distance</t>
  </si>
  <si>
    <t>Harsh Accel duration</t>
  </si>
  <si>
    <t>Harsh Brake duration</t>
  </si>
  <si>
    <t>Harsh Corner duration</t>
  </si>
  <si>
    <t>Harsh Accel Distance</t>
  </si>
  <si>
    <t>Harsh Brake Distance</t>
  </si>
  <si>
    <t>Excess engine oil temperature count</t>
  </si>
  <si>
    <t>Excess engine oil temperature duration</t>
  </si>
  <si>
    <t>Excess engine oil temperature oil distance</t>
  </si>
  <si>
    <t>Excess transmission oil temperature count</t>
  </si>
  <si>
    <t>Excess transmission oil temperature duration</t>
  </si>
  <si>
    <t>Excess transmission temperature distance</t>
  </si>
  <si>
    <t>Shortage engine oil pressure count</t>
  </si>
  <si>
    <t>Shortage engine oil pressure duration</t>
  </si>
  <si>
    <t>Shortage engine oil pressure oil distance</t>
  </si>
  <si>
    <t>Excess boost pressure count</t>
  </si>
  <si>
    <t>Excess boost pressure duration</t>
  </si>
  <si>
    <t>Excess boost pressure distance</t>
  </si>
  <si>
    <t>Excess retardater oil temperature count</t>
  </si>
  <si>
    <t>Excess retardater oil temperature duration</t>
  </si>
  <si>
    <t>Excess retardater temperature distance</t>
  </si>
  <si>
    <t>Excess clutch slip count</t>
  </si>
  <si>
    <t>Excess clutch slip duration</t>
  </si>
  <si>
    <t>Excess clutch slip distance</t>
  </si>
  <si>
    <t>Shortage battery voltage count</t>
  </si>
  <si>
    <t>Shortage battery voltage duration</t>
  </si>
  <si>
    <t>Shortage battery voltage distance</t>
  </si>
  <si>
    <t>Shortage engine coolant level count</t>
  </si>
  <si>
    <t>Shortage engine coolant level duration</t>
  </si>
  <si>
    <t>Shortage engine coolant level distance</t>
  </si>
  <si>
    <t>Shortage transmission coolant level count</t>
  </si>
  <si>
    <t>Shortage transmission coolant level duration</t>
  </si>
  <si>
    <t>Shortage transmission coolant level distance</t>
  </si>
  <si>
    <t>Excess throttle Max value</t>
  </si>
  <si>
    <t>Excess vehicule speed Max value</t>
  </si>
  <si>
    <t>Excess engine RPM Max value</t>
  </si>
  <si>
    <t>Excess engine coolant temperature Max value</t>
  </si>
  <si>
    <t>Excess engine oil temperature Max value</t>
  </si>
  <si>
    <t>Excess transmission oil temperature Max value</t>
  </si>
  <si>
    <t>Shortage engine oil pressure Min value</t>
  </si>
  <si>
    <t>Val_min</t>
  </si>
  <si>
    <t>Excess boost pressure Max value</t>
  </si>
  <si>
    <t>Excess retardater oil temperature Max value</t>
  </si>
  <si>
    <t>Excess clutch slip Max value</t>
  </si>
  <si>
    <t>Shortage battery voltage Min value</t>
  </si>
  <si>
    <t>Shortage engine coolant level Min value</t>
  </si>
  <si>
    <t>Shortage transmission coolant level Max value</t>
  </si>
  <si>
    <t>Harsh vertical acceleration count</t>
  </si>
  <si>
    <t>Harsh vertical acceleration duration</t>
  </si>
  <si>
    <t>Threshold</t>
  </si>
  <si>
    <t>Excess throttle threshold</t>
  </si>
  <si>
    <t>Reference</t>
  </si>
  <si>
    <t>Excess vehicule speed threshold</t>
  </si>
  <si>
    <t>Excess engine RPM threshold</t>
  </si>
  <si>
    <t>Harsh Brake threshold</t>
  </si>
  <si>
    <t>0,01G</t>
  </si>
  <si>
    <t>Harsh Accel threshold</t>
  </si>
  <si>
    <t>Harsh Corner threshold</t>
  </si>
  <si>
    <t>Minimum Tank level threshold</t>
  </si>
  <si>
    <t>Maximum engine coolant temperature threshold</t>
  </si>
  <si>
    <t xml:space="preserve"> </t>
  </si>
  <si>
    <t>Maximum speed excess per km (xx.xx )</t>
  </si>
  <si>
    <t>X100</t>
  </si>
  <si>
    <t>Maximum average consumption (xx.xx l/100km)</t>
  </si>
  <si>
    <t>Maximum idle consumption compared to total consumption (xx.xx %)</t>
  </si>
  <si>
    <t>%X100</t>
  </si>
  <si>
    <t>Maximum idle consumption (xx.xx l/100km)</t>
  </si>
  <si>
    <t>Maximum engine oil temperature threshold</t>
  </si>
  <si>
    <t>Maximum transmission oil temperature threshold</t>
  </si>
  <si>
    <t>Minimum engine oil pressure threshold</t>
  </si>
  <si>
    <t>Maximum boost pressure threshold</t>
  </si>
  <si>
    <t>Maximum retardater oil temperature threshold</t>
  </si>
  <si>
    <t>Excess throttle filter time parameter</t>
  </si>
  <si>
    <t>Excess vehicle speed filter time parameter</t>
  </si>
  <si>
    <t>Excess engine RPM filter time parameter</t>
  </si>
  <si>
    <t>Harsh Brake filter time parameter</t>
  </si>
  <si>
    <t>X 10 ms</t>
  </si>
  <si>
    <t>Harsh Accel filter time parameter</t>
  </si>
  <si>
    <t>Harsh Corner filter time parameter</t>
  </si>
  <si>
    <t>Minimum Tank level filter time parameter</t>
  </si>
  <si>
    <t>Maximum engine oil temperature filter time parameter</t>
  </si>
  <si>
    <t>Maximum transmission oil temperature filter time parameter</t>
  </si>
  <si>
    <t>Minimum engine oil pressure filter time parameter</t>
  </si>
  <si>
    <t>Maximum boost pressure filter time parameter</t>
  </si>
  <si>
    <t>Maximum retardater oil temperature filter time parameter</t>
  </si>
  <si>
    <t>Maximum cluch slip threshold</t>
  </si>
  <si>
    <t>Minimum battery voltage threshold</t>
  </si>
  <si>
    <t>Maximum cluch slip filter time parameter</t>
  </si>
  <si>
    <t>Minimum battery voltage filter time parameter</t>
  </si>
  <si>
    <t>Minimum engine coolant level</t>
  </si>
  <si>
    <t>Minimum transmission coolant level</t>
  </si>
  <si>
    <t>Harsh vertical acceleration threshold</t>
  </si>
  <si>
    <t>Harsh vertical acceleration filter time parameter</t>
  </si>
  <si>
    <t>Bus stop</t>
  </si>
  <si>
    <t>STOP_bus</t>
  </si>
  <si>
    <t xml:space="preserve">Start passengers count </t>
  </si>
  <si>
    <t>Passengers in count</t>
  </si>
  <si>
    <t>Passengers Out count</t>
  </si>
  <si>
    <t>End passengers count</t>
  </si>
  <si>
    <t>Fault Status</t>
  </si>
  <si>
    <t>UCE SID</t>
  </si>
  <si>
    <t>Total Fault Count (#n)</t>
  </si>
  <si>
    <t>LS</t>
  </si>
  <si>
    <t>Fault SPN</t>
  </si>
  <si>
    <t>Fault FMI</t>
  </si>
  <si>
    <t>Fault count</t>
  </si>
  <si>
    <t>Fault SPN#n</t>
  </si>
  <si>
    <t>Fault FMI#n</t>
  </si>
  <si>
    <t>Fault count#n</t>
  </si>
  <si>
    <t>DriverAid parameters</t>
  </si>
  <si>
    <t>DriverAid time out count (plugg off ?)</t>
  </si>
  <si>
    <t>DriverAid time out duration (plugg off ?)</t>
  </si>
  <si>
    <t>DriverAid time out distance (plugg off ?)</t>
  </si>
  <si>
    <t>SAMI security Function</t>
  </si>
  <si>
    <t xml:space="preserve">SAMI  security component counter </t>
  </si>
  <si>
    <t>Battery Diagnostic</t>
  </si>
  <si>
    <t>Minimum battery voltage during first cranking</t>
  </si>
  <si>
    <t>X 100 mV</t>
  </si>
  <si>
    <t>Maximum battery current during first cranking</t>
  </si>
  <si>
    <t>X  5A</t>
  </si>
  <si>
    <t>Status Of Charge at first ignition</t>
  </si>
  <si>
    <t>Internal barrery resistor during first cranking</t>
  </si>
  <si>
    <t xml:space="preserve"> µ Ohm</t>
  </si>
  <si>
    <t>Ambiant Air temperature during first cranking</t>
  </si>
  <si>
    <t>Engine coolant temperature during first cranking</t>
  </si>
  <si>
    <t>Driver behavior</t>
  </si>
  <si>
    <t>Percent value idle mode (green zone)</t>
  </si>
  <si>
    <t>Percent value idle mode (orange zone)</t>
  </si>
  <si>
    <t>Percent value idle mode (red zone)</t>
  </si>
  <si>
    <t>Percent value braking mode (green zone)</t>
  </si>
  <si>
    <t>Percent value braking mode (orange zone)</t>
  </si>
  <si>
    <t>Percent value braking mode (red zone)</t>
  </si>
  <si>
    <t>Percent value accel mode (green zone)</t>
  </si>
  <si>
    <t>Percent value accel mode (orange zone)</t>
  </si>
  <si>
    <t>Percent value accel mode (red zone)</t>
  </si>
  <si>
    <t>Percent value cruising mode (green zone)</t>
  </si>
  <si>
    <t>Percent value cruising mode (orange zone)</t>
  </si>
  <si>
    <t>Percent value cruising mode (red zone)</t>
  </si>
  <si>
    <t>Production</t>
  </si>
  <si>
    <t>Prod Date</t>
  </si>
  <si>
    <t>SVD</t>
  </si>
  <si>
    <t>Prod time</t>
  </si>
  <si>
    <t>Total production counter</t>
  </si>
  <si>
    <t>EXT</t>
  </si>
  <si>
    <t>SVD_Read</t>
  </si>
  <si>
    <t>Maximum configured hydraulic pressure</t>
  </si>
  <si>
    <t>Requested hydraulic pressure</t>
  </si>
  <si>
    <t>Measured hydraulic pressure</t>
  </si>
  <si>
    <t>PWM hydraulic pressure</t>
  </si>
  <si>
    <t>Measured mechanical pressure</t>
  </si>
  <si>
    <t>Active DTC number</t>
  </si>
  <si>
    <t>DTC 1  - DTC #n</t>
  </si>
  <si>
    <t>Brakes</t>
  </si>
  <si>
    <t>Brakes pedal position distribution (10 values 0% to 100 %)</t>
  </si>
  <si>
    <t>Retarder handlever position distribution (4 values 0 to 3)</t>
  </si>
  <si>
    <t xml:space="preserve">Brake pressure wheel 1 : Front Left (10 values 1 Bar to 10 Bar) </t>
  </si>
  <si>
    <t xml:space="preserve">Brake pressure wheel 2 : Front Right (10 values 1 Bar to 10 Bar) </t>
  </si>
  <si>
    <t xml:space="preserve">Brake pressure wheel 3 : Inter 1 Left (10 values 1 Bar to 10 Bar) </t>
  </si>
  <si>
    <t xml:space="preserve">Brake pressure wheel 4 : Inter 1 Right (10 values 1 Bar to 10 Bar) </t>
  </si>
  <si>
    <t>Brake wear Wheel 1</t>
  </si>
  <si>
    <t>Brake wear Wheel 2</t>
  </si>
  <si>
    <t>Brake wear Wheel 3</t>
  </si>
  <si>
    <t>Brake wear Wheel 4</t>
  </si>
  <si>
    <t>Air brake supply circuit 1 distribution (10 values 1Bar to 10 Bar)</t>
  </si>
  <si>
    <t>Air brake supply circuit 2 distribution (10 values 1Bar to 10 Bar)</t>
  </si>
  <si>
    <t>Handler retarder position 0 drive distance</t>
  </si>
  <si>
    <t>PVT Data</t>
  </si>
  <si>
    <t>Multiple</t>
  </si>
  <si>
    <t>00FCB0</t>
  </si>
  <si>
    <t>Raw PGN</t>
  </si>
  <si>
    <t>PVT Signature</t>
  </si>
  <si>
    <t>00FCB1</t>
  </si>
  <si>
    <t>Raw PGN * 10</t>
  </si>
  <si>
    <t>PVT Status</t>
  </si>
  <si>
    <t>008000</t>
  </si>
  <si>
    <t>Maintenance / Ecofleet (2)</t>
  </si>
  <si>
    <t>Service days</t>
  </si>
  <si>
    <t>Start</t>
  </si>
  <si>
    <t>Dev_Read</t>
  </si>
  <si>
    <t>days</t>
  </si>
  <si>
    <t>Tire front left wheel pressure</t>
  </si>
  <si>
    <t>mbar</t>
  </si>
  <si>
    <t>Tire front right wheel pressure</t>
  </si>
  <si>
    <t>Tire rear left wheel pressure</t>
  </si>
  <si>
    <t>Tire rear right wheel pressure</t>
  </si>
  <si>
    <t>Brake fluid level</t>
  </si>
  <si>
    <t>Engine coolant level</t>
  </si>
  <si>
    <t>Alert brake fluid level</t>
  </si>
  <si>
    <t>0 / 1</t>
  </si>
  <si>
    <t>Binary</t>
  </si>
  <si>
    <t>Alert engine coolant alert</t>
  </si>
  <si>
    <t>0x00</t>
  </si>
  <si>
    <t>4</t>
  </si>
  <si>
    <t>5</t>
  </si>
  <si>
    <t>6</t>
  </si>
  <si>
    <t>Rémi Boue</t>
  </si>
  <si>
    <t>Traces Ican</t>
  </si>
  <si>
    <t>3</t>
  </si>
  <si>
    <t>106</t>
  </si>
  <si>
    <t>147</t>
  </si>
  <si>
    <t>C3 Picasso</t>
  </si>
  <si>
    <t>323</t>
  </si>
  <si>
    <t>Flottes</t>
  </si>
  <si>
    <t>Modèle</t>
  </si>
  <si>
    <t>Nombre de Immat</t>
  </si>
  <si>
    <t>RENAULT</t>
  </si>
  <si>
    <t>CLIO III</t>
  </si>
  <si>
    <t>KANGOO Express</t>
  </si>
  <si>
    <t>PEUGEOT</t>
  </si>
  <si>
    <t>207</t>
  </si>
  <si>
    <t>CITROËN</t>
  </si>
  <si>
    <t>BERLINGO Camionnette</t>
  </si>
  <si>
    <t>308</t>
  </si>
  <si>
    <t>MEGANE III 3/5 portes</t>
  </si>
  <si>
    <t>MEGANE III Grandtour</t>
  </si>
  <si>
    <t>SCÉNIC III</t>
  </si>
  <si>
    <t>MEGANE III</t>
  </si>
  <si>
    <t>VOLKSWAGEN</t>
  </si>
  <si>
    <t>GOLF VI</t>
  </si>
  <si>
    <t>KANGOO II</t>
  </si>
  <si>
    <t>3008</t>
  </si>
  <si>
    <t>TRAFIC II Camionnette</t>
  </si>
  <si>
    <t>C3 II</t>
  </si>
  <si>
    <t>GRAND SCÉNIC III</t>
  </si>
  <si>
    <t>FIAT</t>
  </si>
  <si>
    <t>DOBLO Cargo</t>
  </si>
  <si>
    <t>SCENIC III</t>
  </si>
  <si>
    <t>5008</t>
  </si>
  <si>
    <t>JUMPY Camionnette</t>
  </si>
  <si>
    <t>CITROEN</t>
  </si>
  <si>
    <t>C4 PICASSO</t>
  </si>
  <si>
    <t>TOURAN</t>
  </si>
  <si>
    <t>308 SW</t>
  </si>
  <si>
    <t>TWINGO</t>
  </si>
  <si>
    <t>C3 (A51) II</t>
  </si>
  <si>
    <t>MASTER III Camionnette</t>
  </si>
  <si>
    <t>PASSAT Variant</t>
  </si>
  <si>
    <t>MASTER II Camionnette</t>
  </si>
  <si>
    <t>CADDY III Camionnette</t>
  </si>
  <si>
    <t>POLO</t>
  </si>
  <si>
    <t>LAGUNA III</t>
  </si>
  <si>
    <t>BERLINGO (B9) II</t>
  </si>
  <si>
    <t>207 SW</t>
  </si>
  <si>
    <t>208</t>
  </si>
  <si>
    <t>508</t>
  </si>
  <si>
    <t>PASSAT</t>
  </si>
  <si>
    <t>C4 II</t>
  </si>
  <si>
    <t>CLIO IV</t>
  </si>
  <si>
    <t>FORD (EUROPE)</t>
  </si>
  <si>
    <t>FIESTA VII</t>
  </si>
  <si>
    <t>DOBLO Camionnette/break</t>
  </si>
  <si>
    <t>TOYOTA</t>
  </si>
  <si>
    <t>YARIS</t>
  </si>
  <si>
    <t>FORD</t>
  </si>
  <si>
    <t>C-MAX II</t>
  </si>
  <si>
    <t>MEGANE II</t>
  </si>
  <si>
    <t>AUDI</t>
  </si>
  <si>
    <t>OPEL</t>
  </si>
  <si>
    <t>VIVARO Combi</t>
  </si>
  <si>
    <t>C3 I</t>
  </si>
  <si>
    <t>C5 (X7) II</t>
  </si>
  <si>
    <t>NISSAN</t>
  </si>
  <si>
    <t>QASHQAI / QASHQAI +2</t>
  </si>
  <si>
    <t>MASTER II</t>
  </si>
  <si>
    <t>CLIO II</t>
  </si>
  <si>
    <t>NEMO Camionnette</t>
  </si>
  <si>
    <t>TRAFIC II</t>
  </si>
  <si>
    <t>CMAX II</t>
  </si>
  <si>
    <t>AYGO</t>
  </si>
  <si>
    <t>PASSAT V</t>
  </si>
  <si>
    <t>FIESTA VI</t>
  </si>
  <si>
    <t>PANDA</t>
  </si>
  <si>
    <t>C4 Grand Picasso</t>
  </si>
  <si>
    <t>DACIA</t>
  </si>
  <si>
    <t>DUSTER</t>
  </si>
  <si>
    <t>QASHQAI</t>
  </si>
  <si>
    <t>307</t>
  </si>
  <si>
    <t>508 SW</t>
  </si>
  <si>
    <t>ESPACE IV</t>
  </si>
  <si>
    <t>SCENIC II</t>
  </si>
  <si>
    <t>SCÉNIC II</t>
  </si>
  <si>
    <t>A3 II</t>
  </si>
  <si>
    <t>A3 Sportback</t>
  </si>
  <si>
    <t>KANGOO I</t>
  </si>
  <si>
    <t>LAGUNA II</t>
  </si>
  <si>
    <t>A4 III</t>
  </si>
  <si>
    <t>BERLINGO (M49/M59) I</t>
  </si>
  <si>
    <t>JUMPER Camionnette</t>
  </si>
  <si>
    <t>CORSA (D) IV</t>
  </si>
  <si>
    <t>CORSA D</t>
  </si>
  <si>
    <t>PARTNER Camionnette</t>
  </si>
  <si>
    <t>LAGUNA III Grandtour</t>
  </si>
  <si>
    <t>FIORINO Camionnette/break</t>
  </si>
  <si>
    <t>GOLF PLUS</t>
  </si>
  <si>
    <t>PASSAT VI</t>
  </si>
  <si>
    <t>TOURAN II</t>
  </si>
  <si>
    <t>A4 Avant</t>
  </si>
  <si>
    <t>CADDY III</t>
  </si>
  <si>
    <t>JUMPY II</t>
  </si>
  <si>
    <t>IVECO</t>
  </si>
  <si>
    <t>DAILY III</t>
  </si>
  <si>
    <t>GOLF VII</t>
  </si>
  <si>
    <t>FIESTA V</t>
  </si>
  <si>
    <t>FOCUS II</t>
  </si>
  <si>
    <t>C3 PICASSO</t>
  </si>
  <si>
    <t>CMAX I</t>
  </si>
  <si>
    <t>VIVARO</t>
  </si>
  <si>
    <t>ZAFIRA B</t>
  </si>
  <si>
    <t>206 3/5 portes</t>
  </si>
  <si>
    <t>PARTNER II</t>
  </si>
  <si>
    <t>TIGUAN</t>
  </si>
  <si>
    <t>BMW</t>
  </si>
  <si>
    <t>SERIE 1 (E87/E81/E82/E88) I</t>
  </si>
  <si>
    <t>C5 Break</t>
  </si>
  <si>
    <t>PUNTO</t>
  </si>
  <si>
    <t>MERCEDES-BENZ</t>
  </si>
  <si>
    <t>CLASSE B</t>
  </si>
  <si>
    <t>MASTER III</t>
  </si>
  <si>
    <t>TWINGO II</t>
  </si>
  <si>
    <t>NEMO</t>
  </si>
  <si>
    <t>DOBLO II</t>
  </si>
  <si>
    <t>MICRA IV</t>
  </si>
  <si>
    <t>407</t>
  </si>
  <si>
    <t>SCÉNIC I</t>
  </si>
  <si>
    <t>SEAT</t>
  </si>
  <si>
    <t>LEON</t>
  </si>
  <si>
    <t>DUCATO III</t>
  </si>
  <si>
    <t>PUNTO EVO</t>
  </si>
  <si>
    <t>TRANSIT CONNECT</t>
  </si>
  <si>
    <t>TRANSIT IV</t>
  </si>
  <si>
    <t>NV200 Camionnette</t>
  </si>
  <si>
    <t>MODUS / GRAND MODUS</t>
  </si>
  <si>
    <t>IBIZA IV</t>
  </si>
  <si>
    <t>YARIS III</t>
  </si>
  <si>
    <t>GOLF V</t>
  </si>
  <si>
    <t>POLO V</t>
  </si>
  <si>
    <t>Q5</t>
  </si>
  <si>
    <t>C4 I</t>
  </si>
  <si>
    <t>XSARA PICASSO</t>
  </si>
  <si>
    <t>DUCATO Camionnette</t>
  </si>
  <si>
    <t>PUNTO / GRANDE PUNTO</t>
  </si>
  <si>
    <t>MICRA III</t>
  </si>
  <si>
    <t>ZAFIRA (B) II</t>
  </si>
  <si>
    <t>206</t>
  </si>
  <si>
    <t>EXPERT Camionnette</t>
  </si>
  <si>
    <t>IBIZA V</t>
  </si>
  <si>
    <t>VERSO</t>
  </si>
  <si>
    <t>GOLF VI Variant</t>
  </si>
  <si>
    <t>SERIE 3 (E90/E91/E92/E93) V</t>
  </si>
  <si>
    <t>BERLINGO</t>
  </si>
  <si>
    <t>XSARA</t>
  </si>
  <si>
    <t>PANDA II</t>
  </si>
  <si>
    <t>GRAND C-MAX</t>
  </si>
  <si>
    <t>MERCEDES</t>
  </si>
  <si>
    <t>SPRINTER (906) II</t>
  </si>
  <si>
    <t>SPRINTER 3,5-t Camionnette</t>
  </si>
  <si>
    <t>MINI</t>
  </si>
  <si>
    <t>MINI (R56/R55/R57/R60/R58/R59)</t>
  </si>
  <si>
    <t>ZAFIRA A</t>
  </si>
  <si>
    <t>607</t>
  </si>
  <si>
    <t>ALTEA XL</t>
  </si>
  <si>
    <t>PASSAT CC V</t>
  </si>
  <si>
    <t>A6 III</t>
  </si>
  <si>
    <t>DS4</t>
  </si>
  <si>
    <t>DOBLO I</t>
  </si>
  <si>
    <t>C-MAX</t>
  </si>
  <si>
    <t>TRANSIT Autobus/Autocar</t>
  </si>
  <si>
    <t>NOTE</t>
  </si>
  <si>
    <t>206+</t>
  </si>
  <si>
    <t>807</t>
  </si>
  <si>
    <t>CLIO CAMPUS II</t>
  </si>
  <si>
    <t>ESPACE III</t>
  </si>
  <si>
    <t>MEGANE III A trois volumes</t>
  </si>
  <si>
    <t>SKODA</t>
  </si>
  <si>
    <t>OCTAVIA</t>
  </si>
  <si>
    <t>_ DIVERS _</t>
  </si>
  <si>
    <t>SAXO</t>
  </si>
  <si>
    <t>PUNTO EVO III</t>
  </si>
  <si>
    <t>FOCUS III</t>
  </si>
  <si>
    <t>FOCUS III Turnier</t>
  </si>
  <si>
    <t>TRANSIT TOURNEO</t>
  </si>
  <si>
    <t>LANCIA</t>
  </si>
  <si>
    <t>DELTA III</t>
  </si>
  <si>
    <t>CLASSE B (246) II</t>
  </si>
  <si>
    <t>CLASSE A</t>
  </si>
  <si>
    <t>JUKE</t>
  </si>
  <si>
    <t>INSIGNIA</t>
  </si>
  <si>
    <t>106 II</t>
  </si>
  <si>
    <t>306 3/5 portes</t>
  </si>
  <si>
    <t>406</t>
  </si>
  <si>
    <t>BIPPER</t>
  </si>
  <si>
    <t>EXPERT II</t>
  </si>
  <si>
    <t>PARTNER I</t>
  </si>
  <si>
    <t>PARTNER Tepee</t>
  </si>
  <si>
    <t>MEGANE I</t>
  </si>
  <si>
    <t>MEGANE III Coupé</t>
  </si>
  <si>
    <t>TRAFIC II Autobus/Autocar</t>
  </si>
  <si>
    <t>ALTEA</t>
  </si>
  <si>
    <t>FABIA</t>
  </si>
  <si>
    <t>OCTAVIA II</t>
  </si>
  <si>
    <t>GOLF III</t>
  </si>
  <si>
    <t>PASSAT CC</t>
  </si>
  <si>
    <t>POLO IV</t>
  </si>
  <si>
    <t>SHARAN</t>
  </si>
  <si>
    <t>A6 Avant</t>
  </si>
  <si>
    <t>3 Touring</t>
  </si>
  <si>
    <t>DS3</t>
  </si>
  <si>
    <t>500</t>
  </si>
  <si>
    <t>BRAVO II</t>
  </si>
  <si>
    <t>SCUDO Camionnette</t>
  </si>
  <si>
    <t>S-MAX</t>
  </si>
  <si>
    <t>MONDEO IV Turnier</t>
  </si>
  <si>
    <t>TRANSIT Camionnette</t>
  </si>
  <si>
    <t>CLASSE B (245) I</t>
  </si>
  <si>
    <t>CLASSE C (204) III</t>
  </si>
  <si>
    <t>CLASSE C</t>
  </si>
  <si>
    <t>VITO / MIXTO Camionnette</t>
  </si>
  <si>
    <t>ASTRA (J) IV</t>
  </si>
  <si>
    <t>COMBO -CORSA- (C) II</t>
  </si>
  <si>
    <t>MOVANO II</t>
  </si>
  <si>
    <t>107</t>
  </si>
  <si>
    <t>206 +</t>
  </si>
  <si>
    <t>207 CC</t>
  </si>
  <si>
    <t>407 SW</t>
  </si>
  <si>
    <t>BOXER III</t>
  </si>
  <si>
    <t>GRAND SCÉNIC II</t>
  </si>
  <si>
    <t>KANGOO</t>
  </si>
  <si>
    <t>KOLEOS</t>
  </si>
  <si>
    <t>IBIZA III</t>
  </si>
  <si>
    <t>YETI</t>
  </si>
  <si>
    <t>SMART</t>
  </si>
  <si>
    <t>FORTWO Cabrio</t>
  </si>
  <si>
    <t>AVENSIS Break</t>
  </si>
  <si>
    <t>COROLLA Verso</t>
  </si>
  <si>
    <t>VAUXHALL</t>
  </si>
  <si>
    <t>GOLF VII Variant</t>
  </si>
  <si>
    <t>SHARAN II</t>
  </si>
  <si>
    <t>TOURAN I</t>
  </si>
  <si>
    <t>TRANSPORTER V</t>
  </si>
  <si>
    <t>ALFA ROMEO</t>
  </si>
  <si>
    <t>MITO</t>
  </si>
  <si>
    <t>ALFA-ROMEO</t>
  </si>
  <si>
    <t>GIULIETTA II</t>
  </si>
  <si>
    <t>A3 III</t>
  </si>
  <si>
    <t>A4 II</t>
  </si>
  <si>
    <t>Q7</t>
  </si>
  <si>
    <t>3 Coupé</t>
  </si>
  <si>
    <t>5 Touring</t>
  </si>
  <si>
    <t>SERIE 5 (E60/E61) V</t>
  </si>
  <si>
    <t>X1 (E84)</t>
  </si>
  <si>
    <t>CHEVROLET</t>
  </si>
  <si>
    <t>AVEO 3/5 portes</t>
  </si>
  <si>
    <t>CHRYSLER</t>
  </si>
  <si>
    <t>VOYAGER II</t>
  </si>
  <si>
    <t>C15</t>
  </si>
  <si>
    <t>EVASION</t>
  </si>
  <si>
    <t>XANTIA</t>
  </si>
  <si>
    <t>LOGAN</t>
  </si>
  <si>
    <t>LOGAN MCV</t>
  </si>
  <si>
    <t>500 II</t>
  </si>
  <si>
    <t>PUNTO III</t>
  </si>
  <si>
    <t>SCUDO</t>
  </si>
  <si>
    <t>FIESTA IV</t>
  </si>
  <si>
    <t>FOCUS</t>
  </si>
  <si>
    <t>FOCUS C-MAX</t>
  </si>
  <si>
    <t>GALAXY</t>
  </si>
  <si>
    <t>KA</t>
  </si>
  <si>
    <t>MONDEO III</t>
  </si>
  <si>
    <t>MONDEO IV</t>
  </si>
  <si>
    <t>HONDA</t>
  </si>
  <si>
    <t>CIVIC VIII Hatchback</t>
  </si>
  <si>
    <t>HYUNDAI</t>
  </si>
  <si>
    <t>I 30 I</t>
  </si>
  <si>
    <t>KIA</t>
  </si>
  <si>
    <t>PICANTO</t>
  </si>
  <si>
    <t>VITO (639) II</t>
  </si>
  <si>
    <t>MINI CLUBMAN</t>
  </si>
  <si>
    <t>MINI COUNTRYMAN</t>
  </si>
  <si>
    <t>ASTRA (H) III</t>
  </si>
  <si>
    <t>ASTRA J</t>
  </si>
  <si>
    <t>COMBO (D) II</t>
  </si>
  <si>
    <t>MERIVA</t>
  </si>
  <si>
    <t>MOVANO Camionnette</t>
  </si>
  <si>
    <t>VECTRA B 3/5 portes</t>
  </si>
  <si>
    <t>VIVARO Camionnette</t>
  </si>
  <si>
    <t>ZAFIRA C</t>
  </si>
  <si>
    <t>2008</t>
  </si>
  <si>
    <t>206 SW</t>
  </si>
  <si>
    <t>306 Break</t>
  </si>
  <si>
    <t>307 SW</t>
  </si>
  <si>
    <t>4008</t>
  </si>
  <si>
    <t>806</t>
  </si>
  <si>
    <t>BOXER Camionnette</t>
  </si>
  <si>
    <t>EXPERT Tepee</t>
  </si>
  <si>
    <t>CLIO Grandtour</t>
  </si>
  <si>
    <t>KANGOO / GRAND KANGOO</t>
  </si>
  <si>
    <t>LAGUNA I</t>
  </si>
  <si>
    <t>MAXITY</t>
  </si>
  <si>
    <t>ALHAMBRA</t>
  </si>
  <si>
    <t>FABIA II</t>
  </si>
  <si>
    <t>ROOMSTER</t>
  </si>
  <si>
    <t>SMART CITY/FORTWO II</t>
  </si>
  <si>
    <t>SUZUKI</t>
  </si>
  <si>
    <t>SWIFT III</t>
  </si>
  <si>
    <t>SX4</t>
  </si>
  <si>
    <t>AURIS</t>
  </si>
  <si>
    <t>HILUX III Pick-up</t>
  </si>
  <si>
    <t>PRIUS III</t>
  </si>
  <si>
    <t>RAV 4 III</t>
  </si>
  <si>
    <t>YARIS II</t>
  </si>
  <si>
    <t>TOUAREG</t>
  </si>
  <si>
    <t>TRANSPORTER V Camionnette</t>
  </si>
  <si>
    <t>VOLVO</t>
  </si>
  <si>
    <t>C30</t>
  </si>
  <si>
    <t>S40 II</t>
  </si>
  <si>
    <t>S60 II</t>
  </si>
  <si>
    <t>XC60</t>
  </si>
  <si>
    <t>159</t>
  </si>
  <si>
    <t>GT</t>
  </si>
  <si>
    <t>MI.TO</t>
  </si>
  <si>
    <t>A1 Sportback</t>
  </si>
  <si>
    <t>A3 Décapotable</t>
  </si>
  <si>
    <t>A3 I</t>
  </si>
  <si>
    <t>A4 Allroad</t>
  </si>
  <si>
    <t>A5 Sportback</t>
  </si>
  <si>
    <t>A6 IV</t>
  </si>
  <si>
    <t>Q3</t>
  </si>
  <si>
    <t>TT</t>
  </si>
  <si>
    <t>SERIE 1 (F20) II</t>
  </si>
  <si>
    <t>SERIE 5 (E39) IV</t>
  </si>
  <si>
    <t>SERIE 5 (F10/F11) VI</t>
  </si>
  <si>
    <t>X3</t>
  </si>
  <si>
    <t>X3 (F25) II</t>
  </si>
  <si>
    <t>Z4</t>
  </si>
  <si>
    <t>CHEVROLET (EUROPE)</t>
  </si>
  <si>
    <t>CRUZE</t>
  </si>
  <si>
    <t>ORLANDO</t>
  </si>
  <si>
    <t>CAPTIVA</t>
  </si>
  <si>
    <t>EPICA</t>
  </si>
  <si>
    <t>LACETTI</t>
  </si>
  <si>
    <t>SPARK</t>
  </si>
  <si>
    <t>GRAND VOYAGER V</t>
  </si>
  <si>
    <t>PT CRUISER</t>
  </si>
  <si>
    <t>VOYAGER III</t>
  </si>
  <si>
    <t>AX</t>
  </si>
  <si>
    <t>C3 PLURIEL I</t>
  </si>
  <si>
    <t>DS5</t>
  </si>
  <si>
    <t>JUMPER I</t>
  </si>
  <si>
    <t>JUMPY</t>
  </si>
  <si>
    <t>XANTIA Break</t>
  </si>
  <si>
    <t>XSARA Break</t>
  </si>
  <si>
    <t>ZX</t>
  </si>
  <si>
    <t>ZX Break</t>
  </si>
  <si>
    <t>LODGY</t>
  </si>
  <si>
    <t>LOGAN EXPRESS</t>
  </si>
  <si>
    <t>SANDERO</t>
  </si>
  <si>
    <t>DAIHATSU</t>
  </si>
  <si>
    <t>CUORE III</t>
  </si>
  <si>
    <t>TREVIS</t>
  </si>
  <si>
    <t>DANGEL</t>
  </si>
  <si>
    <t>BERLINGO I</t>
  </si>
  <si>
    <t>DIJEAU CARROSSIER</t>
  </si>
  <si>
    <t>DUCATO Autobus/Autocar</t>
  </si>
  <si>
    <t>DUCATO II</t>
  </si>
  <si>
    <t>FIORINO III</t>
  </si>
  <si>
    <t>GRANDE PUNTO III</t>
  </si>
  <si>
    <t>IDEA</t>
  </si>
  <si>
    <t>STILO</t>
  </si>
  <si>
    <t>ULYSSE</t>
  </si>
  <si>
    <t>FOCUS CMAX I</t>
  </si>
  <si>
    <t>KA II</t>
  </si>
  <si>
    <t>KUGA</t>
  </si>
  <si>
    <t>TRANSIT III</t>
  </si>
  <si>
    <t>B-MAX</t>
  </si>
  <si>
    <t>FOCUS Break</t>
  </si>
  <si>
    <t>FOCUS II Break</t>
  </si>
  <si>
    <t>KUGA I</t>
  </si>
  <si>
    <t>CIVIC IX</t>
  </si>
  <si>
    <t>ELANTRA A trois volumes</t>
  </si>
  <si>
    <t>GALLOPER</t>
  </si>
  <si>
    <t>GETZ</t>
  </si>
  <si>
    <t>i20</t>
  </si>
  <si>
    <t>ix35</t>
  </si>
  <si>
    <t>SANTAMO</t>
  </si>
  <si>
    <t>TUCSON</t>
  </si>
  <si>
    <t>ISUZU</t>
  </si>
  <si>
    <t>D-MAX</t>
  </si>
  <si>
    <t>TF</t>
  </si>
  <si>
    <t>JAGUAR</t>
  </si>
  <si>
    <t>XJ</t>
  </si>
  <si>
    <t>JEEP</t>
  </si>
  <si>
    <t>GRAND CHEROKEE I</t>
  </si>
  <si>
    <t>CEE D I</t>
  </si>
  <si>
    <t>RIO II</t>
  </si>
  <si>
    <t>SPORTAGE</t>
  </si>
  <si>
    <t>LAND ROVER</t>
  </si>
  <si>
    <t>DEFENDER Station Wagon</t>
  </si>
  <si>
    <t>FREELANDER</t>
  </si>
  <si>
    <t>MAZDA</t>
  </si>
  <si>
    <t>2</t>
  </si>
  <si>
    <t>MAZDA 2 II</t>
  </si>
  <si>
    <t>MAZDA 5 II</t>
  </si>
  <si>
    <t>CLASSE A (176)</t>
  </si>
  <si>
    <t>CLASSE E (212/207) IV</t>
  </si>
  <si>
    <t>SPRINTER (901/902/903/904) I</t>
  </si>
  <si>
    <t>A trois volumes</t>
  </si>
  <si>
    <t>A-CLASS</t>
  </si>
  <si>
    <t>CITAN Camionnette</t>
  </si>
  <si>
    <t>CLASSE C T-Model</t>
  </si>
  <si>
    <t>CLASSE E</t>
  </si>
  <si>
    <t>CLASSE E Coupé</t>
  </si>
  <si>
    <t>CLASSE GLK</t>
  </si>
  <si>
    <t>CLASSE M</t>
  </si>
  <si>
    <t>CLS</t>
  </si>
  <si>
    <t>SLK</t>
  </si>
  <si>
    <t>SPRINTER 2-t Camionnette</t>
  </si>
  <si>
    <t>CABSTAR II</t>
  </si>
  <si>
    <t>CUBE</t>
  </si>
  <si>
    <t>NAVARA</t>
  </si>
  <si>
    <t>PATHFINDER</t>
  </si>
  <si>
    <t>PICK UP</t>
  </si>
  <si>
    <t>PRIMERA Hatchback</t>
  </si>
  <si>
    <t>TERRANO II</t>
  </si>
  <si>
    <t>X-TRAIL</t>
  </si>
  <si>
    <t>ASTRA F 3/5 portes</t>
  </si>
  <si>
    <t>ASTRA G 3/5 portes</t>
  </si>
  <si>
    <t>ASTRA GTC J</t>
  </si>
  <si>
    <t>ASTRA H</t>
  </si>
  <si>
    <t>COMBO Camionnette/break</t>
  </si>
  <si>
    <t>CORSA B</t>
  </si>
  <si>
    <t>CORSA C</t>
  </si>
  <si>
    <t>INSIGNIA Sports Tourer</t>
  </si>
  <si>
    <t>VECTRA A 3/5 portes</t>
  </si>
  <si>
    <t>VECTRA B</t>
  </si>
  <si>
    <t>VECTRA C</t>
  </si>
  <si>
    <t>VECTRA C GTS</t>
  </si>
  <si>
    <t>ZAFIRA (A) I</t>
  </si>
  <si>
    <t>205 II</t>
  </si>
  <si>
    <t>206 CC</t>
  </si>
  <si>
    <t>307 Break</t>
  </si>
  <si>
    <t>307 CC</t>
  </si>
  <si>
    <t>308 CC</t>
  </si>
  <si>
    <t>308 II</t>
  </si>
  <si>
    <t>406 Coupé</t>
  </si>
  <si>
    <t>BOXER II</t>
  </si>
  <si>
    <t>PORSCHE</t>
  </si>
  <si>
    <t>BOXSTER</t>
  </si>
  <si>
    <t>CAPTUR</t>
  </si>
  <si>
    <t>CLIO Grandtour IV</t>
  </si>
  <si>
    <t>ESPACE II</t>
  </si>
  <si>
    <t>LAGUNA Grandtour</t>
  </si>
  <si>
    <t>LATITUDE</t>
  </si>
  <si>
    <t>MASCOTT</t>
  </si>
  <si>
    <t>MASTER II Camion plate-forme/C</t>
  </si>
  <si>
    <t>MEGANE II Coupé-Cabriolet</t>
  </si>
  <si>
    <t>MEGANE Scenic</t>
  </si>
  <si>
    <t>MEGANE SCENIC I</t>
  </si>
  <si>
    <t>MODUS</t>
  </si>
  <si>
    <t>VEL SATIS</t>
  </si>
  <si>
    <t>WIND</t>
  </si>
  <si>
    <t>ROVER</t>
  </si>
  <si>
    <t>200</t>
  </si>
  <si>
    <t>SAAB</t>
  </si>
  <si>
    <t>9-3 II</t>
  </si>
  <si>
    <t>EXEO</t>
  </si>
  <si>
    <t>IBIZA II</t>
  </si>
  <si>
    <t>LEON II</t>
  </si>
  <si>
    <t>TOLEDO III</t>
  </si>
  <si>
    <t>FABIA Combi</t>
  </si>
  <si>
    <t>SUPERB</t>
  </si>
  <si>
    <t>FORTWO Coupé</t>
  </si>
  <si>
    <t>SSANGYONG</t>
  </si>
  <si>
    <t>REXTON</t>
  </si>
  <si>
    <t>GRAND VITARA II</t>
  </si>
  <si>
    <t>JIMNY</t>
  </si>
  <si>
    <t>SUZUKI-SANTANA</t>
  </si>
  <si>
    <t>CELICA</t>
  </si>
  <si>
    <t>LAND CRUISER</t>
  </si>
  <si>
    <t>LAND CRUISER 150</t>
  </si>
  <si>
    <t>LAND CRUISER 80</t>
  </si>
  <si>
    <t>LAND CRUISER 90</t>
  </si>
  <si>
    <t>LANDCRUISER IV</t>
  </si>
  <si>
    <t>PREVIA III</t>
  </si>
  <si>
    <t>PRIUS</t>
  </si>
  <si>
    <t>PRIUS II</t>
  </si>
  <si>
    <t>URBAN CRUISER</t>
  </si>
  <si>
    <t>YARIS I</t>
  </si>
  <si>
    <t>CORSA (D) III</t>
  </si>
  <si>
    <t>CADDY II</t>
  </si>
  <si>
    <t>CADDY III Break</t>
  </si>
  <si>
    <t>GOLF II</t>
  </si>
  <si>
    <t>GOLF IV</t>
  </si>
  <si>
    <t>GOLF V Variant</t>
  </si>
  <si>
    <t>GOLF VI Décapotable</t>
  </si>
  <si>
    <t>JETTA IV</t>
  </si>
  <si>
    <t>PASSAT IV</t>
  </si>
  <si>
    <t>SCIROCCO</t>
  </si>
  <si>
    <t>SHARAN I</t>
  </si>
  <si>
    <t>TOUAREG I</t>
  </si>
  <si>
    <t>TRANSPORTER IV Autobus/Autocar</t>
  </si>
  <si>
    <t>S80 II</t>
  </si>
  <si>
    <t>V40 Break</t>
  </si>
  <si>
    <t>V60</t>
  </si>
  <si>
    <t>V60 II</t>
  </si>
  <si>
    <t>V70 I</t>
  </si>
  <si>
    <t>Nb OR</t>
  </si>
  <si>
    <t>Poids dans la fréquentation totale</t>
  </si>
  <si>
    <t>Poids cumulé</t>
  </si>
  <si>
    <t>SCENIC I</t>
  </si>
  <si>
    <t>306</t>
  </si>
  <si>
    <t>SERIE 3</t>
  </si>
  <si>
    <t>CLIO I</t>
  </si>
  <si>
    <t>PARTNER</t>
  </si>
  <si>
    <t>C5 I</t>
  </si>
  <si>
    <t>FOCUS I</t>
  </si>
  <si>
    <t>PUNTO II</t>
  </si>
  <si>
    <t>POLO III</t>
  </si>
  <si>
    <t>205</t>
  </si>
  <si>
    <t>CORSA (B) II</t>
  </si>
  <si>
    <t>CORSA (C) III</t>
  </si>
  <si>
    <t>MERIVA (A) I</t>
  </si>
  <si>
    <t>ASTRA (G) II</t>
  </si>
  <si>
    <t>CMAX</t>
  </si>
  <si>
    <t>PUNTO I</t>
  </si>
  <si>
    <t>A4 I</t>
  </si>
  <si>
    <t>SERIE 1</t>
  </si>
  <si>
    <t>GRAND SCENIC III</t>
  </si>
  <si>
    <t>SERIE 5</t>
  </si>
  <si>
    <t>TRAFIC</t>
  </si>
  <si>
    <t>C5 II</t>
  </si>
  <si>
    <t>RAV 4</t>
  </si>
  <si>
    <t>SWIFT</t>
  </si>
  <si>
    <t>FUSION</t>
  </si>
  <si>
    <t>AVENSIS</t>
  </si>
  <si>
    <t>MONDEO II</t>
  </si>
  <si>
    <t>LEON I</t>
  </si>
  <si>
    <t>BERLINGO II</t>
  </si>
  <si>
    <t>TRANSPORTER</t>
  </si>
  <si>
    <t>COROLLA VERSO II</t>
  </si>
  <si>
    <t>405</t>
  </si>
  <si>
    <t>SAFRANE</t>
  </si>
  <si>
    <t>GRAND SCENIC</t>
  </si>
  <si>
    <t>SUPER 5</t>
  </si>
  <si>
    <t>MONDEO I</t>
  </si>
  <si>
    <t>DOBLO</t>
  </si>
  <si>
    <t>VECTRA (B) II</t>
  </si>
  <si>
    <t>COROLLA</t>
  </si>
  <si>
    <t>FABIA I</t>
  </si>
  <si>
    <t>VITO</t>
  </si>
  <si>
    <t>MINI II</t>
  </si>
  <si>
    <t>ASTRA (F) I</t>
  </si>
  <si>
    <t>KA I</t>
  </si>
  <si>
    <t>156</t>
  </si>
  <si>
    <t>1007</t>
  </si>
  <si>
    <t>NEW BEETLE</t>
  </si>
  <si>
    <t>VECTRA (C) III</t>
  </si>
  <si>
    <t>FIESTA III</t>
  </si>
  <si>
    <t>EXPRESS</t>
  </si>
  <si>
    <t>MULTIPLA</t>
  </si>
  <si>
    <t>A6 II</t>
  </si>
  <si>
    <t>MICRA II</t>
  </si>
  <si>
    <t>EXPERT I</t>
  </si>
  <si>
    <t>C3 Pluriel</t>
  </si>
  <si>
    <t>COROLLA X</t>
  </si>
  <si>
    <t>BORA</t>
  </si>
  <si>
    <t>CIVIC VII</t>
  </si>
  <si>
    <t>FOX</t>
  </si>
  <si>
    <t>ALMERA</t>
  </si>
  <si>
    <t>JUMPY I</t>
  </si>
  <si>
    <t>CADDY</t>
  </si>
  <si>
    <t>CORDOBA I</t>
  </si>
  <si>
    <t>V50</t>
  </si>
  <si>
    <t>X-TRAIL I</t>
  </si>
  <si>
    <t>MATRIX</t>
  </si>
  <si>
    <t>POLO I</t>
  </si>
  <si>
    <t>309</t>
  </si>
  <si>
    <t>CLASSE CLK</t>
  </si>
  <si>
    <t>BRAVA I</t>
  </si>
  <si>
    <t>PANDA I</t>
  </si>
  <si>
    <t>ESCORT V</t>
  </si>
  <si>
    <t>TRANSIT</t>
  </si>
  <si>
    <t>MERIVA (B) II</t>
  </si>
  <si>
    <t>GALAXY I</t>
  </si>
  <si>
    <t>SPRINTER</t>
  </si>
  <si>
    <t>VELSATIS</t>
  </si>
  <si>
    <t>PICANTO I</t>
  </si>
  <si>
    <t>COMBO</t>
  </si>
  <si>
    <t>X3 (E83) I</t>
  </si>
  <si>
    <t>TT I</t>
  </si>
  <si>
    <t>200-500 (124) I</t>
  </si>
  <si>
    <t>EXPERT</t>
  </si>
  <si>
    <t>V40</t>
  </si>
  <si>
    <t>CORDOBA II</t>
  </si>
  <si>
    <t>MATIZ</t>
  </si>
  <si>
    <t>TOLEDO II</t>
  </si>
  <si>
    <t>MAZDA 3 I</t>
  </si>
  <si>
    <t>BRAVO I</t>
  </si>
  <si>
    <t>ALMERA II</t>
  </si>
  <si>
    <t>AGILA I</t>
  </si>
  <si>
    <t>EOS</t>
  </si>
  <si>
    <t>ESCORT IV</t>
  </si>
  <si>
    <t>SANTA FE I</t>
  </si>
  <si>
    <t>I10</t>
  </si>
  <si>
    <t>MAZDA 6 I</t>
  </si>
  <si>
    <t>CORDOBA</t>
  </si>
  <si>
    <t>LUPO</t>
  </si>
  <si>
    <t>AVEO I</t>
  </si>
  <si>
    <t>X5 (E53) I</t>
  </si>
  <si>
    <t>80 III</t>
  </si>
  <si>
    <t>AGILA II</t>
  </si>
  <si>
    <t>CIVIC V</t>
  </si>
  <si>
    <t>SCUDO I</t>
  </si>
  <si>
    <t>XM</t>
  </si>
  <si>
    <t>VENGA</t>
  </si>
  <si>
    <t>A6 I</t>
  </si>
  <si>
    <t>MAZDA 5 I</t>
  </si>
  <si>
    <t>POLO II</t>
  </si>
  <si>
    <t>ALHAMBRA I</t>
  </si>
  <si>
    <t>MAREA</t>
  </si>
  <si>
    <t>JUMPER II</t>
  </si>
  <si>
    <t>GRAND VITARA I</t>
  </si>
  <si>
    <t>190 (201) I</t>
  </si>
  <si>
    <t>SCUDO II</t>
  </si>
  <si>
    <t>GRAND CHEROKEE</t>
  </si>
  <si>
    <t>XC90</t>
  </si>
  <si>
    <t>AROSA</t>
  </si>
  <si>
    <t>CIVIC VIII</t>
  </si>
  <si>
    <t>YARIS VERSO</t>
  </si>
  <si>
    <t>PALIO</t>
  </si>
  <si>
    <t>ALMERA I</t>
  </si>
  <si>
    <t>I20</t>
  </si>
  <si>
    <t>X1</t>
  </si>
  <si>
    <t>CIVIC VI</t>
  </si>
  <si>
    <t>S60 I</t>
  </si>
  <si>
    <t>SEICENTO</t>
  </si>
  <si>
    <t>ALFA</t>
  </si>
  <si>
    <t>SANTA FE II</t>
  </si>
  <si>
    <t>CLASSE SLK</t>
  </si>
  <si>
    <t>CORSA (A) I</t>
  </si>
  <si>
    <t>605</t>
  </si>
  <si>
    <t>CARNIVAL</t>
  </si>
  <si>
    <t>PREMACY</t>
  </si>
  <si>
    <t>19 II</t>
  </si>
  <si>
    <t>SCIROCCO III</t>
  </si>
  <si>
    <t>PIXO</t>
  </si>
  <si>
    <t>KALOS</t>
  </si>
  <si>
    <t>BX</t>
  </si>
  <si>
    <t>AGILA</t>
  </si>
  <si>
    <t>ULYSSE II</t>
  </si>
  <si>
    <t>MITSUBISHI</t>
  </si>
  <si>
    <t>COLT VI</t>
  </si>
  <si>
    <t>VECTRA (A) I</t>
  </si>
  <si>
    <t>SPLASH</t>
  </si>
  <si>
    <t>TRAJET</t>
  </si>
  <si>
    <t>CEED</t>
  </si>
  <si>
    <t>ALTO III</t>
  </si>
  <si>
    <t>BOXER I</t>
  </si>
  <si>
    <t>ULYSSE I</t>
  </si>
  <si>
    <t>WAGON R+</t>
  </si>
  <si>
    <t>VARIO</t>
  </si>
  <si>
    <t>BOXER</t>
  </si>
  <si>
    <t>MAZDA 2 I</t>
  </si>
  <si>
    <t>FREELANDER I</t>
  </si>
  <si>
    <t>MUSA</t>
  </si>
  <si>
    <t>PRIMERA</t>
  </si>
  <si>
    <t>TT II</t>
  </si>
  <si>
    <t>200 II</t>
  </si>
  <si>
    <t>YPSILON IV</t>
  </si>
  <si>
    <t>PAJERO III</t>
  </si>
  <si>
    <t>COROLLA VERSO I</t>
  </si>
  <si>
    <t>SORENTO I</t>
  </si>
  <si>
    <t>TOLEDO I</t>
  </si>
  <si>
    <t>FRONTERA</t>
  </si>
  <si>
    <t>DUCATO</t>
  </si>
  <si>
    <t>CR-V III</t>
  </si>
  <si>
    <t>SPACE STAR II</t>
  </si>
  <si>
    <t>FR-V</t>
  </si>
  <si>
    <t>SPORTAGE III</t>
  </si>
  <si>
    <t>TIGRA I</t>
  </si>
  <si>
    <t>DAEWOO</t>
  </si>
  <si>
    <t>PRIMERA IV</t>
  </si>
  <si>
    <t>ZAFIRA (C) III</t>
  </si>
  <si>
    <t>I30</t>
  </si>
  <si>
    <t>JAZZ I</t>
  </si>
  <si>
    <t>IX35</t>
  </si>
  <si>
    <t>X-TYPE</t>
  </si>
  <si>
    <t>JETTA III</t>
  </si>
  <si>
    <t>JAZZ II</t>
  </si>
  <si>
    <t>PRIMERA II</t>
  </si>
  <si>
    <t>CIVIC IV</t>
  </si>
  <si>
    <t>RANGE ROVER</t>
  </si>
  <si>
    <t>SEDICI</t>
  </si>
  <si>
    <t>CLASSE S</t>
  </si>
  <si>
    <t>200 I</t>
  </si>
  <si>
    <t>SPORTAGE II</t>
  </si>
  <si>
    <t>41707</t>
  </si>
  <si>
    <t>C-CROSSER</t>
  </si>
  <si>
    <t>IGNIS II</t>
  </si>
  <si>
    <t>4007</t>
  </si>
  <si>
    <t>SERIE 7</t>
  </si>
  <si>
    <t>FELICIA</t>
  </si>
  <si>
    <t>400 II</t>
  </si>
  <si>
    <t>CARENS III</t>
  </si>
  <si>
    <t>S40 I</t>
  </si>
  <si>
    <t>VITARA</t>
  </si>
  <si>
    <t>CLK</t>
  </si>
  <si>
    <t>CROMA II</t>
  </si>
  <si>
    <t>JUMPER III</t>
  </si>
  <si>
    <t>DODGE</t>
  </si>
  <si>
    <t>CALIBER</t>
  </si>
  <si>
    <t>OMEGA (B) II</t>
  </si>
  <si>
    <t>X5</t>
  </si>
  <si>
    <t>AVEO</t>
  </si>
  <si>
    <t>9-3 I</t>
  </si>
  <si>
    <t>PICNIC</t>
  </si>
  <si>
    <t>SOUL</t>
  </si>
  <si>
    <t>SUPERB II</t>
  </si>
  <si>
    <t>PATHFINDER II</t>
  </si>
  <si>
    <t>ESCORT VII</t>
  </si>
  <si>
    <t>UNO</t>
  </si>
  <si>
    <t>OUTLANDER II</t>
  </si>
  <si>
    <t>GALAXY II</t>
  </si>
  <si>
    <t>FREELANDER III</t>
  </si>
  <si>
    <t>PUMA</t>
  </si>
  <si>
    <t>RIO III</t>
  </si>
  <si>
    <t>TRANSIT II</t>
  </si>
  <si>
    <t>GIULIETTA I</t>
  </si>
  <si>
    <t>CINQUECENTO</t>
  </si>
  <si>
    <t>X-TRAIL II</t>
  </si>
  <si>
    <t>TIGRA II</t>
  </si>
  <si>
    <t>600</t>
  </si>
  <si>
    <t>LYBRA</t>
  </si>
  <si>
    <t>PRIMERA III</t>
  </si>
  <si>
    <t>626 IV</t>
  </si>
  <si>
    <t>PAJERO II</t>
  </si>
  <si>
    <t>LANOS</t>
  </si>
  <si>
    <t>PATROL GR II</t>
  </si>
  <si>
    <t>YPSILON</t>
  </si>
  <si>
    <t>ASX</t>
  </si>
  <si>
    <t>X5 (E70) II</t>
  </si>
  <si>
    <t>RCZ</t>
  </si>
  <si>
    <t>ACCENT II</t>
  </si>
  <si>
    <t>TOURNEO</t>
  </si>
  <si>
    <t>VENTO</t>
  </si>
  <si>
    <t>LAGUNA</t>
  </si>
  <si>
    <t>CR-V II</t>
  </si>
  <si>
    <t>166</t>
  </si>
  <si>
    <t>HILUX</t>
  </si>
  <si>
    <t>COROLLA VIII</t>
  </si>
  <si>
    <t>S-TYPE</t>
  </si>
  <si>
    <t>Z3</t>
  </si>
  <si>
    <t>V70 II</t>
  </si>
  <si>
    <t>PRIMASTAR</t>
  </si>
  <si>
    <t>XC70</t>
  </si>
  <si>
    <t>300</t>
  </si>
  <si>
    <t>ACCORD VIII</t>
  </si>
  <si>
    <t>GOLF I</t>
  </si>
  <si>
    <t>SANTA FÉ I</t>
  </si>
  <si>
    <t>CARINA III</t>
  </si>
  <si>
    <t>9-5 I</t>
  </si>
  <si>
    <t>850</t>
  </si>
  <si>
    <t>MAZDA 3 II</t>
  </si>
  <si>
    <t>COUPE II</t>
  </si>
  <si>
    <t>FREELANDER V</t>
  </si>
  <si>
    <t>PHEDRA</t>
  </si>
  <si>
    <t>CAYENNE I</t>
  </si>
  <si>
    <t>CR-V I</t>
  </si>
  <si>
    <t>ACCORD VII</t>
  </si>
  <si>
    <t>CARENS II</t>
  </si>
  <si>
    <t>MAZDA 6 II</t>
  </si>
  <si>
    <t>C25</t>
  </si>
  <si>
    <t>Y III</t>
  </si>
  <si>
    <t>AVEO II</t>
  </si>
  <si>
    <t>ANTARA</t>
  </si>
  <si>
    <t>SANTA FÉ II</t>
  </si>
  <si>
    <t>PAJERO</t>
  </si>
  <si>
    <t>PANDA III</t>
  </si>
  <si>
    <t>FORTWO</t>
  </si>
  <si>
    <t>S80 I</t>
  </si>
  <si>
    <t>146</t>
  </si>
  <si>
    <t>TIPO</t>
  </si>
  <si>
    <t>CLASSE CLS</t>
  </si>
  <si>
    <t>LANDCRUISER III</t>
  </si>
  <si>
    <t>L200 II</t>
  </si>
  <si>
    <t>SIGNUM</t>
  </si>
  <si>
    <t>VOYAGER I</t>
  </si>
  <si>
    <t>ATOS</t>
  </si>
  <si>
    <t>Feu Vert</t>
  </si>
  <si>
    <t>Scénic III</t>
  </si>
  <si>
    <t>Jérome Gibert</t>
  </si>
  <si>
    <t>1461cm3  81kw</t>
  </si>
  <si>
    <t>Série 3 E90 318d</t>
  </si>
  <si>
    <t>Robert Daros</t>
  </si>
  <si>
    <t>143ch</t>
  </si>
  <si>
    <t>Emmanuel Préchac</t>
  </si>
  <si>
    <t>VF32A8HXF42422694</t>
  </si>
  <si>
    <t>70ch</t>
  </si>
  <si>
    <t>Clio III ph II</t>
  </si>
  <si>
    <t>Taous Khayyer</t>
  </si>
  <si>
    <t>75ch</t>
  </si>
  <si>
    <t>fin 2010</t>
  </si>
  <si>
    <t>Polo IV phII</t>
  </si>
  <si>
    <t>Florian Bosc</t>
  </si>
  <si>
    <t>1422cm3 51kw</t>
  </si>
  <si>
    <t>C3 HDI blanche</t>
  </si>
  <si>
    <t>Jean-Félix Bénitez</t>
  </si>
  <si>
    <t>VF7FC8HZB27294780</t>
  </si>
  <si>
    <t>Focus II 1,6 essence</t>
  </si>
  <si>
    <t>Dominique Beauregard</t>
  </si>
  <si>
    <t>115ch</t>
  </si>
  <si>
    <t>Seat</t>
  </si>
  <si>
    <t>Ibiza III TDI</t>
  </si>
  <si>
    <t>Mathias Choquet</t>
  </si>
  <si>
    <t>100ch</t>
  </si>
  <si>
    <t>18-03-2014_09-28-10</t>
  </si>
  <si>
    <t>18-03-2014_15-06-00</t>
  </si>
  <si>
    <t>19-03-2014_13-31-03</t>
  </si>
  <si>
    <t>20-03-2014_10-46-17</t>
  </si>
  <si>
    <t>20-03-2014_14-03-25</t>
  </si>
  <si>
    <t>20-03-2014_14-34-10</t>
  </si>
  <si>
    <t>20-03-2014_15-32-51</t>
  </si>
  <si>
    <t>DECRIPT_AWFI_VehBrand_VehIntName_18-03-2014_09-28-53.xml</t>
  </si>
  <si>
    <t>DECRIPT_AWFI_VehBrand_VehIntName_18-03-2014_15-06-42.xml</t>
  </si>
  <si>
    <t>DECRIPT_AWFI_VehBrand_VehIntName_19-03-2014_13-31-58.xml</t>
  </si>
  <si>
    <t>07E8
07EC</t>
  </si>
  <si>
    <t>07EC
07E8</t>
  </si>
  <si>
    <t>DECRIPT_AWFI_VehBrand_VehIntName_20-03-2014_10-47-28.xml</t>
  </si>
  <si>
    <t>DECRIPT_AWFI_VehBrand_VehIntName_20-03-2014_14-04-50.xml</t>
  </si>
  <si>
    <t>DECRIPT_AWFI_VehBrand_VehIntName_20-03-2014_14-35-19.xml</t>
  </si>
  <si>
    <t>DECRIPT_AWFI_VehBrand_VehIntName_20-03-2014_15-34-27.xml</t>
  </si>
  <si>
    <t>0000</t>
  </si>
  <si>
    <t>VF1JZ3G0447210575</t>
  </si>
  <si>
    <t>WBAPG11070E582211</t>
  </si>
  <si>
    <t>WVWZZZ9NZ6Y257908</t>
  </si>
  <si>
    <t>WF03XXGCD35G03786</t>
  </si>
  <si>
    <t>VSSZZZ6LZ4R036969</t>
  </si>
  <si>
    <t>Mapping_OBD</t>
  </si>
  <si>
    <t>A</t>
  </si>
  <si>
    <t>B</t>
  </si>
  <si>
    <t>C</t>
  </si>
  <si>
    <t>D</t>
  </si>
  <si>
    <t>E</t>
  </si>
  <si>
    <t>F</t>
  </si>
  <si>
    <t xml:space="preserve">Trame </t>
  </si>
  <si>
    <t>Résultats</t>
  </si>
  <si>
    <t>Le calcul du mapping se fait de manière automatique lors du remplissage d'une case de lma première colonne ou en appuyant sur le bouton ci-dessous</t>
  </si>
  <si>
    <t>tr/min</t>
  </si>
  <si>
    <t>km/h</t>
  </si>
  <si>
    <t>SCRIPT_OK</t>
  </si>
  <si>
    <t>Mapping MPM</t>
  </si>
  <si>
    <t>Mapping Ident</t>
  </si>
  <si>
    <t>0</t>
  </si>
  <si>
    <t>SCRIPT_NOK</t>
  </si>
  <si>
    <t>Niveau de carburant mesuré début</t>
  </si>
  <si>
    <t>Niveau de carburant mesuré fin</t>
  </si>
  <si>
    <t>Distrib Tableau bord</t>
  </si>
  <si>
    <t>OUI</t>
  </si>
  <si>
    <t>NON</t>
  </si>
  <si>
    <t>Renault service (en km)</t>
  </si>
  <si>
    <t>Renault service (en mois)</t>
  </si>
  <si>
    <t>Alerte liquide frein</t>
  </si>
  <si>
    <t>Distrib throttle</t>
  </si>
  <si>
    <t>Distrib NB error (COMB, INJ, FSE, AIDENAV, AUTORADIO, BVA, CORPRO, AFFICH)</t>
  </si>
  <si>
    <t>Distrib Voyant Alarme (VBAT_LOW, OIL_PRESSURE, OIL_TEMP, WATER_TEMP, BRAKE_ERROR, TIRES_PRESSION, CHILD_SECU)</t>
  </si>
  <si>
    <t>Distrib Voyant Alerte (SPARE, AIRBAG_ERROR, SPARE3, SPARE4, SPARE5, SPARE6, SPARE7, SPARE8, SPARE9, SPARE10, SPARE11, SPARE12)</t>
  </si>
  <si>
    <t>PB des send logs qui ne marche plus apres le 06/05 remonté à JMLE le 07/05 le 12/07 le 16/05 : attente retour Jose S22 pour vérifier et completer la colonne Screen Actia fleet et confirmer les conversion</t>
  </si>
  <si>
    <t>Parametre</t>
  </si>
  <si>
    <t>ID Pawn</t>
  </si>
  <si>
    <t>Présent sur
Script RENAULT</t>
  </si>
  <si>
    <t>Présent sur 
Script OBD</t>
  </si>
  <si>
    <t>Présent sur 
Script PSA</t>
  </si>
  <si>
    <t>ID Serveur</t>
  </si>
  <si>
    <t>Format ID Serveur</t>
  </si>
  <si>
    <t xml:space="preserve">Conversion VM
(transfo HEXA sur ID serveur /
Conversion sur ID Pawn </t>
  </si>
  <si>
    <t>Screen www.ActiaFleet.com</t>
  </si>
  <si>
    <t>Identification</t>
  </si>
  <si>
    <t>Combiné</t>
  </si>
  <si>
    <t>OBD</t>
  </si>
  <si>
    <t>N/A</t>
  </si>
  <si>
    <t>carte Ican</t>
  </si>
  <si>
    <t>START_DATE</t>
  </si>
  <si>
    <t>Date/Heure</t>
  </si>
  <si>
    <t xml:space="preserve">Date </t>
  </si>
  <si>
    <t>START_TIME</t>
  </si>
  <si>
    <t>END_DATE</t>
  </si>
  <si>
    <t>END_TIME</t>
  </si>
  <si>
    <t>Kilométrage</t>
  </si>
  <si>
    <t>HEXA (m)</t>
  </si>
  <si>
    <t>HEXA / * 100</t>
  </si>
  <si>
    <t>à vérifier</t>
  </si>
  <si>
    <t>Autre</t>
  </si>
  <si>
    <t>HEXA</t>
  </si>
  <si>
    <t>Heure (s)</t>
  </si>
  <si>
    <t>Vbat</t>
  </si>
  <si>
    <t>HEXA (mV)</t>
  </si>
  <si>
    <t>THROTLE</t>
  </si>
  <si>
    <t>Throttle</t>
  </si>
  <si>
    <t>Trames Fonctionnelles</t>
  </si>
  <si>
    <t>Distrib</t>
  </si>
  <si>
    <t>Temp Moteur</t>
  </si>
  <si>
    <t>HEXA (°C)</t>
  </si>
  <si>
    <t>Temp air ambient</t>
  </si>
  <si>
    <t>Huile</t>
  </si>
  <si>
    <t>Ancienne version : c'est 20026 à supprimer 
de Sendlogs.ini à terme
à verifier</t>
  </si>
  <si>
    <t xml:space="preserve">Ancienne version : c'est 20028 à supprimer 
de Sendlogs.ini à terme
présent dans le send logs mais absent de l'écran
Mail to JMLE le 22/05/2010, </t>
  </si>
  <si>
    <t>IDX_PID_MPM</t>
  </si>
  <si>
    <t>Ancienne version : c'est 20035 à supprimer 
de Sendlogs.ini à terme
à vérifier</t>
  </si>
  <si>
    <t>Ancienne version : c'est 20043 à supprimer 
de Sendlogs.ini à terme
à vérifier</t>
  </si>
  <si>
    <t>HEXA (V)</t>
  </si>
  <si>
    <t xml:space="preserve">A créer </t>
  </si>
  <si>
    <t>0,1%</t>
  </si>
  <si>
    <t>NIV_CARB_START</t>
  </si>
  <si>
    <t>1 L</t>
  </si>
  <si>
    <t>0,1 L</t>
  </si>
  <si>
    <t>HEXA * 10</t>
  </si>
  <si>
    <t>NIV_CARB_END</t>
  </si>
  <si>
    <t>Maintenance</t>
  </si>
  <si>
    <t xml:space="preserve">A créer ?  </t>
  </si>
  <si>
    <t>DISTRIB_SPEED</t>
  </si>
  <si>
    <t>Vitesse</t>
  </si>
  <si>
    <t>DISTRIB_ENGINE_RPM</t>
  </si>
  <si>
    <t>RPM</t>
  </si>
  <si>
    <t>HEXA (mL)</t>
  </si>
  <si>
    <t>OUI (vérifier par rapport à la distance si cohérent)</t>
  </si>
  <si>
    <t>SERVICE_KM</t>
  </si>
  <si>
    <t>km</t>
  </si>
  <si>
    <t>SERVICE_MOUNTH</t>
  </si>
  <si>
    <t>mois</t>
  </si>
  <si>
    <t>Jours</t>
  </si>
  <si>
    <t>HEXA *30</t>
  </si>
  <si>
    <t>BRAKE_LEVEL</t>
  </si>
  <si>
    <t>Bit 6 de l'octet renvoyé</t>
  </si>
  <si>
    <t>Booleen</t>
  </si>
  <si>
    <t>à vérifier
Faire evoluer le script pour remonter le booleen attendu par le serveur</t>
  </si>
  <si>
    <t>KM_START</t>
  </si>
  <si>
    <t>HEXA * 1000</t>
  </si>
  <si>
    <t>KM_END</t>
  </si>
  <si>
    <t>DISTRIB_INJ (conso)</t>
  </si>
  <si>
    <t>oui</t>
  </si>
  <si>
    <t>NB_ERROR</t>
  </si>
  <si>
    <t>Défauts</t>
  </si>
  <si>
    <t>COMB, INJ, FSE, AIDENAV, AUTORADIO, BVA, CORPRO, AFFICH</t>
  </si>
  <si>
    <t>Témoin sécurité enfant / Témoin alerte pression pneu</t>
  </si>
  <si>
    <t>UCH</t>
  </si>
  <si>
    <t>Témoin alerte airbag</t>
  </si>
  <si>
    <t>Airbag</t>
  </si>
  <si>
    <t>Etat ESP</t>
  </si>
  <si>
    <t>ESP</t>
  </si>
  <si>
    <t>Pression roues</t>
  </si>
  <si>
    <t>0,0138 Bar</t>
  </si>
  <si>
    <t>HEXA *13,8</t>
  </si>
  <si>
    <t>à vérifier
Rmq : Multiplication à 14 dans le serveur</t>
  </si>
  <si>
    <t>IDX_RALENTI_CONSO_1 (Distrib IMAP)</t>
  </si>
  <si>
    <t>uL</t>
  </si>
  <si>
    <t>HEXA /1000</t>
  </si>
  <si>
    <t>IDX_RALENTI_CONSO_2 (Distrib MAF)</t>
  </si>
  <si>
    <t>HEXA (km/h)</t>
  </si>
  <si>
    <t>HEXA (rpm)</t>
  </si>
  <si>
    <t xml:space="preserve">présent dans le send logs mais absent de l'écran
Mail to JMLE le 22/05/2010, </t>
  </si>
  <si>
    <t>Différence de vitesse (en km/h) sur 0,5s</t>
  </si>
  <si>
    <t>HEXA (0,1G)</t>
  </si>
  <si>
    <t>0,1G</t>
  </si>
  <si>
    <t>HEXA /3528 * 2000
Explications: 
 *2 pour la différence de vitesse sur 1s
 /3,6 pour la convertion en m/s
 /9,8 pour la convertion en G
 *10 pour avoir des 0,1G</t>
  </si>
  <si>
    <t>HEXA (%)</t>
  </si>
  <si>
    <t>Val*100/255 %</t>
  </si>
  <si>
    <t>HEXA (0,1%)</t>
  </si>
  <si>
    <t>HEXA *392 /100</t>
  </si>
  <si>
    <t>Ne plus utiliser</t>
  </si>
  <si>
    <t>Script arrété sur erreur</t>
  </si>
  <si>
    <t>original ici: F:\6000\6117\6117-02 ( iCAN  POC et fonctions logicielles 2014)\Exchange</t>
  </si>
  <si>
    <t>Va  °C</t>
  </si>
  <si>
    <t xml:space="preserve"> °C</t>
  </si>
  <si>
    <t>OUI =&gt; erreur dans le script à corriger</t>
  </si>
  <si>
    <t>on incremente le compteur en se bansant sur tes calcul d'acceleration/freinage lorsqu'on depasse 0.25 G
(une fois par acceleration freinage)</t>
  </si>
  <si>
    <t>on incremente le compteur lorsque vitesse &gt; 130km/h (une fois par depassement)</t>
  </si>
  <si>
    <t>Nombre seconde au cumulé par trajet lorsque vitesse &gt; 130km/h</t>
  </si>
  <si>
    <t>on incremente le compteur lorsque pedale &gt; 80% (une fois par depassement)</t>
  </si>
  <si>
    <t>Nombre seconde au cumulé par trajet lorsque pedale &gt; 80%</t>
  </si>
  <si>
    <t>on incremente le compteur lorsque rpm &gt; 3000 tr/m (une fois par depassement)</t>
  </si>
  <si>
    <t>Nombre seconde au cumulé par trajet lorsque rpm &gt; 3000 tr/m</t>
  </si>
  <si>
    <t>F:\6000\6117\6117-02 ( iCAN  POC et fonctions logicielles 2014)\Exchange</t>
  </si>
  <si>
    <t>Golf VI Tsi</t>
  </si>
  <si>
    <t>ucStateSTEP</t>
  </si>
  <si>
    <t>DISTRIB_STT_PARAM_START</t>
  </si>
  <si>
    <t>DISTRIB_STT_PARAM_END</t>
  </si>
  <si>
    <t>IDX_STT_START</t>
  </si>
  <si>
    <t>IDX_STT_END</t>
  </si>
  <si>
    <t>Speed</t>
  </si>
  <si>
    <t>Conso</t>
  </si>
  <si>
    <t>Thro</t>
  </si>
  <si>
    <t>TYPEID27</t>
  </si>
  <si>
    <t>TYPEID28</t>
  </si>
  <si>
    <t>TYPEID29</t>
  </si>
  <si>
    <t>TYPEID26</t>
  </si>
  <si>
    <t>2014-06-26-132628_355305040027371.vci</t>
  </si>
  <si>
    <t>Fiat</t>
  </si>
  <si>
    <t>500L</t>
  </si>
  <si>
    <t>Location</t>
  </si>
  <si>
    <t>26-06-2014_15-25-00</t>
  </si>
  <si>
    <t>18DAF110x</t>
  </si>
  <si>
    <t>IDX_KM_START_PSA</t>
  </si>
  <si>
    <t>IDX_KM_END_PSA</t>
  </si>
  <si>
    <t>l</t>
  </si>
  <si>
    <t>Niveau de carburant mesuré début PSA</t>
  </si>
  <si>
    <t>Niveau de carburant mesuré fin PSA</t>
  </si>
  <si>
    <t>//signed long s64; (big endian) (bit de poids fort design le signe 0-&gt; positif 1-&gt;negatif)</t>
  </si>
  <si>
    <t>TTS</t>
  </si>
  <si>
    <t>ConsoDiesel</t>
  </si>
  <si>
    <t>2014-07-21-120610_355305040013611.vci</t>
  </si>
  <si>
    <t>VF12RFL1H50351356</t>
  </si>
  <si>
    <t>Captur</t>
  </si>
  <si>
    <t>21-07-2014_14-06-00</t>
  </si>
  <si>
    <t>DebugStateGSM</t>
  </si>
  <si>
    <t>2014-07-23-172955_355305040036489.vci</t>
  </si>
  <si>
    <t>WVWZZZ1KZCW137967</t>
  </si>
  <si>
    <t>Golf VI</t>
  </si>
  <si>
    <t>23-07-14_19-29-55</t>
  </si>
  <si>
    <t>ConsoEssence MAF</t>
  </si>
  <si>
    <t>ConsoEssence MAF Ralenti</t>
  </si>
  <si>
    <t>ConsoDiesel ralenti</t>
  </si>
  <si>
    <t>ConsoDiesel MAF</t>
  </si>
  <si>
    <t>ConsoDiesel MAF Ralenti</t>
  </si>
  <si>
    <t>IDX_T_SW</t>
  </si>
  <si>
    <t>IDX_M_SW</t>
  </si>
  <si>
    <t>ucState</t>
  </si>
  <si>
    <t>983BA013B019A005C8D200400000000000000000000000000000000000000000</t>
  </si>
  <si>
    <t>2014-10-25-132803_355305040010187.vci</t>
  </si>
  <si>
    <t>54620000</t>
  </si>
  <si>
    <t>Série1</t>
  </si>
  <si>
    <t>Perso - JDEV</t>
  </si>
  <si>
    <t>Perso - PTIN</t>
  </si>
  <si>
    <t>'WBA1C11080VV08605</t>
  </si>
  <si>
    <t>BVA</t>
  </si>
  <si>
    <t>2014-10-25-15-28-03</t>
  </si>
  <si>
    <t>02, 04, 06, 0A, 0B, 0F</t>
  </si>
  <si>
    <t>8</t>
  </si>
  <si>
    <t>Excess engine temp count</t>
  </si>
  <si>
    <t>Excess engine temp duration</t>
  </si>
  <si>
    <t>Excess engine temp dist</t>
  </si>
  <si>
    <t>DRIVER ID</t>
  </si>
  <si>
    <t>nb_trames</t>
  </si>
  <si>
    <t>Flag</t>
  </si>
  <si>
    <t>Service</t>
  </si>
  <si>
    <t>Fichier reconstitué</t>
  </si>
  <si>
    <t>Cylindrée</t>
  </si>
  <si>
    <t>Odomètre</t>
  </si>
  <si>
    <t>Driver ID</t>
  </si>
  <si>
    <t>Fichier lu</t>
  </si>
  <si>
    <t>Nb Cylindres</t>
  </si>
  <si>
    <t>Nb params réelement présents dans le fichier</t>
  </si>
  <si>
    <t>Nb params</t>
  </si>
  <si>
    <t>Faux_départs</t>
  </si>
  <si>
    <t>Paramètres</t>
  </si>
  <si>
    <t>6A8</t>
  </si>
  <si>
    <t>6B3</t>
  </si>
  <si>
    <t>38D</t>
  </si>
  <si>
    <t>752</t>
  </si>
  <si>
    <t>652</t>
  </si>
  <si>
    <t>06.35.C0.00.00.1F.11</t>
  </si>
  <si>
    <t>23.D7.D8.D9.DA.C5.E9</t>
  </si>
  <si>
    <t>06.35.C0.00.00.22.11</t>
  </si>
  <si>
    <t>23.0A.0B.0C.0D.E9.25</t>
  </si>
  <si>
    <t>06.35.C0.00.00.25.11</t>
  </si>
  <si>
    <t>10.2E.61.C0.01.01.01.01</t>
  </si>
  <si>
    <t>30.00.0A</t>
  </si>
  <si>
    <t>21.35.36.37.38.39.30.31</t>
  </si>
  <si>
    <t>02.10.81</t>
  </si>
  <si>
    <t>01.81</t>
  </si>
  <si>
    <t>688</t>
  </si>
  <si>
    <t>03.C1.D0.8F</t>
  </si>
  <si>
    <t>693</t>
  </si>
  <si>
    <t>20.00.14.11</t>
  </si>
  <si>
    <t>488</t>
  </si>
  <si>
    <t>15.90</t>
  </si>
  <si>
    <t>Jour de l'année</t>
  </si>
  <si>
    <t>Jour de la semaine</t>
  </si>
  <si>
    <t>0E.00.0D.00.0B.0C.0E.06.36.06.01.2F.14.DF.00.52.07.00.00.07.06.35.C0.00.00.1F.11.00.DF.24.E2.00.52.06.00.00.07.23.D7.D8.D9.DA.C5.E9.00.29.26.E2.00.52.07.00.00.07.06.35.C0.00.00.22.11.02.1E.33.E5.00.52.06.00.00.07.23.0A.0B.0C.0D.E9.25.00.70.34.E5.00.52.07.00.00.07.06.35.C0.00.00.25.11.01.C0.45.E8.00.52.06.00.00.08.10.2E.61.C0.01.01.01.01.62.A8.E8.00.52.07.00.00.03.30.00.0A.C4.09.00.03.00.00.CA.EB.00.52.06.00.00.08.21.35.36.37.38.39.30.31.AD.F2.EB.00.52.07.00.00.03.02.10.81.02.00.00.00.00.0D.BE.F3.00.A8.06.00.00.02.01.81.A0.EF.D4.02.00.00.2C.E7.F3.00.88.06.00.00.04.03.C1.D0.8F.00.00.01.00.B8.BA.FC.00.B3.06.00.00.02.01.81.00.D3.9F.02.00.C0.ED.E3.FC.00.93.06.00.00.04.03.C1.D0.8F.00.00.01.00.54.F2.FD.00.8D.03.00.00.01.09.00.00.08.00.00.00.58.1D.F3.FD.00.08.02.00.00.04.20.00.14.11.00.00.00.30.B3.F3.FD.00.88.04.00.00.02.15.90.14.08.00.00.00.30.67.6F.06.01.8D.03.00.00.01.09.07.00.08.00.00.00.B0.04.70.06.01.88.04.00.00.02.15.90.00.08.00.00.00.E0.C5.70.06.01.08.02.00.00.04.20.00.14.11.00.00.00.E0.FE.89.0C.01.08.02.00.00.04.20.00.14.11.00.00.00.E0.16.8B.0C.01.8D.03.00.00.01.09.FE.00.08.00.00.00.50.77.A4.12.01.8D.03.00.00.01.09.01.00.08.00.00.00.E0.3F.A5.12.01.08.02.00.00.04.20.00.14.11.00.00.00.E0.D5.A5.12.01.88.04.00.00.02.15.90.14.08.00.00.00.E0.18.BF.18.01.88.04.00.00.02.15.90.00.08.00.00.00.08.DA.BF.18.01.08.02.00.00.04.20.00.14.11.00.00.00.D8.60.C0.18.01.8D.03.00.00.01.09.00.14.08.00.00.00.D8.A0.D9.1E.01.88.04.00.00.02.15.90.20.08.00.00.00.B0.64.DA.1E.01.08.02.00.00.04.20.00.14.11.00.00.00.08.EA.DA.1E.01.8D.03.00.00.01.09.00.20.08.00.00.00.E0.F4.F3.24.01.8D.03.00.00.01.09.00.00.08.00.00.00.08.BB.F4.24.01.08.02.00.00.04.20.00.14.11.00.00.00.E0.52.F5.24.01.88.04.00.00.02.15.90.FF.08.00.00.00.00.9B.0E.2B.01.88.04.00.00.02.15.90.14.08.00.00.00.E0.77.0F.2B.01.08.02.00.00.04.20.00.14.11.00.00.00.08.FE.0F.2B.01.8D.03.00.00.01.09.00.20.08.00.00.00.E0.F0.28.31.01.8D.03.00.00.01.09.90.FF.08.00.00.00.00.87.29.31.01.88.04.00.00.02.15.90.00.08.00.00.00.08.47.2A.31.01.08.02.00.00.04.20.00.14.11.00.00.00.E0.ED.43.37.01.08.02.00.00.04.20.00.14.11.00.00.00.E0.09.45.37.01.8D.03.00.00.01.09.FE.00.08.00.00.00.50.7E.5E.3D.01.08.02.00.00.04.20.00.14.11.00.00.00.E0.13.5F.3D.01.88.04.00.00.02.15.90.14.08.00.00.00.E0.99.5F.3D.01.8D.03.00.00.01.09.3D.01.08.00.00.00.D8.C7.78.43.01.8D.03.00.00.01.09.00.20.08.00.00.00.E0.63.79.43.01.88.04.00.00.02.15.90.00.08.00.00.00.D0.2C.7A.43.01.08.02.00.00.04.20.00.14.11.00.00.00.E0.77.93.49.01.08.02.00.00.04.20.00.14.11.00.00.00.08.1A.94.49.01.88.04.00.00.02.15.90.20.08.00.00.00.E0.A5.94.49.01.8D.03.00.00.01.09.09.00.08.00.00.00.B0.DF.AD.4F.01.8D.03.00.00.01.09.09.00.08.00.00.00.B0.A8.AE.4F.01.08.02.00.00.04.20.00.14.11.00.00.00.00.44.AF.4F.01.88.04.00.00.02.15.90.00.08.00.00.00.E0.75.C8.55.01.88.04.00.00.02.15.90.00.08.00.00.00.08.3C.C9.55.01.08.02.00.00.04.20.00.14.11.00.00.00.08.C6.C9.55.01.8D.03.00.00.01.09.00.20.08.00.00.00.E0.06.E3.5B.01.88.04.00.00.02.15.90.00.08.00.00.00.B0.C8.E3.5B.01.08.02.00.00.04.20.00.14.11.00.00.00.00.4F.E4.5B.01.8D.03.00.00.01.09.00.20.08.00.00.00.E0.7E.FD.61.01.8D.03.00.00.01.09.0C.00.08.00.00.00.B0.E2.FE.61.01.88.04.00.00.02.15.90.00.08.00.00.00.50.24.18.68.01.88.04.00.00.02.15.90.20.08.00.00.00.08.E8.18.68.01.08.02.00.00.04.20.00.14.11.00.00.00.D8.71.19.68.01.8D.03.00.00.01.09.00.20.08.00.00.00.E0.C4.32.6E.01.8D.03.00.00.01.09.68.01.08.00.00.00.D8.5A.33.6E.01.88.04.00.00.02.15.90.20.08.00.00.00.E0.23.34.6E.01.08.02.00.00.04.20.00.14.11.00.00.00.B0.8A.4D.74.01.08.02.00.00.04.20.00.14.11.00.00.00.D8.21.4E.74.01.88.04.00.00.02.15.90.00.08.00.00.00.F0.A8.4E.74.01.8D.03.00.00.01.09.00.20.08.00.00.00.E0.FD.67.7A.01.08.02.00.00.04.20.00.14.11.00.00.00.F8.93.68.7A.01.88.04.00.00.02.15.90.00.08.00.00.00.08.19.69.7A.01.8D.03.00.00.01.09.00.00.08.00.00.00.B0.63.82.80.01.8D.03.00.00.01.09.00.20.08.00.00.00.E0.F9.82.80.01.88.04.00.00.02.15.90.14.08.00.00.00.00.C2.83.80.01.08.02.00.00.04.20.00.14.11.00.00.00.E0.3B.9D.86.01.08.02.00.00.04.20.00.14.11.00.00.00.08.D2.9D.86.01.88.04.00.00.02.15.90.20.08.00.00.00.E0.62.9E.86.01.8D.03.00.00.01.09.90.20.08.00.00.00.E0.69.B7.8C.01.8D.03.00.00.01.09.86.01.08.00.00.00.D8.C6.B8.8C.01.88.04.00.00.02.15.90.00.08.00.00.00.50.0B.D2.92.01.88.04.00.00.02.15.90.00.08.00.00.00.E0.C9.D2.92.01.08.02.00.00.04.20.00.14.11.00.00.00.08.4F.D3.92.01.8D.03.00.00.01.09.06.00.08.00.00.00.D8.41.EC.98.01.88.04.00.00.02.15.90.20.08.00.00.00.B0.02.ED.98.01.08.02.00.00.04.20.00.14.11.00.00.00.08.8F.ED.98.01.8D.03.00.00.01.09.00.20.08.00.00.00.E0.FF.06.9F.01.8D.03.00.00.01.09.90.14.08.00.00.00.00.C7.07.9F.01.08.02.00.00.04.20.00.14.11.00.00.00.E0.60.08.9F.01.88.04.00.00.02.15.90.20.08.00.00.00.F8.AC.21.A5.01.88.04.00.00.02.15.90.00.08.00.00.00.D8.73.22.A5.01.08.02.00.00.04.20.00.14.11.00.00.00.E0.FA.22.A5.01.8D.03.00.00.01.09.90.14.08.00.00.00.00.E4.3B.AB.01.8D.03.00.00.01.09.09.00.08.00.00.00.B0.80.3C.AB.01.88.04.00.00.02.15.90.00.08.00.00.00.08.40.3D.AB.01.08.02.00.00.04.20.00.14.11.00.00.00.B0.E8.56.B1.01.08.02.00.00.04.20.00.14.11.00.00.00.B0.7F.57.B1.01.88.04.00.00.02.15.90.11.08.00.00.00.E0.05.58.B1.01.8D.03.00.00.01.09.90.11.08.00.00.00.E0.5E.71.B7.01.08.02.00.00.04.20.00.14.11.00.00.00.E0.80.72.B7.01.8D.03.00.00.01.09.90.00.08.00.00.00.50.7C.8B.BD.01.8D.03.00.00.01.09.01.00.08.00.00.00.E0.1A.8C.BD.01.88.04.00.00.02.15.90.00.08.00.00.00.B0.DC.8C.BD.01.08.02.00.00.04.20.00.14.11.00.00.00.E0.7F.A6.C3.01.08.02.00.00.04.20.00.14.11.00.00.00.E0.1B.A7.C3.01.88.04.00.00.02.15.90.14.08.00.00.00.E0.9F.A7.C3.01.8D.03.00.00.01.09.90.14.08.00.00.00.E0.C4.C0.C9.01.8D.03.00.00.01.09.00.00.08.00.00.00.08.8B.C1.C9.01.08.02.00.00.04.20.00.14.11.00.00.00.B0.27.C2.C9.01.88.04.00.00.02.15.90.00.08.00.00.00.D8.5D.DB.CF.01.88.04.00.00.02.15.90.20.08.00.00.00.E0.1D.DC.CF.01.08.02.00.00.04.20.00.14.11.00.00.00.D8.A9.DC.CF.01.8D.03.00.00.01.09.00.14.08.00.00.00.D8.17.F6.D5.01.88.04.00.00.02.15.90.00.08.00.00.00.08.D7.F6.D5.01.08.02.00.00.04.20.00.14.11.00.00.00.B0.5D.F7.D5.01.8D.03.00.00.01.09.90.00.08.00.00.00.08.91.10.DC.01.8D.03.00.00.01.09.0C.00.08.00.00.00.D8.51.11.DC.01.08.02.00.00.04.20.00.14.11.00.00.00.E0.E9.11.DC.01.88.04.00.00.02.15.90.14.08.00.00.00.E0.44.2B.E2.01.88.04.00.00.02.15.90.14.08.00.00.00.E0.8A.2C.E2.01.8D.03.00.00.01.09.90.00.08.00.00.00.50.80.45.E8.01.8D.03.00.00.01.09.01.00.08.00.00.00.E0.1C.46.E8.01.88.04.00.00.02.15.90.00.08.00.00.00.08.E4.46.E8.01.08.02.00.00.04.20.00.14.11.00.00.00.08.6A.60.EE.01.08.02.00.00.04.20.00.14.11.00.00.00.E0.00.61.EE.01.88.04.00.00.02.15.90.01.08.00.00.00.00.86.61.EE.01.8D.03.00.00.01.09.00.20.08.00.00.00.08.D6.7A.F4.01.08.02.00.00.04.20.00.14.11.00.00.00.F0.6C.7B.F4.01.88.04.00.00.02.15.90.00.08.00.00.00.08.F3.7B.F4.01.8D.03.00.00.01.09.00.20.08.00.00.00.E0.3C.95.FA.01.8D.03.00.00.01.09.00.20.08.00.00.00.E0.D2.95.FA.01.88.04.00.00.02.15.90.14.08.00.00.00.00.92.96.FA.01.08.02.00.00.04.20.00.14.11.00.00.00.00.21.B0.00.02.08.02.00.00.04.20.00.14.11.00.00.00.E0.B6.B0.00.02.88.04.00.00.02.15.90.01.08.00.00.00.00.48.B1.00.02.8D.03.00.00.01.09.00.00.08.00.00.00.E0.EC.C9.06.02.8D.03.00.00.01.09.00.00.08.00.00.00.E0.AC.CA.06.02.08.02.00.00.04.20.00.14.11.00.00.00.E0.43.CB.06.02.88.04.00.00.02.15.90.00.08.00.00.00.08.D4.E4.0C.02.88.04.00.00.02.15.90.00.08.00.00.00.08.1B.E6.0C.02.8D.03.00.00.01.09.90.00.08.00.00.00.50.10.FF.12.02.88.04.00.00.02.15.90.20.08.00.00.00.08.D7.FF.12.02.08.02.00.00.04.20.00.14.11.00.00.00.00.5D.00.13.02.8D.03.00.00.01.09.0C.00.08.00.00.00.D8.DE.19.19.02.8D.03.00.00.01.09.00.00.08.00.00.00.F8.A5.1A.19.02.08.02.00.00.04.20.00.14.11.00.00.00.E0.3F.1B.19.02.88.04.00.00.02.15.90.02.08.00.00.00.D8.91.34.1F.02.88.04.00.00.02.15.90.20.08.00.00.00.E0.51.35.1F.02.08.02.00.00.04.20.00.14.11.00.00.00.E0.DF.35.1F.02.8D.03.00.00.01.09.09.00.08.00.00.00.B0.B7.4E.25.02.8D.03.00.00.01.09.00.14.08.00.00.00.E0.55.4F.25.02.88.04.00.00.02.15.90.02.08.00.00.00.D8.15.50.25.02.08.02.00.00.04.20.00.14.11.00.00.00.E0.C7.69.2B.02.08.02.00.00.04.20.00.14.11.00.00.00.08.5D.6A.2B.02.88.04.00.00.02.15.90.14.08.00.00.00.08.E3.6A.2B.02.8D.03.00.00.01.09.2B.02.08.00.00.00.00.51.84.31.02.08.02.00.00.04.20.00.14.11.00.00.00.D8.E7.84.31.02.88.04.00.00.02.15.90.11.08.00.00.00.08.6D.85.31.02.8D.03.00.00.01.09.90.11.08.00.00.00.08.A1.9E.37.02.8D.03.00.00.01.09.0C.00.08.00.00.00.D8.00.A0.37.02.08.02.00.00.04.20.00.14.11.00.00.00.50.87.B9.3D.02.08.02.00.00.04.20.00.14.11.00.00.00.B0.1D.BA.3D.02.88.04.00.00.02.15.90.00.08.00.00.00.08.A2.BA.3D.02.8D.03.00.00.01.09.00.20.08.00.00.00.E0.B7.D3.43.02.8D.03.00.00.01.09.00.20.08.00.00.00.E0.76.D4.43.02.08.02.00.00.04.20.00.14.11.00.00.00.08.0D.D5.43.02.88.04.00.00.02.15.90.20.08.00.00.00.E0.50.EE.49.02.88.04.00.00.02.15.90.14.08.00.00.00.00.10.EF.49.02.08.02.00.00.04.20.00.14.11.00.00.00.00.96.EF.49.02.8D.03.00.00.01.09.43.02.08.00.00.00.D8.DE.08.50.02.88.04.00.00.02.15.90.00.08.00.00.00.00.9E.09.50.02.08.02.00.00.04.20.00.14.11.00.00.00.D8.24.0A.50.02.8D.03.00.00.01.09.00.20.08.00.00.00.B0.56.23.56.02.8D.03.00.00.01.09.00.00.08.00.00.00.D8.1C.24.56.02.08.02.00.00.04.20.00.14.11.00.00.00.08.B2.24.56.02.88.04.00.00.02.15.90.00.08.00.00.00.D8.16.3E.5C.02.88.04.00.00.02.15.90.00.08.00.00.00.D8.EE.3E.5C.02.08.02.00.00.04.20.00.14.11.00.00.00.E0.74.3F.5C.02.8D.03.00.00.01.09.5C.02.08.00.00.00.D8.16.58.62.02.8D.03.00.00.01.09.00.00.08.00.00.00.08.6D.59.62.02.08.02.00.00.04.20.00.14.11.00.00.00.50.3E.73.68.02.08.02.00.00.04.20.00.14.11.00.00.00.E0.D2.73.68.02.88.04.00.00.02.15.90.02.08.00.00.00.D8.59.74.68.02.8D.03.00.00.01.09.00.00.08.00.00.00.08.B8.8D.6E.02.08.02.00.00.04.20.00.14.11.00.00.00.B0.4F.8E.6E.02.88.04.00.00.02.15.90.00.08.00.00.00.D8.D5.8E.6E.02.8D.03.00.00.01.09.00.20.08.00.00.00.E0.B8.A7.74.02.8D.03.00.00.01.09.00.20.08.00.00.00.E0.4D.A8.74.02.88.04.00.00.02.15.90.20.08.00.00.00.E0.0D.A9.74.02.08.02.00.00.04.20.00.14.11.00.00.00.08.CB.C2.7A.02.08.02.00.00.04.20.00.14.11.00.00.00.08.73.C3.7A.02.88.04.00.00.02.15.90.14.08.00.00.00.00.17.C4.7A.02.8D.03.00.00.01.09.00.20.08.00.00.00.E0.1A.DD.80.02.8D.03.00.00.01.09.00.00.08.00.00.00.08.DC.DD.80.02.08.02.00.00.04.20.00.14.11.00.00.00.E0.77.DE.80.02.88.04.00.00.02.15.90.00.08.00.00.00.08.9F.F7.86.02.88.04.00.00.02.15.90.00.08.00.00.00.D8.65.F8.86.02.08.02.00.00.04.20.00.14.11.00.00.00.08.EF.F8.86.02.8D.03.00.00.01.09.00.00.08.00.00.00.B0.55.12.8D.02.88.04.00.00.02.15.90.20.08.00.00.00.E0.9B.13.8D.02.8D.03.00.00.01.09.00.14.08.00.00.00.50.B9.2C.93.02.8D.03.00.00.01.09.00.00.08.00.00.00.B0.79.2D.93.02.08.02.00.00.04.20.00.14.11.00.00.00.D8.15.2E.93.02.88.04.00.00.02.15.90.14.08.00.00.00.D8.65.47.99.02.88.04.00.00.02.15.90.11.08.00.00.00.08.2B.48.99.02.08.02.00.00.04.20.00.14.11.00.00.00.00.B7.48.99.02.8D.03.00.00.01.09.09.00.08.00.00.00.D8.E1.61.9F.02.8D.03.00.00.01.09.09.00.08.00.00.00.D8.78.62.9F.02.88.04.00.00.02.15.90.20.08.00.00.00.E0.40.63.9F.02.08.02.00.00.04.20.00.14.11.00.00.00.D8.8B.7C.A5.02.08.02.00.00.04.20.00.14.11.00.00.00.08.22.7D.A5.02.88.04.00.00.02.15.90.14.08.00.00.00.08.AE.7D.A5.02.8D.03.00.00.01.09.00.20.08.00.00.00.E0.2E.97.AB.02.08.02.00.00.04.20.00.14.11.00.00.00.B0.C4.97.AB.02.88.04.00.00.02.15.90.14.08.00.00.00.B0.4A.98.AB.02.8D.03.00.00.01.09.14.11.08.00.00.00.E0.6B.B1.B1.02.8D.03.00.00.01.09.0C.00.08.00.00.00.B0.02.B2.B1.02.88.04.00.00.02.15.90.00.08.00.00.00.D8.C2.B2.B1.02.08.02.00.00.04.20.00.14.11.00.00.00.D8.4E.CC.B7.02.08.02.00.00.04.20.00.14.11.00.00.00.08.70.CD.B7.02.8D.03.00.00.01.09.00.14.08.00.00.00.50.94.E6.BD.02.8D.03.00.00.01.09.01.00.08.00.00.00.E0.56.E7.BD.02.08.02.00.00.04.20.00.14.11.00.00.00.00.F3.E7.BD.02.88.04.00.00.02.15.90.00.08.00.00.00.E0.1A.01.C4.02.88.04.00.00.02.15.90.02.08.00.00.00.D8.DA.01.C4.02.08.02.00.00.04.20.00.14.11.00.00.00.08.67.02.C4.02.8D.03.00.00.01.09.00.20.08.00.00.00.E0.B8.1B.CA.02.88.04.00.00.02.15.90.20.08.00.00.00.E0.78.1C.CA.02.08.02.00.00.04.20.00.14.11.00.00.00.D8.FF.1C.CA.02.8D.03.00.00.01.09.00.20.08.00.00.00.E0.32.36.D0.02.8D.03.00.00.01.09.CA.02.08.00.00.00.D8.F4.36.D0.02.08.02.00.00.04.20.00.14.11.00.00.00.08.91.37.D0.02.88.04.00.00.02.15.90.20.08.00.00.00.E0.E0.50.D6.02.88.04.00.00.02.15.90.00.08.00.00.00.B0.A5.51.D6.02.08.02.00.00.04.20.00.14.11.00.00.00.00.33.52.D6.02.8D.03.00.00.01.09.00.00.08.00.00.00.B0.46.6B.DC.02.8D.03.00.00.01.09.00.00.08.00.00.00.00.DE.6B.DC.02.88.04.00.00.02.15.90.00.08.00.00.00.E0.A5.6C.DC.02.08.02.00.00.04.20.00.14.11.00.00.00.D8.0F.86.E2.02.08.02.00.00.04.20.00.14.11.00.00.00.E0.2B.87.E2.02.8D.03.00.00.01.09.00.14.08.00.00.00.50.7B.A0.E8.02.08.02.00.00.04.20.00.14.11.00.00.00.08.17.A1.E8.02.88.04.00.00.02.15.90.14.08.00.00.00.08.A5.A1.E8.02.8D.03.00.00.01.09.0C.00.08.00.00.00.D8.E5.BA.EE.02.8D.03.00.00.01.09.00.20.08.00.00.00.E0.7B.BB.EE.02.88.04.00.00.02.15.90.02.08.00.00.00.D8.43.BC.EE.02.08.02.00.00.04.20.00.14.11.00.00.00.08.BD.D5.F4.02.08.02.00.00.04.20.00.14.11.00.00.00.B0.53.D6.F4.02.88.04.00.00.02.15.90.14.08.00.00.00.B0.21.D7.F4.02.8D.03.00.00.01.09.00.00.08.00.00.00.08.0D.F0.FA.02.8D.03.00.00.01.09.09.00.08.00.00.00.D8.D4.F0.FA.02.08.02.00.00.04.20.00.14.11.00.00.00.E0.69.F1.FA.02.88.04.00.00.02.15.90.14.08.00.00.00.E0.A7.0A.01.03.88.04.00.00.02.15.90.02.08.00.00.00.D8.6C.0B.01.03.08.02.00.00.04.20.00.14.11.00.00.00.E0.F1.0B.01.03.8D.03.00.00.01.09.00.00.08.00.00.00.08.2B.25.07.03.88.04.00.00.02.15.90.00.08.00.00.00.B0.F1.25.07.03.08.02.00.00.04.20.00.14.11.00.00.00.E0.77.26.07.03.8D.03.00.00.01.09.07.03.08.00.00.00.D8.A5.3F.0D.03.8D.03.00.00.01.09.07.03.08.00.00.00.D8.04.41.0D.03.88.04.00.00.02.15.90.14.08.00.00.00.50.2F.5A.13.03.88.04.00.00.02.15.90.00.08.00.00.00.E0.F0.5A.13.03.08.02.00.00.04.20.00.14.11.00.00.00.D8.C7.5B.13.03.8D.03.00.00.01.09.00.20.08.00.00.00.E0.B9.74.19.03.8D.03.00.00.01.09.00.00.08.00.00.00.08.59.75.19.03.88.04.00.00.02.15.90.20.08.00.00.00.E0.20.76.19.03.08.02.00.00.04.20.00.14.11.00.00.00.00.85.8F.1F.03.08.02.00.00.04.20.00.14.11.00.00.00.E0.1A.90.1F.03.88.04.00.00.02.15.90.00.08.00.00.00.08.A0.90.1F.03.8D.03.00.00.01.09.00.20.08.00.00.00.E0.EA.A9.25.03.08.02.00.00.04.20.00.14.11.00.00.00.D8.80.AA.25.03.88.04.00.00.02.15.90.14.08.00.00.00.D8.16.AB.25.03.8D.03.00.00.01.09.00.20.08.00.00.00.E0.37.C4.2B.03.8D.03.00.00.01.09.00.20.08.00.00.00.E0.CD.C4.2B.03.88.04.00.00.02.15.90.20.08.00.00.00.E0.8D.C5.2B.03.08.02.00.00.04.20.00.14.11.00.00.00.E0.1F.DF.31.03.08.02.00.00.04.20.00.14.11.00.00.00.E0.CC.DF.31.03.88.04.00.00.02.15.90.00.08.00.00.00.00.9A.E0.31.03.8D.03.00.00.01.09.00.20.08.00.00.00.D8.6C.F9.37.03.8D.03.00.00.01.09.00.00.08.00.00.00.00.D0.FA.37.03.88.04.00.00.02.15.90.14.08.00.00.00.50.CE.13.3E.03.88.04.00.00.02.15.90.00.08.00.00.00.D8.93.14.3E.03.08.02.00.00.04.20.00.14.11.00.00.00.E0.1E.15.3E.03.8D.03.00.00.01.09.00.14.08.00.00.00.E0.82.2E.44.03.88.04.00.00.02.15.90.14.08.00.00.00.E0.42.2F.44.03.08.02.00.00.04.20.00.14.11.00.00.00.00.CE.2F.44.03.8D.03.00.00.01.09.00.20.08.00.00.00.08.FC.48.4A.03.8D.03.00.00.01.09.00.00.08.00.00.00.08.BD.49.4A.03.08.02.00.00.04.20.00.14.11.00.00.00.E0.55.4A.4A.03.88.04.00.00.02.15.90.14.08.00.00.00.E0.85.63.50.03.88.04.00.00.02.15.90.00.08.00.00.00.B0.51.64.50.03.08.02.00.00.04.20.00.14.11.00.00.00.E0.E5.64.50.03.8D.03.00.00.01.09.00.14.08.00.00.00.E0.F6.7D.56.03.8D.03.00.00.01.09.00.A0.08.00.00.00.E0.8C.7E.56.03.88.04.00.00.02.15.90.A0.08.00.00.00.E0.4B.7F.56.03.08.02.00.00.04.20.00.14.11.00.00.00.08.CF.98.5C.03.08.02.00.00.04.20.00.14.11.00.00.00.08.65.99.5C.03.88.04.00.00.02.15.90.20.08.00.00.00.E0.EA.99.5C.03.8D.03.00.00.01.09.90.20.08.00.00.00.E0.5F.B3.62.03.08.02.00.00.04.20.00.14.11.00.00.00.08.83.B4.62.03.8D.03.00.00.01.09.90.14.08.00.00.00.50.D7.CD.68.03.8D.03.00.00.01.09.01.00.08.00.00.00.E0.73.CE.68.03.88.04.00.00.02.15.90.00.08.00.00.00.B0.37.CF.68.03.08.02.00.00.04.20.00.14.11.00.00.00.B0.9D.E8.6E.03.08.02.00.00.04.20.00.14.11.00.00.00.08.4B.E9.6E.03.88.04.00.00.02.15.90.14.08.00.00.00.08.EF.E9.6E.03.8D.03.00.00.01.09.00.00.08.00.00.00.F0.E7.02.75.03.8D.03.00.00.01.09.90.14.08.00.00.00.00.AD.03.75.03.08.02.00.00.04.20.00.14.11.00.00.00.D8.44.04.75.03.88.04.00.00.02.15.90.20.08.00.00.00.E0.61.1D.7B.03.88.04.00.00.02.15.90.00.08.00.00.00.00.22.1E.7B.03.08.02.00.00.04.20.00.14.11.00.00.00.B0.AF.1E.7B.03.8D.03.00.00.01.09.00.20.08.00.00.00.08.D3.37.81.03.88.04.00.00.02.15.90.00.08.00.00.00.B0.93.38.81.03.08.02.00.00.04.20.00.14.11.00.00.00.E0.20.39.81.03.8D.03.00.00.01.09.00.14.08.00.00.00.E0.83.52.87.03.8D.03.00.00.01.09.81.03.08.00.00.00.D8.4C.53.87.03.08.02.00.00.04.20.00.14.11.00.00.00.E0.E2.53.87.03.88.04.00.00.02.15.90.03.08.00.00.00.D8.F5.6C.8D.03.88.04.00.00.02.15.90.00.08.00.00.00.08.5C.6E.8D.03.8D.03.00.00.01.09.90.14.08.00.00.00.50.9A.87.93.03.8D.03.00.00.01.09.01.00.08.00.00.00.E0.36.88.93.03.88.04.00.00.02.15.90.00.08.00.00.00.E0.FF.88.93.03.08.02.00.00.04.20.00.14.11.00.00.00.E0.60.A2.99.03.08.02.00.00.04.20.00.14.11.00.00.00.E0.F6.A2.99.03.88.04.00.00.02.15.90.14.08.00.00.00.E0.7C.A3.99.03.8D.03.00.00.01.09.06.00.08.00.00.00.B0.A0.BC.9F.03.08.02.00.00.04.20.00.14.11.00.00.00.08.36.BD.9F.03.88.04.00.00.02.15.90.03.08.00.00.00.00.BC.BD.9F.03.8D.03.00.00.01.09.90.14.08.00.00.00.00.18.D7.A5.03.8D.03.00.00.01.09.00.20.08.00.00.00.D8.B4.D7.A5.03.88.04.00.00.02.15.90.20.08.00.00.00.B0.75.D8.A5.03.08.02.00.00.04.20.00.14.11.00.00.00.E0.FC.F1.AB.03.08.02.00.00.04.20.00.14.11.00.00.00.D8.99.F2.AB.03.88.04.00.00.02.15.90.20.08.00.00.00.E0.6D.F3.AB.03.8D.03.00.00.01.09.90.20.08.00.00.00.E0.4C.0C.B2.03.8D.03.00.00.01.09.AB.03.08.00.00.00.D8.12.0D.B2.03.08.02.00.00.04.20.00.14.11.00.00.00.D8.B0.0D.B2.03.88.04.00.00.02.15.90.11.08.00.00.00.08.EA.26.B8.03.88.04.00.00.02.15.90.00.08.00.00.00.D8.34.28.B8.03.8D.03.00.00.01.09.90.14.08.00.00.00.50.A6.41.BE.03.88.04.00.00.02.15.90.00.08.00.00.00.08.66.42.BE.03.08.02.00.00.04.20.00.14.11.00.00.00.D8.ED.42.BE.03.8D.03.00.00.01.09.00.20.08.00.00.00.E0.DB.5B.C4.03.8D.03.00.00.01.09.00.20.08.00.00.00.E0.9D.5C.C4.03.08.02.00.00.04.20.00.14.11.00.00.00.E0.37.5D.C4.03.88.04.00.00.02.15.90.03.08.00.00.00.D8.85.76.CA.03.88.04.00.00.02.15.90.20.08.00.00.00.E0.47.77.CA.03.08.02.00.00.04.20.00.14.11.00.00.00.00.17.78.CA.03.8D.03.00.00.01.09.CA.03.08.00.00.00.D8.FE.90.D0.03.8D.03.00.00.01.09.CA.03.08.00.00.00.D8.9B.91.D0.03.88.04.00.00.02.15.90.20.08.00.00.00.E0.5B.92.D0.03.08.02.00.00.04.20.00.14.11.00.00.00.00.FF.AB.D6.03.08.02.00.00.04.20.00.14.11.00.00.00.08.95.AC.D6.03.88.04.00.00.02.15.90.00.08.00.00.00.D8.1B.AD.D6.03.8D.03.00.00.01.09.00.14.08.00.00.00.08.37.C6.DC.03.08.02.00.00.04.20.00.14.11.00.00.00.D8.D3.C6.DC.03.88.04.00.00.02.15.90.14.08.00.00.00.00.59.C7.DC.03.8D.03.00.00.01.09.14.11.08.00.00.00.08.94.E0.E2.03.8D.03.00.00.01.09.0C.00.08.00.00.00.D8.EF.E1.E2.03.08.02.00.00.04.20.00.14.11.00.00.00.50.B1.FB.E8.03.08.02.00.00.04.20.00.14.11.00.00.00.B0.47.FC.E8.03.88.04.00.00.02.15.90.00.08.00.00.00.D8.CF.FC.E8.03.8D.03.00.00.01.09.90.00.08.00.00.00.D8.D1.15.EF.03.8D.03.00.00.01.09.00.20.08.00.00.00.E0.97.16.EF.03.08.02.00.00.04.20.00.14.11.00.00.00.08.2D.17.EF.03.88.04.00.00.02.15.90.00.08.00.00.00.D8.87.30.F5.03.88.04.00.00.02.15.90.20.08.00.00.00.E0.47.31.F5.03.08.02.00.00.04.20.00.14.11.00.00.00.00.CE.31.F5.03.8D.03.00.00.01.09.00.00.08.00.00.00.E0.F3.4A.FB.03.88.04.00.00.02.15.90.00.08.00.00.00.08.B3.4B.FB.03.08.02.00.00.04.20.00.14.11.00.00.00.E0.39.4C.FB.03.8D.03.00.00.01.09.FB.03.08.00.00.00.D8.69.65.01.04.8D.03.00.00.01.09.90.14.08.00.00.00.00.30.66.01.04.08.02.00.00.04.20.00.14.11.00.00.00.E0.CC.66.01.04.88.04.00.00.02.15.90.14.08.00.00.00.E0.1B.80.07.04.88.04.00.00.02.15.90.00.08.00.00.00.B0.E2.80.07.04.08.02.00.00.04.20.00.14.11.00.00.00.E0.76.81.07.04.8D.03.00.00.01.09.00.00.08.00.00.00.08.97.9A.0D.04.8D.03.00.00.01.09.00.20.08.00.00.00.E0.FC.9B.0D.04.08.02.00.00.04.20.00.14.11.00.00.00.50.43.B5.13.04.08.02.00.00.04.20.00.14.11.00.00.00.E0.D9.B5.13.04.88.04.00.00.02.15.90.14.08.00.00.00.E0.60.B6.13.04.8D.03.00.00.01.09.00.00.08.00.00.00.08.C6.CF.19.04.08.02.00.00.04.20.00.14.11.00.00.00.E0.5C.D0.19.04.88.04.00.00.02.15.90.14.08.00.00.00.E0.E8.D0.19.04.8D.03.00.00.01.09.00.00.08.00.00.00.08.2C.EA.1F.04.8D.03.00.00.01.09.00.20.08.00.00.00.E0.CA.EA.1F.04.88.04.00.00.02.15.90.00.08.00.00.00.B0.8D.EB.1F.04.08.02.00.00.04.20.00.14.11.00.00.00.E0.E2.04.26.04.08.02.00.00.04.20.00.14.11.00.00.00.D8.91.05.26.04.88.04.00.00.02.15.90.20.08.00.00.00.E0.54.06.26.04.8D.03.00.00.01.09.90.20.08.00.00.00.E0.F6.1E.2C.04.8D.03.00.00.01.09.26.04.08.00.00.00.D8.BF.1F.2C.04.08.02.00.00.04.20.00.14.11.00.00.00.E0.54.20.2C.04.88.04.00.00.02.15.90.00.08.00.00.00.08.FD.39.32.04.88.04.00.00.02.15.90.20.08.00.00.00.E0.BD.3A.32.04.08.02.00.00.04.20.00.14.11.00.00.00.E0.42.3B.32.04.8D.03.00.00.01.09.2C.04.08.00.00.00.00.86.54.38.04.88.04.00.00.02.15.90.04.08.00.00.00.00.CC.55.38.04.8D.03.00.00.01.09.00.14.08.00.00.00.50.AC.6E.3E.04.8D.03.00.00.01.09.01.00.08.00.00.00.E0.71.6F.3E.04.08.02.00.00.04.20.00.14.11.00.00.00.08.0D.70.3E.04.88.04.00.00.02.15.90.20.08.00.00.00.E0.B4.89.44.04.88.04.00.00.02.15.90.00.08.00.00.00.08.83.8A.44.04.08.02.00.00.04.20.00.14.11.00.00.00.E0.0B.8B.44.04.8D.03.00.00.01.09.44.04.08.00.00.00.D8.FD.A3.4A.04.8D.03.00.00.01.09.00.20.08.00.00.00.E0.99.A4.4A.04.88.04.00.00.02.15.90.00.08.00.00.00.08.5B.A5.4A.04.08.02.00.00.04.20.00.14.11.00.00.00.08.DB.BE.50.04.08.02.00.00.04.20.00.14.11.00.00.00.E0.71.BF.50.04.88.04.00.00.02.15.90.00.08.00.00.00.08.F8.BF.50.04.8D.03.00.00.01.09.00.20.08.00.00.00.E0.5D.D9.56.04.08.02.00.00.04.20.00.14.11.00.00.00.E0.F3.D9.56.04.88.04.00.00.02.15.90.00.08.00.00.00.08.79.DA.56.04.8D.03.00.00.01.09.00.00.08.00.00.00.D0.5D.F3.5C.04.8D.03.00.00.01.09.90.14.08.00.00.00.00.F9.F3.5C.04.88.04.00.00.02.15.90.00.08.00.00.00.08.BA.F4.5C.04.08.02.00.00.04.20.00.14.11.00.00.00.08.91.0E.63.04.08.02.00.00.04.20.00.14.11.00.00.00.08.B0.0F.63.04.8D.03.00.00.01.09.00.14.08.00.00.00.50.BF.28.69.04.8D.03.00.00.01.09.01.00.08.00.00.00.E0.86.29.69.04.08.02.00.00.04.20.00.14.11.00.00.00.00.1C.2A.69.04.88.04.00.00.02.15.90.00.08.00.00.00.00.0C.43.6F.04.88.04.00.00.02.15.90.00.08.00.00.00.E0.CC.43.6F.04.08.02.00.00.04.20.00.14.11.00.00.00.D8.58.44.6F.04.8D.03.00.00.01.09.00.14.08.00.00.00.00.E5.5D.75.04.88.04.00.00.02.15.90.00.08.00.00.00.F0.A7.5E.75.04.08.02.00.00.04.20.00.14.11.00.00.00.E0.2C.5F.75.04.8D.03.00.00.01.09.00.14.08.00.00.00.00.1D.78.7B.04.8D.03.00.00.01.09.00.00.08.00.00.00.08.E7.78.7B.04.08.02.00.00.04.20.00.14.11.00.00.00.E0.83.79.7B.04.88.04.00.00.02.15.90.14.08.00.00.00.E0.F4.92.81.04.88.04.00.00.02.15.90.00.08.00.00.00.08.B8.93.81.04.08.02.00.00.04.20.00.14.11.00.00.00.E0.3C.94.81.04.8D.03.00.00.01.09.00.00.08.00.00.00.08.72.AD.87.04.8D.03.00.00.01.09.00.20.08.00.00.00.E0.0E.AE.87.04.88.04.00.00.02.15.90.04.08.00.00.00.D8.D0.AE.87.04.08.02.00.00.04.20.00.14.11.00.00.00.B0.3C.C8.8D.04.08.02.00.00.04.20.00.14.11.00.00.00.D8.58.C9.8D.04.8D.03.00.00.01.09.00.14.08.00.00.00.50.EA.31.93.04.8D.03.00.00.01.09.01.00.08.00.00.00.E0.87.32.93.04.88.04.00.00.02.15.90.04.08.00.00.00.D8.50.33.93.04.08.02.00.00.04.20.00.14.11.00.00.00.08.B8.4C.99.04.08.02.00.00.04.20.00.14.11.00.00.00.D8.4F.4D.99.04.88.04.00.00.02.15.90.20.08.00.00.00.E0.1E.4E.99.04.8D.03.00.00.01.09.02.00.08.00.00.00.B0.05.67.9F.04.8D.03.00.00.01.09.00.00.08.00.00.00.08.CE.67.9F.04.08.02.00.00.04.20.00.14.11.00.00.00.B0.65.68.9F.04.88.04.00.00.02.15.90.11.08.00.00.00.E0.56.81.A5.04.88.04.00.00.02.15.90.04.08.00.00.00.D8.19.82.A5.04.08.02.00.00.04.20.00.14.11.00.00.00.E0.9E.82.A5.04.8D.03.00.00.01.09.A5.04.08.00.00.00.D8.2A.9C.AB.04.88.04.00.00.02.15.90.20.08.00.00.00.B0.EE.9C.AB.04.08.02.00.00.04.20.00.14.11.00.00.00.D0.74.9D.AB.04.8D.03.00.00.01.09.00.20.08.00.00.00.D8.A0.B6.B1.04.8D.03.00.00.01.09.00.20.08.00.00.00.E0.69.B7.B1.04.08.02.00.00.04.20.00.14.11.00.00.00.08.01.B8.B1.04.88.04.00.00.02.15.90.20.08.00.00.00.E0.36.D1.B7.04.88.04.00.00.02.15.90.04.08.00.00.00.D8</t>
  </si>
  <si>
    <t>00h00m14s619-695</t>
  </si>
  <si>
    <t>00h00m14s820-575</t>
  </si>
  <si>
    <t>00h00m14s820-905</t>
  </si>
  <si>
    <t>00h00m15s020-830</t>
  </si>
  <si>
    <t>00h00m15s021-168</t>
  </si>
  <si>
    <t>00h00m15s222-208</t>
  </si>
  <si>
    <t>00h00m15s247-458</t>
  </si>
  <si>
    <t>00h00m15s452-672</t>
  </si>
  <si>
    <t>00h00m15s463-085</t>
  </si>
  <si>
    <t>00h00m15s973-901</t>
  </si>
  <si>
    <t>00h00m15s984-428</t>
  </si>
  <si>
    <t>00h00m16s562-872</t>
  </si>
  <si>
    <t>00h00m16s573-421</t>
  </si>
  <si>
    <t>00h00m16s642-644</t>
  </si>
  <si>
    <t>00h00m16s642-845</t>
  </si>
  <si>
    <t>00h00m16s642-995</t>
  </si>
  <si>
    <t>00h00m17s198-951</t>
  </si>
  <si>
    <t>00h00m17s199-108</t>
  </si>
  <si>
    <t>00h00m17s199-301</t>
  </si>
  <si>
    <t>00h00m17s598-974</t>
  </si>
  <si>
    <t>00h00m17s599-254</t>
  </si>
  <si>
    <t>00h00m17s998-967</t>
  </si>
  <si>
    <t>00h00m17s999-167</t>
  </si>
  <si>
    <t>00h00m17s999-317</t>
  </si>
  <si>
    <t>00h00m18s399-000</t>
  </si>
  <si>
    <t>00h00m18s399-194</t>
  </si>
  <si>
    <t>00h00m18s399-328</t>
  </si>
  <si>
    <t>00h00m18s799-008</t>
  </si>
  <si>
    <t>00h00m18s799-204</t>
  </si>
  <si>
    <t>00h00m18s799-338</t>
  </si>
  <si>
    <t>00h00m19s198-964</t>
  </si>
  <si>
    <t>00h00m19s199-163</t>
  </si>
  <si>
    <t>00h00m19s199-314</t>
  </si>
  <si>
    <t>00h00m19s599-003</t>
  </si>
  <si>
    <t>00h00m19s599-223</t>
  </si>
  <si>
    <t>00h00m19s599-358</t>
  </si>
  <si>
    <t>00h00m19s998-960</t>
  </si>
  <si>
    <t>00h00m19s999-111</t>
  </si>
  <si>
    <t>00h00m19s999-303</t>
  </si>
  <si>
    <t>00h00m20s399-085</t>
  </si>
  <si>
    <t>00h00m20s399-369</t>
  </si>
  <si>
    <t>00h00m20s799-102</t>
  </si>
  <si>
    <t>00h00m20s799-251</t>
  </si>
  <si>
    <t>00h00m20s799-385</t>
  </si>
  <si>
    <t>00h00m21s199-047</t>
  </si>
  <si>
    <t>00h00m21s199-203</t>
  </si>
  <si>
    <t>00h00m21s199-404</t>
  </si>
  <si>
    <t>00h00m21s599-095</t>
  </si>
  <si>
    <t>00h00m21s599-258</t>
  </si>
  <si>
    <t>00h00m21s599-397</t>
  </si>
  <si>
    <t>00h00m21s999-071</t>
  </si>
  <si>
    <t>00h00m21s999-272</t>
  </si>
  <si>
    <t>00h00m21s999-428</t>
  </si>
  <si>
    <t>00h00m22s399-093</t>
  </si>
  <si>
    <t>00h00m22s399-292</t>
  </si>
  <si>
    <t>00h00m22s399-430</t>
  </si>
  <si>
    <t>00h00m22s799-110</t>
  </si>
  <si>
    <t>00h00m22s799-304</t>
  </si>
  <si>
    <t>00h00m22s799-439</t>
  </si>
  <si>
    <t>00h00m23s199-102</t>
  </si>
  <si>
    <t>00h00m23s199-458</t>
  </si>
  <si>
    <t>00h00m23s599-140</t>
  </si>
  <si>
    <t>00h00m23s599-336</t>
  </si>
  <si>
    <t>00h00m23s599-473</t>
  </si>
  <si>
    <t>00h00m23s999-172</t>
  </si>
  <si>
    <t>00h00m23s999-322</t>
  </si>
  <si>
    <t>00h00m23s999-523</t>
  </si>
  <si>
    <t>00h00m24s399-242</t>
  </si>
  <si>
    <t>00h00m24s399-393</t>
  </si>
  <si>
    <t>00h00m24s399-528</t>
  </si>
  <si>
    <t>00h00m24s799-229</t>
  </si>
  <si>
    <t>00h00m24s799-379</t>
  </si>
  <si>
    <t>00h00m24s799-513</t>
  </si>
  <si>
    <t>00h00m25s199-203</t>
  </si>
  <si>
    <t>00h00m25s199-353</t>
  </si>
  <si>
    <t>00h00m25s199-554</t>
  </si>
  <si>
    <t>00h00m25s599-291</t>
  </si>
  <si>
    <t>00h00m25s599-442</t>
  </si>
  <si>
    <t>00h00m25s599-586</t>
  </si>
  <si>
    <t>00h00m25s999-209</t>
  </si>
  <si>
    <t>00h00m25s999-558</t>
  </si>
  <si>
    <t>00h00m26s399-243</t>
  </si>
  <si>
    <t>00h00m26s399-433</t>
  </si>
  <si>
    <t>00h00m26s399-567</t>
  </si>
  <si>
    <t>00h00m26s799-169</t>
  </si>
  <si>
    <t>00h00m26s799-362</t>
  </si>
  <si>
    <t>00h00m26s799-503</t>
  </si>
  <si>
    <t>00h00m27s199-231</t>
  </si>
  <si>
    <t>00h00m27s199-431</t>
  </si>
  <si>
    <t>00h00m27s199-584</t>
  </si>
  <si>
    <t>00h00m27s599-276</t>
  </si>
  <si>
    <t>00h00m27s599-475</t>
  </si>
  <si>
    <t>00h00m27s599-610</t>
  </si>
  <si>
    <t>00h00m27s999-204</t>
  </si>
  <si>
    <t>00h00m27s999-360</t>
  </si>
  <si>
    <t>00h00m27s999-552</t>
  </si>
  <si>
    <t>00h00m28s399-336</t>
  </si>
  <si>
    <t>00h00m28s399-487</t>
  </si>
  <si>
    <t>00h00m28s399-621</t>
  </si>
  <si>
    <t>00h00m28s799-326</t>
  </si>
  <si>
    <t>00h00m28s799-616</t>
  </si>
  <si>
    <t>00h00m29s199-228</t>
  </si>
  <si>
    <t>00h00m29s199-386</t>
  </si>
  <si>
    <t>00h00m29s199-580</t>
  </si>
  <si>
    <t>00h00m29s599-359</t>
  </si>
  <si>
    <t>00h00m29s599-515</t>
  </si>
  <si>
    <t>00h00m29s599-647</t>
  </si>
  <si>
    <t>00h00m29s999-300</t>
  </si>
  <si>
    <t>00h00m29s999-499</t>
  </si>
  <si>
    <t>00h00m29s999-655</t>
  </si>
  <si>
    <t>00h00m30s399-325</t>
  </si>
  <si>
    <t>00h00m30s399-517</t>
  </si>
  <si>
    <t>00h00m30s399-657</t>
  </si>
  <si>
    <t>00h00m30s799-383</t>
  </si>
  <si>
    <t>00h00m30s799-575</t>
  </si>
  <si>
    <t>00h00m30s799-709</t>
  </si>
  <si>
    <t>00h00m31s199-377</t>
  </si>
  <si>
    <t>00h00m31s199-569</t>
  </si>
  <si>
    <t>00h00m31s199-721</t>
  </si>
  <si>
    <t>00h00m31s599-428</t>
  </si>
  <si>
    <t>00h00m31s599-754</t>
  </si>
  <si>
    <t>00h00m31s999-360</t>
  </si>
  <si>
    <t>00h00m31s999-516</t>
  </si>
  <si>
    <t>00h00m31s999-716</t>
  </si>
  <si>
    <t>00h00m32s399-466</t>
  </si>
  <si>
    <t>00h00m32s399-616</t>
  </si>
  <si>
    <t>00h00m32s399-750</t>
  </si>
  <si>
    <t>00h00m32s799-446</t>
  </si>
  <si>
    <t>00h00m32s799-596</t>
  </si>
  <si>
    <t>00h00m32s799-731</t>
  </si>
  <si>
    <t>00h00m33s199-420</t>
  </si>
  <si>
    <t>00h00m33s199-570</t>
  </si>
  <si>
    <t>00h00m33s199-762</t>
  </si>
  <si>
    <t>00h00m33s599-521</t>
  </si>
  <si>
    <t>00h00m33s599-670</t>
  </si>
  <si>
    <t>00h00m33s599-816</t>
  </si>
  <si>
    <t>00h00m33s999-340</t>
  </si>
  <si>
    <t>00h00m33s999-532</t>
  </si>
  <si>
    <t>00h00m33s999-683</t>
  </si>
  <si>
    <t>00h00m34s399-444</t>
  </si>
  <si>
    <t>00h00m34s399-771</t>
  </si>
  <si>
    <t>00h00m34s799-376</t>
  </si>
  <si>
    <t>00h00m34s799-575</t>
  </si>
  <si>
    <t>00h00m34s799-709</t>
  </si>
  <si>
    <t>00h00m35s199-454</t>
  </si>
  <si>
    <t>00h00m35s199-653</t>
  </si>
  <si>
    <t>00h00m35s199-807</t>
  </si>
  <si>
    <t>00h00m35s599-505</t>
  </si>
  <si>
    <t>00h00m35s599-697</t>
  </si>
  <si>
    <t>00h00m35s599-839</t>
  </si>
  <si>
    <t>00h00m35s999-415</t>
  </si>
  <si>
    <t>00h00m35s999-573</t>
  </si>
  <si>
    <t>00h00m35s999-765</t>
  </si>
  <si>
    <t>00h00m36s399-559</t>
  </si>
  <si>
    <t>00h00m36s399-709</t>
  </si>
  <si>
    <t>00h00m36s399-843</t>
  </si>
  <si>
    <t>00h00m36s799-569</t>
  </si>
  <si>
    <t>00h00m36s799-719</t>
  </si>
  <si>
    <t>00h00m36s799-853</t>
  </si>
  <si>
    <t>00h00m37s199-521</t>
  </si>
  <si>
    <t>00h00m37s199-872</t>
  </si>
  <si>
    <t>00h00m37s599-623</t>
  </si>
  <si>
    <t>00h00m37s599-773</t>
  </si>
  <si>
    <t>00h00m37s599-906</t>
  </si>
  <si>
    <t>00h00m37s999-543</t>
  </si>
  <si>
    <t>00h00m37s999-734</t>
  </si>
  <si>
    <t>00h00m37s999-885</t>
  </si>
  <si>
    <t>00h00m38s399-568</t>
  </si>
  <si>
    <t>00h00m38s399-760</t>
  </si>
  <si>
    <t>00h00m38s399-894</t>
  </si>
  <si>
    <t>00h00m38s799-582</t>
  </si>
  <si>
    <t>00h00m38s799-774</t>
  </si>
  <si>
    <t>00h00m38s799-908</t>
  </si>
  <si>
    <t>00h00m39s199-574</t>
  </si>
  <si>
    <t>00h00m39s199-772</t>
  </si>
  <si>
    <t>00h00m39s199-922</t>
  </si>
  <si>
    <t>00h00m39s599-638</t>
  </si>
  <si>
    <t>00h00m39s599-854</t>
  </si>
  <si>
    <t>00h00m39s599-988</t>
  </si>
  <si>
    <t>00h00m39s999-510</t>
  </si>
  <si>
    <t>00h00m39s999-853</t>
  </si>
  <si>
    <t>00h00m40s399-678</t>
  </si>
  <si>
    <t>00h00m40s399-826</t>
  </si>
  <si>
    <t>00h00m40s399-961</t>
  </si>
  <si>
    <t>00h00m40s799-672</t>
  </si>
  <si>
    <t>00h00m40s799-823</t>
  </si>
  <si>
    <t>00h00m40s799-957</t>
  </si>
  <si>
    <t>00h00m41s199-544</t>
  </si>
  <si>
    <t>00h00m41s199-693</t>
  </si>
  <si>
    <t>00h00m41s199-885</t>
  </si>
  <si>
    <t>00h00m41s599-691</t>
  </si>
  <si>
    <t>00h00m41s599-859</t>
  </si>
  <si>
    <t>00h00m41s600-023</t>
  </si>
  <si>
    <t>00h00m41s999-642</t>
  </si>
  <si>
    <t>00h00m41s999-836</t>
  </si>
  <si>
    <t>00h00m41s999-991</t>
  </si>
  <si>
    <t>00h00m42s399-647</t>
  </si>
  <si>
    <t>00h00m42s399-845</t>
  </si>
  <si>
    <t>00h00m42s399-983</t>
  </si>
  <si>
    <t>00h00m42s799-701</t>
  </si>
  <si>
    <t>00h00m42s800-027</t>
  </si>
  <si>
    <t>00h00m43s199-673</t>
  </si>
  <si>
    <t>00h00m43s199-865</t>
  </si>
  <si>
    <t>00h00m43s200-021</t>
  </si>
  <si>
    <t>00h00m43s599-717</t>
  </si>
  <si>
    <t>00h00m43s599-915</t>
  </si>
  <si>
    <t>00h00m43s600-055</t>
  </si>
  <si>
    <t>00h00m43s999-713</t>
  </si>
  <si>
    <t>00h00m43s999-864</t>
  </si>
  <si>
    <t>00h00m44s000-064</t>
  </si>
  <si>
    <t>00h00m44s399-755</t>
  </si>
  <si>
    <t>00h00m44s399-906</t>
  </si>
  <si>
    <t>00h00m44s400-046</t>
  </si>
  <si>
    <t>00h00m44s799-790</t>
  </si>
  <si>
    <t>00h00m44s799-940</t>
  </si>
  <si>
    <t>00h00m44s800-074</t>
  </si>
  <si>
    <t>00h00m45s199-723</t>
  </si>
  <si>
    <t>00h00m45s199-874</t>
  </si>
  <si>
    <t>00h00m45s200-066</t>
  </si>
  <si>
    <t>00h00m45s599-822</t>
  </si>
  <si>
    <t>00h00m45s600-112</t>
  </si>
  <si>
    <t>00h00m45s999-764</t>
  </si>
  <si>
    <t>00h00m45s999-958</t>
  </si>
  <si>
    <t>00h00m46s000-115</t>
  </si>
  <si>
    <t>00h00m46s399-770</t>
  </si>
  <si>
    <t>00h00m46s399-962</t>
  </si>
  <si>
    <t>00h00m46s400-103</t>
  </si>
  <si>
    <t>00h00m46s799-800</t>
  </si>
  <si>
    <t>00h00m46s799-992</t>
  </si>
  <si>
    <t>00h00m46s800-127</t>
  </si>
  <si>
    <t>00h00m47s199-794</t>
  </si>
  <si>
    <t>00h00m47s199-988</t>
  </si>
  <si>
    <t>00h00m47s200-145</t>
  </si>
  <si>
    <t>00h00m47s599-840</t>
  </si>
  <si>
    <t>00h00m47s600-037</t>
  </si>
  <si>
    <t>00h00m47s600-179</t>
  </si>
  <si>
    <t>00h00m47s999-814</t>
  </si>
  <si>
    <t>00h00m47s999-966</t>
  </si>
  <si>
    <t>00h00m48s000-165</t>
  </si>
  <si>
    <t>00h00m48s399-887</t>
  </si>
  <si>
    <t>00h00m48s400-171</t>
  </si>
  <si>
    <t>00h00m48s799-867</t>
  </si>
  <si>
    <t>00h00m48s800-023</t>
  </si>
  <si>
    <t>00h00m48s800-165</t>
  </si>
  <si>
    <t>00h00m49s199-845</t>
  </si>
  <si>
    <t>00h00m49s199-995</t>
  </si>
  <si>
    <t>00h00m49s200-195</t>
  </si>
  <si>
    <t>00h00m49s599-933</t>
  </si>
  <si>
    <t>00h00m49s600-083</t>
  </si>
  <si>
    <t>00h00m49s600-289</t>
  </si>
  <si>
    <t>00h00m49s999-885</t>
  </si>
  <si>
    <t>00h00m50s000-084</t>
  </si>
  <si>
    <t>00h00m50s000-233</t>
  </si>
  <si>
    <t>00h00m50s399-911</t>
  </si>
  <si>
    <t>00h00m50s400-108</t>
  </si>
  <si>
    <t>00h00m50s400-241</t>
  </si>
  <si>
    <t>00h00m50s799-915</t>
  </si>
  <si>
    <t>00h00m50s800-113</t>
  </si>
  <si>
    <t>00h00m50s800-247</t>
  </si>
  <si>
    <t>00h00m51s199-909</t>
  </si>
  <si>
    <t>00h00m51s200-260</t>
  </si>
  <si>
    <t>00h00m51s599-919</t>
  </si>
  <si>
    <t>00h00m51s600-112</t>
  </si>
  <si>
    <t>00h00m51s600-327</t>
  </si>
  <si>
    <t>00h00m51s999-929</t>
  </si>
  <si>
    <t>00h00m52s000-089</t>
  </si>
  <si>
    <t>00h00m52s000-288</t>
  </si>
  <si>
    <t>00h00m52s400-005</t>
  </si>
  <si>
    <t>00h00m52s400-154</t>
  </si>
  <si>
    <t>00h00m52s400-288</t>
  </si>
  <si>
    <t>00h00m52s799-978</t>
  </si>
  <si>
    <t>00h00m52s800-128</t>
  </si>
  <si>
    <t>00h00m52s800-278</t>
  </si>
  <si>
    <t>00h00m53s199-927</t>
  </si>
  <si>
    <t>00h00m53s200-077</t>
  </si>
  <si>
    <t>00h00m53s200-269</t>
  </si>
  <si>
    <t>00h00m53s600-031</t>
  </si>
  <si>
    <t>00h00m53s600-204</t>
  </si>
  <si>
    <t>00h00m53s600-410</t>
  </si>
  <si>
    <t>00h00m53s999-980</t>
  </si>
  <si>
    <t>00h00m54s000-336</t>
  </si>
  <si>
    <t>00h00m54s399-950</t>
  </si>
  <si>
    <t>00h00m54s400-147</t>
  </si>
  <si>
    <t>00h00m54s400-286</t>
  </si>
  <si>
    <t>00h00m54s800-002</t>
  </si>
  <si>
    <t>00h00m54s800-194</t>
  </si>
  <si>
    <t>00h00m54s800-334</t>
  </si>
  <si>
    <t>00h00m55s199-996</t>
  </si>
  <si>
    <t>00h00m55s200-189</t>
  </si>
  <si>
    <t>00h00m55s200-341</t>
  </si>
  <si>
    <t>00h00m55s600-005</t>
  </si>
  <si>
    <t>00h00m55s600-209</t>
  </si>
  <si>
    <t>00h00m55s600-357</t>
  </si>
  <si>
    <t>00h00m55s999-990</t>
  </si>
  <si>
    <t>00h00m56s000-140</t>
  </si>
  <si>
    <t>00h00m56s000-331</t>
  </si>
  <si>
    <t>00h00m56s400-079</t>
  </si>
  <si>
    <t>00h00m56s400-229</t>
  </si>
  <si>
    <t>00h00m56s400-362</t>
  </si>
  <si>
    <t>00h00m56s800-095</t>
  </si>
  <si>
    <t>00h00m56s800-387</t>
  </si>
  <si>
    <t>00h00m57s200-087</t>
  </si>
  <si>
    <t>00h00m57s200-243</t>
  </si>
  <si>
    <t>00h00m57s200-439</t>
  </si>
  <si>
    <t>00h00m57s600-157</t>
  </si>
  <si>
    <t>00h00m57s600-331</t>
  </si>
  <si>
    <t>00h00m57s600-495</t>
  </si>
  <si>
    <t>00h00m58s000-103</t>
  </si>
  <si>
    <t>00h00m58s000-301</t>
  </si>
  <si>
    <t>00h00m58s000-452</t>
  </si>
  <si>
    <t>00h00m58s400-097</t>
  </si>
  <si>
    <t>00h00m58s400-290</t>
  </si>
  <si>
    <t>00h00m58s400-431</t>
  </si>
  <si>
    <t>00h00m58s800-083</t>
  </si>
  <si>
    <t>00h00m58s800-275</t>
  </si>
  <si>
    <t>00h00m58s800-416</t>
  </si>
  <si>
    <t>00h00m59s200-131</t>
  </si>
  <si>
    <t>00h00m59s200-332</t>
  </si>
  <si>
    <t>00h00m59s200-482</t>
  </si>
  <si>
    <t>00h00m59s600-117</t>
  </si>
  <si>
    <t>00h00m59s600-476</t>
  </si>
  <si>
    <t>00h01m00s000-154</t>
  </si>
  <si>
    <t>00h01m00s000-310</t>
  </si>
  <si>
    <t>00h01m00s000-511</t>
  </si>
  <si>
    <t>00h01m00s400-224</t>
  </si>
  <si>
    <t>00h01m00s400-374</t>
  </si>
  <si>
    <t>00h01m00s400-508</t>
  </si>
  <si>
    <t>00h01m00s800-160</t>
  </si>
  <si>
    <t>00h01m00s800-310</t>
  </si>
  <si>
    <t>00h01m00s800-444</t>
  </si>
  <si>
    <t>00h01m01s200-152</t>
  </si>
  <si>
    <t>00h01m01s200-308</t>
  </si>
  <si>
    <t>00h01m01s200-501</t>
  </si>
  <si>
    <t>00h01m01s600-252</t>
  </si>
  <si>
    <t>00h01m01s600-409</t>
  </si>
  <si>
    <t>00h01m01s600-621</t>
  </si>
  <si>
    <t>00h01m02s000-204</t>
  </si>
  <si>
    <t>00h01m02s000-402</t>
  </si>
  <si>
    <t>00h01m02s000-560</t>
  </si>
  <si>
    <t>00h01m02s400-234</t>
  </si>
  <si>
    <t>00h01m02s400-564</t>
  </si>
  <si>
    <t>00h01m02s800-294</t>
  </si>
  <si>
    <t>00h01m02s800-486</t>
  </si>
  <si>
    <t>00h01m02s800-621</t>
  </si>
  <si>
    <t>00h01m03s200-219</t>
  </si>
  <si>
    <t>00h01m03s200-413</t>
  </si>
  <si>
    <t>00h01m03s200-567</t>
  </si>
  <si>
    <t>00h01m03s600-261</t>
  </si>
  <si>
    <t>00h01m03s600-455</t>
  </si>
  <si>
    <t>00h01m03s600-663</t>
  </si>
  <si>
    <t>00h01m04s000-254</t>
  </si>
  <si>
    <t>00h01m04s000-411</t>
  </si>
  <si>
    <t>00h01m04s000-603</t>
  </si>
  <si>
    <t>00h01m04s400-383</t>
  </si>
  <si>
    <t>00h01m04s400-533</t>
  </si>
  <si>
    <t>00h01m04s400-667</t>
  </si>
  <si>
    <t>00h01m04s800-311</t>
  </si>
  <si>
    <t>00h01m04s800-467</t>
  </si>
  <si>
    <t>00h01m04s800-601</t>
  </si>
  <si>
    <t>00h01m05s200-276</t>
  </si>
  <si>
    <t>00h01m05s200-623</t>
  </si>
  <si>
    <t>00h01m05s600-433</t>
  </si>
  <si>
    <t>00h01m05s600-583</t>
  </si>
  <si>
    <t>00h01m05s600-719</t>
  </si>
  <si>
    <t>00h01m06s000-337</t>
  </si>
  <si>
    <t>00h01m06s000-535</t>
  </si>
  <si>
    <t>00h01m06s000-685</t>
  </si>
  <si>
    <t>00h01m06s400-391</t>
  </si>
  <si>
    <t>00h01m06s400-583</t>
  </si>
  <si>
    <t>00h01m06s400-718</t>
  </si>
  <si>
    <t>00h01m06s800-371</t>
  </si>
  <si>
    <t>00h01m06s800-563</t>
  </si>
  <si>
    <t>00h01m06s800-697</t>
  </si>
  <si>
    <t>00h01m07s200-361</t>
  </si>
  <si>
    <t>00h01m07s200-560</t>
  </si>
  <si>
    <t>00h01m07s200-716</t>
  </si>
  <si>
    <t>00h01m07s600-411</t>
  </si>
  <si>
    <t>00h01m07s600-610</t>
  </si>
  <si>
    <t>00h01m07s600-758</t>
  </si>
  <si>
    <t>00h01m08s000-407</t>
  </si>
  <si>
    <t>00h01m08s000-764</t>
  </si>
  <si>
    <t>00h01m08s400-451</t>
  </si>
  <si>
    <t>00h01m08s400-601</t>
  </si>
  <si>
    <t>00h01m08s400-736</t>
  </si>
  <si>
    <t>00h01m08s800-454</t>
  </si>
  <si>
    <t>00h01m08s800-604</t>
  </si>
  <si>
    <t>00h01m08s800-744</t>
  </si>
  <si>
    <t>00h01m09s200-428</t>
  </si>
  <si>
    <t>00h01m09s200-586</t>
  </si>
  <si>
    <t>00h01m09s200-781</t>
  </si>
  <si>
    <t>00h01m09s600-482</t>
  </si>
  <si>
    <t>00h01m09s600-657</t>
  </si>
  <si>
    <t>00h01m09s600-852</t>
  </si>
  <si>
    <t>00h01m10s000-374</t>
  </si>
  <si>
    <t>00h01m10s000-575</t>
  </si>
  <si>
    <t>00h01m10s000-724</t>
  </si>
  <si>
    <t>00h01m10s400-509</t>
  </si>
  <si>
    <t>00h01m10s400-701</t>
  </si>
  <si>
    <t>00h01m10s400-834</t>
  </si>
  <si>
    <t>00h01m10s800-518</t>
  </si>
  <si>
    <t>00h01m10s800-844</t>
  </si>
  <si>
    <t>00h01m11s200-428</t>
  </si>
  <si>
    <t>00h01m11s200-625</t>
  </si>
  <si>
    <t>00h01m11s200-781</t>
  </si>
  <si>
    <t>00h01m11s600-564</t>
  </si>
  <si>
    <t>00h01m11s600-771</t>
  </si>
  <si>
    <t>00h01m11s600-907</t>
  </si>
  <si>
    <t>00h01m12s000-509</t>
  </si>
  <si>
    <t>00h01m12s000-665</t>
  </si>
  <si>
    <t>00h01m12s000-859</t>
  </si>
  <si>
    <t>00h01m12s400-603</t>
  </si>
  <si>
    <t>00h01m12s400-753</t>
  </si>
  <si>
    <t>00h01m12s400-888</t>
  </si>
  <si>
    <t>00h01m12s800-605</t>
  </si>
  <si>
    <t>00h01m12s800-755</t>
  </si>
  <si>
    <t>00h01m12s800-889</t>
  </si>
  <si>
    <t>00h01m13s200-477</t>
  </si>
  <si>
    <t>00h01m13s200-633</t>
  </si>
  <si>
    <t>00h01m13s200-826</t>
  </si>
  <si>
    <t>00h01m13s600-657</t>
  </si>
  <si>
    <t>00h01m13s600-944</t>
  </si>
  <si>
    <t>00h01m14s000-575</t>
  </si>
  <si>
    <t>00h01m14s000-774</t>
  </si>
  <si>
    <t>00h01m14s000-924</t>
  </si>
  <si>
    <t>00h01m14s400-524</t>
  </si>
  <si>
    <t>00h01m14s400-716</t>
  </si>
  <si>
    <t>00h01m14s400-856</t>
  </si>
  <si>
    <t>00h01m14s800-613</t>
  </si>
  <si>
    <t>00h01m14s800-807</t>
  </si>
  <si>
    <t>00h01m14s800-940</t>
  </si>
  <si>
    <t>00h01m15s200-541</t>
  </si>
  <si>
    <t>00h01m15s200-743</t>
  </si>
  <si>
    <t>00h01m15s200-899</t>
  </si>
  <si>
    <t>00h01m15s600-628</t>
  </si>
  <si>
    <t>00h01m15s600-824</t>
  </si>
  <si>
    <t>00h01m15s600-956</t>
  </si>
  <si>
    <t>00h01m16s000-626</t>
  </si>
  <si>
    <t>00h01m16s000-782</t>
  </si>
  <si>
    <t>00h01m16s000-976</t>
  </si>
  <si>
    <t>00h01m16s400-700</t>
  </si>
  <si>
    <t>00h01m16s400-984</t>
  </si>
  <si>
    <t>00h01m16s755-434</t>
  </si>
  <si>
    <t>00h01m16s755-591</t>
  </si>
  <si>
    <t>00h01m16s755-792</t>
  </si>
  <si>
    <t>00h01m17s155-512</t>
  </si>
  <si>
    <t>00h01m17s155-663</t>
  </si>
  <si>
    <t>00h01m17s155-870</t>
  </si>
  <si>
    <t>00h01m17s555-461</t>
  </si>
  <si>
    <t>00h01m17s555-662</t>
  </si>
  <si>
    <t>00h01m17s555-813</t>
  </si>
  <si>
    <t>00h01m17s955-414</t>
  </si>
  <si>
    <t>00h01m17s955-609</t>
  </si>
  <si>
    <t>00h01m17s955-742</t>
  </si>
  <si>
    <t>00h01m18s355-498</t>
  </si>
  <si>
    <t>00h01m18s355-694</t>
  </si>
  <si>
    <t>00h01m18s355-828</t>
  </si>
  <si>
    <t>00h01m18s755-488</t>
  </si>
  <si>
    <t>00h01m18s755-689</t>
  </si>
  <si>
    <t>00h01m18s755-841</t>
  </si>
  <si>
    <t>00h01m19s155-510</t>
  </si>
  <si>
    <t>460</t>
  </si>
  <si>
    <t>98390011A0000000000000000000000000000000000000000000000000000000</t>
  </si>
  <si>
    <t>01, 04, 05, 0B, 0C, 0D, 10, 1C, 20, 21, 23</t>
  </si>
  <si>
    <t>01, 04, 05, 0B, 0C, 0D, 0F, 10, 11, 13, 1C, 1F, 20, 21, 23, 24, 2C, 2D, 30, 31, 33, 3E, 40, 41, 42, 45, 49, 4A, 4C, 4F, 5A</t>
  </si>
  <si>
    <t>Puissance</t>
  </si>
  <si>
    <t>Conso ralenti ml</t>
  </si>
  <si>
    <t>Conso ml</t>
  </si>
  <si>
    <t>PTIN 0103-13
355305040036489</t>
  </si>
  <si>
    <t>JMON 0097-13
355305040012209</t>
  </si>
  <si>
    <t>JGUI 0013-13
355305040011227</t>
  </si>
  <si>
    <t>00</t>
  </si>
  <si>
    <t>LGUE 0016-13
355305040014080</t>
  </si>
  <si>
    <t>TEST</t>
  </si>
  <si>
    <t>ch</t>
  </si>
  <si>
    <t>distrib_ID_6-14</t>
  </si>
  <si>
    <t>distrib_ID_3-8</t>
  </si>
  <si>
    <t>distrib_ID_3-11</t>
  </si>
  <si>
    <t>distrib_ID_13-12</t>
  </si>
  <si>
    <t>distrib_ID_1-9</t>
  </si>
  <si>
    <t>983BA013B7F9A001CCD000000000000000000000000000000000000000000000</t>
  </si>
  <si>
    <t>01, 04, 05, 0B, 0C, 0D, 0F, 10, 11, 13, 1C, 1F, 20, 21, 23, 24, 26, 27, 28, 29, 2A, 2B, 2C, 2D, 30, 31, 33, 40, 41, 42, 45, 46, 49, 4A, 4C</t>
  </si>
  <si>
    <t>IDX_Excess_VBAT_count</t>
  </si>
  <si>
    <t>IDX_Excess_VBAT_duration</t>
  </si>
  <si>
    <t>IDX_Excess_VBAT_distance</t>
  </si>
  <si>
    <t>IDX_RECO_Serv_Found</t>
  </si>
  <si>
    <t>IDX_Excess_OIL_TEMP_count</t>
  </si>
  <si>
    <t>IDX_Excess_OIL_TEMP_duration</t>
  </si>
  <si>
    <t>IDX_Excess_OIL_TEMP_distance</t>
  </si>
  <si>
    <t>983BA013B019A001CCD200000000000000000000000000000000000000000000</t>
  </si>
  <si>
    <t>01, 04, 05, 0B, 0C, 0D, 0F, 10, 11, 13, 1C, 1F, 20, 21, 23, 24, 2C, 2D, 30, 31, 33, 40, 41, 42, 45, 46, 49, 4A, 4C, 4F</t>
  </si>
  <si>
    <t>983B0017A01BA001C0CC00000000000000000000000000000000000000000000</t>
  </si>
  <si>
    <t>01, 04, 05, 0B, 0C, 0D, 0F, 10, 1C, 1E, 1F, 20, 21, 23, 2C, 2D, 2F, 30, 31, 33, 40, 41, 42, 49, 4A, 4D, 4E</t>
  </si>
  <si>
    <t>NB faux départs</t>
  </si>
  <si>
    <t>DEVAY</t>
  </si>
  <si>
    <t>Utilisateur</t>
  </si>
  <si>
    <t>D:\Boulot\Main\Ican\Extract_traces_FTP\Traces4</t>
  </si>
  <si>
    <t>01070100</t>
  </si>
  <si>
    <t>vide</t>
  </si>
  <si>
    <t>OBD-SPY</t>
  </si>
  <si>
    <t>PSA</t>
  </si>
  <si>
    <t>38D - 0-1</t>
  </si>
  <si>
    <t>208 - 0-1</t>
  </si>
  <si>
    <t>REN-MEG3</t>
  </si>
  <si>
    <t>5D7 - 0-1</t>
  </si>
  <si>
    <t>186 - 0-1</t>
  </si>
  <si>
    <t>REN-ESP4</t>
  </si>
  <si>
    <t>VAG</t>
  </si>
  <si>
    <t>HYU</t>
  </si>
  <si>
    <t>Stop&amp;Start time</t>
  </si>
  <si>
    <t>Version SVN</t>
  </si>
  <si>
    <t>Angle volant moyen</t>
  </si>
  <si>
    <t>FLEET ID</t>
  </si>
  <si>
    <t>BLOODLUST</t>
  </si>
  <si>
    <t>CONSO_URBAIN</t>
  </si>
  <si>
    <t>CONSO_MIXTE</t>
  </si>
  <si>
    <t>CONSO_EXTRA_URBAIN</t>
  </si>
  <si>
    <t>DIST_URBAIN</t>
  </si>
  <si>
    <t>DIST_MIXTE</t>
  </si>
  <si>
    <t>DIST_EXTRA_URBAIN</t>
  </si>
  <si>
    <t>COEF_URBAIN</t>
  </si>
  <si>
    <t>COEF_MIXTE</t>
  </si>
  <si>
    <t>COEF_EXTRA_URBAIN</t>
  </si>
  <si>
    <t>TIME_URBAIN</t>
  </si>
  <si>
    <t>TIME_MIXTE</t>
  </si>
  <si>
    <t>TIME_EXTRA_URBAIN</t>
  </si>
  <si>
    <t>TIME_ACCELERATOR_UP</t>
  </si>
  <si>
    <t>DIST_ACCELERATOR_UP</t>
  </si>
  <si>
    <t>Coef conso Urbain</t>
  </si>
  <si>
    <t>Coef conso Extra-Urbain</t>
  </si>
  <si>
    <t>Coef conso Mixte</t>
  </si>
  <si>
    <t>C0 C0 00 00 00</t>
  </si>
  <si>
    <t>01, 02, 09, 0A</t>
  </si>
  <si>
    <t>Type Msg_Fleet</t>
  </si>
  <si>
    <t>Current_TIME</t>
  </si>
  <si>
    <t>Current_DATE</t>
  </si>
  <si>
    <t>TYPE_EVENT_MSG</t>
  </si>
  <si>
    <t>GPS_LATITUDE</t>
  </si>
  <si>
    <t>GPS_LONGITUDE</t>
  </si>
  <si>
    <t>GPS_NB_GPS</t>
  </si>
  <si>
    <t>GPS_QUALITE_SIGNAL</t>
  </si>
  <si>
    <t>GPS_ALTITUDE</t>
  </si>
  <si>
    <t>GPS_SPEED</t>
  </si>
  <si>
    <t>GPS_TRACK_ANGLE</t>
  </si>
  <si>
    <t>GPS_LATITUDE_START</t>
  </si>
  <si>
    <t>GPS_LATITUDE_END</t>
  </si>
  <si>
    <t>GPS_LONGITUDE_START</t>
  </si>
  <si>
    <t>GPS_LONGITUDE_END</t>
  </si>
  <si>
    <t>GPS_NB_GPS_START</t>
  </si>
  <si>
    <t>GPS_NB_GPS_END</t>
  </si>
  <si>
    <t>GPS_ALTITUDE_START</t>
  </si>
  <si>
    <t>GPS_ALTITUDE_END</t>
  </si>
  <si>
    <t>GPS_QUALITE_SIGNAL_START</t>
  </si>
  <si>
    <t>GPS_QUALITE_SIGNAL_END</t>
  </si>
  <si>
    <t>00.00.00.00.07.00.00.00.52.50.4D.00.08.00.00.00.00.43.C8.01.00.53.70.65.65.64.00.08.60.00.00.00.AF.29.F6.02.43.6F.6E.73.6F.00.08.00.00.00.00.43.C8.01.00.54.68.72.6F.00.08.01.00.00.00.43.C8.01.00.75.63.53.74.61.74.65.00.01.33.75.63.53.74.61.74.65.53.54.45.50.00.01.00.44.65.62.75.67.53.74.61.74.65.47.53.4D.00.01.00</t>
  </si>
  <si>
    <t>00.00.00.00.43.C8.01.00.</t>
  </si>
  <si>
    <t>60.00.00.00.AF.29.F6.02.</t>
  </si>
  <si>
    <t>01.00.00.00.43.C8.01.00.</t>
  </si>
  <si>
    <t>33.</t>
  </si>
  <si>
    <t>00.</t>
  </si>
  <si>
    <t>original ici:</t>
  </si>
  <si>
    <t>F:\9000\9082\01-Back Office ATS\01-Specification</t>
  </si>
  <si>
    <t>GUILHAS</t>
  </si>
  <si>
    <t>JDEV</t>
  </si>
  <si>
    <t>TYPEID31</t>
  </si>
  <si>
    <t>TYPEID33</t>
  </si>
  <si>
    <t>01000107</t>
  </si>
  <si>
    <t>RECO</t>
  </si>
  <si>
    <t>Mode privé</t>
  </si>
  <si>
    <t>0900010001010402024006030450C300000601040702000004044A4D4F4E05010108025A00</t>
  </si>
  <si>
    <t>0A0001000101040202600903040000000004044C475545050101060105070200000802A30009115956314257363934303831303030393639</t>
  </si>
  <si>
    <t>0A000100010104020218060304000000000601040702000004044A4755490911564637334439484338454A36383037343705010108027400</t>
  </si>
  <si>
    <t>0A00010001010102024C040304C8CB00000601040702000004044A47554909115646374A4D48465843393734353131343605010108024600</t>
  </si>
  <si>
    <t>0B00010001010402027805030465300100060104070200000404544553540911564633343536373839303132333435363705010108025A000A054654455354</t>
  </si>
  <si>
    <t>E_GPS_LAST_ALTITUDE</t>
  </si>
  <si>
    <t>E_GPS_LAST_LONGITUDE</t>
  </si>
  <si>
    <t>E_GPS_LAST_LATITUDE</t>
  </si>
  <si>
    <t>E_MILEAGE_OFFSET</t>
  </si>
  <si>
    <t>PERCENT_TIME_URBAIN</t>
  </si>
  <si>
    <t>PERCENT_TIME_MIXTE</t>
  </si>
  <si>
    <t>PERCENT_TIME_EXTRA_URBAIN</t>
  </si>
  <si>
    <t>CAUSE_ARRET_SERVICE</t>
  </si>
  <si>
    <t>983BA013B01BA015C4DE00010080000000000000000000000000000000000000</t>
  </si>
  <si>
    <t>01, 04, 05, 0B, 0C, 0D, 0F, 10, 11, 13, 1C, 1F, 20, 21, 23, 24, 2C, 2D, 2F, 30, 31, 33, 3C, 3E, 40, 41, 42, 46, 49, 4A, 4C, 4D, 4E, 4F, 60, 69</t>
  </si>
  <si>
    <t>Formule conso</t>
  </si>
  <si>
    <t>conso totale 1</t>
  </si>
  <si>
    <t>conso totale 2</t>
  </si>
  <si>
    <t>conso totale 3</t>
  </si>
  <si>
    <t>E_CONSO_FORMUL</t>
  </si>
  <si>
    <t>00080000</t>
  </si>
  <si>
    <t>AE18B8101</t>
  </si>
  <si>
    <t>01, 03, 05, 06, 07, 0C, 0D, 11, 13, 14, 15, 1C, 24</t>
  </si>
  <si>
    <t>E_DIST_SINCE_EFFDEF</t>
  </si>
  <si>
    <t>E_TIME_BETWEEN_EVENT_MSG_MIN</t>
  </si>
  <si>
    <t>E_TIME_BETWEEN_EVENT_MSG_MAX</t>
  </si>
  <si>
    <t>E_ANGLE_BETWEEN_EVENT_MSG_MAX</t>
  </si>
  <si>
    <t>02, 0A, 0C, 0E</t>
  </si>
  <si>
    <t>IDX_ECART_DIST_EFF_DEF</t>
  </si>
  <si>
    <t>E_SEUIL_FREIN,</t>
  </si>
  <si>
    <t>E_SEUIL_ACCEL</t>
  </si>
  <si>
    <t>E_GPS_POS_ENABLED</t>
  </si>
  <si>
    <t>E_ALERT_SEUIL_RPM</t>
  </si>
  <si>
    <t>E_ALERT_TEMPO_RPM</t>
  </si>
  <si>
    <t>E_ALERT_SEUIL_SPEED</t>
  </si>
  <si>
    <t>E_ALERT_TEMPO_SPEED</t>
  </si>
  <si>
    <t>E_ALERT_SEUIL_THROTTLE</t>
  </si>
  <si>
    <t>E_ALERT_TEMPO_THROTTLE</t>
  </si>
  <si>
    <t>ADR SERVER MQTT</t>
  </si>
  <si>
    <t>Port server MQTT</t>
  </si>
  <si>
    <t>Topic server MQTT</t>
  </si>
  <si>
    <t>Username</t>
  </si>
  <si>
    <t>Password</t>
  </si>
  <si>
    <t>QOS</t>
  </si>
  <si>
    <t>String</t>
  </si>
  <si>
    <t>Nombre</t>
  </si>
  <si>
    <t>Ignoré</t>
  </si>
  <si>
    <t>IDX_CPT_DEBRANCH</t>
  </si>
  <si>
    <t>IDX_CPT_ATVAULTIC</t>
  </si>
  <si>
    <t>KM_Courrant</t>
  </si>
  <si>
    <t>°</t>
  </si>
  <si>
    <t>Date réception</t>
  </si>
  <si>
    <t>Date Timestamp</t>
  </si>
  <si>
    <t>06.</t>
  </si>
  <si>
    <t>DebugStateGPS</t>
  </si>
  <si>
    <t>316 - 3-4</t>
  </si>
  <si>
    <t>Cpt_Trajets</t>
  </si>
  <si>
    <t>Cpt_files</t>
  </si>
  <si>
    <t>DISTRIB_TTS_PARAM</t>
  </si>
  <si>
    <t>IDX_TTS</t>
  </si>
  <si>
    <t>0B0001000304803801000911534A4E46444145313155323033353136330101040202DC050802560004054A4445563205010114021E0015022C01160119</t>
  </si>
  <si>
    <t>JDEV I20</t>
  </si>
  <si>
    <t>0A0001060101040304E763010006010404044A44455609114D414C424335315350394D30363033313105010114021E0015022C01160119</t>
  </si>
  <si>
    <t>JDEV Note</t>
  </si>
  <si>
    <t>D:\Boulot\Main\Ican\Extract_traces_FTP</t>
  </si>
  <si>
    <t>0900010003045E00000009114943414E585858585858583031303331330101010202780504045054494E0601040802AA000A0132</t>
  </si>
  <si>
    <t>32.</t>
  </si>
  <si>
    <t>ucCarto</t>
  </si>
  <si>
    <t>25.</t>
  </si>
  <si>
    <t>00.00.00.00.09.00.00.00.52.50.4D.00.08.E8.03.00.00.A9.AA.CE.01.53.70.65.65.64.00.08.00.00.00.00.0C.D5.CE.01.43.6F.6E.73.6F.00.08.70.01.00.00.6F.9B.CF.01.54.68.72.6F.00.08.00.00.00.00.5D.EA.CF.01.75.63.53.74.61.74.65.00.01.32.75.63.53.74.61.74.65.53.54.45.50.00.01.06.75.63.43.61.72.74.6F.00.01.25.44.65.62.75.67.53.74.61.74.65.47.53.4D.00.01.00.44.65.62.75.67.53.74.61.74.65.47.50.53.00.01.01</t>
  </si>
  <si>
    <t>E8.03.00.00.A9.AA.CE.01.</t>
  </si>
  <si>
    <t>00.00.00.00.0C.D5.CE.01.</t>
  </si>
  <si>
    <t>70.01.00.00.6F.9B.CF.01.</t>
  </si>
  <si>
    <t>00.00.00.00.5D.EA.CF.01.</t>
  </si>
  <si>
    <t>CARTO_ECU_VAG</t>
  </si>
  <si>
    <t>E_LAST_CARB_LEVEL</t>
  </si>
  <si>
    <t>IDX_LOG_INFO_MAINTENANCE</t>
  </si>
  <si>
    <t>ZOE</t>
  </si>
  <si>
    <t>mBar</t>
  </si>
  <si>
    <t>SEUIL_ALERTE_PRESS_ROUE</t>
  </si>
  <si>
    <t>SEUIL_ALERTE_DIFF_PRESS_ROUE</t>
  </si>
  <si>
    <t>E_PRESS_ROUE_AVG</t>
  </si>
  <si>
    <t>E_PRESS_ROUE_AVD</t>
  </si>
  <si>
    <t>E_PRESS_ROUE_ARG</t>
  </si>
  <si>
    <t>E_PRESS_ROUE_ARD</t>
  </si>
  <si>
    <t>E_ALERT_SEUIL_PRESS_ROUE</t>
  </si>
  <si>
    <t>E_ALERT_SEUIL_DIFF_PRESS_ROUE</t>
  </si>
  <si>
    <t>ICANXXXXXXX010313</t>
  </si>
  <si>
    <t>1400</t>
  </si>
  <si>
    <t>MATRICE_PARAM_DIAG_DISPO</t>
  </si>
  <si>
    <t>PSA_MCV</t>
  </si>
  <si>
    <t>REN-TRF3</t>
  </si>
  <si>
    <t>0x02</t>
  </si>
  <si>
    <t>0x03</t>
  </si>
  <si>
    <t>0x04</t>
  </si>
  <si>
    <t>0x06</t>
  </si>
  <si>
    <t>0x07</t>
  </si>
  <si>
    <t>0x08</t>
  </si>
  <si>
    <t>0x09</t>
  </si>
  <si>
    <t>0x0A</t>
  </si>
  <si>
    <t>0x0B</t>
  </si>
  <si>
    <t>0x0E</t>
  </si>
  <si>
    <t>AIRBAG_PASS_DESACT</t>
  </si>
  <si>
    <t>IDX_FUEL_TANK_START</t>
  </si>
  <si>
    <t>Fuel tank start (%)</t>
  </si>
  <si>
    <t>80 / 88 / 88 / 88 / 88 / BB / 8B / 88 / 81 / 88 / 88 / 88 / 88 / 88 / 88 / 88 / 82 / 88 / 88 / 88 / 88 / 88 / 88 / 88</t>
  </si>
  <si>
    <t>80 / 88 / 88 / 88 / 88 / B8 / 8B / 88 / 81 / 88 / 88 / 88 / 88 / 88 / 88 / 88 / 82 / 88 / 88 / 88 / 88 / 88 / 88 / 88</t>
  </si>
  <si>
    <t>80 / 88 / 88 / 88 / 88 / 9B / 8B / 88 / 81 / 88 / 88 / 88 / 88 / 88 / 89 / 88 / 82 / 88 / 88 / 88 / 88 / 88 / 88 / 88</t>
  </si>
  <si>
    <t>Pas d'info</t>
  </si>
  <si>
    <t>Error</t>
  </si>
  <si>
    <t>Warning</t>
  </si>
  <si>
    <t>Ok</t>
  </si>
  <si>
    <t>Off</t>
  </si>
  <si>
    <t>Block</t>
  </si>
  <si>
    <t>Status No</t>
  </si>
  <si>
    <t>Name</t>
  </si>
  <si>
    <t>Octet</t>
  </si>
  <si>
    <t>Digit</t>
  </si>
  <si>
    <t>Traduction</t>
  </si>
  <si>
    <t xml:space="preserve">Cooling air conditioning </t>
  </si>
  <si>
    <t>Fixé à 0</t>
  </si>
  <si>
    <t xml:space="preserve">High beam, main beam </t>
  </si>
  <si>
    <t xml:space="preserve">Low beam, dipped beam </t>
  </si>
  <si>
    <t>0x0104</t>
  </si>
  <si>
    <t>IDX_TTS_Param_Def_CORPRO</t>
  </si>
  <si>
    <t>Défaut phares</t>
  </si>
  <si>
    <t xml:space="preserve">Turn signals </t>
  </si>
  <si>
    <t xml:space="preserve">Hazard warning </t>
  </si>
  <si>
    <t>Provision for the disabled or handicapped persons</t>
  </si>
  <si>
    <t>Parking Brake</t>
  </si>
  <si>
    <t>0x0304</t>
  </si>
  <si>
    <t>IDX_TTS_Param_Def_FSE</t>
  </si>
  <si>
    <t>Défaut FSE</t>
  </si>
  <si>
    <t xml:space="preserve">Brake failure/brake system malfunction </t>
  </si>
  <si>
    <t xml:space="preserve">Hatch open </t>
  </si>
  <si>
    <t>0x0500</t>
  </si>
  <si>
    <t>IDX_TTS_Param_Niv_Carburant</t>
  </si>
  <si>
    <t>Niveau de carburant</t>
  </si>
  <si>
    <t>0x0504</t>
  </si>
  <si>
    <t>IDX_TTS_Param_Temp_EAU</t>
  </si>
  <si>
    <t>Temp d'eau</t>
  </si>
  <si>
    <t xml:space="preserve">Battery charging condition </t>
  </si>
  <si>
    <t>0x0600</t>
  </si>
  <si>
    <t>IDX_TTS_Param_VBAT</t>
  </si>
  <si>
    <t>Tension Batterie</t>
  </si>
  <si>
    <t>Engine oil</t>
  </si>
  <si>
    <t xml:space="preserve">Position lights,side lights </t>
  </si>
  <si>
    <t xml:space="preserve">Front fog light </t>
  </si>
  <si>
    <t xml:space="preserve">Rear fog light </t>
  </si>
  <si>
    <t xml:space="preserve">Park Heating </t>
  </si>
  <si>
    <t>Engine / Mil indicator</t>
  </si>
  <si>
    <t>0x0904</t>
  </si>
  <si>
    <t>IDX_TTS_Param_Def_INJ</t>
  </si>
  <si>
    <t>Defaut INJ / Mil</t>
  </si>
  <si>
    <t xml:space="preserve">Service, call for maintenance </t>
  </si>
  <si>
    <t>0x0A00</t>
  </si>
  <si>
    <t>IDX_TTS_Param_Maintenance</t>
  </si>
  <si>
    <t xml:space="preserve">Transmission fluid temperature </t>
  </si>
  <si>
    <t xml:space="preserve">Transmission failure/malfunction </t>
  </si>
  <si>
    <t>0x0B00</t>
  </si>
  <si>
    <t>IDX_TTS_Param_Def_BVA</t>
  </si>
  <si>
    <t>Defaut BVA</t>
  </si>
  <si>
    <t xml:space="preserve">Anti-lock brake system failure </t>
  </si>
  <si>
    <t>0x0B04</t>
  </si>
  <si>
    <t>IDX_TTS_Param_Warning_ABS</t>
  </si>
  <si>
    <t>Defaut ABS/ESP</t>
  </si>
  <si>
    <t xml:space="preserve">Worn brake linings </t>
  </si>
  <si>
    <t>0x0C00</t>
  </si>
  <si>
    <t>IDX_TTS_Param_Brake_Level</t>
  </si>
  <si>
    <t>Niveau Frein</t>
  </si>
  <si>
    <t>Windscreen washer fluid/windshield washer fluid</t>
  </si>
  <si>
    <t xml:space="preserve">Tire failure/malfunction </t>
  </si>
  <si>
    <t>0x0D00</t>
  </si>
  <si>
    <t>IDX_TTS_Param_Pression_Pneu</t>
  </si>
  <si>
    <t>Pression pneu</t>
  </si>
  <si>
    <t xml:space="preserve">Malfunction/general failure </t>
  </si>
  <si>
    <t xml:space="preserve">Engine oil temperature </t>
  </si>
  <si>
    <t>0x0E00</t>
  </si>
  <si>
    <t>IDX_TTS_Param_Temp_huile</t>
  </si>
  <si>
    <t>Temp d'huile</t>
  </si>
  <si>
    <t xml:space="preserve">Engine oil level </t>
  </si>
  <si>
    <t>0x0E04</t>
  </si>
  <si>
    <t>IDX_TTS_Param_Niv_huile</t>
  </si>
  <si>
    <t>Niveau d'huile</t>
  </si>
  <si>
    <t xml:space="preserve">Engine coolant level </t>
  </si>
  <si>
    <t>Niveau d'eau</t>
  </si>
  <si>
    <t xml:space="preserve">Steering fluid level </t>
  </si>
  <si>
    <t>Steering failure</t>
  </si>
  <si>
    <t>0x1004</t>
  </si>
  <si>
    <t>IDX_TTS_Param_Def_DAE</t>
  </si>
  <si>
    <t>Height Control (Levelling)</t>
  </si>
  <si>
    <t>Retarder</t>
  </si>
  <si>
    <t>Engine Emission system failure (Mil indicator)</t>
  </si>
  <si>
    <t>ESP indication</t>
  </si>
  <si>
    <t>0x1204</t>
  </si>
  <si>
    <t>IDX_TTS_Param_State_ESP</t>
  </si>
  <si>
    <t>ESP state</t>
  </si>
  <si>
    <t>Brake lights</t>
  </si>
  <si>
    <t>Articulation</t>
  </si>
  <si>
    <t>Stop Request</t>
  </si>
  <si>
    <t>Pram request</t>
  </si>
  <si>
    <t>Bus stop brake</t>
  </si>
  <si>
    <t>AdBlue level</t>
  </si>
  <si>
    <t>Raising</t>
  </si>
  <si>
    <t>Lowering</t>
  </si>
  <si>
    <t>Kneeling</t>
  </si>
  <si>
    <t>Engine compartment temperature</t>
  </si>
  <si>
    <t>Auxillary air pressure</t>
  </si>
  <si>
    <t>Fixé à 3</t>
  </si>
  <si>
    <t>Air filter clogged</t>
  </si>
  <si>
    <t>Fuel filter differential pressure</t>
  </si>
  <si>
    <t>Seat belt</t>
  </si>
  <si>
    <t>EBS</t>
  </si>
  <si>
    <t>Lane departure indication</t>
  </si>
  <si>
    <t>Advanced emergency braking system</t>
  </si>
  <si>
    <t>ACC</t>
  </si>
  <si>
    <t>Trailer connected</t>
  </si>
  <si>
    <t>ABS Trailer 1,2</t>
  </si>
  <si>
    <t>EBS Trailer 1,2</t>
  </si>
  <si>
    <t>Tachograph indication</t>
  </si>
  <si>
    <t>ESC switched off</t>
  </si>
  <si>
    <t>Lane departure warning switched off</t>
  </si>
  <si>
    <t>Fixé à 2</t>
  </si>
  <si>
    <t>Fixé à 1</t>
  </si>
  <si>
    <t>Buffeur TTS</t>
  </si>
  <si>
    <t>Buffeur décrypté</t>
  </si>
  <si>
    <t>RAS</t>
  </si>
  <si>
    <t>80 / 88 / 88 / 88 / 88 / BB / 8B / 88 / 81 / 88 / 88 / 8B / 88 / 88 / 88 / 88 / 82 / 88 / 88 / 88 / 88 / 88 / 88 / 88</t>
  </si>
  <si>
    <t>0x0100</t>
  </si>
  <si>
    <t>0x0004</t>
  </si>
  <si>
    <t>IDX_NB_LOST_FILES_FROM_MEM</t>
  </si>
  <si>
    <t>IDX_FUEL_TANK_VAG_DEBUG</t>
  </si>
  <si>
    <t>0x0F</t>
  </si>
  <si>
    <t>0x10</t>
  </si>
  <si>
    <t>0x12</t>
  </si>
  <si>
    <t>0x13</t>
  </si>
  <si>
    <t>0x14</t>
  </si>
  <si>
    <t>PSA_X250</t>
  </si>
  <si>
    <t>REN_MTR3</t>
  </si>
  <si>
    <t>REN_KANG</t>
  </si>
  <si>
    <t>FIA_DOB2</t>
  </si>
  <si>
    <t>Username Reco</t>
  </si>
  <si>
    <t>Password Reco</t>
  </si>
  <si>
    <t>DISTRIB_ID_CALC_OBD</t>
  </si>
  <si>
    <t>80000</t>
  </si>
  <si>
    <t>1500</t>
  </si>
  <si>
    <t>JDEV2</t>
  </si>
  <si>
    <t>\\actiant1\tmp\JG</t>
  </si>
  <si>
    <t>E_WARNING_SEUIL_VBAT</t>
  </si>
  <si>
    <t>E_ERROR_SEUIL_VBAT</t>
  </si>
  <si>
    <t>Topic server MQTT Reco</t>
  </si>
  <si>
    <t>Activation envoi messages Eco-conduite</t>
  </si>
  <si>
    <t>Harsh_BRAKE_DURATION</t>
  </si>
  <si>
    <t>Harsh_ACCEL_DURATION</t>
  </si>
  <si>
    <t>Harsh_BRAKE_DISTANCE</t>
  </si>
  <si>
    <t>Harsh_ACCEL_DISTANCE</t>
  </si>
  <si>
    <t>Harsh_BRAKE_MAX</t>
  </si>
  <si>
    <t>Harsh_ACCEL_MAX</t>
  </si>
  <si>
    <t>Double</t>
  </si>
  <si>
    <r>
      <t>I.</t>
    </r>
    <r>
      <rPr>
        <b/>
        <sz val="7"/>
        <rFont val="Times New Roman"/>
        <family val="1"/>
      </rPr>
      <t xml:space="preserve">    </t>
    </r>
    <r>
      <rPr>
        <b/>
        <u/>
        <sz val="10"/>
        <rFont val="Arial"/>
        <family val="2"/>
      </rPr>
      <t>Environnement</t>
    </r>
  </si>
  <si>
    <r>
      <t>I.1</t>
    </r>
    <r>
      <rPr>
        <sz val="7"/>
        <rFont val="Times New Roman"/>
        <family val="1"/>
      </rPr>
      <t xml:space="preserve">    </t>
    </r>
    <r>
      <rPr>
        <u/>
        <sz val="10"/>
        <rFont val="Arial"/>
        <family val="2"/>
      </rPr>
      <t>version logicielle</t>
    </r>
  </si>
  <si>
    <t xml:space="preserve">Service ICAN : </t>
  </si>
  <si>
    <t>Revision FW trunk :</t>
  </si>
  <si>
    <t>sujet ou BZ developé :</t>
  </si>
  <si>
    <r>
      <t>I.2</t>
    </r>
    <r>
      <rPr>
        <sz val="7"/>
        <rFont val="Times New Roman"/>
        <family val="1"/>
      </rPr>
      <t xml:space="preserve">    </t>
    </r>
    <r>
      <rPr>
        <u/>
        <sz val="10"/>
        <rFont val="Arial"/>
        <family val="2"/>
      </rPr>
      <t>Moyens de validation</t>
    </r>
  </si>
  <si>
    <t xml:space="preserve">Boitier ICAN : </t>
  </si>
  <si>
    <t>Moyen de simulation (materiel et soft ware : actisim, Canalyser, Vehicule ...)</t>
  </si>
  <si>
    <t xml:space="preserve">Resultat (OK, NOK, NP, NA) : </t>
  </si>
  <si>
    <r>
      <t>III.</t>
    </r>
    <r>
      <rPr>
        <b/>
        <sz val="7"/>
        <rFont val="Times New Roman"/>
        <family val="1"/>
      </rPr>
      <t xml:space="preserve">    </t>
    </r>
    <r>
      <rPr>
        <b/>
        <u/>
        <sz val="10"/>
        <rFont val="Arial"/>
        <family val="2"/>
      </rPr>
      <t>Conclusion générale</t>
    </r>
  </si>
  <si>
    <t>Test Case (id can)</t>
  </si>
  <si>
    <t>Result</t>
  </si>
  <si>
    <t>Criticity</t>
  </si>
  <si>
    <t>Bugzilla sheet</t>
  </si>
  <si>
    <r>
      <t>III.2</t>
    </r>
    <r>
      <rPr>
        <sz val="7"/>
        <rFont val="Times New Roman"/>
        <family val="1"/>
      </rPr>
      <t xml:space="preserve">    </t>
    </r>
    <r>
      <rPr>
        <u/>
        <sz val="10"/>
        <rFont val="Arial"/>
        <family val="2"/>
      </rPr>
      <t>Conclusion</t>
    </r>
  </si>
  <si>
    <r>
      <t>III.1</t>
    </r>
    <r>
      <rPr>
        <sz val="7"/>
        <rFont val="Times New Roman"/>
        <family val="1"/>
      </rPr>
      <t xml:space="preserve">    </t>
    </r>
    <r>
      <rPr>
        <u/>
        <sz val="10"/>
        <rFont val="Arial"/>
        <family val="2"/>
      </rPr>
      <t>Cas de test incorrect et non passé</t>
    </r>
  </si>
  <si>
    <t>Fichier Brut</t>
  </si>
  <si>
    <t>NP</t>
  </si>
  <si>
    <r>
      <t>II.</t>
    </r>
    <r>
      <rPr>
        <b/>
        <sz val="7"/>
        <rFont val="Times New Roman"/>
        <family val="1"/>
      </rPr>
      <t>    Test unitaire</t>
    </r>
  </si>
  <si>
    <t>HYU_GEN</t>
  </si>
  <si>
    <t xml:space="preserve">If_Declench_WD_5s </t>
  </si>
  <si>
    <t xml:space="preserve">If_Declench_Global_WD </t>
  </si>
  <si>
    <t>Battery_Energy_Level_Start</t>
  </si>
  <si>
    <t>Battery_Energy_Level_Current</t>
  </si>
  <si>
    <t>Battery_Energy_Level_End</t>
  </si>
  <si>
    <t>Vehicule_Autonomy_Start</t>
  </si>
  <si>
    <t>Vehicule_Autonomy_Current</t>
  </si>
  <si>
    <t>Vehicule_Autonomy_End</t>
  </si>
  <si>
    <t>Charge_In_Progress</t>
  </si>
  <si>
    <t>HEARTBEAT_PERIOD</t>
  </si>
  <si>
    <t>min</t>
  </si>
  <si>
    <t>Heartbeat period</t>
  </si>
  <si>
    <t>E_PERIOD_HEART_BEAT</t>
  </si>
  <si>
    <t>NB cylindres</t>
  </si>
  <si>
    <t>cm3</t>
  </si>
  <si>
    <t>Incoming messages</t>
  </si>
  <si>
    <t>866699025832256</t>
  </si>
  <si>
    <t>27/12/2015 - 27/12/2015</t>
  </si>
  <si>
    <t>Sender</t>
  </si>
  <si>
    <t>Message</t>
  </si>
  <si>
    <t>Report created on 05/01/2016 - 14:02:54</t>
  </si>
  <si>
    <t>Powered by Telefleet</t>
  </si>
  <si>
    <t>Le but de cette macro est de générer des fichiers ,vci identiques à ceux qu'on trouve sur le serveur FTP à partir de données Hexa.
Il faut coller les données dans les cellules A5 à Cx puis appuyer sur le bouton.
Les fichiers vci générés sont mis dans le dossier dossier source utilisé pour la macro d'estraction des données des .vci.</t>
  </si>
  <si>
    <t>DISTRIB_PGN_Dispo</t>
  </si>
  <si>
    <t>ID_Cond_1</t>
  </si>
  <si>
    <t>ID_Cond_2</t>
  </si>
  <si>
    <t>Last_ucState</t>
  </si>
  <si>
    <t>Défauts VAG</t>
  </si>
  <si>
    <t>Total Hours</t>
  </si>
  <si>
    <t>FMS Standard</t>
  </si>
  <si>
    <t>Nb défauts INJ</t>
  </si>
  <si>
    <t>Nb défauts FSE</t>
  </si>
  <si>
    <t>Nb défauts BVA</t>
  </si>
  <si>
    <t>Nb défauts CORPRO</t>
  </si>
  <si>
    <t>Nb défauts DAE</t>
  </si>
  <si>
    <t>Nb défauts CMB</t>
  </si>
  <si>
    <t>Nb défauts Airbag</t>
  </si>
  <si>
    <t>Nb défauts BMF</t>
  </si>
  <si>
    <t>Nb défauts DSG</t>
  </si>
  <si>
    <t>Nb défauts ABS</t>
  </si>
  <si>
    <t xml:space="preserve">    LECT_DEF_DIAG_UDS,</t>
  </si>
  <si>
    <t xml:space="preserve">    WAITING_LECT_DEF_DIAG_UDS,</t>
  </si>
  <si>
    <t xml:space="preserve">    INIT_DIAG_TP2,</t>
  </si>
  <si>
    <t xml:space="preserve">    WAITING_INIT_DIAG_TP2,</t>
  </si>
  <si>
    <t xml:space="preserve">    PRE_LECT_DEF_DIAG_TP2,</t>
  </si>
  <si>
    <t xml:space="preserve">    WAITING_PRE_LECT_DEF_DIAG_TP2,</t>
  </si>
  <si>
    <t xml:space="preserve">    LECT_DEF_DIAG_TP2,</t>
  </si>
  <si>
    <t xml:space="preserve">    WAITING_LECT_DEF_DIAG_TP2,</t>
  </si>
  <si>
    <t xml:space="preserve">    LECT_VIN_DIAG_TP2,</t>
  </si>
  <si>
    <t xml:space="preserve">    WAITING_LECT_VIN_DIAG_TP2,</t>
  </si>
  <si>
    <t xml:space="preserve">    CALCUL_CONSO,</t>
  </si>
  <si>
    <t xml:space="preserve">    WAITING_SEND_GPRS_FIFO,</t>
  </si>
  <si>
    <t xml:space="preserve">    FIN_DIAG_TP2,</t>
  </si>
  <si>
    <t xml:space="preserve">    WAITING_FIN_DIAG_TP2,</t>
  </si>
  <si>
    <t xml:space="preserve">    DISCONNECT_TP2,</t>
  </si>
  <si>
    <t xml:space="preserve">    WAITING_DISCONNECT_TP2,</t>
  </si>
  <si>
    <t xml:space="preserve">    SEND_TP_TP2,</t>
  </si>
  <si>
    <t xml:space="preserve">    WAITING_TP_TP2,</t>
  </si>
  <si>
    <t xml:space="preserve">    END_PHASE_START,</t>
  </si>
  <si>
    <t>867521021999195</t>
  </si>
  <si>
    <t>253</t>
  </si>
  <si>
    <t>867965023138460</t>
  </si>
  <si>
    <t>125</t>
  </si>
  <si>
    <t>ICAN_PLXXXX234567</t>
  </si>
  <si>
    <t>Cooling air conditioning : Off / Défaut phares: Off / High beam, main beam : Off / Hazard warning : Off / Turn signals : Off / Défaut FSE: Off / Provision for the disabled or handicapped persons: Off / Hatch open : Off / Brake failure/brake system malfunction : Off / Temp d'eau: Ok / Niveau de carburant: Off / Engine oil: Off / Tension Batterie: Ok / Front fog light : Off / Position lights,side lights : Off / Rear fog light : Off / Defaut INJ / Mil: Off / Park Heating : Off / Transmission fluid temperature : Off / Maintenance: Off / Defaut ABS/ESP: Off / Defaut BVA: Off / Windscreen washer fluid/windshield washer fluid: Off / Niveau Frein: Off / Malfunction/general failure : Off / Pression pneu: Off / Niveau d'huile: Off / Temp d'huile: Off / Steering fluid level : Off / Niveau d'eau: Off / Steering failure: Off / Retarder: Off / Height Control (Levelling): Off / ESP state: Off / Engine Emission system failure (Mil indicator): Off / Articulation: Off / Brake lights: Off / Pram request: Off / Stop Request: Off / AdBlue level: Off / Bus stop brake: Off / Lowering: Off / Raising: Off / Engine compartment temperature: Off / Kneeling: Off</t>
  </si>
  <si>
    <t>Cooling air conditioning : Off / Défaut phares: Off / High beam, main beam : Off / Hazard warning : Off / Turn signals : Off / Défaut FSE: Off / Provision for the disabled or handicapped persons: Off / Hatch open : Off / Brake failure/brake system malfunction : Off / Temp d'eau: Error / Niveau de carburant: Ok / Engine oil: Off / Tension Batterie: Ok / Front fog light : Off / Position lights,side lights : Off / Rear fog light : Off / Defaut INJ / Mil: Off / Park Heating : Off / Transmission fluid temperature : Off / Maintenance: Off / Defaut ABS/ESP: Off / Defaut BVA: Off / Windscreen washer fluid/windshield washer fluid: Off / Niveau Frein: Off / Malfunction/general failure : Off / Pression pneu: Off / Niveau d'huile: Off / Temp d'huile: Error / Steering fluid level : Off / Niveau d'eau: Off / Steering failure: Off / Retarder: Off / Height Control (Levelling): Off / ESP state: Off / Engine Emission system failure (Mil indicator): Off / Articulation: Off / Brake lights: Off / Pram request: Off / Stop Request: Off / AdBlue level: Off / Bus stop brake: Off / Lowering: Off / Raising: Off / Engine compartment temperature: Off / Kneeling: Off</t>
  </si>
  <si>
    <t>Cooling air conditioning : Off / Défaut phares: Off / High beam, main beam : Off / Hazard warning : Off / Turn signals : Off / Défaut FSE: Off / Provision for the disabled or handicapped persons: Off / Hatch open : Off / Brake failure/brake system malfunction : Off / Temp d'eau: Ok / Niveau de carburant: Ok / Engine oil: Off / Tension Batterie: Ok / Front fog light : Off / Position lights,side lights : Off / Rear fog light : Off / Defaut INJ / Mil: Off / Park Heating : Off / Transmission fluid temperature : Off / Maintenance: Off / Defaut ABS/ESP: Off / Defaut BVA: Off / Windscreen washer fluid/windshield washer fluid: Off / Niveau Frein: Off / Malfunction/general failure : Off / Pression pneu: Off / Niveau d'huile: Off / Temp d'huile: Off / Steering fluid level : Off / Niveau d'eau: Off / Steering failure: Off / Retarder: Off / Height Control (Levelling): Off / ESP state: Off / Engine Emission system failure (Mil indicator): Off / Articulation: Off / Brake lights: Off / Pram request: Off / Stop Request: Off / AdBlue level: Off / Bus stop brake: Off / Lowering: Off / Raising: Off / Engine compartment temperature: Off / Kneeling: Off</t>
  </si>
  <si>
    <t>Cooling air conditioning : Off / Défaut phares: Off / High beam, main beam : Off / Hazard warning : Off / Turn signals : Off / Défaut FSE: Off / Provision for the disabled or handicapped persons: Off / Hatch open : Off / Brake failure/brake system malfunction : Off / Temp d'eau: Ok / Niveau de carburant: Ok / Engine oil: Off / Tension Batterie: Ok / Front fog light : Off / Position lights,side lights : Off / Rear fog light : Off / Defaut INJ / Mil: Off / Park Heating : Off / Transmission fluid temperature : Off / Maintenance: Off / Defaut ABS/ESP: Off / Defaut BVA: Ok / Windscreen washer fluid/windshield washer fluid: Off / Niveau Frein: Off / Malfunction/general failure : Off / Pression pneu: Off / Niveau d'huile: Off / Temp d'huile: Off / Steering fluid level : Off / Niveau d'eau: Off / Steering failure: Off / Retarder: Off / Height Control (Levelling): Off / ESP state: Off / Engine Emission system failure (Mil indicator): Off / Articulation: Off / Brake lights: Off / Pram request: Off / Stop Request: Off / AdBlue level: Off / Bus stop brake: Off / Lowering: Off / Raising: Off / Engine compartment temperature: Off / Kneeling: Off</t>
  </si>
  <si>
    <t>1E.00.01.00.01.01.04.02.02.78.05.04.04.4A.44.45.56.05.01.00.06.01.04.08.02.5A.00.09.11.4D.41.4C.42.43.35.31.53.50.39.4D.30.36.30.33.31.31.0A.01.30.12.01.02.14.02.1E.00.15.02.1E.00.16.01.19.17.01.01.2B.02.3C.00.30.17.69.63.61.6E.2E.61.63.74.69.61.2D.70.72.6F.64.75.63.74.73.2E.63.6F.6D.31.04.31.38.38.33.32.09.69.63.61.6E.2F.64.61.74.61.34.04.69.63.61.6E.35.0C.6E.5A.35.59.75.46.30.64.48.48.33.76.33.0D.69.63.61.6E.2F.72.65.63.6F.5F.76.65.68.37.0D.69.63.61.6E.5F.72.65.63.6F.5F.76.65.68.38.0C.52.51.7A.45.79.39.38.57.4A.41.6B.58.36.02.02.00.03.04.78.01.00.00.13.02.A8.57.20.0F.38.36.37.39.36.35.30.32.33.31.33.38.34.36.30.0F.08.3C.BA.24.E1.55.EF.45.40.10.08.25.C7.9D.D2.C1.7A.F4.3F.11.08.CD.CC.CC.CC.CC.9C.60.40</t>
  </si>
  <si>
    <t>ican.actia-products.com</t>
  </si>
  <si>
    <t>1883</t>
  </si>
  <si>
    <t>ican/data</t>
  </si>
  <si>
    <t>ican</t>
  </si>
  <si>
    <t>nZ5YuF0dHH3v</t>
  </si>
  <si>
    <t>ican/reco_veh</t>
  </si>
  <si>
    <t>ican_reco_veh</t>
  </si>
  <si>
    <t>RQzEy98WJAkX</t>
  </si>
  <si>
    <t>376</t>
  </si>
  <si>
    <t>22440</t>
  </si>
  <si>
    <t>4,63137094394896E+18</t>
  </si>
  <si>
    <t>4,60844329158769E+18</t>
  </si>
  <si>
    <t>4,63888001961485E+18</t>
  </si>
  <si>
    <t>07.00.01.FD.03.04.7D.00.00.00.09.11.49.43.41.4E.5F.50.4C.58.58.58.58.32.33.34.35.36.37.20.0F.38.36.37.35.32.31.30.32.31.39.39.39.31.39.35.0F.08.8F.50.46.6F.CB.C6.45.40.10.08.9D.5B.FB.15.45.62.F7.3F.11.08.33.33.33.33.33.D3.6C.40</t>
  </si>
  <si>
    <t>4,63132636886796E+18</t>
  </si>
  <si>
    <t>4,60926079249805E+18</t>
  </si>
  <si>
    <t>4,64231753276793E+18</t>
  </si>
  <si>
    <t>1B0001000101040202780504044A44455605010006010408025A0009114D414C424335315350394D3036303331310A013012010214021E0015021E001601191701012B023C0030176963616E2E61637469612D70726F64756374732E636F6D31043138383332096963616E2F6461746134046963616E350C6E5A35597546306448483376330D6963616E2F7265636F5F766568370D6963616E5F7265636F5F766568380C52517A45793938574A416B58360202000304780100001302A857200F383637393635303233313338343630</t>
  </si>
  <si>
    <t>040001FD03047D00000009114943414E5F504C58585858323334353637200F383637353231303231393939313935</t>
  </si>
  <si>
    <t>REN_MAX2</t>
  </si>
  <si>
    <t>HeartBeat</t>
  </si>
  <si>
    <t>LectDef OBD</t>
  </si>
  <si>
    <t>Module OBD_GEN</t>
  </si>
  <si>
    <t>0xFD</t>
  </si>
  <si>
    <t>0xFE</t>
  </si>
  <si>
    <t>0xFF</t>
  </si>
  <si>
    <t>RECO_PL</t>
  </si>
  <si>
    <t>316 - 6</t>
  </si>
  <si>
    <t>180 - 0-1</t>
  </si>
  <si>
    <t>Excess throttle distance</t>
  </si>
  <si>
    <t>Excess vehicule speed distance</t>
  </si>
  <si>
    <t>Excess engine RPM distance</t>
  </si>
  <si>
    <t>RAPPORT_VIT_ROUE_AVD</t>
  </si>
  <si>
    <t>RAPPORT_VIT_ROUE_AVG</t>
  </si>
  <si>
    <t>RAPPORT_VIT_ROUE_ARD</t>
  </si>
  <si>
    <t>RAPPORT_VIT_ROUE_ARG</t>
  </si>
  <si>
    <t>Angle_Volant_Moyen2</t>
  </si>
  <si>
    <t>31.</t>
  </si>
  <si>
    <t>03.</t>
  </si>
  <si>
    <t>WAITING_GET_OBD_AMB_AIR_TEMP,</t>
  </si>
  <si>
    <t>OTA,</t>
  </si>
  <si>
    <t>BUFFERISATION,</t>
  </si>
  <si>
    <t>START_OBD,</t>
  </si>
  <si>
    <t>WAITING_DIAG,</t>
  </si>
  <si>
    <t>INIT_DIAG,</t>
  </si>
  <si>
    <t>WAITING_INIT_DIAG,</t>
  </si>
  <si>
    <t>LECTDEF1,</t>
  </si>
  <si>
    <t>WAITING_LECTDEF1,</t>
  </si>
  <si>
    <t>LECTDEF2,</t>
  </si>
  <si>
    <t>WAITING_LECTDEF2,</t>
  </si>
  <si>
    <t>WAITING_CYCLE,</t>
  </si>
  <si>
    <t>READ_DATA_NO_COMM,</t>
  </si>
  <si>
    <t>GET_VIN,</t>
  </si>
  <si>
    <t>WAITING_GET_VIN,</t>
  </si>
  <si>
    <t>GET_NIV_CARB,</t>
  </si>
  <si>
    <t>WAITING_GET_NIV_CARB,</t>
  </si>
  <si>
    <t>GET_MAINT,</t>
  </si>
  <si>
    <t>WAITING_GET_MAINT,</t>
  </si>
  <si>
    <t>GET_BRAKE_LEVEL,</t>
  </si>
  <si>
    <t>WAITING_GET_BRAKE_LEVEL,</t>
  </si>
  <si>
    <t>FIN_DIAG,</t>
  </si>
  <si>
    <t>WAITING_FIN_DIAG,</t>
  </si>
  <si>
    <t>GET_TPMS_AVAILABILITY_1,</t>
  </si>
  <si>
    <t>WAITING_GET_TPMS_AVAILABILITY_1,</t>
  </si>
  <si>
    <t>GET_TPMS_AVAILABILITY_2,</t>
  </si>
  <si>
    <t>WAITING_GET_TPMS_AVAILABILITY_2,</t>
  </si>
  <si>
    <t>GET_TPMS,</t>
  </si>
  <si>
    <t>WAITING_GET_TPMS,</t>
  </si>
  <si>
    <t>ANNUL_GSM_OTA,</t>
  </si>
  <si>
    <t>WAITING_SEND_GPRS_FIFO,</t>
  </si>
  <si>
    <t>PRE_GET_LECTDEF,</t>
  </si>
  <si>
    <t>GET_OBD_PID_MIL_NBDTC,</t>
  </si>
  <si>
    <t>WAITING_GET_OBD_PID_MIL_NBDTC,</t>
  </si>
  <si>
    <t>00.00.00.00.08.00.00.00.52.50.4D.00.08.00.00.00.00.6A.F6.20.00.53.70.65.65.64.00.08.00.00.00.00.6A.F6.20.00.43.6F.6E.73.6F.00.08.00.00.00.00.6A.F6.20.00.54.68.72.6F.00.08.00.00.00.00.6A.F6.20.00.75.63.53.74.61.74.65.00.01.31.75.63.53.74.61.74.65.53.54.45.50.00.01.03.44.65.62.75.67.53.74.61.74.65.47.53.4D.00.01.00.44.65.62.75.67.53.74.61.74.65.47.50.53.00.01.00</t>
  </si>
  <si>
    <t>00.00.00.00.6A.F6.20.00.</t>
  </si>
  <si>
    <t>GPS_GEOID</t>
  </si>
  <si>
    <t>TYPEID34</t>
  </si>
  <si>
    <t>VF345678901234567</t>
  </si>
  <si>
    <t>E_PRIVATED_MODE_BEHAVIOR</t>
  </si>
  <si>
    <t>1000</t>
  </si>
  <si>
    <t>4,63132634189328E+18</t>
  </si>
  <si>
    <t>4,60926064988406E+18</t>
  </si>
  <si>
    <t>4,64203957622842E+18</t>
  </si>
  <si>
    <t>090001002B0202000911564633343536373839303132333435363714020A0015020A001601190304000000001302E803200F383637353231303231393939313935</t>
  </si>
  <si>
    <t>0B0001002B0202000911564633343536373839303132333435363714020A0015020A001601190304000000001302E803200F3836373532313032313939393139351701012C0100</t>
  </si>
  <si>
    <t>0E.00.01.00.2B.02.02.00.09.11.56.46.33.34.35.36.37.38.39.30.31.32.33.34.35.36.37.14.02.0A.00.15.02.0A.00.16.01.19.03.04.00.00.00.00.13.02.E8.03.20.0F.38.36.37.35.32.31.30.32.31.39.39.39.31.39.35.17.01.01.2C.01.00.0F.08.CF.E2.B2.F7.CF.C6.45.40.10.08.93.CE.AD.FD.8A.62.F7.3F.11.08.33.33.33.33.33.93.6C.40</t>
  </si>
  <si>
    <t>4,63132638833665E+18</t>
  </si>
  <si>
    <t>4,60926109273803E+18</t>
  </si>
  <si>
    <t>4,64224716402375E+18</t>
  </si>
  <si>
    <t>TecdocID</t>
  </si>
  <si>
    <t>040001002B023C00091156463334353637383930313233343536372D06546F544F3F3F</t>
  </si>
  <si>
    <t>Maximum_coolant_temp_seuil</t>
  </si>
  <si>
    <t>Excess_throttle_seuil</t>
  </si>
  <si>
    <t>Excess_speed_seuil</t>
  </si>
  <si>
    <t>Excess_RPM_seuil</t>
  </si>
  <si>
    <t>Harsh_Brake_seuil</t>
  </si>
  <si>
    <t>G</t>
  </si>
  <si>
    <t>Harsh_Accel_seuil</t>
  </si>
  <si>
    <t>Minimum_Tank_level_seuil</t>
  </si>
  <si>
    <t>Maximum_oil_temp_seuil</t>
  </si>
  <si>
    <t>Excess_throttle_filter_time</t>
  </si>
  <si>
    <t>Excess_speed_filter_time</t>
  </si>
  <si>
    <t>Excess_RPM_filter_time</t>
  </si>
  <si>
    <t>Minimum_VBAT_seuil</t>
  </si>
  <si>
    <t>CHARGE_BATT_REMOTE</t>
  </si>
  <si>
    <t>RAPPORT_VIT_ROUE_1</t>
  </si>
  <si>
    <t>RAPPORT_VIT_ROUE_4</t>
  </si>
  <si>
    <t>RAPPORT_VIT_ROUE_2</t>
  </si>
  <si>
    <t>RAPPORT_VIT_ROUE_3</t>
  </si>
  <si>
    <t>Pression roue 1</t>
  </si>
  <si>
    <t>Pression roue 2</t>
  </si>
  <si>
    <t>Pression roue 3</t>
  </si>
  <si>
    <t>Pression roue 4</t>
  </si>
  <si>
    <t>FUEL_GAUGE_POINTER_POS</t>
  </si>
  <si>
    <t>BRAKE_FLUID_LEVEL</t>
  </si>
  <si>
    <t>983BA011B0018001800000000000000000000000000000000000000000000000</t>
  </si>
  <si>
    <t>01, 04, 05, 0B, 0C, 0D, 0F, 10, 11, 13, 1C, 20, 21, 23, 24, 30, 31, 40, 41</t>
  </si>
  <si>
    <t>BMW_GEN</t>
  </si>
  <si>
    <t>DISTRIB_VBAT_PL</t>
  </si>
  <si>
    <t>IDX_DISTRIB_VBAT_PL</t>
  </si>
  <si>
    <t>new_OBD</t>
  </si>
  <si>
    <t>0xFC</t>
  </si>
  <si>
    <t>FMS_OBD</t>
  </si>
  <si>
    <t>02.10.81.00.00.00.00.00</t>
  </si>
  <si>
    <t>02.50.81.FF.FF.FF.FF.FF</t>
  </si>
  <si>
    <t>02.10.C0.00.00.00.00.00</t>
  </si>
  <si>
    <t>Traces Debug</t>
  </si>
  <si>
    <t>7E0</t>
  </si>
  <si>
    <t>743</t>
  </si>
  <si>
    <t>763</t>
  </si>
  <si>
    <t>7E717A00E0070000080210015555555555FB7B7A00E807000008025001FFFFFFFFFFA07D7A00E0070000080322F1905555555563877A00E807000004037F221100000000CE8D7A00E0070000080322F19E555555550B977A00E807000004037F221100000000A4987A00E0070000080322F1A255555555BCA27A00E807000004037F221100000000D2A47A00E0070000080319020C55555555BFAE7A00E807000008037F1978FFFFFFFF12D5A0000C07000008021001555555555582A5A40013070000080210015555555555E197CE0014070000080210015555555555A5C2CE007E07000008075001AAAAAAAAAA58C4CE0014070000080322F1905555555589F1CE007E07000008101462F1905646319A54CF0014070000083000005555555555055FCF007E0700000821323334353637388F62CF007E0700000822393031323334368464CF0014070000080322220355555555876ECF007E0700000807622203000FDBAA4870CF0014070000080322220655555555387ACF007E07000008077F2221AAAAAAAAC37BCF0014070000080322220655555555EE85CF007E07000008077F2221AAAAAAAA7387CF0014070000080322220655555555A891CF007E07000008077F2221AAAAAAAA3993CF00140700000803222206555555555E9DCF007E07000008077F2221AAAAAAAAE99ECF001407000008032222065555555517A9CF007E07000008077F2221AAAAAAAAB1AACF001407000008032222B055555555E5B4CF007E0700000810386222B00064FFF017D000140700000830000055555555556522D0007E0700000821FFFFFFFFFF0A0DC925D0007E07000008220D0D01978000803F28D0007E0700000823008000019700002D2BD0007E070000082400000000019701F931D0007E0700000825970197019501996B35D0007E07000008260200647F640000E137D0007E070000082700073C000000003C3BD0007E070000082805AAAAAAAAAAAA093DD0001407000008032222A4555555555845D0007E07000008077F2222AAAAAAAAC546D0001407000008032222A5555555551051D0007E07000008077F2222AAAAAAAA8752D0001407000008032222A655555555C65CD0007E07000008077F2222AAAAAAAA635ED000140700000803222243555555557E68D0007E0700000807622243005CAAAA296AD0001407000008032222A7555555553774D0007E07000008077F2222AAAAAAAAA475D00014070000080322224455555555F17FD0007E0700000807622244012BAAAAB281D00014070000080322222A55555555AB8BD0007E070000080762222A6FAAAAAA2E8ED00014070000080322100D555555555797D0007E070000080762100D7530AAAA9299D00014070000080322100F5555555501A3D0007E070000080762100F02E8AAAA34A5D00014070000080322222255555555BBAED0007E07000008076222220400AAAA88B0D0001407000008032222235555555571BAD0007E07000008076222231000AAAA8ABCD00014070000080322F19E555555553DC6D0007E07000008101762F19E45565F4729D10014070000083000005555555555C633D1007E070000082144617368426F617B37D1007E070000082272645644444D51583AD1007E0700000823424142AAAAAAAA2D3CD10014070000080322F1A2555555556C43D1007E07000008100962F1A23030387BA6D10014070000083000005555555555E6B0D1007E0700000821303031AAAAAAAAB2B2D10014070000080322F40D5555555580BCD1007E070000080762F40D05AAAAAA3FBED10014070000080319020C5555555541C8D1007E0700000810CF59020C01FFFF502BD20014070000083000005555555555AD35D2007E0700000821FF02FFFFFF03FF1739D2007E0700000822FFFF04FFFFFF05893BD2007E0700000823FFFFFF06FFFFFF773ED2007E070000082407FFFFFF08FFFF4845D2007E0700000825FF09FFFFFF10FFB548D2007E0700000826FFFF11FFFFFF122A4BD2007E0700000827FFFFFF13FFFFFF144ED2007E070000082814FFFFFF15FFFFE854D2007E0700000829FF16FFFFFF17FF5458D2007E070000082AFFFF18FFFFFF19CA5AD2007E070000082BFFFFFF20FFFFFFB35DD2007E070000082C21FFFFFF22FFFF8B64D2007E070000082DFF23FFFFFF24FFF267D2007E070000082EFFFF25FFFFFF266B6AD2007E070000082FFFFFFF27FFFFFF526DD2007E070000082028FFFFFF29FFFF2574D2007E0700000821FF30FFFFFF31FF9377D2007E0700000822FFFF32FFFFFF33EB79D2007E0700000823FFFFFF34FFFFFFF57CD2007E070000082435FFFFFF36FFFFAF83D2007E0700000825FF37FFFFFF38FF9186D2007E0700000826FFFF39FFFFFF408189D2007E0700000827FFFFFF41FFFFFF688CD2007E070000082842FFFFFF43FFFF3E93D2007E0700000829FF44FFFFFF45FFB096D2007E070000082AFFFF46FFFFFF472299D2007E070000082BFFFFFF48FFFFFF0A9CD2007E070000082C49FFFFFF50FFFFFBA4D2007E070000082DFF51FFFFFFAAAA</t>
  </si>
  <si>
    <t>00h00m08s024-446</t>
  </si>
  <si>
    <t>02.10.01.55.55.55.55.55</t>
  </si>
  <si>
    <t>00h00m08s027-131</t>
  </si>
  <si>
    <t>02.50.01.FF.FF.FF.FF.FF</t>
  </si>
  <si>
    <t>00h00m08s027-552</t>
  </si>
  <si>
    <t>03.22.F1.90.55.55.55.55</t>
  </si>
  <si>
    <t>00h00m08s030-051</t>
  </si>
  <si>
    <t>03.7F.22.11</t>
  </si>
  <si>
    <t>00h00m08s031-694</t>
  </si>
  <si>
    <t>03.22.F1.9E.55.55.55.55</t>
  </si>
  <si>
    <t>00h00m08s034-059</t>
  </si>
  <si>
    <t>00h00m08s034-468</t>
  </si>
  <si>
    <t>03.22.F1.A2.55.55.55.55</t>
  </si>
  <si>
    <t>00h00m08s037-052</t>
  </si>
  <si>
    <t>00h00m08s037-586</t>
  </si>
  <si>
    <t>03.19.02.0C.55.55.55.55</t>
  </si>
  <si>
    <t>00h00m08s040-127</t>
  </si>
  <si>
    <t>03.7F.19.78.FF.FF.FF.FF</t>
  </si>
  <si>
    <t>00h00m10s540-306</t>
  </si>
  <si>
    <t>70C</t>
  </si>
  <si>
    <t>00h00m10s790-274</t>
  </si>
  <si>
    <t>713</t>
  </si>
  <si>
    <t>00h00m13s539-297</t>
  </si>
  <si>
    <t>714</t>
  </si>
  <si>
    <t>00h00m13s550-245</t>
  </si>
  <si>
    <t>77E</t>
  </si>
  <si>
    <t>07.50.01.AA.AA.AA.AA.AA</t>
  </si>
  <si>
    <t>00h00m13s550-680</t>
  </si>
  <si>
    <t>00h00m13s562-249</t>
  </si>
  <si>
    <t>10.14.62.F1.90.56.46.31</t>
  </si>
  <si>
    <t>00h00m13s587-610</t>
  </si>
  <si>
    <t>30.00.00.55.55.55.55.55</t>
  </si>
  <si>
    <t>00h00m13s590-277</t>
  </si>
  <si>
    <t>21.32.33.34.35.36.37.38</t>
  </si>
  <si>
    <t>00h00m13s591-183</t>
  </si>
  <si>
    <t>22.39.30.31.32.33.34.36</t>
  </si>
  <si>
    <t>00h00m13s591-684</t>
  </si>
  <si>
    <t>03.22.22.03.55.55.55.55</t>
  </si>
  <si>
    <t>00h00m13s594-247</t>
  </si>
  <si>
    <t>07.62.22.03.00.0F.DB.AA</t>
  </si>
  <si>
    <t>00h00m13s594-696</t>
  </si>
  <si>
    <t>03.22.22.06.55.55.55.55</t>
  </si>
  <si>
    <t>00h00m13s597-240</t>
  </si>
  <si>
    <t>07.7F.22.21.AA.AA.AA.AA</t>
  </si>
  <si>
    <t>00h00m13s597-635</t>
  </si>
  <si>
    <t>00h00m13s600-238</t>
  </si>
  <si>
    <t>00h00m13s600-627</t>
  </si>
  <si>
    <t>00h00m13s603-240</t>
  </si>
  <si>
    <t>00h00m13s603-641</t>
  </si>
  <si>
    <t>00h00m13s606-238</t>
  </si>
  <si>
    <t>00h00m13s606-633</t>
  </si>
  <si>
    <t>00h00m13s609-239</t>
  </si>
  <si>
    <t>00h00m13s609-649</t>
  </si>
  <si>
    <t>03.22.22.B0.55.55.55.55</t>
  </si>
  <si>
    <t>00h00m13s612-261</t>
  </si>
  <si>
    <t>10.38.62.22.B0.00.64.FF</t>
  </si>
  <si>
    <t>00h00m13s637-616</t>
  </si>
  <si>
    <t>00h00m13s640-293</t>
  </si>
  <si>
    <t>21.FF.FF.FF.FF.FF.0A.0D</t>
  </si>
  <si>
    <t>00h00m13s641-161</t>
  </si>
  <si>
    <t>22.0D.0D.01.97.80.00.80</t>
  </si>
  <si>
    <t>00h00m13s641-791</t>
  </si>
  <si>
    <t>23.00.80.00.01.97.00.00</t>
  </si>
  <si>
    <t>00h00m13s642-541</t>
  </si>
  <si>
    <t>24.00.00.00.00.01.97.01</t>
  </si>
  <si>
    <t>00h00m13s644-281</t>
  </si>
  <si>
    <t>25.97.01.97.01.95.01.99</t>
  </si>
  <si>
    <t>00h00m13s645-163</t>
  </si>
  <si>
    <t>26.02.00.64.7F.64.00.00</t>
  </si>
  <si>
    <t>00h00m13s645-793</t>
  </si>
  <si>
    <t>27.00.07.3C.00.00.00.00</t>
  </si>
  <si>
    <t>00h00m13s646-652</t>
  </si>
  <si>
    <t>28.05.AA.AA.AA.AA.AA.AA</t>
  </si>
  <si>
    <t>00h00m13s647-113</t>
  </si>
  <si>
    <t>03.22.22.A4.55.55.55.55</t>
  </si>
  <si>
    <t>00h00m13s649-240</t>
  </si>
  <si>
    <t>07.7F.22.22.AA.AA.AA.AA</t>
  </si>
  <si>
    <t>00h00m13s649-605</t>
  </si>
  <si>
    <t>03.22.22.A5.55.55.55.55</t>
  </si>
  <si>
    <t>00h00m13s652-240</t>
  </si>
  <si>
    <t>00h00m13s652-615</t>
  </si>
  <si>
    <t>03.22.22.A6.55.55.55.55</t>
  </si>
  <si>
    <t>00h00m13s655-238</t>
  </si>
  <si>
    <t>00h00m13s655-651</t>
  </si>
  <si>
    <t>03.22.22.43.55.55.55.55</t>
  </si>
  <si>
    <t>00h00m13s658-238</t>
  </si>
  <si>
    <t>07.62.22.43.00.5C.AA.AA</t>
  </si>
  <si>
    <t>00h00m13s658-665</t>
  </si>
  <si>
    <t>03.22.22.A7.55.55.55.55</t>
  </si>
  <si>
    <t>00h00m13s661-239</t>
  </si>
  <si>
    <t>00h00m13s661-604</t>
  </si>
  <si>
    <t>03.22.22.44.55.55.55.55</t>
  </si>
  <si>
    <t>00h00m13s664-241</t>
  </si>
  <si>
    <t>07.62.22.44.01.2B.AA.AA</t>
  </si>
  <si>
    <t>00h00m13s664-690</t>
  </si>
  <si>
    <t>03.22.22.2A.55.55.55.55</t>
  </si>
  <si>
    <t>00h00m13s667-243</t>
  </si>
  <si>
    <t>07.62.22.2A.6F.AA.AA.AA</t>
  </si>
  <si>
    <t>00h00m13s667-886</t>
  </si>
  <si>
    <t>03.22.10.0D.55.55.55.55</t>
  </si>
  <si>
    <t>00h00m13s670-231</t>
  </si>
  <si>
    <t>07.62.10.0D.75.30.AA.AA</t>
  </si>
  <si>
    <t>00h00m13s670-802</t>
  </si>
  <si>
    <t>03.22.10.0F.55.55.55.55</t>
  </si>
  <si>
    <t>00h00m13s673-217</t>
  </si>
  <si>
    <t>07.62.10.0F.02.E8.AA.AA</t>
  </si>
  <si>
    <t>00h00m13s673-780</t>
  </si>
  <si>
    <t>03.22.22.22.55.55.55.55</t>
  </si>
  <si>
    <t>00h00m13s676-219</t>
  </si>
  <si>
    <t>07.62.22.22.04.00.AA.AA</t>
  </si>
  <si>
    <t>00h00m13s676-680</t>
  </si>
  <si>
    <t>03.22.22.23.55.55.55.55</t>
  </si>
  <si>
    <t>00h00m13s679-217</t>
  </si>
  <si>
    <t>07.62.22.23.10.00.AA.AA</t>
  </si>
  <si>
    <t>00h00m13s679-754</t>
  </si>
  <si>
    <t>00h00m13s682-237</t>
  </si>
  <si>
    <t>10.17.62.F1.9E.45.56.5F</t>
  </si>
  <si>
    <t>00h00m13s707-591</t>
  </si>
  <si>
    <t>00h00m13s710-278</t>
  </si>
  <si>
    <t>21.44.61.73.68.42.6F.61</t>
  </si>
  <si>
    <t>00h00m13s711-227</t>
  </si>
  <si>
    <t>22.72.64.56.44.44.4D.51</t>
  </si>
  <si>
    <t>00h00m13s711-960</t>
  </si>
  <si>
    <t>23.42.41.42.AA.AA.AA.AA</t>
  </si>
  <si>
    <t>00h00m13s712-429</t>
  </si>
  <si>
    <t>00h00m13s714-284</t>
  </si>
  <si>
    <t>10.09.62.F1.A2.30.30.38</t>
  </si>
  <si>
    <t>00h00m13s739-643</t>
  </si>
  <si>
    <t>00h00m13s742-310</t>
  </si>
  <si>
    <t>21.30.30.31.AA.AA.AA.AA</t>
  </si>
  <si>
    <t>00h00m13s742-770</t>
  </si>
  <si>
    <t>03.22.F4.0D.55.55.55.55</t>
  </si>
  <si>
    <t>00h00m13s745-280</t>
  </si>
  <si>
    <t>07.62.F4.0D.05.AA.AA.AA</t>
  </si>
  <si>
    <t>00h00m13s745-727</t>
  </si>
  <si>
    <t>00h00m13s748-289</t>
  </si>
  <si>
    <t>10.CF.59.02.0C.01.FF.FF</t>
  </si>
  <si>
    <t>00h00m13s773-648</t>
  </si>
  <si>
    <t>00h00m13s776-301</t>
  </si>
  <si>
    <t>21.FF.02.FF.FF.FF.03.FF</t>
  </si>
  <si>
    <t>00h00m13s777-175</t>
  </si>
  <si>
    <t>22.FF.FF.04.FF.FF.FF.05</t>
  </si>
  <si>
    <t>00h00m13s777-801</t>
  </si>
  <si>
    <t>23.FF.FF.FF.06.FF.FF.FF</t>
  </si>
  <si>
    <t>00h00m13s778-551</t>
  </si>
  <si>
    <t>24.07.FF.FF.FF.08.FF.FF</t>
  </si>
  <si>
    <t>00h00m13s780-296</t>
  </si>
  <si>
    <t>25.FF.09.FF.FF.FF.10.FF</t>
  </si>
  <si>
    <t>00h00m13s781-173</t>
  </si>
  <si>
    <t>26.FF.FF.11.FF.FF.FF.12</t>
  </si>
  <si>
    <t>00h00m13s781-802</t>
  </si>
  <si>
    <t>27.FF.FF.FF.13.FF.FF.FF</t>
  </si>
  <si>
    <t>00h00m13s782-548</t>
  </si>
  <si>
    <t>28.14.FF.FF.FF.15.FF.FF</t>
  </si>
  <si>
    <t>00h00m13s784-296</t>
  </si>
  <si>
    <t>29.FF.16.FF.FF.FF.17.FF</t>
  </si>
  <si>
    <t>00h00m13s785-172</t>
  </si>
  <si>
    <t>2A.FF.FF.18.FF.FF.FF.19</t>
  </si>
  <si>
    <t>00h00m13s785-802</t>
  </si>
  <si>
    <t>2B.FF.FF.FF.20.FF.FF.FF</t>
  </si>
  <si>
    <t>00h00m13s786-547</t>
  </si>
  <si>
    <t>2C.21.FF.FF.FF.22.FF.FF</t>
  </si>
  <si>
    <t>00h00m13s788-299</t>
  </si>
  <si>
    <t>2D.FF.23.FF.FF.FF.24.FF</t>
  </si>
  <si>
    <t>00h00m13s789-170</t>
  </si>
  <si>
    <t>2E.FF.FF.25.FF.FF.FF.26</t>
  </si>
  <si>
    <t>00h00m13s789-803</t>
  </si>
  <si>
    <t>2F.FF.FF.FF.27.FF.FF.FF</t>
  </si>
  <si>
    <t>00h00m13s790-546</t>
  </si>
  <si>
    <t>20.28.FF.FF.FF.29.FF.FF</t>
  </si>
  <si>
    <t>00h00m13s792-293</t>
  </si>
  <si>
    <t>21.FF.30.FF.FF.FF.31.FF</t>
  </si>
  <si>
    <t>00h00m13s793-171</t>
  </si>
  <si>
    <t>22.FF.FF.32.FF.FF.FF.33</t>
  </si>
  <si>
    <t>00h00m13s793-771</t>
  </si>
  <si>
    <t>23.FF.FF.FF.34.FF.FF.FF</t>
  </si>
  <si>
    <t>00h00m13s794-549</t>
  </si>
  <si>
    <t>24.35.FF.FF.FF.36.FF.FF</t>
  </si>
  <si>
    <t>00h00m13s796-271</t>
  </si>
  <si>
    <t>25.FF.37.FF.FF.FF.38.FF</t>
  </si>
  <si>
    <t>00h00m13s797-009</t>
  </si>
  <si>
    <t>26.FF.FF.39.FF.FF.FF.40</t>
  </si>
  <si>
    <t>00h00m13s797-761</t>
  </si>
  <si>
    <t>27.FF.FF.FF.41.FF.FF.FF</t>
  </si>
  <si>
    <t>00h00m13s798-504</t>
  </si>
  <si>
    <t>28.42.FF.FF.FF.43.FF.FF</t>
  </si>
  <si>
    <t>00h00m13s800-254</t>
  </si>
  <si>
    <t>29.FF.44.FF.FF.FF.45.FF</t>
  </si>
  <si>
    <t>00h00m13s801-136</t>
  </si>
  <si>
    <t>2A.FF.FF.46.FF.FF.FF.47</t>
  </si>
  <si>
    <t>00h00m13s801-762</t>
  </si>
  <si>
    <t>2B.FF.FF.FF.48.FF.FF.FF</t>
  </si>
  <si>
    <t>00h00m13s802-506</t>
  </si>
  <si>
    <t>2C.49.FF.FF.FF.50.FF.FF</t>
  </si>
  <si>
    <t>00h00m13s804-795</t>
  </si>
  <si>
    <t>2D.FF.51.FF.FF.FF.AA.AA</t>
  </si>
  <si>
    <t>108</t>
  </si>
  <si>
    <t>AMBIANT_AIR_TEMP_MIN</t>
  </si>
  <si>
    <t>CONSO_200</t>
  </si>
  <si>
    <t>CONSO_179</t>
  </si>
  <si>
    <t>ELAPSED_TIME_MODE_ECO_ON</t>
  </si>
  <si>
    <t>ELAPSED_TIME_CLIM_ON</t>
  </si>
  <si>
    <t>RPM_MOY_ACCEL</t>
  </si>
  <si>
    <t>RPM_MAX_ACCEL</t>
  </si>
  <si>
    <t>DIST_ACCEL</t>
  </si>
  <si>
    <t>TIME_ACCEL</t>
  </si>
  <si>
    <t>DIST_2000TR_SEUIL</t>
  </si>
  <si>
    <t xml:space="preserve">CONSO_2000TR </t>
  </si>
  <si>
    <t>DISTRIB_DIST_RAPPORT</t>
  </si>
  <si>
    <t>DISTRIB_TIME_RAPPORT</t>
  </si>
  <si>
    <t>DIST_VIT_STAB</t>
  </si>
  <si>
    <t>TIME_VIT_STAB</t>
  </si>
  <si>
    <t>DIST_COUP_INJ</t>
  </si>
  <si>
    <t>TIME_COUP_INJ</t>
  </si>
  <si>
    <t>NB_FREIN</t>
  </si>
  <si>
    <t>DIST_FREIN</t>
  </si>
  <si>
    <t>TIME_FREIN</t>
  </si>
  <si>
    <t>DIST_REGEN</t>
  </si>
  <si>
    <t>TIME_REGEN</t>
  </si>
  <si>
    <t>DIST_MODE_ECO</t>
  </si>
  <si>
    <t>TIME_MODE_ECO</t>
  </si>
  <si>
    <t>SEUIL_DIST_2000TR_SEUIL</t>
  </si>
  <si>
    <t>Fichier conf incomplet</t>
  </si>
  <si>
    <t>RPM moy</t>
  </si>
  <si>
    <t>TIME_SOUS_REGIME</t>
  </si>
  <si>
    <t>0x15</t>
  </si>
  <si>
    <t>0x16</t>
  </si>
  <si>
    <t>0x17</t>
  </si>
  <si>
    <t>Volvo</t>
  </si>
  <si>
    <t>REN_MEG4</t>
  </si>
  <si>
    <t>REN_KANGZE</t>
  </si>
  <si>
    <t>15C - 0-1</t>
  </si>
  <si>
    <t>29A - 4-5</t>
  </si>
  <si>
    <t>284 - 4-5</t>
  </si>
  <si>
    <t>Diag ABS</t>
  </si>
  <si>
    <t>01, 02, 03, 04, 05, 06, 07, 08, 09, 0A, 0B, 0C, 0D, 0E, 0F, 10, 11, 12, 13, 14, 15, 16, 17, 18, 19, 1A, 1B, 1C, 1D, 1E, 1F, 20, 21, 2F, 31, 40, 41, 42, 43, 44, 45, 46, 47, 48, 49, 4A, 4B, 4C, 4D, 4E, 4F, 50, 5A, 5B, 5C, 60, 80, 8B</t>
  </si>
  <si>
    <t>FFFFFFFF80028001FFFF0071000000010020</t>
  </si>
  <si>
    <t>00200000</t>
  </si>
  <si>
    <t>TIME_FAP_REGEN_ACTIVE</t>
  </si>
  <si>
    <t>TIME_FAP_REGEN_PASSIVE</t>
  </si>
  <si>
    <t>TIME_NOX_ABS_REGEN</t>
  </si>
  <si>
    <t>TIME_NOX_ABS_DESULFUR</t>
  </si>
  <si>
    <t>FMS_OBD_SERV</t>
  </si>
  <si>
    <t>FMS_GEN</t>
  </si>
  <si>
    <t xml:space="preserve">08000100010104020260090802cd000911595631445a3831353646323636383636370a02333814010a16012d </t>
  </si>
  <si>
    <t>OBD_GEN</t>
  </si>
  <si>
    <t>Debug_gotosleep</t>
  </si>
  <si>
    <t>Step</t>
  </si>
  <si>
    <t>E_PHASE_INIT_OBD</t>
  </si>
  <si>
    <t>E_PHASE_START</t>
  </si>
  <si>
    <t>E_PHASE_START_OBD</t>
  </si>
  <si>
    <t>E_PHASE_ROLLING</t>
  </si>
  <si>
    <t>E_PHASE_STOP_START</t>
  </si>
  <si>
    <t>E_PHASE_END</t>
  </si>
  <si>
    <t>E_PHASE_GSM</t>
  </si>
  <si>
    <t xml:space="preserve">    WAITING,                    //0 - 0x0</t>
  </si>
  <si>
    <t xml:space="preserve">    WAITING_OBD_GEN_TASKSTART,  //1 - 0x1</t>
  </si>
  <si>
    <t xml:space="preserve">    LAUNCH_INIT,                //2 - 0x2</t>
  </si>
  <si>
    <t xml:space="preserve">    CHECK_COND_START,           //3 - 0x3</t>
  </si>
  <si>
    <t xml:space="preserve">    INITIALIZING_2010,          //4 - 0x4</t>
  </si>
  <si>
    <t xml:space="preserve">    INITIALIZED_2004,           //5 - 0x5</t>
  </si>
  <si>
    <t xml:space="preserve">    INITIALIZED_2010,           //6 - 0x6</t>
  </si>
  <si>
    <t xml:space="preserve">    SEND_GPRS,                  //7 - 0x7</t>
  </si>
  <si>
    <t xml:space="preserve">    FINISHING_2004,             //8 - 0x8</t>
  </si>
  <si>
    <t xml:space="preserve">    FINISHING_2010,             //9 - 0x9</t>
  </si>
  <si>
    <t xml:space="preserve">    RU_LID_FOUND_2004,          //10 - 0xA</t>
  </si>
  <si>
    <t xml:space="preserve">    OBD_MODE,                   //11 - 0xB</t>
  </si>
  <si>
    <t xml:space="preserve">    WAITING_CYCLE,              //12 - 0xC</t>
  </si>
  <si>
    <t xml:space="preserve">    WAITING_WAITING_CYCLE,      //13 - 0xD</t>
  </si>
  <si>
    <t xml:space="preserve">    READ_DATA_NO_COMM,          //14 - 0xE</t>
  </si>
  <si>
    <t xml:space="preserve">    GO_TO_SLEEP,                //15 - 0xF</t>
  </si>
  <si>
    <t xml:space="preserve">    DO_NOTHING,                 //16 - 0x10</t>
  </si>
  <si>
    <t xml:space="preserve">    READING_STOPSTART_PARAM,    //17 - 0x11</t>
  </si>
  <si>
    <t xml:space="preserve">    WAITING_GET_STOPSTART_PARAM,//18 - 0x12</t>
  </si>
  <si>
    <t xml:space="preserve">    INIT_STOP_START,            //19 - 0x13</t>
  </si>
  <si>
    <t xml:space="preserve">    OTA,                        //20 - 0x14</t>
  </si>
  <si>
    <t xml:space="preserve">    RETRY,                      //21 - 0x15</t>
  </si>
  <si>
    <t xml:space="preserve">    BUFFERISATION,              //22 - 0x16</t>
  </si>
  <si>
    <t xml:space="preserve">    INIT_DSG_2004,</t>
  </si>
  <si>
    <t xml:space="preserve">    WAITING_INIT_DSG_2004,</t>
  </si>
  <si>
    <t xml:space="preserve">    GET_TPMS_2004,</t>
  </si>
  <si>
    <t xml:space="preserve">    WAITING_GET_TPMS_2004,</t>
  </si>
  <si>
    <t xml:space="preserve">    FIN_DSG_2004,</t>
  </si>
  <si>
    <t xml:space="preserve">    WAITING_FIN_DSG_2004,</t>
  </si>
  <si>
    <t xml:space="preserve">    INIT_DSG_2010,</t>
  </si>
  <si>
    <t xml:space="preserve">    WAITING_INIT_DSG_2010,</t>
  </si>
  <si>
    <t xml:space="preserve">    GET_TPMS1_2010,</t>
  </si>
  <si>
    <t xml:space="preserve">    WAITING_GET_TPMS1_2010,</t>
  </si>
  <si>
    <t xml:space="preserve">    GET_TPMS2_2010,</t>
  </si>
  <si>
    <t xml:space="preserve">    WAITING_GET_TPMS2_2010,</t>
  </si>
  <si>
    <t xml:space="preserve">    GET_TPMS3_2010,</t>
  </si>
  <si>
    <t xml:space="preserve">    WAITING_GET_TPMS3_2010,</t>
  </si>
  <si>
    <t xml:space="preserve">    GET_TPMS4_2010,</t>
  </si>
  <si>
    <t xml:space="preserve">    WAITING_GET_TPMS4_2010,</t>
  </si>
  <si>
    <t xml:space="preserve">    GET_TPMS5_2010,</t>
  </si>
  <si>
    <t xml:space="preserve">    WAITING_GET_TPMS5_2010,     //40 - 0x28</t>
  </si>
  <si>
    <t xml:space="preserve">    GET_TPMS6_2010,</t>
  </si>
  <si>
    <t xml:space="preserve">    WAITING_GET_TPMS6_2010,     //42</t>
  </si>
  <si>
    <t xml:space="preserve">    GET_TPMS7_2010,</t>
  </si>
  <si>
    <t xml:space="preserve">    WAITING_GET_TPMS7_2010,</t>
  </si>
  <si>
    <t xml:space="preserve">    GET_TPMS8_2010,</t>
  </si>
  <si>
    <t xml:space="preserve">    WAITING_GET_TPMS8_2010,</t>
  </si>
  <si>
    <t xml:space="preserve">    FIN_DSG_2010,</t>
  </si>
  <si>
    <t xml:space="preserve">    WAITING_FIN_DSG_2010,</t>
  </si>
  <si>
    <t xml:space="preserve">    WAITING_START,</t>
  </si>
  <si>
    <t xml:space="preserve">    ANNUL_GSM_OTA,</t>
  </si>
  <si>
    <t xml:space="preserve">    INIT_81,</t>
  </si>
  <si>
    <t xml:space="preserve">    WAITING_INIT_81,</t>
  </si>
  <si>
    <t xml:space="preserve">    INIT_1003,</t>
  </si>
  <si>
    <t xml:space="preserve">    WAITING_INIT_1003,</t>
  </si>
  <si>
    <t xml:space="preserve">    IDENT_80,</t>
  </si>
  <si>
    <t xml:space="preserve">    WAITING_IDENT_80,</t>
  </si>
  <si>
    <t xml:space="preserve">    IDENT_FE,</t>
  </si>
  <si>
    <t xml:space="preserve">    WAITING_IDENT_FE,</t>
  </si>
  <si>
    <t xml:space="preserve">    LECTDEF_17FF00,</t>
  </si>
  <si>
    <t xml:space="preserve">    WAITING_LECTDEF_17FF00,</t>
  </si>
  <si>
    <t xml:space="preserve">    LECTDEF_17FFFF,</t>
  </si>
  <si>
    <t xml:space="preserve">    WAITING_LECTDEF_17FFFF,</t>
  </si>
  <si>
    <t xml:space="preserve">    LECTDEF_UDS,</t>
  </si>
  <si>
    <t xml:space="preserve">    WAITING_LECTDEF_UDS,</t>
  </si>
  <si>
    <t xml:space="preserve">    FIN_DIAG,</t>
  </si>
  <si>
    <t xml:space="preserve">    WAITING_FIN_DIAG,</t>
  </si>
  <si>
    <t xml:space="preserve">    TEMPO_INJ,</t>
  </si>
  <si>
    <t xml:space="preserve">    CALCULATE_DTC_LENGTH,       //69</t>
  </si>
  <si>
    <t xml:space="preserve">    BUFFERISATION_DTC,          //70</t>
  </si>
  <si>
    <t xml:space="preserve">    WAITING_CYCLE,                  //0 - 0x00</t>
  </si>
  <si>
    <t xml:space="preserve">    WAITING_START,                  //1 - 0x01</t>
  </si>
  <si>
    <t xml:space="preserve">    WAITING,                        //2 - 0x02</t>
  </si>
  <si>
    <t xml:space="preserve">    GO_TO_SLEEP,                    //4 - 0x03</t>
  </si>
  <si>
    <t xml:space="preserve">    SEND_GPRS,                      //6 - 0x04</t>
  </si>
  <si>
    <t xml:space="preserve">    OTA,                            //7 - 0x05</t>
  </si>
  <si>
    <t xml:space="preserve">    BUFFERISATION,                  //8 - 0x06</t>
  </si>
  <si>
    <t xml:space="preserve">    ANNUL_GSM_OTA,                  //9 - 0x07</t>
  </si>
  <si>
    <t xml:space="preserve">    START_OBD,                      //11 - 0x08</t>
  </si>
  <si>
    <t xml:space="preserve">    WAITING_OBD_GEN_TASKROLL,       //20 - 0x09</t>
  </si>
  <si>
    <t xml:space="preserve">    WAITING_OBD_GEN_TASKSTART,      //21 - 0x0A</t>
  </si>
  <si>
    <t xml:space="preserve">    WAITING_OBD_GEN_TASKCHECK,      //22 - 0x0B</t>
  </si>
  <si>
    <t xml:space="preserve">    END_PHASE_START_OBD,            //23 - 0x0C</t>
  </si>
  <si>
    <t xml:space="preserve">    WAITING_GPS,</t>
  </si>
  <si>
    <t xml:space="preserve">    WAITING_GPS_OK,</t>
  </si>
  <si>
    <t xml:space="preserve">    GO_TO_SLEEP,</t>
  </si>
  <si>
    <t xml:space="preserve">    BUFFERISATION,</t>
  </si>
  <si>
    <t xml:space="preserve">    SEND_GPRS,</t>
  </si>
  <si>
    <t xml:space="preserve">    OTA,</t>
  </si>
  <si>
    <t xml:space="preserve">    ANNUL_GSM_OTA</t>
  </si>
  <si>
    <t xml:space="preserve">    WAITING_START,              //0</t>
  </si>
  <si>
    <t xml:space="preserve">    GO_TO_SLEEP,                //1</t>
  </si>
  <si>
    <t xml:space="preserve">    WAITING_OBD_GEN_TASKROLL,   //2</t>
  </si>
  <si>
    <t xml:space="preserve">    WAITING_OBD_GEN_TASKSTART,  //3</t>
  </si>
  <si>
    <t xml:space="preserve">    WAITING_CYCLE,              //4</t>
  </si>
  <si>
    <t xml:space="preserve">    WAITING_CYCLE,</t>
  </si>
  <si>
    <t xml:space="preserve">    GET_OBD_ENGRPM,      </t>
  </si>
  <si>
    <t xml:space="preserve">    WAITING_GET_OBD_ENGRPM,     // 2</t>
  </si>
  <si>
    <t xml:space="preserve">    WAITING,                    // 3</t>
  </si>
  <si>
    <t xml:space="preserve">    DO_NOTHING,                 // 4</t>
  </si>
  <si>
    <t xml:space="preserve">    GO_TO_SLEEP,                // 5</t>
  </si>
  <si>
    <t xml:space="preserve">    GET_OBD_SPEED,              // 6</t>
  </si>
  <si>
    <t xml:space="preserve">    WAITING_GET_OBD_SPEED,      // 7</t>
  </si>
  <si>
    <t xml:space="preserve">    GET_OBD_PID_MPM,            // 8</t>
  </si>
  <si>
    <t xml:space="preserve">    WAITING_GET_OBD_PID_MPM,    // 9</t>
  </si>
  <si>
    <t xml:space="preserve">    GET_OBD_PID_Ident,          // A</t>
  </si>
  <si>
    <t xml:space="preserve">    WAITING_GET_OBD_PID_Ident,  // B</t>
  </si>
  <si>
    <t xml:space="preserve">    DO_Calcul_Tab_PID_Present,  // C</t>
  </si>
  <si>
    <t xml:space="preserve">    GET_OBD_VIN,                // D</t>
  </si>
  <si>
    <t xml:space="preserve">    WAITING_GET_OBD_VIN,        // E</t>
  </si>
  <si>
    <t xml:space="preserve">    GET_OBD_NIV_CARB,           // F</t>
  </si>
  <si>
    <t xml:space="preserve">    WAITING_GET_OBD_NIV_CARB,   // 10</t>
  </si>
  <si>
    <t xml:space="preserve">    GET_OBD_MIL,                // 11</t>
  </si>
  <si>
    <t xml:space="preserve">    WAITING_GET_OBD_MIL,        // 12</t>
  </si>
  <si>
    <t xml:space="preserve">    GET_OBD_WATER_TEMP,         // 13</t>
  </si>
  <si>
    <t xml:space="preserve">    WAITING_GET_OBD_WATER_TEMP, // 14</t>
  </si>
  <si>
    <t xml:space="preserve">    GET_OBD_FUEL_TYPE,          // 15</t>
  </si>
  <si>
    <t xml:space="preserve">    WAITING_GET_OBD_FUEL_TYPE,  // 16</t>
  </si>
  <si>
    <t xml:space="preserve">    GET_OBD_PARAM_CONSO_1_1,    // 17</t>
  </si>
  <si>
    <t xml:space="preserve">    WAITING_GET_OBD_PARAM_CONSO_1_1,    // 18</t>
  </si>
  <si>
    <t xml:space="preserve">    GET_OBD_PARAM_CONSO_1_2,    // 19</t>
  </si>
  <si>
    <t xml:space="preserve">    WAITING_GET_OBD_PARAM_CONSO_1_2,    // 1A</t>
  </si>
  <si>
    <t xml:space="preserve">    GET_OBD_PARAM_CONSO_2_1,    // 1B</t>
  </si>
  <si>
    <t xml:space="preserve">    WAITING_GET_OBD_PARAM_CONSO_2_1,    // 1C</t>
  </si>
  <si>
    <t xml:space="preserve">    GET_OBD_PARAM_CONSO_2_2,    // 1D</t>
  </si>
  <si>
    <t xml:space="preserve">    WAITING_GET_OBD_PARAM_CONSO_2_2,    // 1E</t>
  </si>
  <si>
    <t xml:space="preserve">    GET_OBD_OIL_TEMP,           // 1F</t>
  </si>
  <si>
    <t xml:space="preserve">    WAITING_GET_OBD_OIL_TEMP,   // 20</t>
  </si>
  <si>
    <t xml:space="preserve">    GET_OBD_THROTTLE,           // 21</t>
  </si>
  <si>
    <t xml:space="preserve">    WAITING_GET_OBD_THROTTLE,   // 22</t>
  </si>
  <si>
    <t xml:space="preserve">    GET_OBD_AMB_AIR_TEMP,       // 23</t>
  </si>
  <si>
    <t xml:space="preserve">    WAITING_GET_OBD_AMB_AIR_TEMP,   // 24</t>
  </si>
  <si>
    <t xml:space="preserve">    GET_OBD_BATT_CHARGE,        // 25</t>
  </si>
  <si>
    <t xml:space="preserve">    WAITING_GET_OBD_BATT_CHARGE,    // 26</t>
  </si>
  <si>
    <t xml:space="preserve">    GET_LECT_DEF,               // 27</t>
  </si>
  <si>
    <t xml:space="preserve">    WAITING_GET_LECT_DEF,       // 28</t>
  </si>
  <si>
    <t xml:space="preserve">    RECO,                       // 29</t>
  </si>
  <si>
    <t xml:space="preserve">    FINISH_RECO,                // 2A</t>
  </si>
  <si>
    <t xml:space="preserve">    REPEAT_REQ,                 // 2C</t>
  </si>
  <si>
    <t xml:space="preserve">    SEND_GPRS,                  // 2D</t>
  </si>
  <si>
    <t xml:space="preserve">    OTA,                        // 2E</t>
  </si>
  <si>
    <t xml:space="preserve">    GET_OBD_DIST_EFF_DEF,       // 2F</t>
  </si>
  <si>
    <t xml:space="preserve">    WAITING_GET_OBD_DIST_EFF_DEF,   // 30</t>
  </si>
  <si>
    <t xml:space="preserve">    BUFFERISATION,              // 31</t>
  </si>
  <si>
    <t xml:space="preserve">    GET_OBD_PID_MIL_NBDTC,</t>
  </si>
  <si>
    <t xml:space="preserve">    WAITING_GET_OBD_PID_MIL_NBDTC,</t>
  </si>
  <si>
    <t xml:space="preserve">    END_PHASE_START_OBD,</t>
  </si>
  <si>
    <t xml:space="preserve">    GET_OBD_ENGRPM,</t>
  </si>
  <si>
    <t xml:space="preserve">    WAITING_GET_OBD_ENGRPM,</t>
  </si>
  <si>
    <t xml:space="preserve">    WAITING,</t>
  </si>
  <si>
    <t xml:space="preserve">    DO_NOTHING,</t>
  </si>
  <si>
    <t xml:space="preserve">    CHECK_OBD_ENGRPM,</t>
  </si>
  <si>
    <t xml:space="preserve">    WAITING_CHECK_OBD_ENGRPM,</t>
  </si>
  <si>
    <t xml:space="preserve">    CHECK_OBD_SPEED,</t>
  </si>
  <si>
    <t xml:space="preserve">    WAITING_CHECK_OBD_SPEED,//10</t>
  </si>
  <si>
    <t xml:space="preserve">    GET_OBD_SPEED,</t>
  </si>
  <si>
    <t xml:space="preserve">    WAITING_GET_OBD_SPEED,</t>
  </si>
  <si>
    <t xml:space="preserve">    GET_OBD_PID_MPM,</t>
  </si>
  <si>
    <t xml:space="preserve">    WAITING_GET_OBD_PID_MPM,</t>
  </si>
  <si>
    <t xml:space="preserve">    GET_OBD_PID_Ident,</t>
  </si>
  <si>
    <t xml:space="preserve">    WAITING_GET_OBD_PID_Ident,</t>
  </si>
  <si>
    <t xml:space="preserve">    DO_Calcul_Tab_PID_Present,</t>
  </si>
  <si>
    <t xml:space="preserve">    GET_OBD_VIN,</t>
  </si>
  <si>
    <t xml:space="preserve">    WAITING_GET_OBD_VIN,</t>
  </si>
  <si>
    <t xml:space="preserve">    GET_OBD_NIV_CARB,//20</t>
  </si>
  <si>
    <t xml:space="preserve">    WAITING_GET_OBD_NIV_CARB,</t>
  </si>
  <si>
    <t xml:space="preserve">    GET_OBD_MIL,</t>
  </si>
  <si>
    <t xml:space="preserve">    WAITING_GET_OBD_MIL,</t>
  </si>
  <si>
    <t xml:space="preserve">    GET_OBD_WATER_TEMP,</t>
  </si>
  <si>
    <t xml:space="preserve">    WAITING_GET_OBD_WATER_TEMP,</t>
  </si>
  <si>
    <t xml:space="preserve">    GET_OBD_FUEL_TYPE,</t>
  </si>
  <si>
    <t xml:space="preserve">    WAITING_GET_OBD_FUEL_TYPE,</t>
  </si>
  <si>
    <t xml:space="preserve">    GET_OBD_PARAM_CONSO_1_1,</t>
  </si>
  <si>
    <t xml:space="preserve">    WAITING_GET_OBD_PARAM_CONSO_1_1,</t>
  </si>
  <si>
    <t xml:space="preserve">    GET_OBD_PARAM_CONSO_1_2,//30</t>
  </si>
  <si>
    <t xml:space="preserve">    WAITING_GET_OBD_PARAM_CONSO_1_2,</t>
  </si>
  <si>
    <t xml:space="preserve">    GET_OBD_PARAM_CONSO_2_1,</t>
  </si>
  <si>
    <t xml:space="preserve">    WAITING_GET_OBD_PARAM_CONSO_2_1,</t>
  </si>
  <si>
    <t xml:space="preserve">    GET_OBD_PARAM_CONSO_2_2,</t>
  </si>
  <si>
    <t xml:space="preserve">    WAITING_GET_OBD_PARAM_CONSO_2_2,</t>
  </si>
  <si>
    <t xml:space="preserve">    GET_OBD_OIL_TEMP,</t>
  </si>
  <si>
    <t xml:space="preserve">    WAITING_GET_OBD_OIL_TEMP,</t>
  </si>
  <si>
    <t xml:space="preserve">    GET_OBD_THROTTLE,</t>
  </si>
  <si>
    <t xml:space="preserve">    WAITING_GET_OBD_THROTTLE,</t>
  </si>
  <si>
    <t xml:space="preserve">    GET_OBD_AMB_AIR_TEMP,//40</t>
  </si>
  <si>
    <t xml:space="preserve">    WAITING_GET_OBD_AMB_AIR_TEMP,</t>
  </si>
  <si>
    <t xml:space="preserve">    GET_OBD_BATT_CHARGE,</t>
  </si>
  <si>
    <t xml:space="preserve">    WAITING_GET_OBD_BATT_CHARGE,</t>
  </si>
  <si>
    <t xml:space="preserve">    GET_LECT_DEF_OBD,</t>
  </si>
  <si>
    <t xml:space="preserve">    WAITING_GET_LECT_DEF_OBD,</t>
  </si>
  <si>
    <t xml:space="preserve">    RECO,</t>
  </si>
  <si>
    <t xml:space="preserve">    FINISH_RECO,</t>
  </si>
  <si>
    <t xml:space="preserve">    REPEAT_REQ,</t>
  </si>
  <si>
    <t xml:space="preserve">    SEND_GPRS,//50</t>
  </si>
  <si>
    <t xml:space="preserve">    GET_OBD_DIST_EFF_DEF,</t>
  </si>
  <si>
    <t xml:space="preserve">    WAITING_GET_OBD_DIST_EFF_DEF,</t>
  </si>
  <si>
    <t xml:space="preserve">    GET_OBD_PARAM_CONSO_3,</t>
  </si>
  <si>
    <t xml:space="preserve">    WAITING_GET_OBD_PARAM_CONSO_3,</t>
  </si>
  <si>
    <t xml:space="preserve">    ANNUL_GSM_OTA,//57</t>
  </si>
  <si>
    <t xml:space="preserve">    INIT_DIAG_UDS,</t>
  </si>
  <si>
    <t xml:space="preserve">    WAITING_INIT_DIAG_UDS,//</t>
  </si>
  <si>
    <t xml:space="preserve">    LECT_PARAM_DIAG_UDS,</t>
  </si>
  <si>
    <t xml:space="preserve">    WAITING_LECT_PARAM_DIAG_UDS,</t>
  </si>
  <si>
    <t xml:space="preserve">    INIT_DATALOG,</t>
  </si>
  <si>
    <t xml:space="preserve">    DO_NOTHING,                     //3 - 0x03</t>
  </si>
  <si>
    <t xml:space="preserve">    GO_TO_SLEEP,                    //4 - 0x04</t>
  </si>
  <si>
    <t xml:space="preserve">    REPEAT_REQ,                     //5 - 0x05</t>
  </si>
  <si>
    <t xml:space="preserve">    SEND_GPRS,                      //6 - 0x06</t>
  </si>
  <si>
    <t xml:space="preserve">    OTA,                            //7 - 0x07</t>
  </si>
  <si>
    <t xml:space="preserve">    BUFFERISATION,                  //8 - 0x08</t>
  </si>
  <si>
    <t xml:space="preserve">    ANNUL_GSM_OTA,                  //9 - 0x09</t>
  </si>
  <si>
    <t xml:space="preserve">    READ_DATA_NO_COMM,              //10 - 0x0A</t>
  </si>
  <si>
    <t xml:space="preserve">    START_OBD,                      //11 - 0x0B</t>
  </si>
  <si>
    <t xml:space="preserve">    INIT_DIAG,                      //12 - 0x0C</t>
  </si>
  <si>
    <t xml:space="preserve">    WAITING_INIT_DIAG,              //13 - 0x0D</t>
  </si>
  <si>
    <t xml:space="preserve">    LECTDEF1,                       //14 - 0x0E</t>
  </si>
  <si>
    <t xml:space="preserve">    WAITING_LECTDEF1,               //15 - 0x0F</t>
  </si>
  <si>
    <t xml:space="preserve">    LECTDEF2,                       //16 - 0x10</t>
  </si>
  <si>
    <t xml:space="preserve">    WAITING_LECTDEF2,               //17 - 0x11</t>
  </si>
  <si>
    <t xml:space="preserve">    GET_VIN,                        //18 - 0x12</t>
  </si>
  <si>
    <t xml:space="preserve">    WAITING_GET_VIN,                //19 - 0x13</t>
  </si>
  <si>
    <t xml:space="preserve">    GET_NIV_CARB,                   //20 - 0x14</t>
  </si>
  <si>
    <t xml:space="preserve">    WAITING_GET_NIV_CARB,           //21 - 0x15</t>
  </si>
  <si>
    <t xml:space="preserve">    GET_MAINT,                      //22 - 0x16</t>
  </si>
  <si>
    <t xml:space="preserve">    WAITING_GET_MAINT,              //23 - 0x17</t>
  </si>
  <si>
    <t xml:space="preserve">    GET_BRAKE_LEVEL,                //24 - 0x18</t>
  </si>
  <si>
    <t xml:space="preserve">    WAITING_GET_BRAKE_LEVEL,        //25 - 0x19</t>
  </si>
  <si>
    <t xml:space="preserve">    WAITING_OBD_GEN_TASKROLL,       //26 - 0x1A</t>
  </si>
  <si>
    <t xml:space="preserve">    WAITING_OBD_GEN_TASKSTART,      //27 - 0x1B</t>
  </si>
  <si>
    <t xml:space="preserve">    END_PHASE_START_OBD,            //28 - 0x1C</t>
  </si>
  <si>
    <t xml:space="preserve">    GO_TO_SLEEP,                //1 - 0x05</t>
  </si>
  <si>
    <t xml:space="preserve">    GO_TO_SLEEP_ERROR2,         //2 - 0x06</t>
  </si>
  <si>
    <t xml:space="preserve">    GO_TO_SLEEP_ERROR3,         //3 - 0x07</t>
  </si>
  <si>
    <t xml:space="preserve">    GO_TO_SLEEP_2,              //4 - 0x08</t>
  </si>
  <si>
    <t xml:space="preserve">    GO_TO_SLEEP_3,              //5 - 0x09</t>
  </si>
  <si>
    <t xml:space="preserve">    INIT_PSA2004,               //6 - 0x0E</t>
  </si>
  <si>
    <t xml:space="preserve">    WAITING_INIT_PSA2004,       //7 - 0x0F</t>
  </si>
  <si>
    <t xml:space="preserve">    GET_PSA_VIN_2004,           //8 - 0x10</t>
  </si>
  <si>
    <t xml:space="preserve">    WAITING_GET_PSA_VIN_2004,   //9 - 0x11</t>
  </si>
  <si>
    <t xml:space="preserve">    INIT_PSA2010,               //10 - 0x12</t>
  </si>
  <si>
    <t xml:space="preserve">    WAITING_INIT_PSA2010,       //11 - 0x13</t>
  </si>
  <si>
    <t xml:space="preserve">    GET_PSA_VIN_2010,           //12 - 0x14</t>
  </si>
  <si>
    <t xml:space="preserve">    WAITING_GET_PSA_VIN_2010,   //13 - 0x15</t>
  </si>
  <si>
    <t xml:space="preserve">    INIT_REN,                   //14 - 0x16</t>
  </si>
  <si>
    <t xml:space="preserve">    WAITING_INIT_REN,           //15 - 0x17</t>
  </si>
  <si>
    <t xml:space="preserve">    GET_REN_VIN,                //16 - 0x18</t>
  </si>
  <si>
    <t xml:space="preserve">    WAITING_GET_REN_VIN,        //17 - 0x19</t>
  </si>
  <si>
    <t xml:space="preserve">    INIT_REN_KAN,                   //18 - 0x16</t>
  </si>
  <si>
    <t xml:space="preserve">    WAITING_INIT_REN_KAN,           //19 - 0x17</t>
  </si>
  <si>
    <t xml:space="preserve">    GET_REN_KAN_VIN,                //20 - 0x18</t>
  </si>
  <si>
    <t xml:space="preserve">    WAITING_GET_REN_KAN_VIN,        //21 - 0x19</t>
  </si>
  <si>
    <t xml:space="preserve">    INIT_REN_INJ_CAN2,                   //22 - 0x16</t>
  </si>
  <si>
    <t xml:space="preserve">    WAITING_INIT_REN_INJ_CAN2,           //23 - 0x17</t>
  </si>
  <si>
    <t xml:space="preserve">    GET_REN_INJ_CAN2_VIN,                //24 - 0x18</t>
  </si>
  <si>
    <t xml:space="preserve">    WAITING_GET_REN_INJ_CAN2_VIN,        //25 - 0x19</t>
  </si>
  <si>
    <t xml:space="preserve">    INIT_BMW,                   //22 - 0x16</t>
  </si>
  <si>
    <t xml:space="preserve">    WAITING_INIT_BMW,           //23 - 0x17</t>
  </si>
  <si>
    <t xml:space="preserve">    GET_BMW_VIN,                //24 - 0x18</t>
  </si>
  <si>
    <t xml:space="preserve">    WAITING_GET_BMW_VIN,        //25 - 0x19</t>
  </si>
  <si>
    <t xml:space="preserve">    INIT_MCV,                   //22 - 0x16</t>
  </si>
  <si>
    <t xml:space="preserve">    WAITING_INIT_MCV,           //23 - 0x17</t>
  </si>
  <si>
    <t xml:space="preserve">    GET_MCV_VIN,                //24 - 0x18</t>
  </si>
  <si>
    <t xml:space="preserve">    WAITING_GET_MCV_VIN,        //25 - 0x19</t>
  </si>
  <si>
    <t xml:space="preserve">    INIT_X250,                  //22 - 0x16</t>
  </si>
  <si>
    <t xml:space="preserve">    WAITING_INIT_X250,          //23 - 0x17</t>
  </si>
  <si>
    <t xml:space="preserve">    GET_X250_VIN,               //24 - 0x18</t>
  </si>
  <si>
    <t xml:space="preserve">    WAITING_GET_X250_VIN,       //25 - 0x19</t>
  </si>
  <si>
    <t xml:space="preserve">    INIT_SPY,                   //26 - 0x1A</t>
  </si>
  <si>
    <t xml:space="preserve">    CONFIG_SPY,                 //27 - 0x1B</t>
  </si>
  <si>
    <t xml:space="preserve">    STOP_SPY,                   //28 - 0x1C</t>
  </si>
  <si>
    <t xml:space="preserve">    WAIT_MSG,                   //29 - 0x1D</t>
  </si>
  <si>
    <t>READ_VIN_OBD,               //31 - 0x1F</t>
  </si>
  <si>
    <t>VERIF_VIN,</t>
  </si>
  <si>
    <t>GENERATE_VIN,</t>
  </si>
  <si>
    <t>TRANSIT_FROM_VIN_TO_BUSCAN_MANAG,</t>
  </si>
  <si>
    <t>READ_RPM_SPEED_OBD,</t>
  </si>
  <si>
    <t>SEARCH_VIN_BY_BRAND,</t>
  </si>
  <si>
    <t>START_RECO,                 //30 - 0x1E</t>
  </si>
  <si>
    <t xml:space="preserve">    GO_TO_SERVICE_NOT_FOUND,    //32 - 0x20</t>
  </si>
  <si>
    <t xml:space="preserve">    BUFFERISATION,              //34 - 0x22</t>
  </si>
  <si>
    <t>BUFFERISATION_ERROR,</t>
  </si>
  <si>
    <t xml:space="preserve">    OTA,                        //35 - 0x23</t>
  </si>
  <si>
    <t xml:space="preserve">    OTA_IMEI,                   //36 - 0x24</t>
  </si>
  <si>
    <t xml:space="preserve">    SEND_GPRS,                  //37 - 0x25</t>
  </si>
  <si>
    <t xml:space="preserve">    SEND_GPRS_ERROR,                  //37 - 0x25</t>
  </si>
  <si>
    <t>RECO_SERVICE,</t>
  </si>
  <si>
    <t>REBOOT_ICAN,</t>
  </si>
  <si>
    <t>WAITING_IMEI,</t>
  </si>
  <si>
    <t>WAITING,                    //0 - 0x03</t>
  </si>
  <si>
    <t>USER</t>
  </si>
  <si>
    <t>C:\Boulot_Jeje\Main\Ican\Extract_traces_FTP\</t>
  </si>
  <si>
    <t>REN_MEG3</t>
  </si>
  <si>
    <t>Valeur convertie:</t>
  </si>
  <si>
    <t>Last_ucState (en décimal):</t>
  </si>
  <si>
    <t>Last_ucState (en Hexa):</t>
  </si>
  <si>
    <t>Service:</t>
  </si>
  <si>
    <t>HEART_BEAT</t>
  </si>
  <si>
    <t>VOLVO_GEN</t>
  </si>
  <si>
    <t>FORD_GEN</t>
  </si>
  <si>
    <t>RECO_VEH_GEN</t>
  </si>
  <si>
    <t>REN_ZOE</t>
  </si>
  <si>
    <t>OBD_SERV_GEN</t>
  </si>
  <si>
    <t>PSA_MCV_GEN</t>
  </si>
  <si>
    <t>PSA_X250_GEN</t>
  </si>
  <si>
    <t>RECO_VEH_PL_GEN</t>
  </si>
  <si>
    <t>REN_MAX2_GEN</t>
  </si>
  <si>
    <t>REN_TRF3</t>
  </si>
  <si>
    <t>VAG_GEN</t>
  </si>
  <si>
    <t xml:space="preserve">    LECT_PARAM_DIAG,                //16 - 0x10</t>
  </si>
  <si>
    <t xml:space="preserve">    WAITING_LECT_PARAM_DIAG,        //17 - 0x11</t>
  </si>
  <si>
    <t xml:space="preserve">    FIN_DIAG,                       //18 - 0x12</t>
  </si>
  <si>
    <t xml:space="preserve">    WAITING_FIN_DIAG,               //19 - 0x13</t>
  </si>
  <si>
    <t xml:space="preserve">    WAITING_OBD_GEN_TASKROLL,       //20 - 0x14</t>
  </si>
  <si>
    <t xml:space="preserve">    WAITING_OBD_GEN_TASKSTART,      //21 - 0x15</t>
  </si>
  <si>
    <t xml:space="preserve">    WAITING_OBD_GEN_TASKCHECK,      //22 - 0x16</t>
  </si>
  <si>
    <t xml:space="preserve">    END_PHASE_START_OBD,            //23 - 0x17</t>
  </si>
  <si>
    <t xml:space="preserve">    INIT_DATALOG_AND_PROTOCOL,</t>
  </si>
  <si>
    <t xml:space="preserve">    WAITING_CYCLE,                      // 0 - 0x00</t>
  </si>
  <si>
    <t xml:space="preserve">    GET_OBD_ENGRPM,                     // 1 - 0x01</t>
  </si>
  <si>
    <t xml:space="preserve">    WAITING_GET_OBD_ENGRPM,             // 2 - 0x02</t>
  </si>
  <si>
    <t xml:space="preserve">    WAITING,                            // 3 - 0x03</t>
  </si>
  <si>
    <t xml:space="preserve">    GO_TO_SLEEP,                        // 4 - 0x04</t>
  </si>
  <si>
    <t xml:space="preserve">    GET_OBD_SPEED,                      // 5 - 0x05</t>
  </si>
  <si>
    <t xml:space="preserve">    WAITING_GET_OBD_SPEED,              // 6 - 0x06</t>
  </si>
  <si>
    <t xml:space="preserve">    CHECK_OBD_ENGRPM,                   // 7 - 0x07</t>
  </si>
  <si>
    <t xml:space="preserve">    WAITING_CHECK_OBD_ENGRPM,           // 8 - 0x08</t>
  </si>
  <si>
    <t xml:space="preserve">    CHECK_OBD_SPEED,                    // 9 - 0x09</t>
  </si>
  <si>
    <t xml:space="preserve">    WAITING_CHECK_OBD_SPEED,            // 10 - 0x0A</t>
  </si>
  <si>
    <t xml:space="preserve">    GET_OBD_PID_MPM,                    // 11 - 0x0B</t>
  </si>
  <si>
    <t xml:space="preserve">    WAITING_GET_OBD_PID_MPM,            // 12 - 0x0C</t>
  </si>
  <si>
    <t xml:space="preserve">    GET_OBD_PID_Ident,                  // 13 - 0x0D</t>
  </si>
  <si>
    <t xml:space="preserve">    WAITING_GET_OBD_PID_Ident,          // 14 - 0x0E</t>
  </si>
  <si>
    <t xml:space="preserve">    DO_Calcul_Tab_PID_Present,          // 15 - 0x0F</t>
  </si>
  <si>
    <t xml:space="preserve">    GET_OBD_VIN,                        // 16 - 0x10</t>
  </si>
  <si>
    <t xml:space="preserve">    WAITING_GET_OBD_VIN,                // 17 - 0x11</t>
  </si>
  <si>
    <t xml:space="preserve">    GET_OBD_NIV_CARB,                   // 18 - 0x12</t>
  </si>
  <si>
    <t xml:space="preserve">    WAITING_GET_OBD_NIV_CARB,           // 19 - 0x13</t>
  </si>
  <si>
    <t xml:space="preserve">    GET_OBD_MIL,                        // 20 - 0x14</t>
  </si>
  <si>
    <t xml:space="preserve">    WAITING_GET_OBD_MIL,                // 21 - 0x15</t>
  </si>
  <si>
    <t xml:space="preserve">    GET_OBD_WATER_TEMP,                 // 22 - 0x16</t>
  </si>
  <si>
    <t xml:space="preserve">    WAITING_GET_OBD_WATER_TEMP,         // 23 - 0x17</t>
  </si>
  <si>
    <t xml:space="preserve">    GET_OBD_FUEL_TYPE,                  // 24 - 0x18</t>
  </si>
  <si>
    <t xml:space="preserve">    WAITING_GET_OBD_FUEL_TYPE,          // 25 - 0x19</t>
  </si>
  <si>
    <t xml:space="preserve">    GET_OBD_PARAM_CONSO_1_1,            // 26 - 0x1A</t>
  </si>
  <si>
    <t xml:space="preserve">    WAITING_GET_OBD_PARAM_CONSO_1_1,    // 27 - 0x1B</t>
  </si>
  <si>
    <t xml:space="preserve">    GET_OBD_PARAM_CONSO_1_2,            // 28 - 0x1C</t>
  </si>
  <si>
    <t xml:space="preserve">    WAITING_GET_OBD_PARAM_CONSO_1_2,    // 29 - 0x1D</t>
  </si>
  <si>
    <t xml:space="preserve">    GET_OBD_PARAM_CONSO_2_1,            // 30 - 0x1E</t>
  </si>
  <si>
    <t xml:space="preserve">    WAITING_GET_OBD_PARAM_CONSO_2_1,    // 31 - 0x1F</t>
  </si>
  <si>
    <t xml:space="preserve">    GET_OBD_PARAM_CONSO_2_2,            // 32 - 0x20</t>
  </si>
  <si>
    <t xml:space="preserve">    WAITING_GET_OBD_PARAM_CONSO_2_2,    // 33 - 0x21</t>
  </si>
  <si>
    <t xml:space="preserve">    GET_OBD_OIL_TEMP,                   // 34 - 0x22</t>
  </si>
  <si>
    <t xml:space="preserve">    WAITING_GET_OBD_OIL_TEMP,           // 35 - 0x23</t>
  </si>
  <si>
    <t xml:space="preserve">    GET_OBD_THROTTLE,                   // 36 - 0x24</t>
  </si>
  <si>
    <t xml:space="preserve">    WAITING_GET_OBD_THROTTLE,           // 37 - 0x25</t>
  </si>
  <si>
    <t xml:space="preserve">    GET_OBD_AMB_AIR_TEMP,               // 38 - 0x26</t>
  </si>
  <si>
    <t xml:space="preserve">    WAITING_GET_OBD_AMB_AIR_TEMP,       // 39 - 0x27</t>
  </si>
  <si>
    <t xml:space="preserve">    GET_OBD_BATT_CHARGE,                // 40 - 0x28</t>
  </si>
  <si>
    <t xml:space="preserve">    WAITING_GET_OBD_BATT_CHARGE,        // 41 - 0x29</t>
  </si>
  <si>
    <t xml:space="preserve">    GET_LECT_DEF,                       // 42 - 0x2A</t>
  </si>
  <si>
    <t xml:space="preserve">    WAITING_GET_LECT_DEF,               // 43 - 0x2B</t>
  </si>
  <si>
    <t xml:space="preserve">    RECO,                               // 44 - 0x2C</t>
  </si>
  <si>
    <t xml:space="preserve">    FINISH_RECO,                        // 45 - 0x2D</t>
  </si>
  <si>
    <t xml:space="preserve">    REPEAT_REQ,                         // 46 - 0x2E</t>
  </si>
  <si>
    <t xml:space="preserve">    SEND_GPRS,                          // 47 - 0x2F</t>
  </si>
  <si>
    <t xml:space="preserve">    OTA,                                // 48 - 0x30</t>
  </si>
  <si>
    <t xml:space="preserve">    GET_OBD_DIST_EFF_DEF,               // 49 - 0x31</t>
  </si>
  <si>
    <t xml:space="preserve">    WAITING_GET_OBD_DIST_EFF_DEF,       // 50 - 0x32</t>
  </si>
  <si>
    <t xml:space="preserve">    BUFFERISATION,                      // 51 - 0x33</t>
  </si>
  <si>
    <t xml:space="preserve">    ANNUL_GSM_OTA,                      // 52 - 0x34</t>
  </si>
  <si>
    <t xml:space="preserve">    CALCUL_CONSO,                       // 53 - 0x35</t>
  </si>
  <si>
    <t xml:space="preserve">    GET_OBD_PID_MIL_NBDTC,              // 54 - 0x36</t>
  </si>
  <si>
    <t xml:space="preserve">    WAITING_GET_OBD_PID_MIL_NBDTC,      // 55 - 0x37</t>
  </si>
  <si>
    <t xml:space="preserve">    END_PHASE_START,                    // 56 - 0x38</t>
  </si>
  <si>
    <t xml:space="preserve">    END_PHASE_START_OBD,                // 57 - 0x39</t>
  </si>
  <si>
    <t xml:space="preserve">    INIT_DIAG,                          // 58 - 0x3A</t>
  </si>
  <si>
    <t xml:space="preserve">    WAITING_INIT_DIAG,                  // 59 - 0x3B</t>
  </si>
  <si>
    <t xml:space="preserve">    GET_DIAG_LECT_DEF,                  // 60 - 0x3C</t>
  </si>
  <si>
    <t xml:space="preserve">    WAITING_GET_DIAG_LECT_DEF,          // 61 - 0x3D</t>
  </si>
  <si>
    <t xml:space="preserve">    GET_DIAG_ODOMETER,                  // 62 - 0x3E</t>
  </si>
  <si>
    <t xml:space="preserve">    WAITING_GET_DIAG_ODOMETER,          // 63 - 0x3F</t>
  </si>
  <si>
    <t xml:space="preserve">    GET_DIAG_MAINT_TIME,                // 66 - 0x42</t>
  </si>
  <si>
    <t xml:space="preserve">    WAITING_GET_DIAG_MAINT_TIME,        // 67 - 0x43</t>
  </si>
  <si>
    <t xml:space="preserve">    GET_DIAG_MAINT_KM,                  // 68 - 0x44</t>
  </si>
  <si>
    <t xml:space="preserve">    WAITING_GET_DIAG_MAINT_KM,          // 69 - 0x45</t>
  </si>
  <si>
    <t xml:space="preserve">    GET_DIAG_VIN,                       // 70 - 0x46</t>
  </si>
  <si>
    <t xml:space="preserve">    WAITING_GET_DIAG_VIN,               // 71 - 0x47</t>
  </si>
  <si>
    <t xml:space="preserve">    GET_DIAG_RBG_STATE,                 // 72 - 0x48</t>
  </si>
  <si>
    <t xml:space="preserve">    WAITING_GET_DIAG_RBG_STATE,         // 73 - 0x49</t>
  </si>
  <si>
    <t xml:space="preserve">    FIN_DIAG,                           // 74 - 0x4A</t>
  </si>
  <si>
    <t xml:space="preserve">    WAITING_FIN_DIAG,                   // 75 - 0x4B</t>
  </si>
  <si>
    <t xml:space="preserve">    INIT_FMS,</t>
  </si>
  <si>
    <t xml:space="preserve">    WAITING_FMS,</t>
  </si>
  <si>
    <t xml:space="preserve">    READ_FMS_DATA,</t>
  </si>
  <si>
    <t xml:space="preserve">    WAITING_FMS_GEN_TASKSTART,</t>
  </si>
  <si>
    <t xml:space="preserve">    READ_DATA_NO_COMM,</t>
  </si>
  <si>
    <t xml:space="preserve">    START_OBD,</t>
  </si>
  <si>
    <t xml:space="preserve">    GO_TO_SLEEP_ERROR2,</t>
  </si>
  <si>
    <t xml:space="preserve">    GO_TO_SLEEP_ERROR3,</t>
  </si>
  <si>
    <t xml:space="preserve">    GO_TO_SLEEP_2,</t>
  </si>
  <si>
    <t xml:space="preserve">    GO_TO_SLEEP_3,</t>
  </si>
  <si>
    <t xml:space="preserve">    WAITING_OBD_GEN_TASKSTART,</t>
  </si>
  <si>
    <t xml:space="preserve">    GO_TO_SERVICE_NOT_FOUND,</t>
  </si>
  <si>
    <t xml:space="preserve">    BUFFERISATION_ERROR,</t>
  </si>
  <si>
    <t xml:space="preserve">    OTA_IMEI,</t>
  </si>
  <si>
    <t xml:space="preserve">    SEND_GPRS_ERROR,</t>
  </si>
  <si>
    <t xml:space="preserve">    RECO_SERVICE,</t>
  </si>
  <si>
    <t xml:space="preserve">    REBOOT_ICAN,</t>
  </si>
  <si>
    <t xml:space="preserve">    WAITING_IMEI,</t>
  </si>
  <si>
    <t xml:space="preserve">    WAITING_CYCLE,                  </t>
  </si>
  <si>
    <t xml:space="preserve">    WAITING_START,                  </t>
  </si>
  <si>
    <t xml:space="preserve">    WAITING,                        </t>
  </si>
  <si>
    <t xml:space="preserve">    DO_NOTHING,                     </t>
  </si>
  <si>
    <t xml:space="preserve">    GO_TO_SLEEP,                    </t>
  </si>
  <si>
    <t xml:space="preserve">    SEND_GPRS,                      </t>
  </si>
  <si>
    <t xml:space="preserve">    OTA,                            </t>
  </si>
  <si>
    <t xml:space="preserve">    BUFFERISATION,                  </t>
  </si>
  <si>
    <t xml:space="preserve">    ANNUL_GSM_OTA,                  </t>
  </si>
  <si>
    <t xml:space="preserve">    READ_DATA_NO_COMM,              </t>
  </si>
  <si>
    <t xml:space="preserve">    START_OBD,                      </t>
  </si>
  <si>
    <t xml:space="preserve">    INIT_DIAG,                      </t>
  </si>
  <si>
    <t xml:space="preserve">    WAITING_INIT_DIAG,              </t>
  </si>
  <si>
    <t xml:space="preserve">    LECTDEF_190229,                 </t>
  </si>
  <si>
    <t xml:space="preserve">    WAITING_LECTDEF_190229,         </t>
  </si>
  <si>
    <t xml:space="preserve">    GET_ODOMETER_1,                   </t>
  </si>
  <si>
    <t xml:space="preserve">    WAITING_GET_ODOMETER_1,           </t>
  </si>
  <si>
    <t xml:space="preserve">    GET_ODOMETER_2,                   </t>
  </si>
  <si>
    <t xml:space="preserve">    WAITING_GET_ODOMETER_2,           </t>
  </si>
  <si>
    <t xml:space="preserve">    GET_FUEL_TANK_1,                   </t>
  </si>
  <si>
    <t xml:space="preserve">    WAITING_GET_FUEL_TANK_1,           </t>
  </si>
  <si>
    <t xml:space="preserve">    GET_FUEL_TANK_2,                   </t>
  </si>
  <si>
    <t xml:space="preserve">    WAITING_GET_FUEL_TANK_2,           </t>
  </si>
  <si>
    <t xml:space="preserve">    GET_FUEL_TANK_3,                   </t>
  </si>
  <si>
    <t xml:space="preserve">    WAITING_GET_FUEL_TANK_3,           </t>
  </si>
  <si>
    <t xml:space="preserve">    GET_MAINT,                   </t>
  </si>
  <si>
    <t xml:space="preserve">    WAITING_GET_MAINT,           </t>
  </si>
  <si>
    <t xml:space="preserve">    GET_NBJ_AV_MAINT,                   </t>
  </si>
  <si>
    <t xml:space="preserve">    WAITING_GET_NBJ_AV_MAINT,           </t>
  </si>
  <si>
    <t xml:space="preserve">    WAITING_OBD_GEN_TASKROLL,       </t>
  </si>
  <si>
    <t xml:space="preserve">    WAITING_OBD_GEN_TASKSTART,      </t>
  </si>
  <si>
    <t xml:space="preserve">    END_PHASE_START_OBD,            </t>
  </si>
  <si>
    <t>GET_MAINT_NBJ,</t>
  </si>
  <si>
    <t>WAITING_GET_MAINT_NBJ,</t>
  </si>
  <si>
    <t>GET_MAINT_KM,</t>
  </si>
  <si>
    <t>WAITING_GET_MAINT_KM,</t>
  </si>
  <si>
    <t xml:space="preserve">    GET_DIAG_NIV_CARB,                  // 64 - 0x40</t>
  </si>
  <si>
    <t xml:space="preserve">    WAITING_GET_DIAG_NIV_CARB,          // 65 - 0x41</t>
  </si>
  <si>
    <t xml:space="preserve">    GET_MAINT,                      //16 - 0x10</t>
  </si>
  <si>
    <t xml:space="preserve">    WAITING_GET_MAINT,              //17 - 0x11</t>
  </si>
  <si>
    <t xml:space="preserve">    GET_OIL_LEVEL,                  //24 - 0x18</t>
  </si>
  <si>
    <t xml:space="preserve">    WAITING_GET_OIL_LEVEL,          //25 - 0x19</t>
  </si>
  <si>
    <t xml:space="preserve">    GET_FUEL_GAUGE_POINTER_POS,                //24 - 0x18</t>
  </si>
  <si>
    <t xml:space="preserve">    WAITING_GET_FUEL_GAUGE_POINTER_POS,        //25 - 0x19</t>
  </si>
  <si>
    <t xml:space="preserve">    GET_ODOMETER,                   //20 - 0x14</t>
  </si>
  <si>
    <t xml:space="preserve">    WAITING_GET_ODOMETER,           //21 - 0x15</t>
  </si>
  <si>
    <t xml:space="preserve">    GET_PRESS_ROUE1,                   //20 - 0x14</t>
  </si>
  <si>
    <t xml:space="preserve">    WAITING_GET_PRESS_ROUE1,           //21 - 0x15</t>
  </si>
  <si>
    <t xml:space="preserve">    GET_PRESS_ROUE2,                   //20 - 0x14</t>
  </si>
  <si>
    <t xml:space="preserve">    WAITING_GET_PRESS_ROUE2,           //21 - 0x15</t>
  </si>
  <si>
    <t xml:space="preserve">    GET_PRESS_ROUE3,                   //20 - 0x14</t>
  </si>
  <si>
    <t xml:space="preserve">    WAITING_GET_PRESS_ROUE3,           //21 - 0x15</t>
  </si>
  <si>
    <t xml:space="preserve">    GET_PRESS_ROUE4,                   //20 - 0x14</t>
  </si>
  <si>
    <t xml:space="preserve">    WAITING_GET_PRESS_ROUE4,           //21 - 0x15</t>
  </si>
  <si>
    <t xml:space="preserve">    GET_BRAKE_FLUID_LEVEL,                //24 - 0x18</t>
  </si>
  <si>
    <t xml:space="preserve">    WAITING_GET_BRAKE_FLUID_LEVEL,        //25 - 0x19</t>
  </si>
  <si>
    <t xml:space="preserve">    GET_AIRBAG_STATUS,              //24 - 0x18</t>
  </si>
  <si>
    <t xml:space="preserve">    WAITING_GET_AIRBAG_STATUS,      //25 - 0x19</t>
  </si>
  <si>
    <t xml:space="preserve">    GET_PRESS_ROUE_AVG,                //20 - 0x14</t>
  </si>
  <si>
    <t xml:space="preserve">    WAITING_GET_PRESS_ROUE_AVG,        //21 - 0x15</t>
  </si>
  <si>
    <t xml:space="preserve">    GET_PRESS_ROUE_AVD,                //20 - 0x14</t>
  </si>
  <si>
    <t xml:space="preserve">    WAITING_GET_PRESS_ROUE_AVD,        //21 - 0x15</t>
  </si>
  <si>
    <t xml:space="preserve">    GET_LOW_OIL_LEVEL,</t>
  </si>
  <si>
    <t xml:space="preserve">    WAITING_GET_LOW_OIL_LEVEL,</t>
  </si>
  <si>
    <t xml:space="preserve">    GET_LOW_FUEL_LEVEL,</t>
  </si>
  <si>
    <t xml:space="preserve">    WAITING_GET_LOW_FUEL_LEVEL,</t>
  </si>
  <si>
    <t xml:space="preserve">    WAITING_OBD_GEN_TASKCHECK,      </t>
  </si>
  <si>
    <t xml:space="preserve">    FIN_DIAG,                           // 66 - 0x42</t>
  </si>
  <si>
    <t xml:space="preserve">    WAITING_FIN_DIAG,                   // 67 - 0x43</t>
  </si>
  <si>
    <t xml:space="preserve">    GET_DIAG_VIN,                       // 68 - 0x44</t>
  </si>
  <si>
    <t xml:space="preserve">    WAITING_GET_DIAG_VIN,               // 69 - 0x45</t>
  </si>
  <si>
    <t xml:space="preserve">    WAITING_BEFORE_DIAG,                // 70 - 0x46</t>
  </si>
  <si>
    <t xml:space="preserve">    WAITING_AFTER_DIAG,                 // 71 - 0x47</t>
  </si>
  <si>
    <t xml:space="preserve">    INIT_DATALOG,                       // 72 - 0x48</t>
  </si>
  <si>
    <t xml:space="preserve">    WAITING_CYCLE,              // 0 - 0x00</t>
  </si>
  <si>
    <t xml:space="preserve">    GET_OBD_ENGRPM,             // 1 - 0x01</t>
  </si>
  <si>
    <t xml:space="preserve">    WAITING,                // 3 - 0x03</t>
  </si>
  <si>
    <t xml:space="preserve">    GO_TO_SLEEP,                // 4 - 0x04</t>
  </si>
  <si>
    <t xml:space="preserve">    GET_OBD_SPEED,              // 5 - 0x05</t>
  </si>
  <si>
    <t xml:space="preserve">    CHECK_OBD_ENGRPM,               // 7 - 0x07</t>
  </si>
  <si>
    <t xml:space="preserve">    WAITING_CHECK_OBD_ENGRPM,               // 8 - 0x08</t>
  </si>
  <si>
    <t xml:space="preserve">    CHECK_OBD_SPEED,                // 9 - 0x09</t>
  </si>
  <si>
    <t xml:space="preserve">    WAITING_CHECK_OBD_SPEED,                // 10 - 0x0A</t>
  </si>
  <si>
    <t xml:space="preserve">    GET_OBD_PID_MPM,                // 11 - 0x0B</t>
  </si>
  <si>
    <t xml:space="preserve">    WAITING_GET_OBD_PID_MPM,                // 12 - 0x0C</t>
  </si>
  <si>
    <t xml:space="preserve">    GET_OBD_PID_Ident,              // 13 - 0x0D</t>
  </si>
  <si>
    <t xml:space="preserve">    WAITING_GET_OBD_PID_Ident,              // 14 - 0x0E</t>
  </si>
  <si>
    <t xml:space="preserve">    DO_Calcul_Tab_PID_Present,              // 15 - 0x0F</t>
  </si>
  <si>
    <t xml:space="preserve">    GET_OBD_VIN,                // 16 - 0x10</t>
  </si>
  <si>
    <t xml:space="preserve">    GET_OBD_NIV_CARB,               // 18 - 0x12</t>
  </si>
  <si>
    <t xml:space="preserve">    WAITING_GET_OBD_NIV_CARB,               // 19 - 0x13</t>
  </si>
  <si>
    <t xml:space="preserve">    GET_OBD_MIL,                // 20 - 0x14</t>
  </si>
  <si>
    <t xml:space="preserve">    GET_OBD_WATER_TEMP,             // 22 - 0x16</t>
  </si>
  <si>
    <t xml:space="preserve">    WAITING_GET_OBD_WATER_TEMP,             // 23 - 0x17</t>
  </si>
  <si>
    <t xml:space="preserve">    GET_OBD_FUEL_TYPE,              // 24 - 0x18</t>
  </si>
  <si>
    <t xml:space="preserve">    WAITING_GET_OBD_FUEL_TYPE,              // 25 - 0x19</t>
  </si>
  <si>
    <t xml:space="preserve">    GET_OBD_PARAM_CONSO_1_1,                // 26 - 0x1A</t>
  </si>
  <si>
    <t xml:space="preserve">    WAITING_GET_OBD_PARAM_CONSO_1_1,                // 27 - 0x1B</t>
  </si>
  <si>
    <t xml:space="preserve">    GET_OBD_PARAM_CONSO_1_2,                // 28 - 0x1C</t>
  </si>
  <si>
    <t xml:space="preserve">    WAITING_GET_OBD_PARAM_CONSO_1_2,                // 29 - 0x1D</t>
  </si>
  <si>
    <t xml:space="preserve">    GET_OBD_PARAM_CONSO_2_1,                // 30 - 0x1E</t>
  </si>
  <si>
    <t xml:space="preserve">    WAITING_GET_OBD_PARAM_CONSO_2_1,                // 31 - 0x1F</t>
  </si>
  <si>
    <t xml:space="preserve">    GET_OBD_PARAM_CONSO_2_2,                // 32 - 0x20</t>
  </si>
  <si>
    <t xml:space="preserve">    RECO_DIAG,                          // 60 - 0x3C</t>
  </si>
  <si>
    <t xml:space="preserve">    WAITING_RECO_DIAG,                  // 61 - 0x3D</t>
  </si>
  <si>
    <t xml:space="preserve">    GET_LECT_PARAM_DIAG,                // 62 - 0x3E</t>
  </si>
  <si>
    <t xml:space="preserve">    WAITING_LECT_PARAM_DIAG,            // 63 - 0x3F</t>
  </si>
  <si>
    <t xml:space="preserve">    GET_LECT_DEF_DIAG,                  // 64 - 0x40</t>
  </si>
  <si>
    <t xml:space="preserve">    WAITING_LECT_DEF_DIAG,              // 65 - 0x41</t>
  </si>
  <si>
    <t xml:space="preserve">    WAITING_FIN_DIAG,                    // 67 - 0x43</t>
  </si>
  <si>
    <t xml:space="preserve">    GET_DIAG_LECTDEF1,                  // 60 - 0x3C</t>
  </si>
  <si>
    <t xml:space="preserve">    WAITING_GET_DIAG_LECTDEF1,          // 61 - 0x3D</t>
  </si>
  <si>
    <t xml:space="preserve">    GET_DIAG_LECTDEF2,                  // 60 - 0x3C</t>
  </si>
  <si>
    <t xml:space="preserve">    WAITING_GET_DIAG_LECTDEF2,          // 61 - 0x3D</t>
  </si>
  <si>
    <t xml:space="preserve">    GET_TPMS1,</t>
  </si>
  <si>
    <t xml:space="preserve">    WAITING_GET_TPMS1,</t>
  </si>
  <si>
    <t xml:space="preserve">    GET_TPMS2,</t>
  </si>
  <si>
    <t xml:space="preserve">    WAITING_GET_TPMS2,</t>
  </si>
  <si>
    <t xml:space="preserve">    GET_TPMS3,</t>
  </si>
  <si>
    <t xml:space="preserve">    WAITING_GET_TPMS3,</t>
  </si>
  <si>
    <t xml:space="preserve">    GET_TPMS4,</t>
  </si>
  <si>
    <t xml:space="preserve">    WAITING_GET_TPMS4,</t>
  </si>
  <si>
    <t>PTINE</t>
  </si>
  <si>
    <t>D:\trace\</t>
  </si>
  <si>
    <t>Mode d'emploi:</t>
  </si>
  <si>
    <t>Dans la case "Service", il: faut mettre le numéro du service ou le nom complet du service ou un bout du nom du service. Ensuite, il faut mettre:
 - soit la valeur numérique de l'ucState dans la case D3
 - soit la valeur brute de l'ucState en Hexa sur 4 digits ou moins (ex: 01FF)</t>
  </si>
  <si>
    <t>ND App
110</t>
  </si>
  <si>
    <t>(X-125)</t>
  </si>
  <si>
    <t>Driver 1 cumulated driving time previous and current week</t>
  </si>
  <si>
    <t>Driver 2 cumulated driving time previous and current week</t>
  </si>
  <si>
    <r>
      <t xml:space="preserve">Start battery </t>
    </r>
    <r>
      <rPr>
        <sz val="10"/>
        <color rgb="FFFF0000"/>
        <rFont val="Arial"/>
        <family val="2"/>
      </rPr>
      <t>1</t>
    </r>
    <r>
      <rPr>
        <sz val="10"/>
        <rFont val="Arial"/>
        <family val="2"/>
      </rPr>
      <t xml:space="preserve"> number of cycles</t>
    </r>
  </si>
  <si>
    <r>
      <t xml:space="preserve">Stot battery </t>
    </r>
    <r>
      <rPr>
        <sz val="10"/>
        <color rgb="FFFF0000"/>
        <rFont val="Arial"/>
        <family val="2"/>
      </rPr>
      <t>1</t>
    </r>
    <r>
      <rPr>
        <sz val="10"/>
        <rFont val="Arial"/>
        <family val="2"/>
      </rPr>
      <t xml:space="preserve"> number of cycles</t>
    </r>
  </si>
  <si>
    <t>Start battery 2 number of cycles</t>
  </si>
  <si>
    <t>Stop battery 2 number of cycles</t>
  </si>
  <si>
    <t>Tell tale status (combination during the journey)</t>
  </si>
  <si>
    <t>Longitudinal Accel distribution (10 values 0-0,54G)</t>
  </si>
  <si>
    <t>Longitudinal Brake distribution (10 values 0-0,54G)</t>
  </si>
  <si>
    <t>Lateral Accel distribution (20 values -0,54G to +0,54G)</t>
  </si>
  <si>
    <t>Longitudinal Accel distribution - Empirical calculation based (only TGU)  (10 values 0-0,54G)</t>
  </si>
  <si>
    <t>Longitudinal Brake distribution - Empirical calculation based  (only TGU) (10 values 0-0.54G)</t>
  </si>
  <si>
    <t>Vertical Accel distribution (20 values -0.54G to +0.54G)</t>
  </si>
  <si>
    <t>Vehicle Weight  distribution (14 values 24 to 37 t)</t>
  </si>
  <si>
    <t>Harsh Accel Max value</t>
  </si>
  <si>
    <t>Harsh Brake Max value</t>
  </si>
  <si>
    <t>Harsh Corner Max value</t>
  </si>
  <si>
    <t>Maximum tank level</t>
  </si>
  <si>
    <t>Minimum tank level</t>
  </si>
  <si>
    <t>Minimum engine coolant level filter time parameter</t>
  </si>
  <si>
    <t>Minimum transmission coolant level filter time parameter</t>
  </si>
  <si>
    <t>Fault CM</t>
  </si>
  <si>
    <t>Fault CM#n</t>
  </si>
  <si>
    <t>UCE SA</t>
  </si>
  <si>
    <t>Fault OC</t>
  </si>
  <si>
    <t>Fault ST</t>
  </si>
  <si>
    <t>Fault DHOn (Date Hour DTC ON)</t>
  </si>
  <si>
    <t>Fault OdoOn (Odometer DTC ON)</t>
  </si>
  <si>
    <t>Fault DHOf (Date Hour DTC OFF)</t>
  </si>
  <si>
    <t>Fault OdoOf (Odometer DTC OFF)</t>
  </si>
  <si>
    <t>UCE SA #n</t>
  </si>
  <si>
    <t>LS #n</t>
  </si>
  <si>
    <t>Fault SPN #n</t>
  </si>
  <si>
    <t>Fault FMI #n</t>
  </si>
  <si>
    <t>Fault CM #n</t>
  </si>
  <si>
    <t>Fault OC #n</t>
  </si>
  <si>
    <t>Fault ST #n</t>
  </si>
  <si>
    <t>Fault DHOn (Date Hour DTC ON) #n</t>
  </si>
  <si>
    <t>Fault OdoOn (Odometer DTC ON) #n</t>
  </si>
  <si>
    <t>Fault DHOf (Date Hour DTC OFF) #n</t>
  </si>
  <si>
    <t>Fault OdoOf (Odometer DTC OFF) #n</t>
  </si>
  <si>
    <t>Fault DTC</t>
  </si>
  <si>
    <t>Fault DTC #n</t>
  </si>
  <si>
    <t>Fault Status #n</t>
  </si>
  <si>
    <t xml:space="preserve">Brake pressure wheel 7 : Rear Left (10 values 1 Bar to 10 Bar) </t>
  </si>
  <si>
    <t xml:space="preserve">Brake pressure wheel 8 :Rear Right (10 values 1 Bar to 10 Bar) </t>
  </si>
  <si>
    <t>Brake wear Wheel 7</t>
  </si>
  <si>
    <t>Brake wear Wheel 8</t>
  </si>
  <si>
    <t>Engine fuel type</t>
  </si>
  <si>
    <t>Odometer estimation</t>
  </si>
  <si>
    <t>Available PID 00-1F</t>
  </si>
  <si>
    <t>Available PID 20-3F</t>
  </si>
  <si>
    <t>Available PID 40-5F</t>
  </si>
  <si>
    <t>Available PID 60-7F</t>
  </si>
  <si>
    <t>Available PID 80-9F</t>
  </si>
  <si>
    <t>Available PID A0-BF</t>
  </si>
  <si>
    <t>Available PID C0-DF</t>
  </si>
  <si>
    <t>Available PID E0-FF</t>
  </si>
  <si>
    <t>Available idnetification PID</t>
  </si>
  <si>
    <t>ICAN</t>
  </si>
  <si>
    <t>Number of fault</t>
  </si>
  <si>
    <t>0/1</t>
  </si>
  <si>
    <t>TTS alarm</t>
  </si>
  <si>
    <t>TTS alert</t>
  </si>
  <si>
    <t>TTS child alert</t>
  </si>
  <si>
    <t>Urban consumption</t>
  </si>
  <si>
    <t>mxte consumption</t>
  </si>
  <si>
    <t>Motorway  consumption</t>
  </si>
  <si>
    <t>Private (0x00) / Professional journey (0x01)</t>
  </si>
  <si>
    <t>0x00/0x01</t>
  </si>
  <si>
    <t>Number of data:</t>
  </si>
  <si>
    <t>Message identifier (IMEI + VIN):</t>
  </si>
  <si>
    <t>Message header (bytes):</t>
  </si>
  <si>
    <t>Message number (bytes):</t>
  </si>
  <si>
    <t>Number of char used (bytes):</t>
  </si>
  <si>
    <t>Numbre of separators (bytes):</t>
  </si>
  <si>
    <t>Checksum (4bytes):</t>
  </si>
  <si>
    <t>Total amount data used by message (bytes):</t>
  </si>
  <si>
    <t>P212652-A54_BO_data_amount_calculation_20150605.xlsx</t>
  </si>
  <si>
    <t>SpyDiag</t>
  </si>
  <si>
    <t>OFFSET_DATE_GSM</t>
  </si>
  <si>
    <t>OFFSET_DATE_GPS</t>
  </si>
  <si>
    <t>01, 11, 20</t>
  </si>
  <si>
    <t>Volume réservoir</t>
  </si>
  <si>
    <t>GPS_LATITUDE_START_EVENT</t>
  </si>
  <si>
    <t>GPS_LONGITUDE_START_EVENT</t>
  </si>
  <si>
    <t>GPS_SPEED_START_EVENT</t>
  </si>
  <si>
    <t>7BF47B0043070000080210C00000000000EE277C0063070000080250C0FFFFFFFFFF7E297C00430700000802218000000000007A747C006307000008037F2112FFFFFFFF19767C0043070000080210810000000000BAC27C006307000008025081FFFFFFFFFF</t>
  </si>
  <si>
    <t>00h00m08s123-515</t>
  </si>
  <si>
    <t>00h00m08s136-686</t>
  </si>
  <si>
    <t>02.50.C0.FF.FF.FF.FF.FF</t>
  </si>
  <si>
    <t>00h00m08s137-086</t>
  </si>
  <si>
    <t>02.21.80.00.00.00.00.00</t>
  </si>
  <si>
    <t>00h00m08s156-282</t>
  </si>
  <si>
    <t>03.7F.21.12.FF.FF.FF.FF</t>
  </si>
  <si>
    <t>00h00m08s156-697</t>
  </si>
  <si>
    <t>00h00m08s176-314</t>
  </si>
  <si>
    <t>HARSHE_LAT_SIDE</t>
  </si>
  <si>
    <t>HARSHE_LAT_MAX</t>
  </si>
  <si>
    <t>HARSHE_LAT_THRESHOLD</t>
  </si>
  <si>
    <t>HARSHE_LAT_FILTER_TIME</t>
  </si>
  <si>
    <t>INSPECTION_KM_VAG</t>
  </si>
  <si>
    <t>INSPECTION_TIME_VAG</t>
  </si>
  <si>
    <t>j</t>
  </si>
  <si>
    <t>EXCEED_MAINTENANCE_DIST</t>
  </si>
  <si>
    <t>EXCEED_MAINTENACE_TIME</t>
  </si>
  <si>
    <t>HARSHE_LAT_NB_LEFT</t>
  </si>
  <si>
    <t>HARSHE_LAT_NB_RIGHT</t>
  </si>
  <si>
    <t>Manuel 1</t>
  </si>
  <si>
    <t>Manuel 2</t>
  </si>
  <si>
    <t>Automatique 1</t>
  </si>
  <si>
    <t>Automatique 2</t>
  </si>
  <si>
    <t>Automatique 3</t>
  </si>
  <si>
    <t>Automatique 4</t>
  </si>
  <si>
    <t>Automatique 5</t>
  </si>
  <si>
    <t>Automatique 6</t>
  </si>
  <si>
    <t>Automatique 7</t>
  </si>
  <si>
    <t>Automatique 8</t>
  </si>
  <si>
    <t>Automatique 9</t>
  </si>
  <si>
    <t>Automatique 10</t>
  </si>
  <si>
    <t>Automatique 11</t>
  </si>
  <si>
    <t>Automatique 12</t>
  </si>
  <si>
    <t>Automatique 13</t>
  </si>
  <si>
    <t>E_GSM_DATAOUTPUT_ENABLE</t>
  </si>
  <si>
    <t>E_DEBUG_MODE</t>
  </si>
  <si>
    <t>E_GPRS_APN_NAME</t>
  </si>
  <si>
    <t>E_GPRS_APN_LOGIN</t>
  </si>
  <si>
    <t>E_GPRS_APN_PSW</t>
  </si>
  <si>
    <t>E_GPRS_APN_ANONYMOUS</t>
  </si>
  <si>
    <t>E_MODE_BT</t>
  </si>
  <si>
    <t>E_REMOTE_NAME</t>
  </si>
  <si>
    <t>E_FUEL_TANK_CAPACITY</t>
  </si>
  <si>
    <t>E_ODOMETER_M</t>
  </si>
  <si>
    <t>E_OEM_ODOMETER_TYPE</t>
  </si>
  <si>
    <t>E_USE_SSL_CON</t>
  </si>
  <si>
    <t>E_STATE_LAT_ALERTE</t>
  </si>
  <si>
    <t>E_ALERT_SEUIL_ACCEL_LAT</t>
  </si>
  <si>
    <t>E_ALERT_TEMPO_ACCEL_LAT</t>
  </si>
  <si>
    <t>98 3B 80 01</t>
  </si>
  <si>
    <t>01, 04, 05, 0B, 0C, 0D, 0F, 10, 11, 20</t>
  </si>
  <si>
    <t>00 02 80 01</t>
  </si>
  <si>
    <t>0F, 11, 20</t>
  </si>
  <si>
    <t>04 82 80 35</t>
  </si>
  <si>
    <t>06, 09, 0F, 11, 1B, 1C, 1E, 20</t>
  </si>
  <si>
    <t>983B800100028001048280350000000100200000000000000000000000000000</t>
  </si>
  <si>
    <t>01, 04, 05, 0B, 0C, 0D, 0F, 10, 11, 20, 2F, 31, 40, 46, 49, 4F, 51, 5B, 5C, 5E, 60, 80, 8B</t>
  </si>
  <si>
    <t>983ba013</t>
  </si>
  <si>
    <t>01, 04, 05, 0B, 0C, 0D, 0F, 10, 11, 13, 1C, 1F, 20</t>
  </si>
  <si>
    <t>9b1b8001</t>
  </si>
  <si>
    <t>01, 04, 05, 07, 08, 0C, 0D, 0F, 10, 11, 20</t>
  </si>
  <si>
    <t>00020000</t>
  </si>
  <si>
    <t>VAG_GEN / 0x2121 / E_PHASE_START / WAITING_GET_OBD_PARAM_CONSO_2_1</t>
  </si>
  <si>
    <t>CFreq_Ech</t>
  </si>
  <si>
    <t>WAITING_SEND_GPRS_FIFO</t>
  </si>
  <si>
    <t>GET_MAINT_J,</t>
  </si>
  <si>
    <t>WAITING_GET_MAINT_J,</t>
  </si>
  <si>
    <t>INIT_DATALOG,</t>
  </si>
  <si>
    <t>883A8001</t>
  </si>
  <si>
    <t>01, 05, 0B, 0C, 0D, 0F, 11, 20</t>
  </si>
  <si>
    <t>00028001</t>
  </si>
  <si>
    <t>Coolant_temp_courrant</t>
  </si>
  <si>
    <t>IDLE_COUNT</t>
  </si>
  <si>
    <t>IDLE_TIME</t>
  </si>
  <si>
    <t>FUEL_TANK_END</t>
  </si>
  <si>
    <t>ASAMODXID_CMB</t>
  </si>
  <si>
    <t>ADBLUE_DIST_UNTIL_INSUFF</t>
  </si>
  <si>
    <t>ADBLUE_STATUS</t>
  </si>
  <si>
    <t>ADBLUE_TANK_LEVEL</t>
  </si>
  <si>
    <t>ELECT_TIME_REMAIN_BEFORE_CHARGE</t>
  </si>
  <si>
    <t>CONSO_ELECT_EXTRA_URBAIN</t>
  </si>
  <si>
    <t>wh</t>
  </si>
  <si>
    <t>CONSO_ELECT_MIXTE</t>
  </si>
  <si>
    <t>CONSO_ELECT_URBAIN</t>
  </si>
  <si>
    <t>CONSO_ELECT</t>
  </si>
  <si>
    <t xml:space="preserve">NIV_CARB_LAST </t>
  </si>
  <si>
    <t>IDLE_COUNT2</t>
  </si>
  <si>
    <t>Excess engine RPM Max Value</t>
  </si>
  <si>
    <t>Excess vehicule speed Max Value</t>
  </si>
  <si>
    <t>JOURNEY_ID</t>
  </si>
  <si>
    <t xml:space="preserve">    WAITING_START2,</t>
  </si>
  <si>
    <t xml:space="preserve">    WAITING_FMS_GEN_TASKSTART2,</t>
  </si>
  <si>
    <t xml:space="preserve">    WAITING_START3,</t>
  </si>
  <si>
    <t xml:space="preserve">    WAITING_FMS_GEN_TASKSTART3,</t>
  </si>
  <si>
    <t xml:space="preserve">    WAITING_CYCLE_SUITE,</t>
  </si>
  <si>
    <t>IDX_CALIB_ACCEL_STATUS</t>
  </si>
  <si>
    <t>IDX_ACC_LAT_MOY</t>
  </si>
  <si>
    <t>IDX_ACC_LONG_MOY</t>
  </si>
  <si>
    <t>IDX_ACC_VERT_MOY</t>
  </si>
  <si>
    <t>IDX_ACC_LAT_MAX</t>
  </si>
  <si>
    <t>IDX_ACC_LONG_MAX</t>
  </si>
  <si>
    <t>IDX_ACC_VERT_MAX</t>
  </si>
  <si>
    <t>IDX_CALIB_ACCEL_TRY</t>
  </si>
  <si>
    <t>IDX_ACC_RESULT_MAX</t>
  </si>
  <si>
    <t>Version d'apparition</t>
  </si>
  <si>
    <t>2.2.0</t>
  </si>
  <si>
    <t>2.2.3</t>
  </si>
  <si>
    <t>2.3.0</t>
  </si>
  <si>
    <t>2.0.0</t>
  </si>
  <si>
    <t>0x18</t>
  </si>
  <si>
    <t>0x19</t>
  </si>
  <si>
    <t>0x20</t>
  </si>
  <si>
    <t>0x21</t>
  </si>
  <si>
    <t>0x22</t>
  </si>
  <si>
    <t>0x23</t>
  </si>
  <si>
    <t>0x24</t>
  </si>
  <si>
    <t>EffDef</t>
  </si>
  <si>
    <t>OEM_FIAT</t>
  </si>
  <si>
    <t>OEM_SFT3</t>
  </si>
  <si>
    <t>OEM_MERC</t>
  </si>
  <si>
    <t>OEM_BMW</t>
  </si>
  <si>
    <t>OEM_MINI</t>
  </si>
  <si>
    <t>OEM_OPEL</t>
  </si>
  <si>
    <t>OEM_NISSAN</t>
  </si>
  <si>
    <t>0xFB</t>
  </si>
  <si>
    <t>OEM_OBD_GEN</t>
  </si>
  <si>
    <t>2.4.4</t>
  </si>
  <si>
    <t>1.0.0</t>
  </si>
  <si>
    <t>1.0.1</t>
  </si>
  <si>
    <t>2300</t>
  </si>
  <si>
    <t>traces PRINT_LOG</t>
  </si>
  <si>
    <t>ICCID</t>
  </si>
  <si>
    <t>IMSI</t>
  </si>
  <si>
    <t>TYPEID30</t>
  </si>
  <si>
    <t>Float</t>
  </si>
  <si>
    <t>DISTRIB_GPS_LATITUDE</t>
  </si>
  <si>
    <t>DISTRIB_GPS_LONGITUDE</t>
  </si>
  <si>
    <t>DISTRIB_GPS_TIMESTAMP</t>
  </si>
  <si>
    <t>DISTRIB_GPS_SPEED</t>
  </si>
  <si>
    <t>DISTRIB_GPS_TRACK</t>
  </si>
  <si>
    <t>ASAMODXID_INJ</t>
  </si>
  <si>
    <t>Dossier de travail</t>
  </si>
  <si>
    <t>00000000120005170f1c36a6010000990018000f003836343530343033313630323137366c00160006001700050012006400160006000f001c003600ce0016000600170005001200cf00160006000f001c0037000f0018001100564e4b4b443344333030413330393433389d00040001001565001f000800048050045efd474066001f000800495841f9a87c10c0680002000400080000006700020004000100000069001f000800cdcccccccccc1840ab4e1f0008000000000000c049406a001f000800295c8fc2f5e831406b001f0008008fc2f5285c5f5a40ff7f0400010064130002000400223807027c4e0300020097007d4e0300020020000a00030002002407dd4e1f000800048050045efd4740de4e1f000800495841f9a87c10c0df4e1f000800295c8fc2f5e83140e44e04000100022c0204000100335d0204000100322200040001007dfa4e02000400767f055bfd4e1f000800d3e59c635b78e0bffe4e1f000800b2de4fe736decbbfff4e1f00080039bd7bf19515ee3f004f1f000800d3e59c635b78e0bf014f1f000800b2de4fe736decbbf024f1f00080039bd7bf19515ee3f034f1f000800b9cc61a8c37ff13f</t>
  </si>
  <si>
    <t>00000000120005170f1d02ed000000990018000f003836343530343033313630323137366c00160006001700050012006400160006000f001d0002000f0018001100564e4b4b443344333030413330393433389d00040001000065001f000800d11a961949fd474066001f0008006fd071487d7c10c0680002000400090000006700020004000100000069001f0008009a99999999991b40ab4e1f0008000000000000c049406a001f000800cdcccccccc8c32406b001f000800d7a3703d0a9f6840ff7f04000100641300020004006f3807027c4e0300020097007d4e0300020021000a00030002007d002200040001007efa4e02000400767f055b</t>
  </si>
  <si>
    <t>Liste d'IMEIs</t>
  </si>
  <si>
    <t>Bucket</t>
  </si>
  <si>
    <t>869103026292351;869103026276008;869103026303257;691338</t>
  </si>
  <si>
    <t>09.00.01.00.49.04.00.00.00.00.13.02.FC.08.09.11.56.46.33.34.35.36.37.38.39.30.31.32.33.34.35.36.37.20.0F.38.36.37.33.32.32.30.33.34.31.31.33.37.38.37.5C.01.00.0F.08.17.CE.35.CC.D0.C6.45.40.10.08.B5.02.30.8B.76.62.F7.3F.11.08.A4.70.3D.0A.D7.DB.6B.40</t>
  </si>
  <si>
    <t>867322034113787</t>
  </si>
  <si>
    <t>4,631326391902E+18</t>
  </si>
  <si>
    <t>4,60926100491783E+18</t>
  </si>
  <si>
    <t>4,64204555757168E+18</t>
  </si>
  <si>
    <t>INFO_ACCEL_PEDAL_STATUS</t>
  </si>
  <si>
    <t>LAST_MAIN_STATE</t>
  </si>
  <si>
    <t>03.59.02.FF.55.55.55.55</t>
  </si>
  <si>
    <t>KSANAI</t>
  </si>
  <si>
    <t>D:\iCAN\Trace\FIAT_TIPO\</t>
  </si>
  <si>
    <t>LAST_BOOT_CAUSE</t>
  </si>
  <si>
    <t>OLD_INVALID_DATE</t>
  </si>
  <si>
    <t>ENGINE_OIL_CBS</t>
  </si>
  <si>
    <t>BRAKE_FLUID_CBS</t>
  </si>
  <si>
    <t>SERVICE_CBS</t>
  </si>
  <si>
    <t>BUFFER_DEBUG</t>
  </si>
  <si>
    <t>.12053M</t>
  </si>
  <si>
    <t>00000615</t>
  </si>
  <si>
    <t>00000614</t>
  </si>
  <si>
    <t>00000071</t>
  </si>
  <si>
    <t>00000298</t>
  </si>
  <si>
    <t>TRACKER_ONLY_SERV</t>
  </si>
  <si>
    <t>00000526</t>
  </si>
  <si>
    <t>00000530</t>
  </si>
  <si>
    <t>000614</t>
  </si>
  <si>
    <t>.12036M</t>
  </si>
  <si>
    <t>.12049:12057M</t>
  </si>
  <si>
    <t>97117000E007000008021003000000000080367000E807000008037F10125555555508FD7000E0070000080210010000000000AC207100E807000008037F1012555555558EE77100E0070000080210900000000000170B7200E80700000802509055555555556DCE7200E007000008041800FF0000000077F57200E8070000080258005555555555CFB87300E0070000080221810000000000C9DF7300E807000008037F21125555555529A37400E0070000080221010000000000F9CA7400E80700000810286101FFFFFFFF232E7500E0070000083000000000000000DA367500E807000008210029001E0C4843AE3E7500E8070000082243A009281300FFD4497500E80700000823188E000A000000484E7500E80700000824479C42FF1E0300DE567500E807000008250029FFFFFFFF55411A7600E0070000080221040000000000752A7600E80700000810266104FFFFFFFFA38D7600E007000008300000000000000079967600E807000008215F4E430A0006FF3B9E7600E807000008222800001E18712D11A67600E8070000082300000100FF0000DEAD7600E807000008240000438DFF8018A6B57600E8070000082500FFFFFF555555AD797700E0070000080221B3000000000042897700E807000008037F211255555555C94C7800E00700000802210E0000000000DC737800E8070000081025610E010100F705D77800E00700000830000000000000008FD87800E807000008210001000000000059E07800E8070000082201010100FF00FF35E87800E80700000823FF00010301FF0101F37800E80700000824FF010000010000C3F77800E80700000825FF010155555555EEBB7900E0070000080221010000000000F3D37900E80700000810286101FFFFFFFF1F377A00E0070000083000000000000000DE3F7A00E807000008210029001D0C4843B2477A00E8070000082243A009281300FF79527A00E80700000823188E000A00000049577A00E80700000824479B42FF1E0300245F7A00E807000008250029FFFFFFFF555B237B00E0070000080120000000000000AF327B00E8070000080160555555555555</t>
  </si>
  <si>
    <t>B28F8600E0070000080210C000000000005BB18600E8070000080250C0AAAAAAAAAA72738700E0070000080221800000000000C69B8700E807000008101A618032313337ECFE8700E00700000830000000000000001C0C8800E8070000082152C1303337313021208800E807000008223734521705B40020338800E80700000823014001010188AA1BF68800E0070000080319023B000000003D1A8D00E80700000810135902FF226321657D8D00E0070000083000000000000000568A8D00E8070000082150226322500380D59D8D00E80700000822962000029150AAE9608E00E007000008021081000000000016798E00E807000008025081AAAAAAAAAAAB3E8F0043070000080210C0000000000077748F0063070000080250C0A2A2A2A2A2A335900043070000080221800000000000835F90006307000008101A618031383039A9C290004307000008300000000000000010D590006307000008215224303230383017FC9000630700000822353552030205066E239100630700000823124002010088A236E7910043070000080319023B000000002A0E9200630700000810235902B99309114871920043070000083000000000000000C383920063070000082110930912109309E6AA920063070000082213109402111094EDD19200630700000823021310C101001015F99200630700000824C1810010C127006220930063070000082510A2A2A2A2A2A213E39300430700000803222201000000002F0B94006307000008101162220100C109BD6E940043070000083000000000000000C0809400630700000821B509DC0AA40112CBA79400630700000822AE5709BDA2A2A2A869950043070000080322020200000000DD929500630700000807620202195B00001654960043070000080322200200000000BD7D960063070000080662200203FF00A2693E970043070000080210810000000000B96997006307000008025081A2A2A2A2A2C62F980052070000080210C000000000000039980072070000080250C00000000000ACFB980052070000080221800000000000F09899007207000008101A61803936303513FC9900520700000830000000000000001B0E9A007207000008215204414D52303237359A007207000008223431300305E378535C9A007207000008234EC50100008878961E9B0052070000080319023B0000000020479B007207000008035902B900008878EF089C00520700000802108100000000009C319C007207000008025081B90000887889F69C0055070000080210C000000000005D109D0075070000080250C00000000000FFD19D005507000008022180000000000078979E007507000008101A6180373839369CFA9E0055070000083000000000000000080E9F0075070000082152044141393134215B9F007507000008223731520005000094A99F0075070000082300000201008800106EA00055070000080319023B00000000DD7FA100750700000810335902B951011C64E4A100550700000830000000000000004EF4A100750700000821285101132950C3D042A200750700000822491050C3491051E290A200750700000823687928C15500280CDFA20075070000082450C3491050C349432DA3007507000008251050C3491050C37C7BA300750700000826491050C3491050EEC9A300750700000827C34910C3491050B78CA40055070000080210810000000000F1B7A400750700000802508110C3491050197EA500E1070000080210C00000000000F911AA00E1070000080210C00000000000CBA5AE00E1070000080210C00000000000BB39B300E1070000080210C0000000000087CDB700E10700000802100300000000007261BC00E10700000802100300000000005EF5C000E10700000802100300000000002489C500E1070000080210030000000000F719CA00E107000008021001000000000009B1CE0051070000080210C000000000002B45D30051070000080210C00000000000B6D8D70051070000080210C000000000008D6CDC0051070000080210C000000000007C00E100510700000802100300000000004294E500510700000802100300000000002828EA005107000008021003000000000019BCEE0051070000080210030000000000E14CF30051070000080210010000000000CDE3F70042070000080210C00000000000F5EEF70062070000080250C0FFFFFFFFFF9CB1F80042070000080221800000000000C4BEF8006207000008101A6180313337335122F90042070000083000000000000000FC2AF90062070000082152043233313336F833F900620700000822303952024A0700EE3AF900620700000823000702010088FFACFBF90042070000080319023B000000001C06FA006207000008035902B9FFFFFFFFD2C6FA004207000008021081000000000027D1FA006207000008025081FFFFFFFFFF2499FB0045070000080210C00000000000C09AFB0065070000080250C0FFFFFFFFFF2B5DFC0045070000080221800000000000355FFC006507000008101A6180353630375BC2FC0045070000083000000000000000C3C4FC0065070000082152043030313437DFC5FC00650700000822303752140E171000C7FC00650700000823171002010088FFDF89FD0045070000080319023B00000000298CFD00650700000810E75902B99532124FEFFD0045070000083000000000000000F6F5FD0065070000082110953211105A848AF8FD0065070000082231105A8496105AB3F9FD006507000008238531105A85961072FDFD006507000008245A8331105A839692FEFD00650700000825105A8231105A82AFFFFD00650700000826961095B0021095D500FE006507000008273E1410953F1410F301FE0065070000082895401410953B141003FE0065070000082910953C1410953D7905FE0065070000082A14105A8055105A4C0BFE0065070000082B80541095D018A8730CFE0065070000082C957C1410957C12CF0DFE0065070000082D10957D1410957DEB0EFE0065070000082E1210957E1410950A10FE0065070000082F7E1210951296102811FE00650700000820957811109578154312FE00650700000821109511811095105F13FE00650700000822141095101210957C14FE006507000008236D1410956D12104216FE00650700000824956E1410956E12B51CFE0065070000082510956F1410956FE922FE00650700000826121095C31510953F24FE00650700000827831410958312105E25FE00650700000828958414109584127A26FE00650700000829109587141095879627FE0065070000082A12109588141095B328FE0065070000082B881210955B1410CD29FE0065070000082C955B12109542964E2CFE0065070000082D1095D2081095D8C32FFE0065070000082E081095F4711095DC30FE0065070000082F36111095351110F831FE00650700000820953811109537112033FE0065070000082110FFFFFFFFFFFF58F6FE00450700000802217100000000008EF8FE006507000008102A617100000000155CFF00450700000830000000000000004D5EFF00650700000821000000000000007F5FFF0065070000082200000000000000B060FF0065070000082300000000000000DD61FF0065070000082407004E07D00A280563FF0065070000082500000000050A047265FF00650700000826B0FFFFFFFFFFFF5E2D0001450700000802210A0000000000EE2E0001650700000805610AF9DC80FFFF02F1000145070000080221740000000000E7F20001650700000810126174040000005D560101450700000830000000000000007F59010165070000082100000000000000A95A010165070000082200FFFFFFFFFFFFB91D0201450700000802108100000000007F1F02016507000008025081FFFFFFFFFF</t>
  </si>
  <si>
    <t>686F7E00E00700000802100300000000006B947E00E807000008025003555555555576557F00E0070000080319020D00000000ED597F00E807000008035902FF55555555381D8000E0070000080221010000000000D6418000E807000008037F2111555555553B038100E00700000802210400000000002C058100E807000008037F2111555555555EC68100E0070000080322ED0300000000F9C88100E807000008104362ED03FFE7FF272C8200E00700000830000000000000007F2D8200E80700000821E000010001000056388200E8070000082200000010000100223D8200E8070000082300000000000000AE498200E80700000824000000000000001E4E8200E80700000825000000FFFF000286548200E807000008260200000212EE9CA05E8200E80700000827000121980214102D648200E8070000082834000400000000EB708200E80700000829000000FFFF5555F9338300E00700000802210E0000000000214F8300E807000008037F21115555555576108400E0070000080322ED0100000000A4128400E807000008102562ED01FFFF7ED1758400E00700000830000000000000005F778400E80700000821F8001D353483488A818400E807000008225152A54B26130004878400E8070000082353128F00FF0000369B8400E807000008240246CC52FF1E036F9E8400E807000008250000225555555555608500E0070000080120000000000000</t>
  </si>
  <si>
    <t>00h00m07s344-535</t>
  </si>
  <si>
    <t>02.10.03.00.00.00.00.00</t>
  </si>
  <si>
    <t>00h00m07s353-984</t>
  </si>
  <si>
    <t>03.7F.10.12.55.55.55.55</t>
  </si>
  <si>
    <t>00h00m07s404-808</t>
  </si>
  <si>
    <t>02.10.01.00.00.00.00.00</t>
  </si>
  <si>
    <t>00h00m07s413-932</t>
  </si>
  <si>
    <t>00h00m07s464-846</t>
  </si>
  <si>
    <t>02.10.90.00.00.00.00.00</t>
  </si>
  <si>
    <t>00h00m07s473-943</t>
  </si>
  <si>
    <t>02.50.90.55.55.55.55.55</t>
  </si>
  <si>
    <t>00h00m07s523-949</t>
  </si>
  <si>
    <t>04.18.00.FF.00.00.00.00</t>
  </si>
  <si>
    <t>00h00m07s533-943</t>
  </si>
  <si>
    <t>02.58.00.55.55.55.55.55</t>
  </si>
  <si>
    <t>00h00m07s583-951</t>
  </si>
  <si>
    <t>02.21.81.00.00.00.00.00</t>
  </si>
  <si>
    <t>00h00m07s593-929</t>
  </si>
  <si>
    <t>03.7F.21.12.55.55.55.55</t>
  </si>
  <si>
    <t>00h00m07s643-945</t>
  </si>
  <si>
    <t>02.21.01.00.00.00.00.00</t>
  </si>
  <si>
    <t>00h00m07s654-137</t>
  </si>
  <si>
    <t>10.28.61.01.FF.FF.FF.FF</t>
  </si>
  <si>
    <t>00h00m07s679-523</t>
  </si>
  <si>
    <t>30.00.00.00.00.00.00.00</t>
  </si>
  <si>
    <t>00h00m07s681-754</t>
  </si>
  <si>
    <t>21.00.29.00.1E.0C.48.43</t>
  </si>
  <si>
    <t>00h00m07s683-758</t>
  </si>
  <si>
    <t>22.43.A0.09.28.13.00.FF</t>
  </si>
  <si>
    <t>00h00m07s686-612</t>
  </si>
  <si>
    <t>23.18.8E.00.0A.00.00.00</t>
  </si>
  <si>
    <t>00h00m07s687-752</t>
  </si>
  <si>
    <t>24.47.9C.42.FF.1E.03.00</t>
  </si>
  <si>
    <t>00h00m07s689-950</t>
  </si>
  <si>
    <t>25.00.29.FF.FF.FF.FF.55</t>
  </si>
  <si>
    <t>00h00m07s739-969</t>
  </si>
  <si>
    <t>02.21.04.00.00.00.00.00</t>
  </si>
  <si>
    <t>00h00m07s744-117</t>
  </si>
  <si>
    <t>10.26.61.04.FF.FF.FF.FF</t>
  </si>
  <si>
    <t>00h00m07s769-507</t>
  </si>
  <si>
    <t>00h00m07s771-769</t>
  </si>
  <si>
    <t>21.5F.4E.43.0A.00.06.FF</t>
  </si>
  <si>
    <t>00h00m07s773-755</t>
  </si>
  <si>
    <t>22.28.00.00.1E.18.71.2D</t>
  </si>
  <si>
    <t>00h00m07s775-761</t>
  </si>
  <si>
    <t>23.00.00.01.00.FF.00.00</t>
  </si>
  <si>
    <t>00h00m07s777-758</t>
  </si>
  <si>
    <t>24.00.00.43.8D.FF.80.18</t>
  </si>
  <si>
    <t>00h00m07s779-750</t>
  </si>
  <si>
    <t>25.00.FF.FF.FF.55.55.55</t>
  </si>
  <si>
    <t>00h00m07s829-933</t>
  </si>
  <si>
    <t>02.21.B3.00.00.00.00.00</t>
  </si>
  <si>
    <t>00h00m07s833-922</t>
  </si>
  <si>
    <t>00h00m07s883-977</t>
  </si>
  <si>
    <t>02.21.0E.00.00.00.00.00</t>
  </si>
  <si>
    <t>00h00m07s893-980</t>
  </si>
  <si>
    <t>10.25.61.0E.01.01.00.F7</t>
  </si>
  <si>
    <t>00h00m07s919-365</t>
  </si>
  <si>
    <t>00h00m07s919-759</t>
  </si>
  <si>
    <t>21.00.01.00.00.00.00.00</t>
  </si>
  <si>
    <t>00h00m07s921-753</t>
  </si>
  <si>
    <t>22.01.01.01.00.FF.00.FF</t>
  </si>
  <si>
    <t>00h00m07s923-765</t>
  </si>
  <si>
    <t>23.FF.00.01.03.01.FF.01</t>
  </si>
  <si>
    <t>00h00m07s926-529</t>
  </si>
  <si>
    <t>24.FF.01.00.00.01.00.00</t>
  </si>
  <si>
    <t>00h00m07s927-747</t>
  </si>
  <si>
    <t>25.FF.01.01.55.55.55.55</t>
  </si>
  <si>
    <t>00h00m07s977-966</t>
  </si>
  <si>
    <t>00h00m07s984-115</t>
  </si>
  <si>
    <t>00h00m08s009-503</t>
  </si>
  <si>
    <t>00h00m08s011-742</t>
  </si>
  <si>
    <t>21.00.29.00.1D.0C.48.43</t>
  </si>
  <si>
    <t>00h00m08s013-746</t>
  </si>
  <si>
    <t>00h00m08s016-505</t>
  </si>
  <si>
    <t>00h00m08s017-737</t>
  </si>
  <si>
    <t>24.47.9B.42.FF.1E.03.00</t>
  </si>
  <si>
    <t>00h00m08s019-748</t>
  </si>
  <si>
    <t>00h00m08s069-979</t>
  </si>
  <si>
    <t>01.20.00.00.00.00.00.00</t>
  </si>
  <si>
    <t>00h00m08s073-903</t>
  </si>
  <si>
    <t>01.60.55.55.55.55.55.55</t>
  </si>
  <si>
    <t>00h00m08s818-610</t>
  </si>
  <si>
    <t>00h00m08s827-227</t>
  </si>
  <si>
    <t>02.50.C0.AA.AA.AA.AA.AA</t>
  </si>
  <si>
    <t>00h00m08s876-914</t>
  </si>
  <si>
    <t>00h00m08s887-238</t>
  </si>
  <si>
    <t>10.1A.61.80.32.31.33.37</t>
  </si>
  <si>
    <t>00h00m08s912-620</t>
  </si>
  <si>
    <t>00h00m08s915-996</t>
  </si>
  <si>
    <t>21.52.C1.30.33.37.31.30</t>
  </si>
  <si>
    <t>00h00m08s921-121</t>
  </si>
  <si>
    <t>22.37.34.52.17.05.B4.00</t>
  </si>
  <si>
    <t>00h00m08s925-984</t>
  </si>
  <si>
    <t>23.01.40.01.01.01.88.AA</t>
  </si>
  <si>
    <t>00h00m08s975-899</t>
  </si>
  <si>
    <t>03.19.02.3B.00.00.00.00</t>
  </si>
  <si>
    <t>00h00m09s247-293</t>
  </si>
  <si>
    <t>10.13.59.02.FF.22.63.21</t>
  </si>
  <si>
    <t>00h00m09s272-677</t>
  </si>
  <si>
    <t>00h00m09s275-990</t>
  </si>
  <si>
    <t>21.50.22.63.22.50.03.80</t>
  </si>
  <si>
    <t>00h00m09s280-981</t>
  </si>
  <si>
    <t>22.96.20.00.02.91.50.AA</t>
  </si>
  <si>
    <t>00h00m09s330-921</t>
  </si>
  <si>
    <t>00h00m09s337-110</t>
  </si>
  <si>
    <t>02.50.81.AA.AA.AA.AA.AA</t>
  </si>
  <si>
    <t>00h00m09s387-691</t>
  </si>
  <si>
    <t>00h00m09s401-463</t>
  </si>
  <si>
    <t>02.50.C0.A2.A2.A2.A2.A2</t>
  </si>
  <si>
    <t>00h00m09s450-915</t>
  </si>
  <si>
    <t>00h00m09s461-635</t>
  </si>
  <si>
    <t>10.1A.61.80.31.38.30.39</t>
  </si>
  <si>
    <t>00h00m09s487-017</t>
  </si>
  <si>
    <t>00h00m09s491-728</t>
  </si>
  <si>
    <t>21.52.24.30.32.30.38.30</t>
  </si>
  <si>
    <t>00h00m09s501-719</t>
  </si>
  <si>
    <t>22.35.35.52.03.02.05.06</t>
  </si>
  <si>
    <t>00h00m09s511-790</t>
  </si>
  <si>
    <t>23.12.40.02.01.00.88.A2</t>
  </si>
  <si>
    <t>00h00m09s561-910</t>
  </si>
  <si>
    <t>00h00m09s571-882</t>
  </si>
  <si>
    <t>10.23.59.02.B9.93.09.11</t>
  </si>
  <si>
    <t>00h00m09s597-256</t>
  </si>
  <si>
    <t>00h00m09s601-987</t>
  </si>
  <si>
    <t>21.10.93.09.12.10.93.09</t>
  </si>
  <si>
    <t>00h00m09s612-006</t>
  </si>
  <si>
    <t>22.13.10.94.02.11.10.94</t>
  </si>
  <si>
    <t>00h00m09s621-997</t>
  </si>
  <si>
    <t>23.02.13.10.C1.01.00.10</t>
  </si>
  <si>
    <t>00h00m09s632-021</t>
  </si>
  <si>
    <t>24.C1.81.00.10.C1.27.00</t>
  </si>
  <si>
    <t>00h00m09s642-082</t>
  </si>
  <si>
    <t>25.10.A2.A2.A2.A2.A2.A2</t>
  </si>
  <si>
    <t>00h00m09s691-923</t>
  </si>
  <si>
    <t>03.22.22.01.00.00.00.00</t>
  </si>
  <si>
    <t>00h00m09s702-191</t>
  </si>
  <si>
    <t>10.11.62.22.01.00.C1.09</t>
  </si>
  <si>
    <t>00h00m09s727-677</t>
  </si>
  <si>
    <t>00h00m09s732-288</t>
  </si>
  <si>
    <t>21.B5.09.DC.0A.A4.01.12</t>
  </si>
  <si>
    <t>00h00m09s742-283</t>
  </si>
  <si>
    <t>22.AE.57.09.BD.A2.A2.A2</t>
  </si>
  <si>
    <t>00h00m09s791-912</t>
  </si>
  <si>
    <t>03.22.02.02.00.00.00.00</t>
  </si>
  <si>
    <t>00h00m09s802-461</t>
  </si>
  <si>
    <t>07.62.02.02.19.5B.00.00</t>
  </si>
  <si>
    <t>00h00m09s851-926</t>
  </si>
  <si>
    <t>03.22.20.02.00.00.00.00</t>
  </si>
  <si>
    <t>00h00m09s862-589</t>
  </si>
  <si>
    <t>06.62.20.02.03.FF.00.A2</t>
  </si>
  <si>
    <t>00h00m09s911-913</t>
  </si>
  <si>
    <t>00h00m09s923-001</t>
  </si>
  <si>
    <t>02.50.81.A2.A2.A2.A2.A2</t>
  </si>
  <si>
    <t>00h00m09s973-702</t>
  </si>
  <si>
    <t>00h00m09s976-064</t>
  </si>
  <si>
    <t>772</t>
  </si>
  <si>
    <t>02.50.C0.00.00.00.00.00</t>
  </si>
  <si>
    <t>00h00m10s025-900</t>
  </si>
  <si>
    <t>00h00m10s066-160</t>
  </si>
  <si>
    <t>10.1A.61.80.39.36.30.35</t>
  </si>
  <si>
    <t>00h00m10s091-539</t>
  </si>
  <si>
    <t>00h00m10s096-155</t>
  </si>
  <si>
    <t>21.52.04.41.4D.52.30.32</t>
  </si>
  <si>
    <t>00h00m10s106-167</t>
  </si>
  <si>
    <t>22.34.31.30.03.05.E3.78</t>
  </si>
  <si>
    <t>00h00m10s116-179</t>
  </si>
  <si>
    <t>23.4E.C5.01.00.00.88.78</t>
  </si>
  <si>
    <t>00h00m10s165-910</t>
  </si>
  <si>
    <t>00h00m10s176-288</t>
  </si>
  <si>
    <t>03.59.02.B9.00.00.88.78</t>
  </si>
  <si>
    <t>00h00m10s225-903</t>
  </si>
  <si>
    <t>00h00m10s236-316</t>
  </si>
  <si>
    <t>02.50.81.B9.00.00.88.78</t>
  </si>
  <si>
    <t>00h00m10s286-729</t>
  </si>
  <si>
    <t>755</t>
  </si>
  <si>
    <t>00h00m10s293-341</t>
  </si>
  <si>
    <t>775</t>
  </si>
  <si>
    <t>00h00m10s342-911</t>
  </si>
  <si>
    <t>00h00m10s393-464</t>
  </si>
  <si>
    <t>10.1A.61.80.37.38.39.36</t>
  </si>
  <si>
    <t>00h00m10s418-844</t>
  </si>
  <si>
    <t>00h00m10s423-816</t>
  </si>
  <si>
    <t>21.52.04.41.41.39.31.34</t>
  </si>
  <si>
    <t>00h00m10s443-553</t>
  </si>
  <si>
    <t>22.37.31.52.00.05.00.00</t>
  </si>
  <si>
    <t>00h00m10s463-636</t>
  </si>
  <si>
    <t>23.00.00.02.01.00.88.00</t>
  </si>
  <si>
    <t>00h00m10s513-936</t>
  </si>
  <si>
    <t>00h00m10s584-029</t>
  </si>
  <si>
    <t>10.33.59.02.B9.51.01.1C</t>
  </si>
  <si>
    <t>00h00m10s609-764</t>
  </si>
  <si>
    <t>00h00m10s613-838</t>
  </si>
  <si>
    <t>21.28.51.01.13.29.50.C3</t>
  </si>
  <si>
    <t>00h00m10s633-936</t>
  </si>
  <si>
    <t>22.49.10.50.C3.49.10.51</t>
  </si>
  <si>
    <t>00h00m10s653-922</t>
  </si>
  <si>
    <t>23.68.79.28.C1.55.00.28</t>
  </si>
  <si>
    <t>00h00m10s673-932</t>
  </si>
  <si>
    <t>24.50.C3.49.10.50.C3.49</t>
  </si>
  <si>
    <t>00h00m10s693-955</t>
  </si>
  <si>
    <t>25.10.50.C3.49.10.50.C3</t>
  </si>
  <si>
    <t>00h00m10s713-980</t>
  </si>
  <si>
    <t>26.49.10.50.C3.49.10.50</t>
  </si>
  <si>
    <t>00h00m10s734-062</t>
  </si>
  <si>
    <t>27.C3.49.10.C3.49.10.50</t>
  </si>
  <si>
    <t>00h00m10s783-927</t>
  </si>
  <si>
    <t>00h00m10s794-993</t>
  </si>
  <si>
    <t>02.50.81.10.C3.49.10.50</t>
  </si>
  <si>
    <t>00h00m10s845-721</t>
  </si>
  <si>
    <t>7E1</t>
  </si>
  <si>
    <t>00h00m11s145-721</t>
  </si>
  <si>
    <t>00h00m11s445-707</t>
  </si>
  <si>
    <t>00h00m11s745-723</t>
  </si>
  <si>
    <t>00h00m12s045-703</t>
  </si>
  <si>
    <t>00h00m12s345-714</t>
  </si>
  <si>
    <t>00h00m12s645-726</t>
  </si>
  <si>
    <t>00h00m12s945-700</t>
  </si>
  <si>
    <t>00h00m13s244-919</t>
  </si>
  <si>
    <t>00h00m13s545-737</t>
  </si>
  <si>
    <t>751</t>
  </si>
  <si>
    <t>00h00m13s845-803</t>
  </si>
  <si>
    <t>00h00m14s145-718</t>
  </si>
  <si>
    <t>00h00m14s445-709</t>
  </si>
  <si>
    <t>00h00m14s745-724</t>
  </si>
  <si>
    <t>00h00m15s045-698</t>
  </si>
  <si>
    <t>00h00m15s345-704</t>
  </si>
  <si>
    <t>00h00m15s645-721</t>
  </si>
  <si>
    <t>00h00m15s944-929</t>
  </si>
  <si>
    <t>00h00m16s245-709</t>
  </si>
  <si>
    <t>742</t>
  </si>
  <si>
    <t>00h00m16s248-565</t>
  </si>
  <si>
    <t>762</t>
  </si>
  <si>
    <t>00h00m16s298-396</t>
  </si>
  <si>
    <t>00h00m16s301-764</t>
  </si>
  <si>
    <t>10.1A.61.80.31.33.37.33</t>
  </si>
  <si>
    <t>00h00m16s327-249</t>
  </si>
  <si>
    <t>00h00m16s329-468</t>
  </si>
  <si>
    <t>21.52.04.32.33.31.33.36</t>
  </si>
  <si>
    <t>00h00m16s331-768</t>
  </si>
  <si>
    <t>22.30.39.52.02.4A.07.00</t>
  </si>
  <si>
    <t>00h00m16s333-550</t>
  </si>
  <si>
    <t>23.00.07.02.01.00.88.FF</t>
  </si>
  <si>
    <t>00h00m16s382-892</t>
  </si>
  <si>
    <t>00h00m16s385-564</t>
  </si>
  <si>
    <t>03.59.02.B9.FF.FF.FF.FF</t>
  </si>
  <si>
    <t>00h00m16s434-898</t>
  </si>
  <si>
    <t>00h00m16s437-543</t>
  </si>
  <si>
    <t>00h00m16s488-740</t>
  </si>
  <si>
    <t>745</t>
  </si>
  <si>
    <t>00h00m16s489-152</t>
  </si>
  <si>
    <t>765</t>
  </si>
  <si>
    <t>00h00m16s538-923</t>
  </si>
  <si>
    <t>00h00m16s539-445</t>
  </si>
  <si>
    <t>10.1A.61.80.35.36.30.37</t>
  </si>
  <si>
    <t>00h00m16s564-827</t>
  </si>
  <si>
    <t>00h00m16s565-443</t>
  </si>
  <si>
    <t>21.52.04.30.30.31.34.37</t>
  </si>
  <si>
    <t>00h00m16s565-727</t>
  </si>
  <si>
    <t>22.30.37.52.14.0E.17.10</t>
  </si>
  <si>
    <t>00h00m16s566-016</t>
  </si>
  <si>
    <t>23.17.10.02.01.00.88.FF</t>
  </si>
  <si>
    <t>00h00m16s615-903</t>
  </si>
  <si>
    <t>00h00m16s616-489</t>
  </si>
  <si>
    <t>10.E7.59.02.B9.95.32.12</t>
  </si>
  <si>
    <t>00h00m16s641-871</t>
  </si>
  <si>
    <t>00h00m16s643-574</t>
  </si>
  <si>
    <t>21.10.95.32.11.10.5A.84</t>
  </si>
  <si>
    <t>00h00m16s644-234</t>
  </si>
  <si>
    <t>22.31.10.5A.84.96.10.5A</t>
  </si>
  <si>
    <t>00h00m16s644-531</t>
  </si>
  <si>
    <t>23.85.31.10.5A.85.96.10</t>
  </si>
  <si>
    <t>00h00m16s645-490</t>
  </si>
  <si>
    <t>24.5A.83.31.10.5A.83.96</t>
  </si>
  <si>
    <t>00h00m16s645-778</t>
  </si>
  <si>
    <t>25.10.5A.82.31.10.5A.82</t>
  </si>
  <si>
    <t>00h00m16s646-063</t>
  </si>
  <si>
    <t>26.96.10.95.B0.02.10.95</t>
  </si>
  <si>
    <t>00h00m16s646-357</t>
  </si>
  <si>
    <t>27.3E.14.10.95.3F.14.10</t>
  </si>
  <si>
    <t>00h00m16s646-643</t>
  </si>
  <si>
    <t>28.95.40.14.10.95.3B.14</t>
  </si>
  <si>
    <t>00h00m16s646-928</t>
  </si>
  <si>
    <t>29.10.95.3C.14.10.95.3D</t>
  </si>
  <si>
    <t>00h00m16s647-545</t>
  </si>
  <si>
    <t>2A.14.10.5A.80.55.10.5A</t>
  </si>
  <si>
    <t>00h00m16s649-036</t>
  </si>
  <si>
    <t>2B.80.54.10.95.D0.18.A8</t>
  </si>
  <si>
    <t>00h00m16s649-331</t>
  </si>
  <si>
    <t>2C.95.7C.14.10.95.7C.12</t>
  </si>
  <si>
    <t>00h00m16s649-679</t>
  </si>
  <si>
    <t>2D.10.95.7D.14.10.95.7D</t>
  </si>
  <si>
    <t>00h00m16s649-963</t>
  </si>
  <si>
    <t>2E.12.10.95.7E.14.10.95</t>
  </si>
  <si>
    <t>00h00m16s650-250</t>
  </si>
  <si>
    <t>2F.7E.12.10.95.12.96.10</t>
  </si>
  <si>
    <t>00h00m16s650-536</t>
  </si>
  <si>
    <t>20.95.78.11.10.95.78.15</t>
  </si>
  <si>
    <t>00h00m16s650-819</t>
  </si>
  <si>
    <t>21.10.95.11.81.10.95.10</t>
  </si>
  <si>
    <t>00h00m16s651-103</t>
  </si>
  <si>
    <t>22.14.10.95.10.12.10.95</t>
  </si>
  <si>
    <t>00h00m16s651-388</t>
  </si>
  <si>
    <t>23.6D.14.10.95.6D.12.10</t>
  </si>
  <si>
    <t>00h00m16s651-842</t>
  </si>
  <si>
    <t>24.95.6E.14.10.95.6E.12</t>
  </si>
  <si>
    <t>00h00m16s653-493</t>
  </si>
  <si>
    <t>25.10.95.6F.14.10.95.6F</t>
  </si>
  <si>
    <t>00h00m16s655-081</t>
  </si>
  <si>
    <t>26.12.10.95.C3.15.10.95</t>
  </si>
  <si>
    <t>00h00m16s655-423</t>
  </si>
  <si>
    <t>27.83.14.10.95.83.12.10</t>
  </si>
  <si>
    <t>00h00m16s655-710</t>
  </si>
  <si>
    <t>28.95.84.14.10.95.84.12</t>
  </si>
  <si>
    <t>00h00m16s655-994</t>
  </si>
  <si>
    <t>29.10.95.87.14.10.95.87</t>
  </si>
  <si>
    <t>00h00m16s656-278</t>
  </si>
  <si>
    <t>2A.12.10.95.88.14.10.95</t>
  </si>
  <si>
    <t>00h00m16s656-563</t>
  </si>
  <si>
    <t>2B.88.12.10.95.5B.14.10</t>
  </si>
  <si>
    <t>00h00m16s656-845</t>
  </si>
  <si>
    <t>2C.95.5B.12.10.95.42.96</t>
  </si>
  <si>
    <t>00h00m16s657-486</t>
  </si>
  <si>
    <t>2D.10.95.D2.08.10.95.D8</t>
  </si>
  <si>
    <t>00h00m16s658-371</t>
  </si>
  <si>
    <t>2E.08.10.95.F4.71.10.95</t>
  </si>
  <si>
    <t>00h00m16s658-652</t>
  </si>
  <si>
    <t>2F.36.11.10.95.35.11.10</t>
  </si>
  <si>
    <t>00h00m16s658-936</t>
  </si>
  <si>
    <t>20.95.38.11.10.95.37.11</t>
  </si>
  <si>
    <t>00h00m16s659-232</t>
  </si>
  <si>
    <t>21.10.FF.FF.FF.FF.FF.FF</t>
  </si>
  <si>
    <t>00h00m16s709-208</t>
  </si>
  <si>
    <t>02.21.71.00.00.00.00.00</t>
  </si>
  <si>
    <t>00h00m16s709-774</t>
  </si>
  <si>
    <t>10.2A.61.71.00.00.00.00</t>
  </si>
  <si>
    <t>00h00m16s735-253</t>
  </si>
  <si>
    <t>00h00m16s735-821</t>
  </si>
  <si>
    <t>21.00.00.00.00.00.00.00</t>
  </si>
  <si>
    <t>00h00m16s736-127</t>
  </si>
  <si>
    <t>22.00.00.00.00.00.00.00</t>
  </si>
  <si>
    <t>00h00m16s736-432</t>
  </si>
  <si>
    <t>23.00.00.00.00.00.00.00</t>
  </si>
  <si>
    <t>00h00m16s736-733</t>
  </si>
  <si>
    <t>24.07.00.4E.07.D0.0A.28</t>
  </si>
  <si>
    <t>00h00m16s737-029</t>
  </si>
  <si>
    <t>25.00.00.00.00.05.0A.04</t>
  </si>
  <si>
    <t>00h00m16s737-650</t>
  </si>
  <si>
    <t>26.B0.FF.FF.FF.FF.FF.FF</t>
  </si>
  <si>
    <t>00h00m16s788-830</t>
  </si>
  <si>
    <t>02.21.0A.00.00.00.00.00</t>
  </si>
  <si>
    <t>00h00m16s789-230</t>
  </si>
  <si>
    <t>05.61.0A.F9.DC.80.FF.FF</t>
  </si>
  <si>
    <t>00h00m16s838-914</t>
  </si>
  <si>
    <t>02.21.74.00.00.00.00.00</t>
  </si>
  <si>
    <t>00h00m16s839-399</t>
  </si>
  <si>
    <t>10.12.61.74.04.00.00.00</t>
  </si>
  <si>
    <t>00h00m16s864-861</t>
  </si>
  <si>
    <t>00h00m16s865-663</t>
  </si>
  <si>
    <t>00h00m16s865-961</t>
  </si>
  <si>
    <t>22.00.FF.FF.FF.FF.FF.FF</t>
  </si>
  <si>
    <t>00h00m16s915-897</t>
  </si>
  <si>
    <t>00h00m16s916-351</t>
  </si>
  <si>
    <t>00h00m08s286-056</t>
  </si>
  <si>
    <t>00h00m08s295-531</t>
  </si>
  <si>
    <t>02.50.03.55.55.55.55.55</t>
  </si>
  <si>
    <t>00h00m08s344-950</t>
  </si>
  <si>
    <t>03.19.02.0D.00.00.00.00</t>
  </si>
  <si>
    <t>00h00m08s346-093</t>
  </si>
  <si>
    <t>00h00m08s396-088</t>
  </si>
  <si>
    <t>00h00m08s405-462</t>
  </si>
  <si>
    <t>03.7F.21.11.55.55.55.55</t>
  </si>
  <si>
    <t>00h00m08s454-971</t>
  </si>
  <si>
    <t>00h00m08s455-468</t>
  </si>
  <si>
    <t>00h00m08s504-926</t>
  </si>
  <si>
    <t>03.22.ED.03.00.00.00.00</t>
  </si>
  <si>
    <t>00h00m08s505-593</t>
  </si>
  <si>
    <t>10.43.62.ED.03.FF.E7.FF</t>
  </si>
  <si>
    <t>00h00m08s530-983</t>
  </si>
  <si>
    <t>00h00m08s531-327</t>
  </si>
  <si>
    <t>21.E0.00.01.00.01.00.00</t>
  </si>
  <si>
    <t>00h00m08s534-102</t>
  </si>
  <si>
    <t>22.00.00.00.10.00.01.00</t>
  </si>
  <si>
    <t>00h00m08s535-330</t>
  </si>
  <si>
    <t>00h00m08s538-542</t>
  </si>
  <si>
    <t>24.00.00.00.00.00.00.00</t>
  </si>
  <si>
    <t>00h00m08s539-678</t>
  </si>
  <si>
    <t>25.00.00.00.FF.FF.00.02</t>
  </si>
  <si>
    <t>00h00m08s541-318</t>
  </si>
  <si>
    <t>26.02.00.00.02.12.EE.9C</t>
  </si>
  <si>
    <t>00h00m08s543-904</t>
  </si>
  <si>
    <t>27.00.01.21.98.02.14.10</t>
  </si>
  <si>
    <t>00h00m08s545-325</t>
  </si>
  <si>
    <t>28.34.00.04.00.00.00.00</t>
  </si>
  <si>
    <t>00h00m08s548-587</t>
  </si>
  <si>
    <t>29.00.00.00.FF.FF.55.55</t>
  </si>
  <si>
    <t>00h00m08s598-521</t>
  </si>
  <si>
    <t>00h00m08s605-473</t>
  </si>
  <si>
    <t>00h00m08s654-966</t>
  </si>
  <si>
    <t>03.22.ED.01.00.00.00.00</t>
  </si>
  <si>
    <t>00h00m08s655-524</t>
  </si>
  <si>
    <t>10.25.62.ED.01.FF.FF.7E</t>
  </si>
  <si>
    <t>00h00m08s680-913</t>
  </si>
  <si>
    <t>00h00m08s681-311</t>
  </si>
  <si>
    <t>21.F8.00.1D.35.34.83.48</t>
  </si>
  <si>
    <t>00h00m08s683-914</t>
  </si>
  <si>
    <t>22.51.52.A5.4B.26.13.00</t>
  </si>
  <si>
    <t>00h00m08s685-316</t>
  </si>
  <si>
    <t>23.53.12.8F.00.FF.00.00</t>
  </si>
  <si>
    <t>00h00m08s690-486</t>
  </si>
  <si>
    <t>24.02.46.CC.52.FF.1E.03</t>
  </si>
  <si>
    <t>00h00m08s691-311</t>
  </si>
  <si>
    <t>25.00.00.22.55.55.55.55</t>
  </si>
  <si>
    <t>00h00m08s740-949</t>
  </si>
  <si>
    <t>A4B68E00E0070000080210030000000000EBD98E00E807000008037F10125555555517A88F00E007000008021001000000000016C48F00E807000008037F101255555555588B9000E007000008021090000000000073AE9000E807000008025090555555555570739100E007000008041800FF00000000CD989100E8070000080258005555555555845C9200E007000008022181000000000044839200E807000008037F2112555555552B489300E00700000802210100000000005D6E9300E80700000810286101FFFFFFFF8ED19300E007000008300000000000000046DA9300E80700000821002B001C0C494F1AE29300E807000008224DA0092813000062ED9300E807000008231C8B0009000000B0F19300E80700000824479F4FFF1E03008DF99300E80700000825002BFFFFFFFF550EBE9400E007000008022104000000000014CF9400E80700000810266104FFFFFFFF3F329500E0070000083000000000000000C9399500E807000008217A4F4F090006FFB5419500E807000008222A00001C1C713479499500E8070000082300000100FF000046519500E8070000082400004D8AFF801C11599500E8070000082500FFFFFF555555811D9600E0070000080221B30000000000A82C9600E807000008037F2112555555559FF19600E00700000802210E000000000044179700E8070000081025610E010100F7737A9700E0070000083000000000000000F77B9700E8070000082100010000000000BD839700E8070000082201010100FF00FF9B8B9700E80700000823FF00010301FF0190969700E80700000824FF010000010000299B9700E80700000825FF010155555555D75B9800E00700000802210100000000006F779800E80700000810286101FFFFFFFF9EDA9800E007000008300000000000000046E39800E80700000821002B001C0C494F1CEB9800E807000008224DA00128130000E6F29800E807000008231B8A0009000000C3FA9800E80700000824479F4FFF1E030089029900E80700000825002BFFFFFFFF5515C39900E007000008012000000000000026D69900E8070000080160555555555555</t>
  </si>
  <si>
    <t>B77E7600E0070000080210030000000000C5A37600E807000008037F10125555555597697700E0070000080210010000000000F28D7700E807000008037F101255555555EE537800E00700000802109000000000004E787800E8070000080250905555555555F53A7900E007000008041800FF00000000A8627900E807000008025800555555555552257A00E00700000802218100000000008E507A00E807000008037F2112555555559F137B00E007000008022101000000000043387B00E80700000810286101FFFFFFFF719B7B00E007000008300000000000000019A47B00E80700000821233800136D4853A0AE7B00E807000008227BA001422000FFC3B37B00E80700000823188C030A0000008EBB7B00E80700000824479751FF1E030068C37B00E80700000825003BFFFFFFFF55CD867C00E0070000080221040000000000C8977C00E80700000810266104FFFFFFFFF2FA7C00E007000008300000000000000094067D00E80700000821A44F530A0006FF800B7D00E807000008223D0000131A7D1C9F167D00E8070000082300000100FF00001A1B7D00E8070000082400007B8CFF7F1AE9227D00E8070000082500FFFFFF5555554AE67D00E0070000080221B30000000000ABF67D00E807000008037F21125555555537B97E00E00700000802210E00000000002CE17E00E8070000081025610E010100F759447F00E00700000830000000000000002B467F00E80700000821000100000000009E4D7F00E8070000082201010100FF00FF79557F00E80700000823FF00010301FF01465D7F00E80700000824FF01000001000007657F00E80700000825FF01015555555560288000E007000008022101000000000048418000E80700000810286101FFFFFFFF71A48000E007000008300000000000000020AD8000E80700000821284000136E4853F7B48000E807000008227BA001442200FFA8BF8000E807000008231B8C030A00000090C48000E80700000824489751FF1E030068CC8000E80700000825003EFFFFFFFF55D98F8100E0070000080120000000000000F59F8100E8070000080160555555555555</t>
  </si>
  <si>
    <t>30976F00E00700000802100300000000007ABC6F00E80700000802500355555555558F807000E0070000080319020D00000000A0A87000E807000008035902FF555555556A6B7100E0070000080221010000000000E5907100E807000008037F21115555555543557200E0070000080221040000000000537B7200E807000008037F211155555555C33F7300E0070000080322ED0300000000F2657300E807000008104362ED03FFE7FF1AC97300E0070000083000000000000000B4CA7300E80700000821E000010001000081D27300E80700000822000000100001005CDA7300E80700000823000000000000001BEA7300E8070000082400000000000000C5F17300E80700000825000000FFFF00028EF97300E80700000826020001020A89745B017400E807000008270002EAB2020D7498107400E8070000082826000B00000100D1187400E80700000829000000FFFF555559DA7400E00700000802210E000000000052EC7400E807000008037F211155555555ABB07500E0070000080322ED010000000005D77500E807000008102562ED01FFFF7E323A7600E0070000083000000000000000B33B7600E80700000821F8001F3B43804879437600E807000008227496A403261300544B7600E807000008230F1B9101FFFF00D45C7600E807000008240248C27FFF1E03BB627600E8070000082500002155555555E4237700E0070000080120000000000000</t>
  </si>
  <si>
    <t>78657000E007000008021003000000000070817000E8070000080250035555555555E4437100E0070000080319020D00000000606C7100E807000008035902FF55555555D02E7200E007000008022101000000000097547200E807000008037F21115555555597187300E0070000080221040000000000F73E7300E807000008037F211155555555DE027400E0070000080322ED03000000009A297400E807000008104362ED03FFE7FF958F7400E007000008300000000000000030967400E80700000821E0000100010100FD9D7400E80700000822000000100001007EAB7400E80700000823000000000000009FAD7400E807000008240000000000000068B57400E80700000825000000FFFF000B32BD7400E80700000826130001020A89740DC57400E8070000082700030E05020D979FD27400E8070000082879000C000A0100A6D47400E80700000829000000FFFF5555C7957500E00700000802210E000000000002B07500E807000008037F211155555555F2737600E0070000080322ED0100000000A59A7600E807000008102562ED01FFFF7E6BFF7600E007000008300000000000000026077700E80700000821F8002B582A9648F80E7700E807000008226FA4A403261300831C7700E807000008230F24A305FFFF02931E7700E807000008240249C17AFF1E0361267700E8070000082500002C55555555FCE67700E0070000080120000000000000</t>
  </si>
  <si>
    <t>E6928600E0070000080210C0000000000054B78600E8070000080250C0AAAAAAAAAA527B8700E007000008022180000000000011A48700E807000008101A61803231333739078800E00700000830000000000000006D128800E8070000082152C13033373130EF258800E807000008223734521705B4006E398800E80700000823014001010188AABEFA8800E0070000080319023B000000007AF98C00E80700000810135902FF226321A25C8D00E007000008300000000000000085698D00E80700000821502263225003806E7E8D00E80700000822962000029150AAB1418E00E007000008021081000000000060588E00E807000008025081AAAAAAAAAA07218F0043070000080210C000000000002A398F0063070000080250C0A2A2A2A2A254FB8F00430700000802218000000000003A2490006307000008101A6180313830395C87900043070000083000000000000000E399900063070000082152243032303830BBC090006307000008223535520302050606E89000630700000823124002010088A2BBA8910043070000080319023B000000007FD19100630700000810235902B9930911A53492004307000008300000000000000075469200630700000821109309121093097B6D920063070000082213109402111094AE949200630700000823021310C101001046BC9200630700000824C1810010C1270010E3920063070000082510A2A2A2A2A2A2B1A5930043070000080322220100000000E4CD9300630700000810116222010023160B319400430700000830000000000000006743940063070000082100161415890112696A9400630700000822AE5715C8A2A2A2F72D950043070000080322020200000000565595006307000008076202021B47000083199600430700000803222002000000004840960063070000080662200203FF00A2E203970043070000080210810000000000EA2C97006307000008025081A2A2A2A2A242F1970052070000080210C00000000000330D980072070000080250C00000000000D4D0980052070000080221800000000000186D99007207000008101A6180393630353AD09900520700000830000000000000003FE299007207000008215204414D52303259099A007207000008223431300305E37876309A007207000008234EC5010000887897F39A0052070000080319023B00000000161C9B007207000008035902B900008878F7DD9B005207000008021081000000000043069C007207000008025081B90000887853CD9C0055070000080210C0000000000018E69C0075070000080250C000000000000BA79D0055070000080221800000000000456D9E007507000008101A618037383936A9D09E005507000008300000000000000021E29E00750700000821520441413931345E309F00750700000822373152000500009E7E9F00750700000823000002010088000443A00055070000080319023B000000004C55A100750700000810335902B951011C75B8A1005507000008300000000000000055CAA100750700000821285101132950C31218A200750700000822491050C34910516666A200750700000823687928C155002809B5A20075070000082450C3491050C3494003A3007507000008251050C3491050C33051A300750700000826491050C3491050779FA300750700000827C34910C34910504C62A40055070000080210810000000000818AA400750700000802508110C34910502B4FA500E1070000080210C000000000006EE4A900E1070000080210C00000000000E67AAE00E1070000080210C00000000000B70EB300E1070000080210C0000000000091A2B700E10700000802100300000000008836BC00E107000008021003000000000055CAC000E1070000080210030000000000435EC500E1070000080210030000000000F6EEC900E1070000080210010000000000E785CE0051070000080210C00000000000CD19D30051070000080210C00000000000A9ADD70051070000080210C000000000008241DC0051070000080210C0000000000078D5E00051070000080210030000000000176DE500510700000802100300000000008F02EA0051070000080210030000000000C694EE0051070000080210030000000000A222F300510700000802100100000000005BBCF70042070000080210C00000000000E5C2F70062070000080250C0FFFFFFFFFFC184F80042070000080221800000000000A091F8006207000008101A618031333733D7F4F800420700000830000000000000007BF7F8006207000008215204323331333639FFF800620700000822303952024A07001407F900620700000823000702010088FF49CDF90042070000080319023B0000000004D6F9006207000008035902B9FFFFFFFF0298FA00420700000802108100000000000CA1FA006207000008025081FFFFFFFFFFF366FB0045070000080210C000000000003D69FB0065070000080250C0FFFFFFFFFF522AFC0045070000080221800000000000A62CFC006507000008101A618035363037CE8FFC00450700000830000000000000004094FC00650700000821520430303134375C95FC00650700000822303752140E17107D96FC00650700000823171002010088FF2B57FD0045070000080319023B000000006559FD00650700000810E75902B995321288BCFD00450700000830000000000000006DC2FD0065070000082110953211105A8417C6FD0065070000082231105A8496105A32C7FD006507000008238531105A85961051C8FD006507000008245A8331105A83967EC9FD00650700000825105A8231105A8242CDFD00650700000826961095B002109567CEFD006507000008273E1410953F141086CFFD0065070000082895401410953B14A2D0FD0065070000082910953C1410953DC5D1FD0065070000082A14105A8055105AE3D2FD0065070000082B80541095D018A89CD7FD0065070000082C957C1410957C12BAD8FD0065070000082D10957D1410957DD7D9FD0065070000082E1210957E141095F5DAFD0065070000082F7E12109512961013DCFD00650700000820957811109578156CDDFD006507000008211095118110951084E0FD0065070000082214109510121095A1E1FD006507000008236D1410956D1210B9E2FD00650700000824956E1410956E12D5E3FD0065070000082510956F1410956FA2E5FD00650700000826121095C3151095A3E9FD006507000008278314109583121047EDFD006507000008289584141095841264EEFD006507000008291095871410958780EFFD0065070000082A1210958814109591F3FD0065070000082B881210955B1410A9F4FD0065070000082C955B1210954296C7F5FD0065070000082D1095D2081095D8E6F6FD0065070000082E081095F4711095FEF7FD0065070000082F361110953511101AF9FD0065070000082095381110953711FDFAFD0065070000082110FFFFFFFFFFFF5EC3FE004507000008022171000000000066C5FE006507000008102A6171000000008B28FF0045070000083000000000000000EE2CFF0065070000082100000000000000202EFF0065070000082200000000000000512FFF0065070000082300000000000000A530FF0065070000082407004E07D00A28CD31FF0065070000082500000000050A04DC34FF00650700000826B0FFFFFFFFFFFF97FCFF00450700000802210A000000000027FEFF00650700000805610AF9DC80FFFF1AC200014507000008022174000000000046C400016507000008101261740400000067270101450700000830000000000000006929010165070000082100000000000000942A010165070000082200FFFFFFFFFFFFEFEE0101450700000802108100000000008FF001016507000008025081FFFFFFFFFF</t>
  </si>
  <si>
    <t>A5479C00E0070000080210C00000000000066C9C00E8070000080250C0AAAAAAAAAAF52D9D00E007000008022180000000000073569D00E807000008101A61803231333799B99D00E00700000830000000000000005DC79D00E8070000082152C13033373130BDDA9D00E807000008223734521705B4008AEE9D00E80700000823014001010188AA9FB09E00E0070000080319023B0000000019D5A200E80700000810135902FF2263214438A300E00700000830000000000000009A45A300E8070000082150226322500380E658A300E80700000822966000029150AA6D1BA400E00700000802108100000000003634A400E807000008025081AAAAAAAAAA30F9A40043070000080210C00000000000DC34A50063070000080250C0A2A2A2A2A2F4F7A50043070000080221800000000000E81DA6006307000008101A6180313830390C8CA60043070000083000000000000000B593A6006307000008215224303230383097BAA6006307000008223535520302050604E2A600630700000823124002010088A2A1A5A70043070000080319023B0000000099CCA700630700000810235902B99309114131A800430700000830000000000000006440A800630700000821109309121093095567A80063070000082213109402111094B68EA800630700000823021310C1010010C6B5A800630700000824C1810010C12700B9DCA80063070000082510A2A2A2A2A2A2929DA90043070000080322220100000000C5C9A90063070000081011622201001F165031AA00430700000830000000000000005E3DAA00630700000821301619157B01125964AA00630700000822AE5715BEA2A2A21428AB00430700000803220202000000004251AB006307000008076202021B3F00006B12AC0043070000080322200200000000403AAC0063070000080662200203FF00A2C0FCAC00430700000802108100000000003525AD006307000008025081A2A2A2A2A256ECAD0052070000080210C00000000000E012AE0072070000080250C000000000006ED5AE0052070000080221800000000000C272AF007207000008101A618039363035E5D5AF0052070000083000000000000000E9E7AF007207000008215204414D523032010FB0007207000008223431300305E3781D36B0007207000008234EC5010000887854F8B00052070000080319023B00000000C020B1007207000008037F192200008878AEE2B10052070000080317FF0000000000570BB2007207000008037F1711000088781BCDB20052070000080210810000000000F1F5B200720700000802508111000088789CBAB30055070000080210C000000000000EDCB30075070000080250C010C3491050029EB400550700000802218000000000004363B5007507000008101A6180373839363CCEB50055070000083000000000000000BBD8B500750700000821520441413931341B27B600750700000822373152000500002C75B600750700000823000002010088000236B70055070000080319023B000000005C24B800750700000810335902B951011C098DB80055070000083000000000000000D698B800750700000821295101132950C339E7B800750700000822491050C3491051AD35B900750700000823687928C1550028B883B90075070000082450C3491050C349FCD1B9007507000008251050C3491050C33520BA00750700000826491050C3491050836EBA00750700000827C34910C34910507E31BB00550700000802108100000000007659BB00750700000802508110C3491050111FBC00E1070000080210C00000000000F6B2C000E1070000080210C00000000000CF46C500E1070000080210C00000000000AFDAC900E1070000080210C000000000008E6ECE00E10700000802100300000000007302D300E10700000802100300000000004A96D700E1070000080210030000000000232ADC00E1070000080210030000000000FABAE000E1070000080210010000000000F251E50051070000080210C00000000000B7E5E90051070000080210C000000000009A79EE0051070000080210C00000000000840DF30051070000080210C0000000000079A1F700510700000802100300000000005035FC005107000008021003000000000029C9000151070000080210030000000000095D050151070000080210030000000000D0ED090151070000080210010000000000D1840E0142070000080210C000000000005E8F0E0162070000080250C0FFFFFFFFFFBC500F0142070000080221800000000000395B0F016207000008101A6180313337335CBE0F0142070000083000000000000000CBC30F0162070000082152043233313336A7D50F01620700000822303952024A07004ADB0F01620700000823000702010088FFA59C100142070000080319023B0000000079A210016207000008035902B9FFFFFFFFFD63110142070000080210810000000000796D11016207000008025081FFFFFFFFFF2B33120145070000080210C000000000005839120165070000080250C0FFFFFFFFFF2AFA12014507000008022180000000000025FC12016507000008101A6180353630374A5F130145070000083000000000000000D760130165070000082152043030313437D7631301650700000822303752140E1710F8641301650700000823171002010088FFF126140145070000080319023B0000000049291401650700000810E75902B9953212688C140145070000083000000000000000CE8D140165070000082110953211105A84DF90140165070000082231105A8496105A369514016507000008238531105A859610549614016507000008245A8331105A839674971401650700000825105A8231105A82E3981401650700000826961095B0021095FF9B14016507000008273E1410953F14101D9D140165070000082895401410953B143A9E140165070000082910953C1410953D5E9F140165070000082A14105A8055105A7AA0140165070000082B80541095D018A8A2A1140165070000082C957C1410957C12C9A8140165070000082D10957D1410957DE7A9140165070000082E1210957E14109525AE140165070000082F7E121095129610AEB6140165070000082095781110957815BDBC140165070000082110951181109510D9BD140165070000082214109510121095F6BE14016507000008236D1410956D12101AC01401650700000824956E1410956E1245C1140165070000082510956F1410956F60C21401650700000826121095C31510957DC31401650700000827831410958312109BC4140165070000082895841410958412B8C5140165070000082910958714109587D4C6140165070000082A12109588141095F1C7140165070000082B881210955B14100BC9140165070000082C955B121095429602D0140165070000082D1095D2081095D820D1140165070000082E081095F47110959BD4140165070000082F36111095351110E8D6140165070000082095381110953711FAD8140165070000082110FFFFFFFFFFFFEA9E15014507000008022171000000000004A115016507000008102A6171000000002804160145070000083000000000000000BC08160165070000082100000000000000EE09160165070000082200000000000000750D160165070000082300000000000000500F160165070000082407004E07D00A285611160165070000082500000000050A0480121601650700000826B0FFFFFFFFFFFF80D61601450700000802210A000000000021D81601650700000805610AF9DC80FFFFB899170145070000080221740000000000B29B170165070000081012617404000000D5FE1701450700000830000000000000004B051801650700000821000000000000009A09180165070000082200FFFFFFFFFFFF75CA18014507000008021081000000000046D018016507000008025081FFFFFFFFFF</t>
  </si>
  <si>
    <t>6C9F8600E0070000080210C00000000000A7C38600E8070000080250C0AAAAAAAAAAF4868700E0070000080221800000000000F9AD8700E807000008101A6180323133371E118800E0070000083000000000000000A51E8800E8070000082152C130333731302E328800E807000008223734521705B400E1458800E80700000823014001010188AAA3098900E0070000080319023B00000000A62C8D00E80700000810135902FF226321CF8F8D00E0070000083000000000000000E29C8D00E80700000821502263225003806BB08D00E80700000822966000029150AA7C748E00E0070000080210810000000000CB8B8E00E807000008025081AAAAAAAAAA2F558F0043070000080210C000000000001C748F0063070000080250C0A2A2A2A2A2A9359000430700000802218000000000003D5F90006307000008101A61803138303966C2900043070000083000000000000000B6D4900063070000082152243032303830EAFB900063070000082235355203020506E0229100630700000823124002010088A23CE7910043070000080319023B00000000B70D9200630700000810235902B9930911DE70920043070000083000000000000000618392006307000008211093091210930969AA9200630700000822131094021110948ED19200630700000823021310C1010010C5F89200630700000824C1810010C127002520930063070000082510A2A2A2A2A2A201E3930043070000080322220100000000D40A940063070000081011622201002715F56D940043070000083000000000000000A7809400630700000821CD15F7157B011285A79400630700000822AE5715C4A2A2A2B469950043070000080322020200000000789295006307000008076202021B3F0000FB53960043070000080322200200000000677D960063070000080662200203FE00A2643E970043070000080210810000000000A26A97006307000008025081A2A2A2A2A2ED2F980052070000080210C00000000000143D980072070000080250C00000000000A8FF980052070000080221800000000000F99C99007207000008101A6180393630352F049A005207000008300000000000000020129A007207000008215204414D52303238399A007207000008223431300305E37855609A007207000008234EC5010000887889229B0052070000080319023B00000000154B9B007207000008035902B900008878F30C9C005207000008021081000000000086359C007207000008025081B90000887861FA9C0055070000080210C000000000007B099D0075070000080250C010C349105030CA9D0055070000080221800000000000C0909E007507000008101A618037383936E2F39E005507000008300000000000000036069F0075070000082152044141393134BD549F0075070000082237315200050000CBA29F00750700000823000002010088002A66A00055070000080319023B000000002079A100750700000810335902B951011C46DCA1005507000008300000000000000099EDA100750700000821295101132950C3EF3BA200750700000822491050C34910514D8AA200750700000823687928C1550028F2D8A20075070000082450C3491050C349EB26A3007507000008251050C3491050C32B75A300750700000826491050C349105063C3A300750700000827C34910C3491050CF84A400550700000802108100000000008F8BA400750700000802508110C34910506650A500E1070000080210C0000000000034E4A900E1070000080210C00000000000C677AE00E1070000080210C00000000000940BB300E1070000080210C00000000000919FB700E1070000080210030000000000C333BC00E10700000802100300000000009BC6C000E10700000802100300000000006C5AC500E107000008021003000000000017EDC900E10700000802100100000000001982CE0051070000080210C00000000000F915D30051070000080210C00000000000D0A9D70051070000080210C00000000000C03DDC0051070000080210C00000000000A0D1E000510700000802100300000000009665E5005107000008021003000000000070F9E90051070000080210030000000000578DEE0051070000080210030000000000751EF3005107000008021001000000000005B5F70042070000080210C00000000000D248FC0042070000080210C00000000000B5DC000142070000080210C00000000000C170050142070000080210C00000000000CD040A0142070000080210030000000000D9980E0142070000080210030000000000E62C13014207000008021003000000000018C0170142070000080210030000000000E7501C0142070000080210010000000000D8E7200145070000080210C00000000000AFE9200165070000080250C0FFFFFFFFFF10AC2101450700000802218000000000000AAE21016507000008101A6180353630372B11220145070000083000000000000000EE12220165070000082152043030313437021A2201650700000822303752140E1710C0202201650700000823171002010088FF62E4220145070000080319023B00000000C9E62201650700000810E75902B9953212EF49230145070000083000000000000000AF4B230165070000082110953211105A846452230165070000082231105A8496105A7D5623016507000008238531105A8596107A5823016507000008245A8331105A83969A592301650700000825105A8231105A82B65A2301650700000826961095B0021095DD5B23016507000008273E1410953F1410FB5C230165070000082895401410953B14185E230165070000082910953C1410953D2D60230165070000082A14105A8055105AD663230165070000082B80541095D018A8FC64230165070000082C957C1410957C121B66230165070000082D10957D1410957D3767230165070000082E1210957E1410956568230165070000082F7E121095129610146D2301650700000820957811109578152F6E2301650700000821109511811095104B6F230165070000082214109510121095677023016507000008236D1410956D121081712301650700000824956E1410956E124878230165070000082510956F1410956F61792301650700000826121095C3151095E37C230165070000082783141095831210C87F230165070000082895841410958412F4802301650700000829109587141095871182230165070000082A121095881410952E83230165070000082B881210955B14104784230165070000082C955B12109542966685230165070000082D1095D2081095D84A87230165070000082E081095F47110956288230165070000082F361110953511107F89230165070000082095381110953711A78A230165070000082110FFFFFFFFFFFF794C2401450700000802217100000000006C5024016507000008102A617100000000BBB424014507000008300000000000000000B8240165070000082100000000000000C9B9240165070000082200000000000000FABA2401650700000823000000000000001CBC240165070000082407004E07D00A2844BD240165070000082500000000050A04D7BF2401650700000826B0FFFFFFFFFFFF61802501450700000802210A000000000003822501650700000805610AF9DC80FFFFAC43260145070000080221740000000000A345260165070000081012617404000000C6A8260145070000083000000000000000EAB326016507000008210000000000000016B5260165070000082200FFFFFFFFFFFF4B78270145070000080210810000000000EB7927016507000008025081FFFFFFFFFF</t>
  </si>
  <si>
    <t>F9A28600E0070000080210C0000000000079C78600E8070000080250C0AAAAAAAAAA368B8700E0070000080221800000000000D3B18700E807000008101A618032313337F7148800E007000008300000000000000073228800E8070000082152C13033373130FB358800E807000008223734521705B40088498800E80700000823014001010188AAA20D8900E0070000080319023B0000000079308D00E80700000810135902FF226321A0938D00E0070000083000000000000000CBA08D00E80700000821502263225003803AB48D00E80700000822966000029150AA5B788E00E00700000802108100000000008E8F8E00E807000008025081AAAAAAAAAAC7588F0043070000080210C00000000000BF8E8F0063070000080250C0A2A2A2A2A20351900043070000080221800000000000BB7790006307000008101A618031383039E1DA90004307000008300000000000000065ED9000630700000821522430323038306214910063070000082235355203020506933B9100630700000823124002010088A2B0FE910043070000080319023B000000007D269200630700000810235902B99309119D89920043070000083000000000000000059C92006307000008211093091210930916C39200630700000822131094021110945CEA9200630700000823021310C10100106F119300630700000824C1810010C127009438930063070000082510A2A2A2A2A2A26AFA93004307000008032222010000000072239400630700000810116222010025155F8C9400430700000830000000000000000C999400630700000821E615D6157B011225C09400630700000822AE5715C5A2A2A20D8195004307000008032202020000000023A995006307000008076202021B3F0000716B9600430700000803222002000000001592960063070000080662200203FE00A2D855970043070000080210810000000000EE7E97006307000008025081A2A2A2A2A2D943980052070000080210C000000000008669980072070000080250C00000000000992A9900520700000802218000000000004FA299007207000008101A6180393630351A079A005207000008300000000000000076179A007207000008215204414D5230328E3E9A007207000008223431300305E378AB659A007207000008234EC501000088785A269B0052070000080319023B00000000CB299B007207000008035902B9000088789BED9B0052070000080210810000000000C5139C007207000008025081B90000887821DB9C0055070000080210C000000000002BDD9C0075070000080250C010C3491050409F9D005507000008022180000000000047649E007507000008101A61803738393694C79E0055070000083000000000000000B4D99E0075070000082152044141393134F4279F0075070000082237315200050000A6769F00750700000823000002010088005637A00055070000080319023B000000009625A100750700000810335902B951011C2189A10055070000083000000000000000F199A100750700000821295101132950C32BE8A100750700000822491050C34910516836A200750700000823687928C15500281885A20075070000082450C3491050C349E7D2A2007507000008251050C3491050C31821A300750700000826491050C34910505F6FA300750700000827C34910C3491050D132A400550700000802108100000000002D5AA400750700000802508110C34910505820A500E1070000080210C0000000000088B4A900E1070000080210C000000000000A48AE00E1070000080210C00000000000E7DBB200E1070000080210C00000000000C96FB700E1070000080210030000000000B803BC00E10700000802100300000000009E97C000E1070000080210030000000000862BC500E107000008021003000000000046BCC900E10700000802100100000000002453CE0051070000080210C00000000000F9E6D20051070000080210C00000000000F97AD70051070000080210C00000000000BA0EDC0051070000080210C00000000000ADA2E000510700000802100300000000009836E5005107000008021003000000000078CAE90051070000080210030000000000445EEE005107000008021003000000000018EFF20051070000080210010000000000FE85F70042070000080210C00000000000B78FF70062070000080250C0FFFFFFFFFFE752F80042070000080221800000000000A05DF8006207000008101A6180313337331CC1F8004207000008300000000000000036C4F80062070000082152043233313336FACBF800620700000822303952024A0700C4D3F800620700000823000702010088FF3496F90042070000080319023B00000000D2A2F9006207000008035902B9FFFFFFFF2E65FA0042070000080210810000000000B16EFA006207000008025081FFFFFFFFFF7733FB0045070000080210C000000000007638FB0065070000080250C0FFFFFFFFFF57FCFB004507000008022180000000000050FEFB006507000008101A618035363037B361FC00450700000830000000000000006463FC00650700000821520430303134378064FC00650700000822303752140E1710A065FC00650700000823171002010088FF3428FD0045070000080319023B00000000412CFD00650700000810E75902B9953212698FFD00450700000830000000000000002B93FD0065070000082110953211105A844894FD0065070000082231105A8496105A6395FD006507000008238531105A8596108096FD006507000008245A8331105A8396A197FD00650700000825105A8231105A82BD98FD00650700000826961095B0021095339BFD006507000008273E1410953F1410559CFD0065070000082895401410953B146E9DFD0065070000082910953C1410953D909EFD0065070000082A14105A8055105AAF9FFD0065070000082B80541095D018A8D5A0FD0065070000082C957C1410957C12A9A2FD0065070000082D10957D1410957D3AA4FD0065070000082E1210957E1410957DA9FD0065070000082F7E1210951296109BAAFD0065070000082095781110957815B6ABFD0065070000082110951181109510D2ACFD0065070000082214109510121095EFB3FD006507000008236D1410956D121009B5FD00650700000824956E1410956E1257B6FD0065070000082510956F1410956FD3B9FD00650700000826121095C315109512BBFD006507000008278314109583121031BCFD00650700000828958414109584124CBDFD00650700000829109587141095879BBEFD0065070000082A12109588141095B7BFFD0065070000082B881210955B141056C2FD0065070000082C955B12109542965CC7FD0065070000082D1095D2081095D8F2C9FD0065070000082E081095F47110950FCBFD0065070000082F3611109535111033CCFD00650700000820953811109537115BCDFD0065070000082110FFFFFFFFFFFF9F8FFE00450700000802217100000000006E94FE006507000008102A61710000000097F7FE004507000008300000000000000015F9FE0065070000082100000000000000D5FAFE006507000008220000000000000003FCFE006507000008230000000000000025FDFE0065070000082407004E07D00A284DFEFE0065070000082500000000050A0478FFFE00650700000826B0FFFFFFFFFFFF54C0FF00450700000802210A0000000000E4C1FF00650700000805610AF9DC80FFFFB083000145070000080221740000000000A485000165070000081012617404000000CAE800014507000008300000000000000046EA00016507000008210000000000000080EB000165070000082200FFFFFFFFFFFF75AC01014507000008021081000000000016AE01016507000008025081FFFFFFFFFF</t>
  </si>
  <si>
    <t>08988600E0070000080210C0000000000089BC8600E8070000080250C0AAAAAAAAAA367F8700E0070000080221800000000000D1A68700E807000008101A618032313337FD098800E007000008300000000000000066178800E8070000082152C13033373130FC2A8800E807000008223734521705B4008D3E8800E80700000823014001010188AAE9018900E0070000080319023B0000000084258D00E80700000810135902FF226321538C8D00E007000008300000000000000097958D00E807000008215022632250038025A98D00E80700000822966000029150AAA16C8E00E0070000080210810000000000B0848E00E807000008025081AAAAAAAAAA104F8F0043070000080210C00000000000E26E8F0063070000080250C0A2A2A2A2A2A931900043070000080221800000000000E15990006307000008101A61803138303996BD900043070000083000000000000000B3CF90006307000008215224303230383082F6900063070000082235355203020506B61D9100630700000823124002010088A258DF910043070000080319023B000000009B089200630700000810235902B99309112B6E9200430700000830000000000000003B7E92006307000008211093091210930945A59200630700000822131094021110947FCC9200630700000823021310C1010010BFF39200630700000824C1810010C12700BF1A930063070000082510A2A2A2A2A2A2E3E1930043070000080322220100000000A908940063070000081011622201001A16CA6B9400430700000830000000000000003D7D9400630700000821441644157B011269A59400630700000822AE5715CEA2A2A23E6B950043070000080322020200000000548F95006307000008076202021B3F0000ED51960043070000080322200200000000397A960063070000080662200203FF00A2053F970043070000080210810000000000F36397006307000008025081A2A2A2A2A2FD27980052070000080210C000000000000A51980072070000080250C000000000001D1399005207000008022180000000000005B199007207000008101A61803936303527149A0052070000083000000000000000A0259A007207000008215204414D523032754D9A007207000008223431300305E378D5739A007207000008234EC5010000887800369B0052070000080319023B00000000A9609B007207000008035902B90000887851249C005207000008021081000000000005499C007207000008025081B900008878ED0D9D0055070000080210C0000000000085349D0075070000080250C000000000003AF59D0055070000080221800000000000BABB9E007507000008101A618037383936DF1E9F005507000008300000000000000002319F00750700000821520441413931344B7F9F007507000008223731520005000089CD9F00750700000823000002010088002D91A00055070000080319023B0000000032A4A100750700000810335902B951011C5A07A20055070000083000000000000000B118A200750700000821285101132950C33067A200750700000822491050C3491051C8B5A200750700000823687928C15500287703A30075070000082450C3491050C349D851A3007507000008251050C3491050C30FA0A300750700000826491050C349105070EEA300750700000827C34910C3491050E5AFA4005507000008021081000000000033B2A400750700000802508110C34910503376A500E1070000080210C000000000002A0AAA00E1070000080210C00000000000EB9DAE00E1070000080210C00000000000DF31B300E1070000080210C00000000000BEC5B700E10700000802100300000000009359BC00E107000008021003000000000073EDC000E10700000802100300000000005C81C500E10700000802100300000000001F12CA00E107000008021001000000000019A9CE0051070000080210C00000000000013DD30051070000080210C00000000000CFD0D70051070000080210C00000000000C164DC0051070000080210C000000000009AF8E000510700000802100300000000008F8CE500510700000802100300000000006220EA005107000008021003000000000055B4EE00510700000802100300000000008A45F3005107000008021001000000000002DCF70042070000080210C000000000004EE4F70062070000080250C0FFFFFFFFFF5EABF8004207000008022180000000000059B6F8006207000008101A6180313337338319F90042070000083000000000000000B81FF900620700000821520432333133367327F900620700000822303952024A0700F431F900620700000823000702010088FFCCF7F90042070000080319023B000000005BFEF9006207000008035902B9FFFFFFFF22BFFA004207000008021081000000000027CEFA006207000008025081FFFFFFFFFF2395FB0045070000080210C00000000000949BFB0065070000080250C0FFFFFFFFFF2E5DFC0045070000080221800000000000505FFC006507000008101A61803536303774C2FC0045070000083000000000000000CAC5FC0065070000082152043030313437E7C6FC00650700000822303752140E171007C8FC00650700000823171002010088FF4C8DFD0045070000080319023B00000000838FFD00650700000810E75902B9953212A6F2FD00450700000830000000000000009FF5FD0065070000082110953211105A84BCF6FD0065070000082231105A8496105AE6F7FD006507000008238531105A85961004F9FD006507000008245A8331105A839624FAFD00650700000825105A8231105A8241FBFD00650700000826961095B00210952FFDFD006507000008273E1410953F1410FFFEFD0065070000082895401410953B141C00FE0065070000082910953C1410953D3E01FE0065070000082A14105A8055105A5C02FE0065070000082B80541095D018A88303FE0065070000082C957C1410957C12A104FE0065070000082D10957D1410957DBD05FE0065070000082E1210957E1410955A0CFE0065070000082F7E121095129610790DFE0065070000082095781110957815930EFE0065070000082110951181109510BD0FFE00650700000822141095101210954113FE006507000008236D1410956D12105D14FE00650700000824956E1410956E127715FE0065070000082510956F1410956F9016FE00650700000826121095C3151095B017FE0065070000082783141095831210CE18FE0065070000082895841410958412E81AFE0065070000082910958714109587051CFE0065070000082A12109588141095211DFE0065070000082B881210955B1410D21EFE0065070000082C955B12109542962C20FE0065070000082D1095D2081095D88621FE0065070000082E081095F4711095ED22FE0065070000082F36111095351110C42AFE0065070000082095381110953711EC2BFE0065070000082110FFFFFFFFFFFF66EDFE00450700000802217100000000006FEFFE006507000008102A6171000000009452FF00450700000830000000000000003454FF00650700000821000000000000006655FF00650700000822000000000000002D57FF00650700000823000000000000004F58FF0065070000082407004E07D00A287859FF0065070000082500000000050A04B25AFF00650700000826B0FFFFFFFFFFFF011E0001450700000802210A0000000000F8200001650700000805610AF9DC80FFFF71E800014507000008022174000000000055EA000165070000081012617404000000754D0101450700000830000000000000007B52010165070000082100000000000000A653010165070000082200FFFFFFFFFFFF6516020145070000080210810000000000151802016507000008025081FFFFFFFFFF</t>
  </si>
  <si>
    <t>AF838600E0070000080210C000000000003EA88600E8070000080250C0AAAAAAAAAAB36B8700E00700000802218000000000009A928700E807000008101A618032313337C3F58700E007000008300000000000000028038800E8070000082152C13033373130B6168800E807000008223734521705B4003B2A8800E80700000823014001010188AA5FEE8800E0070000080319023B0000000049118D00E80700000810135902FF22632174748D00E00700000830000000000000005C818D00E8070000082150226322500380E4948D00E80700000822966000029150AA19598E00E007000008021081000000000043708E00E807000008025081AAAAAAAAAA243C8F0043070000080210C00000000000A8618F0063070000080250C0A2A2A2A2A21226900043070000080221800000000000C64A90006307000008101A618031383039ECAD900043070000083000000000000000D1C29000630700000821522430323038305DE7900063070000082235355203020506C70E9100630700000823124002010088A227D1910043070000080319023B0000000076F99100630700000810235902B9930911995C920043070000083000000000000000096F92006307000008211093091210930922969200630700000822131094021110945DBD9200630700000823021310C101001078E49200630700000824C1810010C12700980B930063070000082510A2A2A2A2A2A222D0930043070000080322220100000000CDF6930063070000081011622201001F16F2599400430700000830000000000000002E6C94006307000008213316091574011220939400630700000822AE5715C5A2A2A29756950043070000080322020200000000297E95006307000008076202021B360000CD409600430700000803222002000000001569960063070000080662200203FF00A2DB2A970043070000080210810000000000085497006307000008025081A2A2A2A2A25518980052070000080210C00000000000061B980072070000080250C00000000000BADC980052070000080221800000000000E97A99007207000008101A61803936303512DE99005207000008300000000000000010F099007207000008215204414D5230322A179A007207000008223431300305E378463E9A007207000008234EC5010000887865FF9A0052070000080319023B00000000F1019B007207000008035902B900008878C3C29B00520700000802108100000000004AC59B007207000008025081B9000088781E899C0055070000080210C00000000000EA959C0075070000080250C00000000000F5589D0055070000080221800000000000203F9E007507000008101A61803738393651A29E0055070000083000000000000000A4B79E0075070000082152044141393134E8069F0075070000082237315200050000CF549F00750700000823000002010088002F18A00055070000080319023B000000001528A100750700000810335902B951011CC38BA10055070000083000000000000000119CA100750700000821285101132950C35CEAA100750700000822491050C34910519138A200750700000823687928C1550028EB86A20075070000082450C3491050C34919D5A2007507000008251050C3491050C34E23A300750700000826491050C3491050AA71A300750700000827C34910C34910503935A40055070000080210810000000000655CA400750700000802508110C34910505521A500E1070000080210C0000000000033B4A900E1070000080210C00000000000EB48AE00E1070000080210C0000000000014DCB200E1070000080210C000000000009B70B700E1070000080210030000000000C803BC00E10700000802100300000000004598C000E1070000080210030000000000862BC500E107000008021003000000000003C0C900E10700000802100100000000002A53CE0051070000080210C000000000008FE7D20051070000080210C00000000000027BD70051070000080210C00000000000120FDC0051070000080210C000000000001EA4E000510700000802100300000000006A3AE500510700000802100300000000005CCEE900510700000802100300000000002C62EE00510700000802100300000000000EF3F200510700000802100100000000000D8AF70042070000080210C000000000003F99F70062070000080250C0FFFFFFFFFF1F5BF800420700000802218000000000008B60F8006207000008101A618031333733B2C3F8004207000008300000000000000005CAF800620700000821520432333133361FD2F800620700000822303952024A07009FD9F800620700000823000702010088FFEF9DF90042070000080319023B0000000099A8F9006207000008035902B9FFFFFFFF2969FA0042070000080210810000000000A073FA006207000008025081FFFFFFFFFFB437FB0045070000080210C000000000005039FB0065070000080250C0FFFFFFFFFF6EFBFB004507000008022180000000000068FDFB006507000008101A6180353630378960FC00450700000830000000000000004F62FC0065070000082152043030313437AD6AFC00650700000822303752140E1710F46EFC00650700000823171002010088FFFD2FFD0045070000080319023B000000002133FD00650700000810E75902B99532124796FD0045070000083000000000000000C097FD0065070000082110953211105A846299FD0065070000082231105A8496105AD39AFD006507000008238531105A859610C3A1FD006507000008245A8331105A8396E4A2FD00650700000825105A8231105A8200A4FD00650700000826961095B00210954FA8FD006507000008273E1410953F14106DA9FD0065070000082895401410953B148AAAFD0065070000082910953C1410953DACABFD0065070000082A14105A8055105ACAACFD0065070000082B80541095D018A804AEFD0065070000082C957C1410957C120FB3FD0065070000082D10957D1410957D92B5FD0065070000082E1210957E141095B0B6FD0065070000082F7E1210951296105DB8FD006507000008209578111095781577B9FD006507000008211095118110951093BAFD0065070000082214109510121095B0BBFD006507000008236D1410956D1210CABCFD00650700000824956E1410956E12F7BDFD0065070000082510956F1410956F0EBFFD00650700000826121095C31510952FC0FD00650700000827831410958312104EC1FD00650700000828958414109584126DC7FD006507000008291095871410958789C8FD0065070000082A12109588141095A5C9FD0065070000082B881210955B1410BFCAFD0065070000082C955B121095429646CEFD0065070000082D1095D2081095D89ECFFD0065070000082E081095F4711095B6D0FD0065070000082F36111095351110D3D1FD0065070000082095381110953711FBD2FD0065070000082110FFFFFFFFFFFF9393FE0045070000080221710000000000BB95FE006507000008102A617100000000E5F8FE0045070000083000000000000000B8FAFE0065070000082100000000000000D300FF00650700000822000000000000000302FF00650700000823000000000000002503FF0065070000082407004E07D00A28BA06FF0065070000082500000000050A040208FF00650700000826B0FFFFFFFFFFFF10CCFF00450700000802210A00000000009FCDFF00650700000805610AF9DC80FFFF568F0001450700000802217400000000003A9100016507000008101261740400000060F4000145070000083000000000000000DBF5000165070000082100000000000000C9FC000165070000082200FFFFFFFFFFFF06C0010145070000080210810000000000A6C101016507000008025081FFFFFFFFFF</t>
  </si>
  <si>
    <t>4F9E8600E0070000080210C0000000000047C38600E8070000080250C0AAAAAAAAAAA7888700E00700000802218000000000004BAD8700E807000008101A6180323133376E108800E0070000083000000000000000311B8800E8070000082152C130333731309E2F8800E807000008223734521705B40040428800E80700000823014001010188AACB058900E0070000080319023B000000001A2A8D00E80700000810135902FF226321438D8D00E007000008300000000000000069998D00E8070000082150226322500380F7AC8D00E80700000822966000029150AA89708E00E00700000802108100000000004F888E00E807000008025081AAAAAAAAAADA538F0043070000080210C0000000000037738F0063070000080250C0A2A2A2A2A23D379000430700000802218000000000008A5C90006307000008101A618031383039B2BF900043070000083000000000000000F4D49000630700000821522430323038303CF9900063070000082235355203020506CB269100630700000823124002010088A229EB910043070000080319023B00000000F30B9200630700000810235902B9930911126F920043070000083000000000000000F18092006307000008211093091210930996A892006307000008221310940211109443CF9200630700000823021310C101001054FB9200630700000824C1810010C127008F1D930063070000082510A2A2A2A2A2A254E5930043070000080322220100000000930C940063070000081011622201005E11B76F940043070000083000000000000000297E9400630700000821C7121B122401122DA59400630700000822AE57124EA2A2A2936D950043070000080322020200000000CA9395006307000008076202021A930000E957960043070000080322200200000000A57C960063070000080662200203FF00A263419700430700000802108100000000009D6797006307000008025081A2A2A2A2A2AD2D980052070000080210C000000000006753980072070000080250C0000000000009179900520700000802218000000000007BB499007207000008101A618039363035D2179A00520700000830000000000000006B289A007207000008215204414D523032834F9A007207000008223431300305E378A0769A007207000008234EC50100008878F63A9B0052070000080319023B0000000060619B007207000008035902B9000088785E249C0052070000080210810000000000CE4B9C007207000008025081B900008878C2119D0055070000080210C00000000000EB169D0075070000080250C00000000000C7D99D0055070000080221800000000000FCC49E007507000008101A61803738393649309F0055070000083000000000000000763A9F0075070000082152044141393134BD889F007507000008223731520005000010D79F0075070000082300000201008800EF98A00055070000080319023B000000005386A100750700000810335902B951011C0FEBA10055070000083000000000000000C7FAA100750700000821285101132950C33A49A200750700000822491050C34910516F97A200750700000823687928C1550028B6E5A20075070000082450C3491050C3491E34A3007507000008251050C3491050C33682A300750700000826491050C34910507FD0A300750700000827C34910C34910507394A4005507000008021081000000000078BBA400750700000802508110C34910505384A500E1070000080210C00000000000B719AA00E1070000080210C00000000000ACADAE00E1070000080210C000000000007B41B300E1070000080210C0000000000054D5B700E1070000080210030000000000E569BC00E10700000802100300000000002DFDC000E10700000802100300000000000B91C500E1070000080210030000000000CF21CA00E1070000080210010000000000B0B8CE0051070000080210C00000000000AD4CD30051070000080210C000000000008AE0D70051070000080210C000000000005B74DC0051070000080210C000000000004508E100510700000802100300000000001D9CE500510700000802100300000000007F30EA0051070000080210030000000000EEC3EE0051070000080210030000000000B154F3005107000008021001000000000099EBF70042070000080210C0000000000096F4F70062070000080250C0FFFFFFFFFF7DB7F800420700000802218000000000005CC1F8006207000008101A6180313337338324F90042070000083000000000000000F828F900620700000821520432333133360B32F900620700000822303952024A07007B39F900620700000823000702010088FFB3FBF90042070000080319023B00000000B107FA006207000008035902B9FFFFFFFFC9CAFA0042070000080210810000000000B7D2FA006207000008025081FFFFFFFFFF0599FB0045070000080210C00000000000A19AFB0065070000080250C0FFFFFFFFFF335DFC0045070000080221800000000000455FFC006507000008101A6180353630376BC2FC0045070000083000000000000000A7C9FC0065070000082152043030313437C4CAFC00650700000822303752140E1710E4CBFC00650700000823171002010088FFBF8DFD0045070000080319023B000000000990FD00650700000810E75902B99532122BF3FD004507000008300000000000000091F4FD0065070000082110953211105A84AEF5FD0065070000082231105A8496105AC8F6FD006507000008238531105A859610E6F7FD006507000008245A8331105A839607F9FD00650700000825105A8231105A8223FAFD00650700000826961095B002109549FBFD006507000008273E1410953F1410EE01FE0065070000082895401410953B140C03FE0065070000082910953C1410953D2E04FE0065070000082A14105A8055105A5905FE0065070000082B80541095D018A88708FE0065070000082C957C1410957C12A609FE0065070000082D10957D1410957DC20AFE0065070000082E1210957E141095E00BFE0065070000082F7E121095129610FF0CFE0065070000082095781110957815AF0EFE00650700000821109511811095105113FE00650700000822141095101210956D14FE006507000008236D1410956D12106A19FE00650700000824956E1410956E126A1CFE0065070000082510956F1410956F821DFE00650700000826121095C3151095A31EFE0065070000082783141095831210C11FFE0065070000082895841410958412DD20FE00650700000829109587141095870A22FE0065070000082A12109588141095E428FE0065070000082B881210955B1410FF29FE0065070000082C955B12109542961D2BFE0065070000082D1095D2081095D8492CFE0065070000082E081095F4711095662FFE0065070000082F361110953511100A31FE00650700000820953811109537113232FE0065070000082110FFFFFFFFFFFF30F5FE00450700000802217100000000003AF7FE006507000008102A6171000000005A5AFF00450700000830000000000000001562FF00650700000821000000000000004863FF00650700000822000000000000007864FF0065070000082300000000000000C867FF0065070000082407004E07D00A281669FF0065070000082500000000050A043F6AFF00650700000826B0FFFFFFFFFFFFB02D0001450700000802210A0000000000402F0001650700000805610AF9DC80FFFF00F1000145070000080221740000000000E5F20001650700000810126174040000000456010145070000083000000000000000CA57010165070000082100000000000000FF5D010165070000082200FFFFFFFFFFFFBF210201450700000802108100000000005F2302016507000008025081FFFFFFFFFF</t>
  </si>
  <si>
    <t>1C157000E0070000080210030000000000F4397000E807000008037F10125555555516017100E007000008021001000000000020247100E807000008037F10125555555561EB7100E0070000080210900000000000810E7200E80700000802509055555555554CD27200E007000008041800FF00000000D7F87200E8070000080258005555555555BABC7300E00700000802218100000000003CE37300E807000008037F21125555555503A77400E007000008022101000000000064CE7400E80700000810286101FFFFFFFF8F317500E00700000830000000000000004D3A7500E80700000821002A001E0C484423427500E8070000082245A009281300FFF84C7500E807000008231A8E000A000000BC517500E80700000824479D44FF1E030094597500E80700000825002AFFFFFFFF55291A7600E0070000080221040000000000E0307600E80700000810266104FFFFFFFF10947600E0070000083000000000000000DB997600E80700000821644E440A0006FFB3A17600E807000008222A00001D19721381AC7600E8070000082300000100FF00004EB17600E807000008240000458DFF80191BB97600E8070000082500FFFFFF555555BC797700E0070000080221B30000000000C68C7700E807000008037F2112555555559E507800E00700000802210E00000000004E777800E8070000081025610E010100F776DA7800E007000008300000000000000001DC7800E8070000082100010000000000CCE37800E8070000082201010100FF00FFA8EB7800E80700000823FF00010301FF0179F67800E80700000824FF01000001000037FB7800E80700000825FF010155555555CABB7900E007000008022101000000000075D77900E80700000810286101FFFFFFFF9F3A7A00E007000008300000000000000053437A00E80700000821002A001E0C4844274B7A00E8070000082245A009281300FFEA557A00E80700000823198D000A000000BE5A7A00E80700000824479C44FF1E03003E657A00E80700000825002AFFFFFFFF554C277B00E007000008012000000000000021367B00E8070000080160555555555555</t>
  </si>
  <si>
    <t>CFEA6F00E0070000080210030000000000C00F7000E807000008037F10125555555505D67000E0070000080210010000000000EBF97000E807000008037F10125555555589C07100E007000008021090000000000094E47100E80700000802509055555555557DA77200E007000008041800FF00000000A5CE7200E8070000080258005555555555A8917300E00700000802218100000000000CB97300E807000008037F211255555555387C7400E007000008022101000000000033A47400E80700000810286101FFFFFFFF59077500E00700000830000000000000002B107500E8070000082100260014824950F3177500E8070000082268A009281300FFC51F7500E80700000823128C00060000008F277500E8070000082448A05CFF1E0300632F7500E807000008250026FFFFFFFF550CF37500E0070000080221040000000000C4037600E80700000810266104FFFFFFFFF1667600E0070000083000000000000000A96F7600E80700000821724F50070006FF81777600E8070000082225000014127D2C36827600E8070000082300000100FF000020877600E807000008240000688CFF8012EB8E7600E8070000082500FFFFFF555555CB527700E0070000080221B3000000000083627700E807000008037F211255555555BA257800E00700000802210E0000000000264D7800E8070000081025610E010100F755B07800E0070000083000000000000000D1B17800E80700000821000100000000009BB97800E8070000082201010100FF00FF77C17800E80700000823FF00010301FF0104CD7800E80700000824FF01000001000004D17800E80700000825FF010155555555CC947900E00700000802210100000000004AAD7900E80700000810286101FFFFFFFF72107A00E007000008300000000000000022197A00E807000008210026001383495006217A00E8070000082268A009281300FFBD2B7A00E80700000823128C000600000093307A00E8070000082448A05CFF1E03006B387A00E807000008250026FFFFFFFF554FFC7A00E0070000080120000000000000000C7B00E8070000080160555555555555</t>
  </si>
  <si>
    <t>82948700E00700000802100300000000009DB98700E8070000080250035555555555127D8800E0070000080319020D00000000D3A58800E807000008035902FF555555552B688900E0070000080221010000000000118E8900E807000008037F211155555555E3518A00E007000008022104000000000077788A00E807000008037F2111555555554A3C8B00E0070000080322ED030000000024638B00E807000008104362ED03FFE7FF52C68B00E0070000083000000000000000DCC78B00E80700000821E0000100010000A9CF8B00E807000008220000001000010081D78B00E807000008230000000000000079E88B00E807000008240000000000000078EF8B00E80700000825000000FFFF0002B6F68B00E80700000826020001020A89748AFE8B00E8070000082700031B33020DA4860F8C00E80700000828A7000C00000100FA158C00E80700000829000000FFFF55550EDB8C00E00700000802210E000000000077E98C00E807000008037F21115555555533AD8D00E0070000080322ED010000000013D48D00E807000008102562ED01FFFF7E3F378E00E0070000083000000000000000D7388E00E80700000821F80022362674489B408E00E807000008225B56A54B2613007B488E00E8070000082352128F00FF0000A05C8E00E807000008240246CC5AFF1E03E25F8E00E8070000082500002255555555AE268F00E0070000080120000000000000</t>
  </si>
  <si>
    <t>B4928600E0070000080210C00000000000B8B78600E8070000080250C0AAAAAAAAAA407B8700E0070000080221800000000000CAA18700E807000008101A618032313337F7048800E007000008300000000000000094128800E8070000082152C130333731301F268800E807000008223734521705B40074398800E80700000823014001010188AA03FA8800E0070000080319023B0000000046F98C00E80700000810135902FF2263216D5C8D00E007000008300000000000000075698D00E8070000082150226322500380087D8D00E80700000822966000029150AAB13D8E00E00700000802108100000000003F588E00E807000008025081AAAAAAAAAA00218F0043070000080210C000000000008D418F0063070000080250C0A2A2A2A2A2D002900043070000080221800000000000D02B90006307000008101A618031383039F38E90004307000008300000000000000057A190006307000008215224303230383092C8900063070000082235355203020506B8EF9000630700000823124002010088A281B0910043070000080319023B0000000087DA9100630700000810235902B9930911A73D92004307000008300000000000000049509200630700000821109309121093093B77920063070000082213109402111094609E9200630700000823021310C10100108FC59200630700000824C1810010C12700DEEC920063070000082510A2A2A2A2A2A23FB0930043070000080322220100000000B1D7930063070000081011622201005A12D13A9400430700000830000000000000008C4D940063070000082124120A1224011277749400630700000822AE57124BA2A2A2E736950043070000080322020200000000475F95006307000008076202021A9300003A21960043070000080322200200000000E148960063070000080662200203FE00A2A30B970043070000080210810000000000493397006307000008025081A2A2A2A2A26EFA970052070000080210C00000000000C51C980072070000080250C000000000006FE0980052070000080221800000000000A97C99007207000008101A618039363035CCDF990052070000083000000000000000D0F199007207000008215204414D523032E8189A007207000008223431300305E37804409A007207000008234EC501000088783B039B0052070000080319023B00000000CB2A9B007207000008035902B900008878A2ED9B00520700000802108100000000003A159C007207000008025081B900008878BDDC9C0055070000080210C0000000000039F49C0075070000080250C0000000000082B89D005507000008022180000000000057A29E007507000008101A6180373839367C059F00550700000830000000000000009E179F0075070000082152044141393134DE659F007507000008223731520005000043B49F0075070000082300000201008800FA75A00055070000080319023B000000009C63A100750700000810335902B951011CC1C6A10055070000083000000000000000F0D7A100750700000821285101132950C33E26A200750700000822491050C34910518474A200750700000823687928C1550028E1C2A20075070000082450C3491050C3496711A3007507000008251050C3491050C3305FA300750700000826491050C349105066ADA300750700000827C34910C34910505171A400550700000802108100000000009A98A400750700000802508110C3491050BB5EA500E1070000080210C00000000000A4F2A900E1070000080210C000000000007B86AE00E1070000080210C000000000006A1AB300E1070000080210C0000000000064AEB700E10700000802100300000000002142BC00E107000008021003000000000007D6C000E1070000080210030000000000ED69C500E1070000080210030000000000CCFAC900E1070000080210010000000000BD91CE0051070000080210C000000000009325D30051070000080210C000000000006AB9D70051070000080210C000000000005C4DDC0051070000080210C000000000003FE1E000510700000802100300000000001675E50051070000080210030000000000E108EA0051070000080210030000000000D59CEE0051070000080210030000000000A32DF3005107000008021001000000000089C4F70042070000080210C0000000000096CDF70062070000080250C0FFFFFFFFFF6A92F800420700000802218000000000005E9DF8006207000008101A6180313337338700F900420700000830000000000000002E07F90062070000082152043233313336760EF900620700000822303952024A07005616F900620700000823000702010088FF87D8F90042070000080319023B000000005CE5F9006207000008035902B9FFFFFFFF96A7FA004207000008021081000000000065B4FA006207000008025081FFFFFFFFFFC379FB0045070000080210C000000000005F7BFB0065070000080250C0FFFFFFFFFFE03DFC00450700000802218000000000006841FC006507000008101A6180353630378FA4FC0045070000083000000000000000FDA5FC006507000008215204303031343719A7FC00650700000822303752140E17103CA8FC00650700000823171002010088FFAF6AFD0045070000080319023B00000000FB6CFD00650700000810E75902B995321223D0FD004507000008300000000000000008D7FD0065070000082110953211105A846ADAFD0065070000082231105A8496105A82DBFD006507000008238531105A859610A0DCFD006507000008245A8331105A8396C1DDFD00650700000825105A8231105A82DDDEFD00650700000826961095B002109504E0FD006507000008273E1410953F1410A6E2FD0065070000082895401410953B14C2E3FD0065070000082910953C1410953D31E8FD0065070000082A14105A8055105A5FE9FD0065070000082B80541095D018A885EAFD0065070000082C957C1410957C12B2EBFD0065070000082D10957D1410957DCEECFD0065070000082E1210957E141095ECEDFD0065070000082F7E1210951296100BEFFD006507000008209578111095781525F0FD006507000008211095118110951041F1FD00650700000822141095101210955DF2FD006507000008236D1410956D121078F3FD00650700000824956E1410956E12A4F4FD0065070000082510956F1410956F3DFBFD00650700000826121095C31510955EFCFD00650700000827831410958312107BFDFD00650700000828958414109584125101FE0065070000082910958714109587F502FE0065070000082A121095881410951204FE0065070000082B881210955B14102C05FE0065070000082C955B1210954296E006FE0065070000082D1095D2081095D8FD07FE0065070000082E081095F4711095AD09FE0065070000082F36111095351110560FFE00650700000820953811109537117E10FE0065070000082110FFFFFFFFFFFF02D2FE00450700000802217100000000001AD4FE006507000008102A6171000000004237FF00450700000830000000000000002C3AFF0065070000082100000000000000E63BFF0065070000082200000000000000163DFF0065070000082300000000000000CD3EFF0065070000082407004E07D00A28F83FFF0065070000082500000000050A046242FF00650700000826B0FFFFFFFFFFFF95060001450700000802210A0000000000980B0001650700000805610AF9DC80FFFF3BCE0001450700000802217400000000001FD00001650700000810126174040000008E350101450700000830000000000000005C370101650700000821000000000000009738010165070000082200FFFFFFFFFFFF93FA01014507000008021081000000000033FC01016507000008025081FFFFFFFFFF</t>
  </si>
  <si>
    <t>2E9F8600E0070000080210C000000000009BC38600E8070000080250C0AAAAAAAAAA08878700E0070000080221800000000000F8AD8700E807000008101A61803231333725118800E0070000083000000000000000A11E8800E8070000082152C1303337313035328800E807000008223734521705B400AA458800E80700000823014001010188AAE10A8900E0070000080319023B000000009E2C8D00E80700000810135902FF226321CA8F8D00E0070000083000000000000000C99C8D00E807000008215022632250038071B08D00E80700000822966000029150AA7F788E00E0070000080210810000000000BD8D8E00E807000008025081AAAAAAAAAA90548F0043070000080210C00000000000C67E8F0063070000080250C0A2A2A2A2A26A41900043070000080221800000000000636590006307000008101A6180313830398BC890004307000008300000000000000046DB900063070000082152243032303830000791006307000008223535520302050635299100630700000823124002010088A20DED910043070000080319023B0000000038109200630700000810235902B99309115973920043070000083000000000000000DD85920063070000082110930912109309DFAC9200630700000822131094021110940DD49200630700000823021310C101001042FB9200630700000824C1810010C127004A22930063070000082510A2A2A2A2A2A20FE3930043070000080322220100000000CA12940063070000081011622201006A10E9759400430700000830000000000000006A849400630700000821C61198120F0112E0A99400630700000822AE571215A2A2A2BE6E950043070000080322020200000000E49495006307000008076202021A8600002B59960043070000080322200200000000D37F960063070000080662200203FF00A283439700430700000802108100000000004A6D97006307000008025081A2A2A2A2A2B933980052070000080210C00000000000043C980072070000080250C000000000009AFF9800520700000802218000000000004C9B99007207000008101A61803936303570FE99005207000008300000000000000042119A007207000008215204414D52303289379A007207000008223431300305E378A65E9A007207000008234EC5010000887874229B0052070000080319023B0000000064499B007207000008035902B900008878EA0C9C0052070000080210810000000000D2339C007207000008025081B9000088785FFA9C0055070000080210C0000000000031FD9C0075070000080250C010C34910506FBE9D0055070000080221800000000000C1849E007507000008101A618037383936E3E79E00550700000830000000000000003EFA9E0075070000082152044141393134F7489F0075070000082237315200050000F0969F0075070000082300000201008800635AA00055070000080319023B00000000106DA100750700000810335902B951011C3BD0A1005507000008300000000000000073E1A100750700000821285101132950C3BC2FA200750700000822491050C34910513D7EA200750700000823687928C155002831CCA20075070000082450C3491050C349871AA3007507000008251050C3491050C3C368A300750700000826491050C3491050F5B6A300750700000827C34910C34910502479A40055070000080210810000000000DE7AA400750700000802508110C34910508D3FA500E1070000080210C0000000000060D3A900E1070000080210C00000000000B967AE00E1070000080210C0000000000036FBB200E1070000080210C00000000000238FB700E1070000080210030000000000E722BC00E1070000080210030000000000E5B6C000E1070000080210030000000000A74AC500E10700000802100300000000008FDBC900E10700000802100100000000005972CE0051070000080210C000000000005D06D30051070000080210C000000000001A9AD70051070000080210C00000000000FA2DDC0051070000080210C00000000000F4C1E00051070000080210030000000000DD55E50051070000080210030000000000C4E9E90051070000080210030000000000967DEE00510700000802100300000000004C0EF3005107000008021001000000000041A5F70042070000080210C0000000000097AAF70062070000080250C0FFFFFFFFFFAF6DF800420700000802218000000000004576F8006207000008101A61803133373369D9F80042070000083000000000000000FEDEF80062070000082152043233313336CDE6F800620700000822303952024A07009BEEF800620700000823000702010088FF86B1F90042070000080319023B0000000071BEF9006207000008035902B9FFFFFFFF9E80FA00420700000802108100000000009C88FA006207000008025081FFFFFFFFFFCD4EFB0045070000080210C000000000006950FB0065070000080250C0FFFFFFFFFFE212FC0045070000080221800000000000ED14FC006507000008101A6180353630371078FC00450700000830000000000000007A79FC0065070000082152043030313437977AFC00650700000822303752140E1710B67BFC00650700000823171002010088FFF541FD0045070000080319023B000000000645FD00650700000810E75902B99532122BA8FD004507000008300000000000000090A9FD0065070000082110953211105A84ACAAFD0065070000082231105A8496105AC7ABFD006507000008238531105A859610E5ACFD006507000008245A8331105A839605AEFD00650700000825105A8231105A8282B0FD00650700000826961095B0021095A8B1FD006507000008273E1410953F1410C6B2FD0065070000082895401410953B14E2B3FD0065070000082910953C1410953DB7B5FD0065070000082A14105A8055105AD5B6FD0065070000082B80541095D018A8FBB7FD0065070000082C957C1410957C121AB9FD0065070000082D10957D1410957D36BAFD0065070000082E1210957E14109554BBFD0065070000082F7E12109512961072BCFD00650700000820957811109578158DBDFD0065070000082110951181109510A9BEFD0065070000082214109510121095C5BFFD006507000008236D1410956D1210DFC0FD00650700000824956E1410956E120CC2FD0065070000082510956F1410956FB0C8FD00650700000826121095C3151095D0C9FD006507000008278314109583121049CDFD006507000008289584141095841270CFFD00650700000829109587141095878CD0FD0065070000082A12109588141095A8D1FD0065070000082B881210955B1410C2D2FD0065070000082C955B1210954296E1D3FD0065070000082D1095D2081095D8FFD4FD0065070000082E081095F47110958CD9FD0065070000082F36111095351110A8DAFD00650700000820953811109537118DDCFD0065070000082110FFFFFFFFFFFFE0A0FE0045070000080221710000000000FAA2FE006507000008102A6171000000001E06FF00450700000830000000000000006A08FF00650700000821000000000000009C09FF0065070000082200000000000000CD0AFF0065070000082300000000000000EF0BFF0065070000082407004E07D00A28A10DFF0065070000082500000000050A044712FF00650700000826B0FFFFFFFFFFFFE7D3FF00450700000802210A000000000083D8FF00650700000805610AF9DC80FFFF449B000145070000080221740000000000299D0001650700000810126174040000008601010145070000083000000000000000F4030101650700000821000000000000001E05010165070000082200FFFFFFFFFFFFCCC70101450700000802108100000000006BC901016507000008025081FFFFFFFFFF</t>
  </si>
  <si>
    <t>37968600E0070000080210C000000000007BB78600E8070000080250C0AAAAAAAAAA7E7D8700E0070000080221800000000000BEA38700E807000008101A618032313337E5068800E007000008300000000000000086128800E8070000082152C1303337313011268800E807000008223734521705B400FA3A8800E80700000823014001010188AA0AFE8800E0070000080319023B0000000083208D00E80700000810135902FF226321AE838D00E0070000083000000000000000FF908D00E807000008215022632250038041A48D00E80700000822966000029150AAD2648E00E007000008021081000000000041828E00E807000008025081AAAAAAAAAA96488F0043070000080210C00000000000B5718F0063070000080250C0A2A2A2A2A2C735900043070000080221800000000000E85A90006307000008101A6180313830390DBE90004307000008300000000000000098D1900063070000082152243032303830C5F7900063070000082235355203020506E61E9100630700000823124002010088A206E0910043070000080319023B00000000790A9200630700000810235902B9930911976D920043070000083000000000000000B17F92006307000008211093091210930966A692006307000008221310940211109496CD9200630700000823021310C1010010B8F49200630700000824C1810010C12700031C930063070000082510A2A2A2A2A2A20FDF930043070000080322220100000000F70A94006307000008101162220100860E1B6E940043070000083000000000000000D47C9400630700000821680EFA0F030112CFA39400630700000822AE570F15A2A2A2CE65950043070000080322020200000000DC8E95006307000008076202021A00000021509600430700000803222002000000007277960063070000080662200203FF00A27B3A970043070000080210810000000000AC6297006307000008025081A2A2A2A2A2F927980052070000080210C000000000006C4A980072070000080250C00000000000810C99005207000008022180000000000061AB99007207000008101A6180393630358B0E9A00520700000830000000000000009B1D9A007207000008215204414D52303203459A007207000008223431300305E378C56B9A007207000008234EC5010000887809339B0052070000080319023B00000000A7579B007207000008035902B900008878211A9C0052070000080210810000000000D9409C007207000008025081B90000887823069D0055070000080210C000000000005E229D0075070000080250C0000000000096E59D005507000008022180000000000099D19E007507000008101A618037383936C2349F005507000008300000000000000086499F0075070000082152044141393134D39B9F007507000008223731520005000078EA9F0075070000082300000201008800C2ADA00055070000080319023B0000000096BAA100750700000810335902B951011CED1DA20055070000083000000000000000C02DA200750700000821285101132950C3FC7BA200750700000822491050C349105137CAA200750700000823687928C1550028A218A30075070000082450C3491050C349C166A3007507000008251050C3491050C3FBB4A300750700000826491050C34910503A03A400750700000827C34910C3491050CAC7A4005507000008021081000000000000EEA400750700000802508110C349105063B6A500E1070000080210C000000000001D4AAA00E1070000080210C0000000000023DEAE00E1070000080210C00000000000CD71B300E1070000080210C000000000008506B800E1070000080210030000000000509ABC00E1070000080210030000000000682EC100E1070000080210030000000000F7C1C500E10700000802100300000000000C56CA00E1070000080210010000000000C4E9CE0051070000080210C000000000000F7ED30051070000080210C00000000000A210D80051070000080210C00000000000D2A5DC0051070000080210C000000000001F38E1005107000008021003000000000063CDE50051070000080210030000000000E45EEA00510700000802100300000000000FF5EE0051070000080210030000000000BE84F30051070000080210010000000000631CF80042070000080210C000000000008024F80062070000080250C0FFFFFFFFFFC0E6F800420700000802218000000000009DEFF8006207000008101A6180313337330455F90042070000083000000000000000F558F90062070000082152043233313336B060F900620700000822303952024A07007668F900620700000823000702010088FFEF2DFA0042070000080319023B000000008F3EFA006207000008035902B9FFFFFFFF0B02FB0042070000080210810000000000650AFB006207000008025081FFFFFFFFFFB7CFFB0045070000080210C0000000000053D1FB0065070000080250C0FFFFFFFFFFD693FC0045070000080221800000000000D195FC006507000008101A618035363037B800FD00450700000830000000000000002302FD0065070000082152043030313437D208FD00650700000822303752140E1710F109FD00650700000823171002010088FF52CCFD0045070000080319023B000000008DCEFD00650700000810E75902B99532124734FE0045070000083000000000000000DE37FE0065070000082110953211105A84FB38FE0065070000082231105A8496105A153AFE006507000008238531105A859610433BFE006507000008245A8331105A83962841FE00650700000825105A8231105A824442FE00650700000826961095B00210956A43FE006507000008273E1410953F14108944FE0065070000082895401410953B142348FE0065070000082910953C1410953D4549FE0065070000082A14105A8055105A644AFE0065070000082B80541095D018A88A4BFE0065070000082C957C1410957C12A84CFE0065070000082D10957D1410957DC54DFE0065070000082E1210957E1410955751FE0065070000082F7E1210951296107652FE00650700000820957811109578152654FE00650700000821109511811095101457FE00650700000822141095101210953158FE006507000008236D1410956D12101A60FE00650700000824956E1410956E123761FE0065070000082510956F1410956F5F62FE00650700000826121095C31510957468FE00650700000827831410958312109269FE0065070000082895841410958412AE6AFE0065070000082910958714109587CB6BFE0065070000082A121095881410952B6FFE0065070000082B881210955B14105670FE0065070000082C955B12109542967471FE0065070000082D1095D2081095D89272FE0065070000082E081095F4711095AD73FE0065070000082F36111095351110D774FE0065070000082095381110953711307AFE0065070000082110FFFFFFFFFFFF8B3BFF0045070000080221710000000000F83DFF006507000008102A6171000000001BA1FF004507000008300000000000000097A2FF0065070000082100000000000000C9A3FF0065070000082200000000000000D4A7FF00650700000823000000000000003EAAFF0065070000082407004E07D00A2866ABFF0065070000082500000000050A0491ACFF00650700000826B0FFFFFFFFFFFF71700001450700000802210A000000000014720001650700000805610AF9DC80FFFF63330101450700000802217400000000005A350101650700000810126174040000007F98010145070000083000000000000000459D0101650700000821000000000000006F9E010165070000082200FFFFFFFFFFFF2F60020145070000080210810000000000CF6102016507000008025081FFFFFFFFFF</t>
  </si>
  <si>
    <t>1C888600E0070000080210C00000000000A0A98600E8070000080250C0AAAAAAAAAA9F6B8700E0070000080221800000000000C9938700E807000008101A618032313337F4F68700E007000008300000000000000021068800E8070000082152C1303337313012188800E807000008223734521705B400992B8800E80700000823014001010188AA7CF38800E0070000080319023B0000000079128D00E80700000810135902FF22632147768D00E00700000830000000000000009A858D00E80700000821502263225003803C968D00E80700000822962000029150AA15598E00E0070000080210810000000000A1718E00E807000008025081AAAAAAAAAAD13A8F0043070000080210C0000000000045618F0063070000080250C0A2A2A2A2A22525900043070000080221800000000000A14B90006307000008101A618031383039C8AE90004307000008300000000000000065C190006307000008215224303230383085E690006307000008223535520302050656139100630700000823124002010088A289D7910043070000080319023B0000000062FB9100630700000810235902B9930911835E9200430700000830000000000000005E6E920063070000082110930912109309199A9200630700000822131094021110944BBC9200630700000823021310C10100102BE49200630700000824C1810010C12700B10A930063070000082510A2A2A2A2A2A273CE930043070000080322220100000000C4F5930063070000081011622201008E0DE258940043070000083000000000000000706B9400630700000821B90E3F0E72011250929400630700000822AE570E0AA2A2A23D57950043070000080322020200000000307D950063070000080762020219E7000082409600430700000803222002000000001168960063070000080662200203FF00A2982E970043070000080210810000000000FC5297006307000008025081A2A2A2A2A26218980052070000080210C00000000000FD3F980072070000080250C000000000009C03990052070000080221800000000000F09F99007207000008101A61803936303516039A00520700000830000000000000001A159A007207000008215204414D523032503C9A007207000008223431300305E37852639A007207000008234EC5010000887875269B0052070000080319023B000000001F4E9B007207000008035902B900008878D7109C00520700000802108100000000009B389C007207000008025081B90000887842FE9C0055070000080210C00000000000FD0B9D0075070000080250C000000000002CCE9D0055070000080221800000000000E5929E007507000008101A61803738393608F69E00550700000830000000000000004B089F007507000008215204414139313416579F0075070000082237315200050000CBA49F00750700000823000002010088003866A00055070000080319023B000000000A54A100750700000810335902B951011C2DB7A1005507000008300000000000000088C8A100750700000821285101132950C3D316A200750700000822491050C34910518065A200750700000823687928C155002846B3A20075070000082450C3491050C349B701A3007507000008251050C3491050C3C74FA300750700000826491050C3491050029EA300750700000827C34910C34910505D62A40055070000080210810000000000E988A400750700000802508110C34910507351A500E1070000080210C00000000000A1E7A900E1070000080210C00000000000FE78AE00E1070000080210C00000000000140FB300E1070000080210C0000000000095A0B700E10700000802100300000000000C36BC00E107000008021003000000000040C8C000E1070000080210030000000000A65DC500E10700000802100300000000002BEBC900E10700000802100100000000003885CE0051070000080210C000000000006517D30051070000080210C00000000000D5ACD70051070000080210C00000000000C63FDC0051070000080210C000000000007ED4E00051070000080210030000000000C366E5005107000008021003000000000006FCE900510700000802100300000000003A8EEE0051070000080210030000000000001EF30051070000080210010000000000FCB5F70042070000080210C0000000000069BFF70062070000080250C0FFFFFFFFFF1A83F80042070000080221800000000000158AF8006207000008101A61803133373369EFF8004207000008300000000000000095F3F8006207000008215204323331333648FBF800620700000822303952024A0700ED03F900620700000823000702010088FF1BC5F90042070000080319023B0000000057CAF9006207000008035902B9FFFFFFFF4E8CFA00420700000802108100000000006395FA006207000008025081FFFFFFFFFFA361FB0045070000080210C00000000000B268FB0065070000080250C0FFFFFFFFFF832CFC00450700000802218000000000005431FC006507000008101A618035363037DA97FC0045070000083000000000000000B9A1FC006507000008215204303031343738A5FC00650700000822303752140E171058A6FC00650700000823171002010088FFAE6AFD0045070000080319023B00000000E86CFD00650700000810E75902B99532124BD0FD0045070000083000000000000000A6D9FD0065070000082110953211105A84D0DAFD0065070000082231105A8496105A09DEFD006507000008238531105A85961029DFFD006507000008245A8331105A83964AE0FD00650700000825105A8231105A8266E1FD00650700000826961095B00210958DE2FD006507000008273E1410953F1410ABE3FD0065070000082895401410953B146EE6FD0065070000082910953C1410953D90E7FD0065070000082A14105A8055105AAFE8FD0065070000082B80541095D018A8D5E9FD0065070000082C957C1410957C12F3EAFD0065070000082D10957D1410957D10ECFD0065070000082E1210957E1410952EEDFD0065070000082F7E1210951296105DEEFD0065070000082095781110957815F5F1FD006507000008211095118110951012F3FD0065070000082214109510121095E4F4FD006507000008236D1410956D1210FFF5FD00650700000824956E1410956E121CF7FD0065070000082510956F1410956F2EF9FD00650700000826121095C31510954E01FE00650700000827831410958312105805FE00650700000828958414109584127506FE00650700000829109587141095879107FE0065070000082A12109588141095AE08FE0065070000082B881210955B1410C809FE0065070000082C955B1210954296E80AFE0065070000082D1095D2081095D8390DFE0065070000082E081095F4711095520EFE0065070000082F361110953511106E0FFE00650700000820953811109537119710FE0065070000082110FFFFFFFFFFFF0FD2FE004507000008022171000000000017D4FE006507000008102A6171000000000A3AFF00450700000830000000000000006D3EFF00650700000821000000000000009F3FFF0065070000082200000000000000CF40FF0065070000082300000000000000F241FF0065070000082407004E07D00A281A43FF0065070000082500000000050A044544FF00650700000826B0FFFFFFFFFFFFB0060001450700000802210A00000000009E090001650700000805610AF9DC80FFFFE0CD00014507000008022174000000000074D20001650700000810126174040000009F35010145070000083000000000000000423A0101650700000821000000000000006C3B010165070000082200FFFFFFFFFFFF90FE010145070000080210810000000000300002016507000008025081FFFFFFFFFF</t>
  </si>
  <si>
    <t>F5968600E0070000080210C0000000000060BC8600E8070000080250C0AAAAAAAAAA1D7F8700E007000008022180000000000015A78700E807000008101A6180323133373C0A8800E00700000830000000000000006C168800E8070000082152C13033373130F1298800E807000008223734521705B400923D8800E80700000823014001010188AAFA018900E0070000080319023B0000000031268D00E80700000810135902FF22632159898D00E0070000083000000000000000B8948D00E80700000821502263225003801DA88D00E80700000822966000029150AA2B698E00E00700000802108100000000007B838E00E807000008025081AAAAAAAAAA554C8F0043070000080210C00000000000BF808F0063070000080250C0A2A2A2A2A24C419000430700000802218000000000009F6B90006307000008101A618031383039D1CE90004307000008300000000000000040E19000630700000821522430323038304008910063070000082235355203020506682F9100630700000823124002010088A2FFF2910043070000080319023B00000000541A9200630700000810235902B99309117A7D920043070000083000000000000000FA8F920063070000082110930912109309F5B69200630700000822131094021110942FDE9200630700000823021310C10100109E059300630700000824C1810010C12700692C930063070000082510A2A2A2A2A2A2BAEE9300430700000803222201000000005C17940063070000081011622201008F0D947C940043070000083000000000000000278D9400630700000821B40DF00E0001121DB49400630700000822AE570D54A2A2A253759500430700000803220202000000000F9F950063070000080762020219D90000C05F960043070000080322200200000000FC89960063070000080662200203FF00A2FE4D970043070000080210810000000000F17497006307000008025081A2A2A2A2A2703B980052070000080210C000000000004240980072070000080250C000000000007C039900520700000802218000000000002DA099007207000008101A61803936303555039A005207000008300000000000000056159A007207000008215204414D5230326F3C9A007207000008223431300305E3788C639A007207000008234EC501000088787B269B0052070000080319023B00000000544E9B007207000008035902B900008878C7109C0052070000080210810000000000CA389C007207000008025081B9000088784D039D0055070000080210C000000000006B229D0075070000080250C0000000000099E59D0055070000080221800000000000C6D09E007507000008101A618037383936EB339F005507000008300000000000000056469F007507000008215204414139313409959F0075070000082237315200050000CEE29F00750700000823000002010088009CA4A00055070000080319023B000000007395A100750700000810335902B951011C98F8A10055070000083000000000000000A506A200750700000821285101132950C3EF55A200750700000822491050C34910518EA4A200750700000823687928C155002824F2A20075070000082450C3491050C3496A40A3007507000008251050C3491050C37C8EA300750700000826491050C3491050AEDCA300750700000827C34910C3491050ADA2A400550700000802108100000000002DC7A400750700000802508110C34910507394A500E1070000080210C000000000009421AA00E1070000080210C0000000000055B7AE00E1070000080210C000000000006B49B300E1070000080210C0000000000070DEB700E10700000802100300000000003971BC00E10700000802100300000000002507C100E1070000080210030000000000E398C500E1070000080210030000000000112ECA00E1070000080210010000000000C7C0CE0051070000080210C00000000000B355D30051070000080210C0000000000077E8D70051070000080210C00000000000597DDC0051070000080210C000000000003710E1005107000008021003000000000007A5E50051070000080210030000000000EF37EA0051070000080210030000000000ADCCEE0051070000080210030000000000C85EF300510700000802100100000000004AF4F70042070000080210C000000000009100F80062070000080250C0FFFFFFFFFF37C3F8004207000008022180000000000034CBF8006207000008101A6180313337339831F90042070000083000000000000000C334F90062070000082152043233313336583CF900620700000822303952024A07003744F900620700000823000702010088FF7807FA0042070000080319023B00000000DC14FA006207000008035902B9FFFFFFFF7ED6FA0042070000080210810000000000D1DFFA006207000008025081FFFFFFFFFFC8A4FB0045070000080210C00000000000EEA6FB0065070000080250C0FFFFFFFFFF2369FC0045070000080221800000000000676BFC006507000008101A6180353630378ACEFC004507000008300000000000000006D0FC00650700000821520430303134373AD6FC00650700000822303752140E1710FBDAFC00650700000823171002010088FF069FFD0045070000080319023B0000000014A3FD00650700000810E75902B99532123806FE00450700000830000000000000009E07FE0065070000082110953211105A84BA08FE0065070000082231105A8496105A620FFE006507000008238531105A8596109514FE006507000008245A8331105A83960C17FE00650700000825105A8231105A822818FE00650700000826961095B00210954F19FE006507000008273E1410953F1410B91AFE0065070000082895401410953B14D51BFE0065070000082910953C1410953DF81CFE0065070000082A14105A8055105A6B1FFE0065070000082B80541095D018A8B523FE0065070000082C957C1410957C12D424FE0065070000082D10957D1410957DF125FE0065070000082E1210957E1410959D27FE0065070000082F7E121095129610792AFE0065070000082095781110957815942BFE0065070000082110951181109510B02CFE0065070000082214109510121095CC2DFE006507000008236D1410956D1210E72EFE00650700000824956E1410956E127D31FE0065070000082510956F1410956F333BFE00650700000826121095C3151095AD3EFE0065070000082783141095831210CC3FFE0065070000082895841410958412E840FE00650700000829109587141095870542FE0065070000082A121095881410952243FE0065070000082B881210955B14104F44FE0065070000082C955B1210954296FE45FE0065070000082D1095D2081095D84F4BFE0065070000082E081095F4711095684CFE0065070000082F36111095351110834DFE0065070000082095381110953711AE4EFE0065070000082110FFFFFFFFFFFF8410FF0045070000080221710000000000D312FF006507000008102A617100000000F975FF00450700000830000000000000002E78FF00650700000821000000000000009A79FF0065070000082200000000000000087BFF0065070000082300000000000000797CFF0065070000082407004E07D00A28C782FF0065070000082500000000050A04F283FF00650700000826B0FFFFFFFFFFFF26450001450700000802210A0000000000B6460001650700000805610AF9DC80FFFFAE08010145070000080221740000000000A20A010165070000081012617404000000E47001014507000008300000000000000020730101650700000821000000000000004B74010165070000082200FFFFFFFFFFFFA335020145070000080210810000000000453702016507000008025081FFFFFFFFFF</t>
  </si>
  <si>
    <t>289C8600E0070000080210C0000000000092C08600E8070000080250C0AAAAAAAAAA0B838700E007000008022180000000000091AB8700E807000008101A618032313337B90E8800E0070000083000000000000000091D8800E8070000082152C13033373130102F8800E807000008223734521705B40056438800E80700000823014001010188AAE5058900E0070000080319023B000000009C298D00E80700000810135902FF226321C58C8D00E0070000083000000000000000619B8D00E807000008215022632250038060AD8D00E80700000822966000029150AA8E708E00E0070000080210810000000000A2888E00E807000008025081AAAAAAAAAA524E8F0043070000080210C000000000001A6A8F0063070000080250C0A2A2A2A2A2C72D900043070000080221800000000000405C90006307000008101A61803138303963BF90004307000008300000000000000011CB900063070000082152243032303830FBF490006307000008223535520302050633199100630700000823124002010088A282DB910043070000080319023B00000000FC039200630700000810235902B99309111C679200430700000830000000000000002E7D920063070000082110930912109309D2A092006307000008221310940211109453CA9200630700000823021310C1010010D2EE9200630700000824C1810010C12700601A930063070000082510A2A2A2A2A2A241DB9300430700000803222201000000002E0294006307000008101162220100A50B4F659400430700000830000000000000005D769400630700000821DA0D1E0D5101126A9E9400630700000822AE570CC3A2A2A2E361950043070000080322020200000000898A950063070000080762020219BD00002E4C960043070000080322200200000000A476960063070000080662200203FE00A2763A970043070000080210810000000000E25F97006307000008025081A2A2A2A2A20424980052070000080210C00000000000F43A980072070000080250C00000000000B8FB980052070000080221800000000000BF7399007207000008101A6180393630358BD9990052070000083000000000000000E5E899007207000008215204414D523032FC0F9A007207000008223431300305E37819379A007207000008234EC5010000887863FB9A0052070000080319023B00000000DA219B007207000008035902B900008878D2E59B0052070000080210810000000000500C9C007207000008025081B90000887840D39C0055070000080210C00000000000F9EC9C0075070000080250C010C3491050E4AE9D0055070000080221800000000000E9749E007507000008101A6180373839360ED89E005507000008300000000000000071E99E007507000008215204414139313435389F007507000008223731520005000010869F0075070000082300000201008800FD46A00055070000080319023B000000007735A100750700000810335902B951011C9F98A10055070000083000000000000000B0A9A100750700000821285101132950C3FDF7A100750700000822491050C34910515546A200750700000823687928C15500288694A20075070000082450C3491050C349C9E2A2007507000008251050C3491050C30A31A300750700000826491050C3491050417FA300750700000827C34910C34910506F42A40055070000080210810000000000256BA400750700000802508110C3491050EA2FA500E1070000080210C000000000000DC4A900E1070000080210C00000000000B157AE00E1070000080210C000000000009DEBB200E1070000080210C00000000000697FB700E10700000802100300000000004213BC00E107000008021003000000000039A7C000E1070000080210030000000000253BC500E1070000080210030000000000D8CBC900E1070000080210010000000000C062CE0051070000080210C00000000000B5F6D20051070000080210C00000000000868AD70051070000080210C000000000006F1EDC0051070000080210C000000000003FB2E000510700000802100300000000004246E5005107000008021003000000000018DAE90051070000080210030000000000FE6DEE0051070000080210030000000000BBFEF20051070000080210010000000000B595F70042070000080210C00000000000B69CF70062070000080250C0FFFFFFFFFFF95DF80042070000080221800000000000606BF8006207000008101A61803133373383CEF800420700000830000000000000008BD1F80062070000082152043233313336F6D8F800620700000822303952024A0700F5E0F800620700000823000702010088FF24A5F90042070000080319023B000000006CB0F9006207000008035902B9FFFFFFFF7071FA0042070000080210810000000000CB7AFA006207000008025081FFFFFFFFFF283FFB0045070000080210C00000000000C440FB0065070000080250C0FFFFFFFFFF4E03FC00450700000802218000000000005905FC006507000008101A6180353630372F6AFC0045070000083000000000000000516DFC00650700000821520430303134376D6EFC00650700000822303752140E17108E6FFC00650700000823171002010088FF0430FD0045070000080319023B000000003E32FD00650700000810E75902B9953212AD99FD0045070000083000000000000000139BFD0065070000082110953211105A842F9CFD0065070000082231105A8496105A499DFD006507000008238531105A859610689EFD006507000008245A8331105A8396BAA5FD00650700000825105A8231105A82D5A6FD00650700000826961095B0021095FEA7FD006507000008273E1410953F1410B7ABFD0065070000082895401410953B14D3ACFD0065070000082910953C1410953D63AEFD0065070000082A14105A8055105A81AFFD0065070000082B80541095D018A8A8B0FD0065070000082C957C1410957C12C6B1FD0065070000082D10957D1410957DFCB3FD0065070000082E1210957E1410951BB5FD0065070000082F7E12109512961039B6FD006507000008209578111095781554B7FD006507000008211095118110951070B8FD00650700000822141095101210958CB9FD006507000008236D1410956D1210A9BAFD00650700000824956E1410956E12C3BBFD0065070000082510956F1410956F8FBDFD00650700000826121095C315109548C0FD006507000008278314109583121069C1FD00650700000828958414109584121AC3FD006507000008291095871410958771C4FD0065070000082A12109588141095CBC5FD0065070000082B881210955B14108BCDFD0065070000082C955B1210954296A9CEFD0065070000082D1095D2081095D8D6CFFD0065070000082E081095F471109584D3FD0065070000082F36111095351110A0D4FD0065070000082095381110953711C8D5FD0065070000082110FFFFFFFFFFFFB497FE0045070000080221710000000000BC99FE006507000008102A617100000000DEFCFE00450700000830000000000000005AFEFE00650700000821000000000000005C06FF00650700000822000000000000008C07FF00650700000823000000000000009D0BFF0065070000082407004E07D00A28C50CFF0065070000082500000000050A04F00DFF00650700000826B0FFFFFFFFFFFFECCFFF00450700000802210A0000000000AAD1FF00650700000805610AF9DC80FFFF4D93000145070000080221740000000000319500016507000008101261740400000059F8000145070000083000000000000000D5F90001650700000821000000000000000DFB000165070000082200FFFFFFFFFFFF23BC010145070000080210810000000000C3BD01016507000008025081FFFFFFFFFF</t>
  </si>
  <si>
    <t>F19A8600E0070000080210C00000000000C2BF8600E8070000080250C0AAAAAAAAAA0F838700E0070000080221800000000000E4A98700E807000008101A6180323133370C0D8800E0070000083000000000000000851C8800E8070000082152C13033373130012E8800E807000008223734521705B40087418800E80700000823014001010188AAC7058900E0070000080319023B0000000087288D00E80700000810135902FF226321AF8B8D00E0070000083000000000000000DA9A8D00E807000008215022632250038048AC8D00E80700000822966000029150AA90708E00E0070000080210810000000000A1878E00E807000008025081AAAAAAAAAA92548F0043070000080210C00000000000628F8F0063070000080250C0A2A2A2A2A20751900043070000080221800000000000757890006307000008101A6180313830399ADB90004307000008300000000000000029EE9000630700000821522430323038302D159100630700000822353552030205064E3C9100630700000823124002010088A2B2FE910043070000080319023B0000000032279200630700000810235902B99309115A8A920043070000083000000000000000DB9C920063070000082110930912109309E3C392006307000008221310940211109437EB9200630700000823021310C101001043129300630700000824C1810010C127008D39930063070000082510A2A2A2A2A2A26FFA930043070000080322220100000000A12494006307000008101162220100980CC487940043070000083000000000000000EF999400630700000821B80D130D430112EFC09400630700000822AE570CB4A2A2A2DC899500430700000803220202000000005FAC950063070000080762020219BB000016749600430700000803222002000000001097960063070000080662200203FF00A2915E970043070000080210810000000000C88197006307000008025081A2A2A2A2A27047980052070000080210C000000000009E6F980072070000080250C000000000006133990052070000080221800000000000A3CF99007207000008101A618039363035CA329A0052070000083000000000000000AC449A007207000008215204414D523032D46B9A007207000008223431300305E378E2929A007207000008234EC5010000887839559B0052070000080319023B00000000AD7D9B007207000008035902B90000887889409C00520700000802108100000000001F689C007207000008025081B9000088781E2D9D0055070000080210C000000000004E3E9D0075070000080250C00000000000E4009E00550700000802218000000000009BEC9E007507000008101A618037383936C24F9F0055070000083000000000000000FD619F0075070000082152044141393134FEB09F00750700000822373152000500009CFE9F0075070000082300000201008800FABFA00055070000080319023B00000000EAADA100750700000810335902B951011C0C11A200550700000830000000000000007722A200750700000821285101132950C3B170A200750700000822491050C349105196BFA200750700000823687928C1550028470DA30075070000082450C3491050C349825BA3007507000008251050C3491050C3BBA9A300750700000826491050C349105010F8A300750700000827C34910C349105095BBA40055070000080210810000000000CFE2A400750700000802508110C349105002A9A500E1070000080210C00000000000DD3CAA00E1070000080210C00000000000CBD0AE00E1070000080210C00000000000A164B300E1070000080210C00000000000D5F9B700E10700000802100300000000004790BC00E10700000802100300000000003824C100E107000008021003000000000018B8C500E1070000080210030000000000D448CA00E1070000080210010000000000C3DFCE0051070000080210C00000000000B373D30051070000080210C000000000008007D80051070000080210C00000000000789BDC0051070000080210C000000000005E2FE10051070000080210030000000000F0C3E50051070000080210030000000000F360EA005107000008021003000000000025F3EE0051070000080210030000000000967FF300510700000802100100000000005E1BF80042070000080210C000000000004725F80062070000080250C0FFFFFFFFFF22E9F8004207000008022180000000000021F1F8006207000008101A6180313337334854F90042070000083000000000000000C55BF900620700000821520432333133369F61F900620700000822303952024A07005F69F900620700000823000702010088FF992AFA0042070000080319023B000000008E30FA006207000008035902B9FFFFFFFFE2F1FA0042070000080210810000000000AAFBFA006207000008025081FFFFFFFFFF70C3FB0045070000080210C00000000000BECCFB0065070000080250C0FFFFFFFFFF9B90FC0045070000080221800000000000B494FC006507000008101A6180353630375FFBFC00450700000830000000000000007B02FD0065070000082152043030313437F905FD00650700000822303752140E17107B09FD00650700000823171002010088FF53CCFD0045070000080319023B00000000D5CEFD00650700000810E75902B99532123835FE0045070000083000000000000000B13DFE0065070000082110953211105A845D41FE0065070000082231105A8496105A7842FE006507000008238531105A8596109643FE006507000008245A8331105A8396BC44FE00650700000825105A8231105A82D945FE00650700000826961095B0021095FF46FE006507000008273E1410953F1410CC48FE0065070000082895401410953B14A14DFE0065070000082910953C1410953DC44EFE0065070000082A14105A8055105AE24FFE0065070000082B80541095D018A80851FE0065070000082C957C1410957C120153FE0065070000082D10957D1410957D1D54FE0065070000082E1210957E141095C255FE0065070000082F7E1210951296100257FE0065070000082095781110957815D558FE0065070000082110951181109510F159FE00650700000822141095101210950D5BFE006507000008236D1410956D12106865FE00650700000824956E1410956E12D668FE0065070000082510956F1410956FFF69FE00650700000826121095C31510951F6BFE00650700000827831410958312103D6CFE00650700000828958414109584125A6DFE0065070000082910958714109587246FFE0065070000082A121095881410959971FE0065070000082B881210955B14100076FE0065070000082C955B12109542961E77FE0065070000082D1095D2081095D83C78FE0065070000082E081095F4711095A779FE0065070000082F36111095351110B17CFE0065070000082095381110953711DA7DFE0065070000082110FFFFFFFFFFFF723FFF00450700000802217100000000006242FF006507000008102A61710000000088A5FF00450700000830000000000000007EA7FF00650700000821000000000000006CA9FF00650700000822000000000000009DAAFF0065070000082300000000000000BFABFF0065070000082407004E07D00A28EAACFF0065070000082500000000050A0412AEFF00650700000826B0FFFFFFFFFFFF08700001450700000802210A000000000098710001650700000805610AF9DC80FFFF723301014507000008022174000000000082350101650700000810126174040000002999010145070000083000000000000000189E010165070000082100000000000000439F010165070000082200FFFFFFFFFFFF2660020145070000080210810000000000F36102016507000008025081FFFFFFFFFF</t>
  </si>
  <si>
    <t>E38C8600E0070000080210C00000000000F8AD8600E8070000080250C0AAAAAAAAAA906F8700E00700000802218000000000006B988700E807000008101A61803231333794FB8700E007000008300000000000000076098800E8070000082152C13033373130311D8800E807000008223734521705B40019308800E80700000823014001010188AA3EF28800E0070000080319023B0000000016F08C00E80700000810135902FF2263215A558D00E007000008300000000000000044608D00E8070000082150226322500380EC738D00E80700000822966000029150AAE2358E00E00700000802108100000000001A4F8E00E807000008025081AAAAAAAAAABF138F0043070000080210C00000000000EC3A8F0063070000080250C0A2A2A2A2A23AFF8F0043070000080221800000000000F52590006307000008101A6180313830391989900043070000083000000000000000759B900063070000082152243032303830D3C2900063070000082235355203020506B9E99000630700000823124002010088A2A3AC910043070000080319023B0000000055D79100630700000810235902B99309117C3A920043070000083000000000000000F74B92006307000008211093091210930994739200630700000822131094021110941D9A9200630700000823021310C1010010DDC19200630700000824C1810010C1270031E8920063070000082510A2A2A2A2A2A255AC93004307000008032222010000000007D3930063070000081011622201009D0C2D369400430700000830000000000000005F489400630700000821790CEE0D2B0112396F9400630700000822AE570CA0A2A2A2F1329500430700000803220202000000004E59950063070000080762020219B8000040209600430700000803222002000000004A44960063070000080662200203FF00A2C0079700430700000802108100000000003A2F97006307000008025081A2A2A2A2A226F5970052070000080210C00000000000CEF8970072070000080250C0000000000042B9980052070000080221800000000000983199007207000008101A618039363035B994990052070000083000000000000000C5A699007207000008215204414D523032E3CD99007207000008223431300305E378FFF499007207000008234EC5010000887836B99A0052070000080319023B0000000046E09A007207000008035902B9000088788BA39B005207000008021081000000000097CA9B007207000008025081B900008878F1909C0055070000080210C0000000000078999C0075070000080250C010C3491050D55C9D005507000008022180000000000058489E007507000008101A61803738393681AB9E005507000008300000000000000060BD9E0075070000082152044141393134A70B9F0075070000082237315200050000485B9F0075070000082300000201008800FE1BA00055070000080319023B000000000A09A100750700000810335902B951011C2D6CA10055070000083000000000000000887DA100750700000821285101132950C3C2CBA100750700000822491050C3491051041AA200750700000823687928C1550028B768A20075070000082450C3491050C34971B6A2007507000008251050C3491050C3AC04A300750700000826491050C3491050E452A300750700000827C34910C34910508513A400550700000802108100000000009F16A400750700000802508110C3491050EADDA400E1070000080210C00000000000CB71A900E1070000080210C00000000000B505AE00E1070000080210C00000000000C899B200E1070000080210C00000000000E22DB700E1070000080210030000000000F7C1BB00E1070000080210030000000000B555C000E1070000080210030000000000C8E9C400E1070000080210030000000000D279C900E1070000080210010000000000BE10CE0051070000080210C000000000009EA4D20051070000080210C000000000008A38D70051070000080210C0000000000063CCDB0051070000080210C000000000005060E0005107000008021003000000000030F4E400510700000802100300000000001B88E90051070000080210030000000000DF1BEE0051070000080210030000000000BCACF20051070000080210010000000000A743F70042070000080210C000000000005850F70062070000080250C0FFFFFFFFFF8D13F800420700000802218000000000008D1AF8006207000008101A618031333733B17DF800420700000830000000000000000184F80062070000082152043233313336CB8BF800620700000822303952024A07008293F800620700000823000702010088FFAF57F90042070000080319023B000000009D62F9006207000008035902B9FFFFFFFFF226FA0042070000080210810000000000A82DFA006207000008025081FFFFFFFFFFF3F4FA0045070000080210C000000000008CF8FA0065070000080250C0FFFFFFFFFF23BDFB00450700000802218000000000001EBFFB006507000008101A6180353630373D22FC0045070000083000000000000000BF23FC0065070000082152043030313437DC24FC00650700000822303752140E1710FD25FC00650700000823171002010088FFC0E9FC0045070000080319023B000000000CECFC00650700000810E75902B9953212364FFD00450700000830000000000000009755FD0065070000082110953211105A84B456FD0065070000082231105A8496105ACE57FD006507000008238531105A859610EC58FD006507000008245A8331105A8396125BFD00650700000825105A8231105A822F5CFD00650700000826961095B0021095555DFD006507000008273E1410953F1410755EFD0065070000082895401410953B14905FFD0065070000082910953C1410953DB260FD0065070000082A14105A8055105A6662FD0065070000082B80541095D018A82664FD0065070000082C957C1410957C12AE68FD0065070000082D10957D1410957D746AFD0065070000082E1210957E141095936BFD0065070000082F7E121095129610B16CFD0065070000082095781110957815D072FD0065070000082110951181109510EC73FD00650700000822141095101210950975FD006507000008236D1410956D12102376FD00650700000824956E1410956E121E7AFD0065070000082510956F1410956F367BFD00650700000826121095C3151095567CFD0065070000082783141095831210757DFD0065070000082895841410958412917EFD0065070000082910958714109587AF7FFD0065070000082A121095881410957582FD0065070000082B881210955B14108E83FD0065070000082C955B1210954296AD84FD0065070000082D1095D2081095D8DB85FD0065070000082E081095F4711095F486FD0065070000082F36111095351110A088FD0065070000082095381110953711048AFD0065070000082110FFFFFFFFFFFF254DFE00450700000802217100000000005E4FFE006507000008102A6171000000007FB2FE004507000008300000000000000010B4FE006507000008210000000000000042B5FE006507000008220000000000000072B6FE006507000008230000000000000095B7FE0065070000082407004E07D00A28BDB8FE0065070000082500000000050A047ABBFE00650700000826B0FFFFFFFFFFFFEA7DFF00450700000802210A00000000009483FF00650700000805610AF9DC80FFFF0E45000145070000080221740000000000744700016507000008101261740400000092AA00014507000008300000000000000071AF0001650700000821000000000000009CB0000165070000082200FFFFFFFFFFFFF371010145070000080210810000000000947301016507000008025081FFFFFFFFFF</t>
  </si>
  <si>
    <t>8A988600E0070000080210C0000000000039BD8600E8070000080250C0AAAAAAAAAA257F8700E00700000802218000000000009EA78700E807000008101A618032313337C70A8800E007000008300000000000000053188800E8070000082152C13033373130932F8800E807000008223734521705B4006D3F8800E80700000823014001010188AAE2018900E0070000080319023B000000006E268D00E80700000810135902FF22632193898D00E007000008300000000000000081968D00E807000008215022632250038081AD8D00E80700000822966000029150AA79708E00E00700000802108100000000008D858E00E807000008025081AAAAAAAAAA724A8F0043070000080210C00000000000E47A8F0063070000080250C0A2A2A2A2A2653D9000430700000802218000000000000A6490006307000008101A61803138303929C7900043070000083000000000000000E9D9900063070000082152243032303830B500910063070000082235355203020506FA279100630700000823124002010088A20DEB910043070000080319023B00000000B4129200630700000810235902B9930911D275920043070000083000000000000000698892006307000008211093091210930953AF92006307000008221310940211109483D69200630700000823021310C1010010AAFD9200630700000824C1810010C12700C624930063070000082510A2A2A2A2A2A2E5E69300430700000803222201000000008111940063070000081011622201009D0CAC7494004307000008300000000000000065859400630700000821790C6A0C84011251AC9400630700000822AE570BDDA2A2A29E6D95004307000008032202020000000092979500630700000807620202199D0000C95B9600430700000803222002000000004E80960063070000080662200203FF00A249429700430700000802108100000000004F6B97006307000008025081A2A2A2A2A2C92F980052070000080210C00000000000FD42980072070000080250C000000000008903990052070000080221800000000000467C99007207000008101A61803936303591E2990052070000083000000000000000FEF099007207000008215204414D52303219189A007207000008223431300305E378363F9A007207000008234EC501000088784B039B0052070000080319023B00000000E0299B007207000008037F19220000887899ED9B0052070000080317FF000000000078149C007207000008037F171100008878F2D79C00520700000802108100000000001BFF9C007207000008025081110000887875C59D0055070000080210C00000000000A0CD9D0075070000080250C0000000000057919E0055070000080221800000000000A47A9F007507000008101A618037383936C7DD9F005507000008300000000000000081EE9F00750700000821520441413931340A42A00075070000082237315200050000AE8CA00075070000082300000201008800FF50A10055070000080319023B00000000B261A200750700000810335902B951011CDBC4A2005507000008300000000000000047D6A200750700000821285101132950C35E24A300750700000822491050C34910519972A300750700000823687928C1550028CEC0A30075070000082450C3491050C3491E0FA4007507000008251050C3491050C39C5DA400750700000826491050C3491050A1ACA400750700000827C34910C34910503E6FA500550700000802108100000000006496A500750700000802508110C3491050CB5CA600E1070000080210C000000000004EF2AA00E1070000080210C000000000006984AF00E1070000080210C000000000006218B400E1070000080210C0000000000044ACB800E10700000802100300000000002A40BD00E1070000080210030000000000F2D3C100E1070000080210030000000000F767C600E107000008021003000000000042FACA00E10700000802100100000000009A8FCF0051070000080210C000000000007623D40051070000080210C0000000000048B7D80051070000080210C00000000000264BDD0051070000080210C0000000000028DFE100510700000802100300000000000073E60051070000080210030000000000DA06EB0051070000080210030000000000D39AEF00510700000802100300000000007C2CF4005107000008021001000000000084C2F80042070000080210C000000000004DCCF80062070000080250C0FFFFFFFFFF618EF90042070000080221800000000000EC96F9006207000008101A61803133373311FAF90042070000083000000000000000C803FA0062070000082152043233313336A60BFA00620700000822303952024A07008113FA00620700000823000702010088FF6ED6FA0042070000080319023B000000004BE1FA006207000008035902B9FFFFFFFF96A5FB00420700000802108100000000004AB2FB006207000008025081FFFFFFFFFF9977FC0045070000080210C00000000000057DFC0065070000080250C0FFFFFFFFFF8D41FD00450700000802218000000000008743FD006507000008101A618035363037ABA6FD004507000008300000000000000014A8FD006507000008215204303031343730AFFD00650700000822303752140E17107BB5FD00650700000823171002010088FF2A78FE0045070000080319023B00000000647AFE00650700000810E75902B995321286DDFE0045070000083000000000000000B8DFFE0065070000082110953211105A84CCE6FE0065070000082231105A8496105AE6E7FE006507000008238531105A859610E9EDFE006507000008245A8331105A83960AEFFE00650700000825105A8231105A82ABF0FE00650700000826961095B0021095D0F1FE006507000008273E1410953F141081F5FE0065070000082895401410953B14A1F6FE0065070000082910953C1410953DC4F7FE0065070000082A14105A8055105A79F9FE0065070000082B80541095D018A89FFAFE0065070000082C957C1410957C12CDFBFE0065070000082D10957D1410957DCFFFFE0065070000082E1210957E141095ED00FF0065070000082F7E1210951296100B02FF00650700000820957811109578152603FF00650700000821109511811095104204FF00650700000822141095101210955E05FF006507000008236D1410956D12101309FF00650700000824956E1410956E12360AFF0065070000082510956F1410956F4E0BFF00650700000826121095C31510956E0CFF0065070000082783141095831210380EFF0065070000082895841410958412A30FFF0065070000082910958714109587BE15FF0065070000082A12109588141095DA16FF0065070000082B881210955B1410F517FF0065070000082C955B12109542962119FF0065070000082D1095D2081095D8E61CFF0065070000082E081095F4711095FE1DFF0065070000082F361110953511101B1FFF00650700000820953811109537114320FF0065070000082110FFFFFFFFFFFF83E3FF00450700000802217100000000008BE5FF006507000008102A617100000000B348000145070000083000000000000000E64D000165070000082100000000000000184F00016507000008220000000000000049500001650700000823000000000000006B51000165070000082407004E07D00A28C054000165070000082500000000050A04EA550001650700000826B0FFFFFFFFFFFF14180101450700000802210A0000000000A4190101650700000805610AF9DC80FFFF51DB01014507000008022174000000000035DD010165070000081012617404000000584002014507000008300000000000000046420201650700000821000000000000007043020165070000082200FFFFFFFFFFFFC804030145070000080210810000000000680603016507000008025081FFFFFFFFFF</t>
  </si>
  <si>
    <t>CE747000E00700000802100300000000000A9A7000E80700000802500355555555556B5B7100E0070000080319020D00000000B85E7100E807000008035902FF55555555F7227200E0070000080221010000000000F7467200E807000008037F2111555555556F097300E007000008022104000000000056317300E807000008037F21115555555555F67300E0070000080322ED0300000000801C7400E807000008104362ED03FFE7FF89827400E007000008300000000000000088887400E80700000821E00001000100005C907400E8070000082200000010000100ED9B7400E807000008230000000000000002A07400E8070000082400000000000000D9A87400E80700000825000000FFFF000290AF7400E80700000826020001020EB72D65B77400E8070000082700018EEC021046C3C37400E807000008281900050000010007C77400E80700000829000000FFFF555591897500E00700000802210E00000000000FA37500E807000008037F211155555555F4647600E0070000080322ED01000000007B8D7600E807000008102562ED01FFFF7E99F37600E007000008300000000000000081F97600E80700000821F8001C35419548E6037700E807000008224F4FA54B261300DB0C7700E807000008235A159100FF0000EE107700E807000008240245C94FFF1E03EB197700E807000008250000235555555508DE7700E0070000080120000000000000</t>
  </si>
  <si>
    <t>819A7F00E0070000080210030000000000BBBE7F00E80700000802500355555555553E828000E0070000080319020D0000000013AB8000E807000008035902FF55555555896D8100E0070000080221010000000000F9928100E807000008037F21115555555571578200E0070000080221040000000000557D8200E807000008037F21115555555537428300E0070000080322ED0300000000F2678300E807000008104362ED03FFE7FF1ECB8300E0070000083000000000000000B8CC8300E80700000821E00001000100007FD48300E80700000822000000100001005ADC8300E8070000082300000000000000A1EA8300E8070000082400000000000000F5EB8300E80700000825000000FFFF0002B8F38300E80700000826020001020EB72D88FB8300E8070000082700018F5502104661038400E8070000082882000500000100E4108400E80700000829000000FFFF5555DED48400E00700000802210E00000000004DEE8400E807000008037F21115555555539B28500E0070000080322ED0100000000F3D88500E807000008102562ED01FFFF7E233C8600E0070000083000000000000000A93D8600E80700000821F8001C3536864879458600E80700000822505DA54B261300524D8600E807000008234D0E8F00FF0000095D8600E807000008240246CC51FF1E03B8648600E807000008250000205555555561258700E0070000080120000000000000</t>
  </si>
  <si>
    <t>B9928600E0070000080210C0000000000048B78600E8070000080250C0AAAAAAAAAA487B8700E0070000080221800000000000B4A38700E807000008101A618032313337DF068800E007000008300000000000000046128800E8070000082152C13033373130D3258800E807000008223734521705B40061398800E80700000823014001010188AA09FA8800E0070000080319023B000000004EF98C00E80700000810135902FF2263217A5C8D00E007000008300000000000000073698D00E8070000082150226322500380FD7C8D00E80700000822962000029150AAC03D8E00E007000008021081000000000056588E00E807000008025081AAAAAAAAAAF4208F0043070000080210C00000000000EC3E8F0063070000080250C0A2A2A2A2A2CD02900043070000080221800000000000E82990006307000008101A6180313830390F8D900043070000083000000000000000969F9000630700000821522430323038307EC6900063070000082235355203020506ACED9000630700000823124002010088A28EB0910043070000080319023B0000000087D89100630700000810235902B9930911A63B920043070000083000000000000000584E9200630700000821109309121093092D759200630700000822131094021110945C9C9200630700000823021310C101001086C39200630700000824C1810010C12700C0EA920063070000082510A2A2A2A2A2A264AC930043070000080322220100000000DCD5930063070000081011622201009E0CFC389400430700000830000000000000003B4B9400630700000821630C720C7C011253729400630700000822AE570BCDA2A2A2F6329500430700000803220202000000002D5D9500630700000807620202199C00002E219600430700000803222002000000002548960063070000080662200203FF00A2B00B9700430700000802108100000000003D3197006307000008025081A2A2A2A2A285F5970052070000080210C0000000000062FC970072070000080250C000000000006DBE980052070000080221800000000000525C99007207000008101A6180393630357ABF9900520700000830000000000000007DD199007207000008215204414D52303292F999007207000008223431300305E378DA1F9A007207000008234EC50100008878F2E39A0052070000080319023B00000000800A9B007207000008035902B90000887869CE9B0052070000080210810000000000F9F49B007207000008025081B900008878DCBB9C0055070000080210C0000000000011C69C0075070000080250C00000000000D0879D00550700000802218000000000002E4D9E007507000008101A618037383936FDB19E00550700000830000000000000001EC39E0075070000082152044141393134DC109F0075070000082237315200050000225F9F0075070000082300000201008800D11FA00055070000080319023B00000000620EA100750700000810335902B951011C8B71A10055070000083000000000000000CB82A100750700000821285101132950C397D1A100750700000822491050C3491051471FA200750700000823687928C1550028956DA20075070000082450C3491050C349CBBBA2007507000008251050C3491050C3040AA300750700000826491050C34910508B59A300750700000827C34910C3491050601BA400550700000802108100000000000443A400750700000802508110C34910501F09A500E1070000080210C00000000000D69CA900E1070000080210C00000000000AE30AE00E1070000080210C0000000000088C4B200E1070000080210C000000000006E58B700E107000008021003000000000048ECBB00E10700000802100300000000002580C000E1070000080210030000000000FB13C500E1070000080210030000000000DFA4C900E1070000080210010000000000B53BCE0051070000080210C00000000000A7CFD20051070000080210C000000000008E63D70051070000080210C000000000006BF7DB0051070000080210C00000000000398BE00051070000080210030000000000241FE500510700000802100300000000000FB3E90051070000080210030000000000ED46EE0051070000080210030000000000ABD7F200510700000802100100000000009B6EF70042070000080210C00000000000AE75F70062070000080250C0FFFFFFFFFFA736F80042070000080221800000000000E042F8006207000008101A6180313337331DA6F8004207000008300000000000000041AAF80062070000082152043233313336F2B1F800620700000822303952024A0700ECB9F800620700000823000702010088FF847BF90042070000080319023B00000000E081F9006207000008035902B9FFFFFFFF5E47FA0042070000080210810000000000E656FA006207000008025081FFFFFFFFFF0D1CFB0045070000080210C00000000000BE1EFB0065070000080250C0FFFFFFFFFF16E0FB004507000008022180000000000034E3FB006507000008101A6180353630375A46FC0045070000083000000000000000C747FC0065070000082152043030313437B14AFC00650700000822303752140E1710D24BFC00650700000823171002010088FFE10CFD0045070000080319023B000000003A0FFD00650700000810E75902B9953212EF72FD00450700000830000000000000008A74FD0065070000082110953211105A84B777FD0065070000082231105A8496105A6D7CFD006507000008238531105A8596108C7DFD006507000008245A8331105A8396AC7EFD00650700000825105A8231105A821780FD00650700000826961095B0021095F382FD006507000008273E1410953F14101284FD0065070000082895401410953B142E85FD0065070000082910953C1410953DA186FD0065070000082A14105A8055105A7788FD0065070000082B80541095D018A8588FFD0065070000082C957C1410957C127790FD0065070000082D10957D1410957D9391FD0065070000082E1210957E141095B192FD0065070000082F7E1210951296106096FD0065070000082095781110957815D599FD0065070000082110951181109510F29AFD00650700000822141095101210950E9CFD006507000008236D1410956D121050A0FD00650700000824956E1410956E1224A4FD0065070000082510956F1410956F3CA5FD00650700000826121095C31510956DA6FD00650700000827831410958312108BA7FD0065070000082895841410958412A7A8FD0065070000082910958714109587C4A9FD0065070000082A12109588141095E0AAFD0065070000082B881210955B1410FBABFD0065070000082C955B12109542969FADFD0065070000082D1095D2081095D8F5B3FD0065070000082E081095F471109531B7FD0065070000082F361110953511104EB8FD006507000008209538111095371176B9FD0065070000082110FFFFFFFFFFFF0B7CFE0045070000080221710000000000237EFE006507000008102A6171000000004BE1FE0045070000083000000000000000C7E2FE006507000008210000000000000028E4FE006507000008220000000000000058E5FE006507000008230000000000000073ECFE0065070000082407004E07D00A2826F0FE0065070000082500000000050A0450F1FE00650700000826B0FFFFFFFFFFFF98B4FF00450700000802210A000000000036B6FF00650700000805610AF9DC80FFFFD977000145070000080221740000000000FF790001650700000810126174040000001DDD000145070000083000000000000000F4DE00016507000008210000000000000032E0000165070000082200FFFFFFFFFFFFE4A001014507000008021081000000000084A201016507000008025081FFFFFFFFFF</t>
  </si>
  <si>
    <t>3A878600E0070000080210C0000000000040A98600E8070000080250C0AAAAAAAAAA976B8700E00700000802218000000000009C938700E807000008101A618032313337C8F68700E00700000830000000000000002F048800E8070000082152C13033373130DF188800E807000008223734521705B4002E2B8800E80700000823014001010188AA63EE8800E0070000080319023B0000000039128D00E80700000810135902FF22632162758D00E007000008300000000000000062828D00E80700000821502263225003804C968D00E80700000822966000029150AA0C598E00E00700000802108100000000003C718E00E807000008025081AAAAAAAAAAE0368F0043070000080210C0000000000035718F0063070000080250C0A2A2A2A2A2A931900043070000080221800000000000325C90006307000008101A618031383039DBC0900043070000083000000000000000A5D1900063070000082152243032303830B8F890006307000008223535520302050610209100630700000823124002010088A24BE3910043070000080319023B00000000CF0A9200630700000810235902B9930911577092004307000008300000000000000045819200630700000821109309121093098FA8920063070000082213109402111094EBCE9200630700000823021310C1010010D6F59200630700000824C1810010C12700F41C930063070000082510A2A2A2A2A2A212DF9300430700000803222201000000009E0894006307000008101162220100A00CF66C9400430700000830000000000000009A7D9400630700000821130C9A0C7001128DA49400630700000822AE570BEFA2A2A2C36595004307000008032202020000000073909500630700000807620202199B00000D54960043070000080322200200000000A47A960063070000080662200203FF00A2E83E970043070000080210810000000000856597006307000008025081A2A2A2A2A2582E980052070000080210C000000000001952980072070000080250C000000000002613990052070000080221800000000000ED8A99007207000008101A61803936303550EF99005207000008300000000000000016009A007207000008215204414D52303231279A007207000008223431300305E3784D4E9A007207000008234EC50100008878050F9B0052070000080319023B00000000FB119B007207000008035902B900008878EDD69B005207000008021081000000000074FC9B007207000008025081B900008878ACC39C0055070000080210C000000000009DE49C0075070000080250C010C349105001A79D0055070000080221800000000000C86B9E007507000008101A618037383936EFCE9E005507000008300000000000000011E19E00750700000821520441413931346A2F9F0075070000082237315200050000B77D9F0075070000082300000201008800323FA00055070000080319023B00000000492DA100750700000810335902B951011C8190A1005507000008300000000000000070A1A100750700000821295101132950C3B7EFA100750700000822491050C3491051F13DA200750700000823687928C1550028278CA20075070000082450C3491050C34978DAA2007507000008251050C3491050C3BE28A300750700000826491050C3491050F976A300750700000827C34910C3491050A73AA40055070000080210810000000000BB61A400750700000802508110C34910501B28A500E1070000080210C00000000000F0BBA900E1070000080210C00000000000E44FAE00E1070000080210C00000000000E3E3B200E1070000080210C000000000009F77B700E10700000802100300000000007C0BBC00E10700000802100300000000005C9FC000E10700000802100300000000004133C500E1070000080210030000000000C4C4C900E1070000080210010000000000F95ACE0051070000080210C00000000000E9EED20051070000080210C00000000000BE82D70051070000080210C000000000009716DC0051070000080210C000000000008DABE000510700000802100300000000005542E5005107000008021003000000000024D6E900510700000802100300000000000D6AEE0051070000080210030000000000D7FAF20051070000080210010000000000CE91F70042070000080210C00000000000049CF70062070000080250C0FFFFFFFFFFA55DF800420700000802218000000000001C65F8006207000008101A61803133373341C8F8004207000008300000000000000094CCF8006207000008215204323331333647D4F800620700000822303952024A0700FFDBF800620700000823000702010088FF049EF90042070000080319023B000000002BABF9006207000008035902B9FFFFFFFF176DFA00420700000802108100000000003776FA006207000008025081FFFFFFFFFF4A3BFB0045070000080210C00000000000DF42FB0065070000080250C0FFFFFFFFFF3107FC0045070000080221800000000000EA0DFC006507000008101A6180353630371071FC0045070000083000000000000000F072FC00650700000821520430303134372374FC00650700000822303752140E17104475FC00650700000823171002010088FFD337FD0045070000080319023B000000000E3AFD00650700000810E75902B9953212369DFD00450700000830000000000000009C9EFD0065070000082110953211105A84B99FFD0065070000082231105A8496105A49A4FD006507000008238531105A85961068A5FD006507000008245A8331105A839688A6FD00650700000825105A8231105A82F2A7FD00650700000826961095B00210959DA9FD006507000008273E1410953F141079ABFD0065070000082895401410953B1470B6FD0065070000082910953C1410953D4AB8FD0065070000082A14105A8055105A67B9FD0065070000082B80541095D018A88DBAFD0065070000082C957C1410957C12ABBBFD0065070000082D10957D1410957DC7BCFD0065070000082E1210957E141095DEC3FD0065070000082F7E121095129610FDC4FD006507000008209578111095781517C6FD006507000008211095118110951041C7FD006507000008221410951012109590CAFD006507000008236D1410956D1210ABCBFD00650700000824956E1410956E12C7CCFD0065070000082510956F1410956FDFCDFD00650700000826121095C315109500CFFD00650700000827831410958312101ED0FD0065070000082895841410958412A7D2FD0065070000082910958714109587CDD3FD0065070000082A12109588141095EAD4FD0065070000082B881210955B141004D6FD0065070000082C955B121095429665DAFD0065070000082D1095D2081095D816DCFD0065070000082E081095F47110955AE2FD0065070000082F36111095351110C4E3FD00650700000820953811109537116DE5FD0065070000082110FFFFFFFFFFFF18A7FE004507000008022171000000000030A9FE006507000008102A6171000000005A0CFF0045070000083000000000000000D112FF00650700000821000000000000001A14FF0065070000082200000000000000741AFF0065070000082300000000000000971BFF0065070000082407004E07D00A284F1DFF0065070000082500000000050A04EC23FF00650700000826B0FFFFFFFFFFFF6AE7FF00450700000802210A000000000025E9FF00650700000805610AF9DC80FFFFBCAA000145070000080221740000000000A0AC000165070000081012617404000000C20F0101450700000830000000000000004F110101650700000821000000000000007C12010165070000082200FFFFFFFFFFFF81D301014507000008021081000000000008DC01016507000008025081FFFFFFFFFF</t>
  </si>
  <si>
    <t>3C928600E0070000080210C00000000000C4B68600E8070000080250C0AAAAAAAAAA5E778700E007000008022180000000000027A18700E807000008101A6180323133374E048800E0070000083000000000000000D7118800E8070000082152C1303337313065258800E807000008223734521705B400EB388800E80700000823014001010188AA04FA8800E0070000080319023B00000000D6F88C00E80700000810135902FF226321FB5B8D00E0070000083000000000000000FA688D00E8070000082150226322500380317F8D00E80700000822966000029150AAAE418E00E0070000080210810000000000DE578E00E807000008025081AAAAAAAAAA8D1B8F0043070000080210C000000000003B548F0063070000080250C0A2A2A2A2A27016900043070000080221800000000000303F90006307000008101A61803138303954A2900043070000083000000000000000C1B4900063070000082152243032303830FEDB900063070000082235355203020506FF029100630700000823124002010088A217C4910043070000080319023B00000000F0ED9100630700000810235902B99309111551920043070000083000000000000000A163920063070000082110930912109309928A920063070000082213109402111094BCB19200630700000823021310C1010010EED89200630700000824C1810010C127003100930063070000082510A2A2A2A2A2A2D7C393004307000008032222010000000027EB93006307000008101162220100A20CEE539400430700000830000000000000009C6094006307000008211C0C2A0BFE0112AF879400630700000822AE570B4BA2A2A26A4A95004307000008032202020000000089729500630700000807620202198A0000D834960043070000080322200200000000755D960063070000080662200203FF00A2221F9700430700000802108100000000005A4897006307000008025081A2A2A2A2A2AA0C980052070000080210C00000000000E632980072070000080250C00000000000FAF3980052070000080221800000000000B26B99007207000008101A61803936303554D1990052070000083000000000000000DAE099007207000008215204414D523032F2079A007207000008223431300305E3780F2F9A007207000008234EC50100008878C3EF9A0052070000080319023B00000000B9F29A007207000008035902B900008878EDB69B00520700000802108100000000002BDD9B007207000008025081B900008878BFA59C0055070000080210C00000000000D7CA9C0075070000080250C010C3491050A18B9D0055070000080221800000000000FA519E007507000008101A618037383936B0B59E00550700000830000000000000004CC79E0075070000082152044141393134FC159F0075070000082237315200050000CC639F00750700000823000002010088009627A00055070000080319023B00000000203AA100750700000810335902B951011C2F9FA10055070000083000000000000000BEAEA100750700000821285101132950C3D5FCA100750700000822491050C3491051114BA200750700000823687928C15500285499A20075070000082450C3491050C3499BE7A2007507000008251050C3491050C31436A300750700000826491050C34910503B84A300750700000827C34910C34910504D46A400550700000802108100000000000348A400750700000802508110C3491050C20CA500E1070000080210C00000000000A2A0A900E1070000080210C000000000007634AE00E1070000080210C000000000005EC8B200E1070000080210C000000000003C5CB700E107000008021003000000000036F0BB00E10700000802100300000000001B84C000E1070000080210030000000000F617C500E1070000080210030000000000BCA8C900E10700000802100100000000009B3FCE0051070000080210C0000000000079D3D20051070000080210C000000000007167D70051070000080210C000000000003BFBDB0051070000080210C000000000002C8FE000510700000802100300000000002623E50051070000080210030000000000DFB6E90051070000080210030000000000BD4AEE0051070000080210030000000000A0DBF200510700000802100100000000007C72F70042070000080210C000000000003D7FF70062070000080250C0FFFFFFFFFF4548F80042070000080221800000000000084FF8006207000008101A6180313337332EB2F80042070000083000000000000000ADB8F8006207000008215204323331333644C0F800620700000822303952024A070028C8F800620700000823000702010088FF7A8AF90042070000080319023B00000000E497F9006207000008035902B9FFFFFFFF8F59FA0042070000080210810000000000446CFA006207000008025081FFFFFFFFFF6033FB0045070000080210C00000000000FB38FB0065070000080250C0FFFFFFFFFF71FBFB00450700000802218000000000006CFDFB006507000008101A618035363037F261FC00450700000830000000000000004565FC0065070000082152043030313437DD66FC00650700000822303752140E17101368FC00650700000823171002010088FF2D2CFD0045070000080319023B000000008A2EFD00650700000810E75902B9953212B391FD0045070000083000000000000000E895FD0065070000082110953211105A844B9AFD0065070000082231105A8496105A6B9DFD006507000008238531105A8596108B9EFD006507000008245A8331105A8396AC9FFD00650700000825105A8231105A82C8A0FD00650700000826961095B002109579A2FD006507000008273E1410953F1410FBA4FD0065070000082895401410953B14B0AAFD0065070000082910953C1410953DD2ABFD0065070000082A14105A8055105AF2ACFD0065070000082B80541095D018A817AEFD0065070000082C957C1410957C1236AFFD0065070000082D10957D1410957D52B0FD0065070000082E1210957E14109570B1FD0065070000082F7E1210951296108EB2FD0065070000082095781110957815A9B3FD0065070000082110951181109510C6B4FD006507000008221410951012109594B6FD006507000008236D1410956D1210C2BCFD00650700000824956E1410956E1236C6FD0065070000082510956F1410956F65C7FD00650700000826121095C315109585C8FD0065070000082783141095831210A3C9FD006507000008289584141095841268CCFD006507000008291095871410958799CDFD0065070000082A12109588141095B5CEFD0065070000082B881210955B1410CFCFFD0065070000082C955B1210954296EFD0FD0065070000082D1095D2081095D80CD2FD0065070000082E081095F471109524D3FD0065070000082F3611109535111041D4FD006507000008209538111095371161D8FD0065070000082110FFFFFFFFFFFF229DFE00450700000802217100000000002A9FFE006507000008102A6171000000004C02FF0045070000083000000000000000A005FF0065070000082100000000000000190AFF0065070000082200000000000000490BFF00650700000823000000000000006C0CFF0065070000082407004E07D00A28F70DFF0065070000082500000000050A04E710FF00650700000826B0FFFFFFFFFFFFC7D4FF00450700000802210A000000000057D6FF00650700000805610AF9DC80FFFF1C97000145070000080221740000000000009900016507000008101261740400000023FC0001450700000830000000000000009FFD000165070000082100000000000000CAFE000165070000082200FFFFFFFFFFFF14C0010145070000080210810000000000B5C101016507000008025081FFFFFFFFFF</t>
  </si>
  <si>
    <t>55448E00E007000008021003000000000054698E00E807000008037F101255555555812F8F00E007000008021001000000000089538F00E807000008037F101255555555E3199000E0070000080210900000000000E23D9000E80700000802509055555555550C019100E007000008041800FF0000000037289100E807000008025800555555555560EB9100E00700000802218100000000009A129200E807000008037F2112555555559BD59200E0070000080221010000000000CFFD9200E80700000810286101FFFFFFFFFE609300E0070000083000000000000000AE699300E80700000821002A001E0C494106749300E8070000082241A149281300FF50799300E807000008231B8D000A00000022819300E8070000082447A041FF1E0300F3889300E80700000825002AFFFFFFFF559A4C9400E0070000080221040000000000455D9400E80700000810266104FFFFFFFF70C09400E007000008300000000000000036C99400E80700000821684E410A0006FF12D19400E807000008222A00001E1B722723DC9400E8070000082301010100FF0000AFE09400E807000008240000418CFF801B85E89400E8070000082500FFFFFF5555555FAD9500E0070000080221B300000000001FBC9500E807000008037F211255555555117F9600E00700000802210E0000000000ACA69600E8070000081025610E010100F7D8099700E0070000083000000000000000600B9700E807000008210001000000000028139700E8070000082201010100FF00FF041B9700E80700000823FF00010301FF01CE229700E80700000824FF010000010000932A9700E80700000825FF0101555555555BEE9700E0070000080221010000000000D5069800E80700000810286101FFFFFFFFFC699800E0070000083000000000000000B2729800E80700000821002A001E0C4941FC7B9800E8070000082241A001281300FF56829800E807000008231A8D000A000000228A9800E80700000824479F41FF1E0300F6919800E80700000825002AFFFFFFFF55C1559900E00700000801200000000000008F659900E8070000080160555555555555</t>
  </si>
  <si>
    <t>0B918600E0070000080210C00000000000C6B68600E8070000080250C0AAAAAAAAAA5E778700E007000008022180000000000000A08700E807000008101A61803231333724038800E0070000083000000000000000A8108800E8070000082152C1303337313031248800E807000008223734521705B400DA378800E80700000823014001010188AA0AFA8800E0070000080319023B00000000D3F78C00E80700000810135902FF226321FD5A8D00E0070000083000000000000000CC678D00E80700000821502263225003809A7B8D00E80700000822962000029150AAAE3D8E00E0070000080210810000000000D8588E00E807000008025081AAAAAAAAAA881F8F0043070000080210C0000000000070578F0063070000080250C0A2A2A2A2A23C1A9000430700000802218000000000004C4290006307000008101A618031383039A8A59000430700000830000000000000000CB890006307000008215224303230383017DF90006307000008223535520302050610069100630700000823124002010088A201C8910043070000080319023B00000000F9F09100630700000810235902B99309112454920043070000083000000000000000B866920063070000082110930912109309B58D920063070000082213109402111094DCB49200630700000823021310C10100102EDC9200630700000824C1810010C127004303930063070000082510A2A2A2A2A2A2C7C39300430700000803222201000000002AEE93006307000008101162220100A00C4C51940043070000083000000000000000CE639400630700000821430B960B890112D98A9400630700000822AE570AD8A2A2A2274F950043070000080322020200000000E3719500630700000807620202197A0000C134960043070000080322200200000000C95C960063070000080662200203FF00A21A1F9700430700000802108100000000009D4797006307000008025081A2A2A2A2A28C0C980052070000080210C000000000006013980072070000080250C00000000000D1D5980052070000080221800000000000517399007207000008101A6180393630357CD69900520700000830000000000000007DE899007207000008215204414D5230329A0F9A007207000008223431300305E378B5369A007207000008234EC5010000887847F99A0052070000080319023B0000000080219B007207000008035902B900008878C8E59B0052070000080210810000000000020C9C007207000008025081B9000088783AD39C0055070000080210C000000000001AF49C0075070000080250C00000000000B9B69D005507000008022180000000000017A39E007507000008101A61803738393640069F0055070000083000000000000000D9179F0075070000082152044141393134FA659F00750700000822373152000500002AB49F00750700000823000002010088006878A00055070000080319023B00000000868AA100750700000810335902B951011CABEDA100550700000830000000000000004EFFA100750700000821285101132950C3694DA200750700000822491050C3491051149CA200750700000823687928C1550028E6E9A20075070000082450C3491050C3492438A3007507000008251050C3491050C3C886A300750700000826491050C3491050C7D4A300750700000827C34910C34910506D98A4005507000008021081000000000075BFA400750700000802508110C3491050E885A500E1070000080210C00000000000CF19AA00E1070000080210C00000000000DDADAE00E1070000080210C000000000007A41B300E1070000080210C000000000005ED5B700E10700000802100300000000005569BC00E10700000802100300000000001CFDC000E10700000802100300000000001E91C500E10700000802100300000000001522CA00E1070000080210010000000000C4B8CE0051070000080210C00000000000A74CD30051070000080210C000000000007EE0D70051070000080210C000000000007474DC0051070000080210C000000000005308E10051070000080210030000000000999CE500510700000802100300000000000430EA0051070000080210030000000000DDC3EE0051070000080210030000000000A554F30051070000080210010000000000A6EBF70042070000080210C00000000000B6F4F70062070000080250C0FFFFFFFFFFF6B7F80042070000080221800000000000EEBEF8006207000008101A6180313337331422F90042070000083000000000000000332BF900620700000821520432333133363030F900620700000822303952024A0700EA37F900620700000823000702010088FFBCFBF90042070000080319023B000000000A07FA006207000008035902B9FFFFFFFFD8CAFA004207000008021081000000000019D2FA006207000008025081FFFFFFFFFF319CFB0045070000080210C00000000000229EFB0065070000080250C0FFFFFFFFFF4761FC0045070000080221800000000000B766FC006507000008101A618035363037E1C9FC00450700000830000000000000004BCBFC006507000008215204303031343768CCFC00650700000822303752140E171088CDFC00650700000823171002010088FFA991FD0045070000080319023B000000009995FD00650700000810E75902B9953212BAF8FD0045070000083000000000000000A0FAFD0065070000082110953211105A84BBFBFD0065070000082231105A8496105A1BFDFD006507000008238531105A8596104503FE006507000008245A8331105A83966504FE00650700000825105A8231105A828105FE00650700000826961095B0021095A809FE006507000008273E1410953F1410B50DFE0065070000082895401410953B14840FFE0065070000082910953C1410953D7D12FE0065070000082A14105A8055105A1B17FE0065070000082B80541095D018A84218FE0065070000082C957C1410957C126019FE0065070000082D10957D1410957DF51AFE0065070000082E1210957E141095C91DFE0065070000082F7E121095129610E81EFE00650700000820957811109578150220FE00650700000821109511811095109924FE0065070000082214109510121095FE29FE006507000008236D1410956D1210C92BFE00650700000824956E1410956E12E32CFE0065070000082510956F1410956F2431FE00650700000826121095C31510959F34FE00650700000827831410958312107336FE00650700000828958414109584126939FE00650700000829109587141095878D3EFE0065070000082A12109588141095A93FFE0065070000082B881210955B1410C440FE0065070000082C955B1210954296E241FE0065070000082D1095D2081095D80143FE0065070000082E081095F47110951944FE0065070000082F361110953511103645FE00650700000820953811109537115E46FE0065070000082110FFFFFFFFFFFFBA08FF0045070000080221710000000000C20AFF006507000008102A617100000000626EFF0045070000083000000000000000DD6FFF00650700000821000000000000006D74FF00650700000822000000000000009D75FF0065070000082300000000000000BF76FF0065070000082407004E07D00A28E877FF0065070000082500000000050A041479FF00650700000826B0FFFFFFFFFFFF573D0001450700000802210A000000000020410001650700000805610AF9DC80FFFFC205010145070000080221740000000000B207010165070000081012617404000000D26A010145070000083000000000000000EA6D010165070000082100000000000000156F010165070000082200FFFFFFFFFFFF5731020145070000080210810000000000F73202016507000008025081FFFFFFFFFF</t>
  </si>
  <si>
    <t>6B6B6F00E00700000802100300000000009C906F00E80700000802500355555555559D517000E0070000080319020D00000000CF557000E807000008035902FF555555556F197100E0070000080221010000000000013E7100E807000008037F2111555555554AFF7100E00700000802210400000000004A017200E807000008037F211155555555B2C27200E0070000080322ED0300000000E6C47200E807000008104362ED03FFE7FF13287300E0070000083000000000000000BC2A7300E80700000821E0000100010000A7317300E80700000822000000100001004E397300E80700000823000000000000007A4D7300E807000008240000000000000060517300E80700000825000000FFFF0002A0597300E807000008260200000212EE9C54607300E80700000827000000000212EE846F7300E807000008289C000000000000C0777300E80700000829000000FFFF5555C3397400E00700000802210E00000000004C4B7400E807000008037F211155555555820C7500E0070000080322ED0100000000D80E7500E807000008102562ED01FFFF7E00727500E00700000830000000000000008C737500E80700000821F8001B33348149757C7500E807000008225053A40B26130036837500E8070000082354109000FF0000E4987500E807000008240246CC52FF1E039A9A7500E8070000082500002155555555F75C7600E0070000080120000000000000</t>
  </si>
  <si>
    <t>7E917E00E007000008021003000000000092B37E00E8070000080250035555555555C3747F00E0070000080319020D00000000D87B7F00E807000008035902FF55555555D6478000E0070000080221010000000000FB608000E807000008037F21115555555575228100E00700000802210400000000004E248100E807000008037F2111555555559AE58100E0070000080322ED0300000000E1E78100E807000008104362ED03FFE7FF674B8200E0070000083000000000000000C34C8200E80700000821E000010001000060548200E80700000822000000100001003B5C8200E807000008230000000000000081688200E8070000082400000000000000D26B8200E80700000825000000FFFF0002A1738200E807000008260200000212EE9C6B7B8200E80700000827000097EF02138644838200E807000008288B0002000000005C958200E80700000829000000FFFF5555AD588300E00700000802210E0000000000426E8300E807000008037F211155555555872F8400E0070000080322ED0100000000C0318400E807000008102562ED01FFFF7EA3958400E00700000830000000000000004D9E8400E80700000821F800203628844818A68400E80700000822545CA54B26130098B28400E807000008234E119100FF0000C2B68400E807000008240245CC5AFF1E0387BD8400E8070000082500002255555555767F8500E0070000080120000000000000</t>
  </si>
  <si>
    <t>22E28500E0070000080210030000000000E5068600E807000008037F1012555555550ACB8600E00700000802100100000000000BF18600E807000008037F1012555555557AB58700E007000008021090000000000062DB8700E80700000802509055555555558B9C8800E007000008041800FF00000000AD9E8800E8070000080258005555555555C95F8900E007000008022181000000000002628900E807000008037F21125555555507238A00E00700000802210100000000001A268A00E80700000810286101FFFFFFFF41898A00E007000008300000000000000003928A00E80700000821002B001E0C4943D7998A00E8070000082243A009281300FFF7A48A00E807000008231A8E000A00000075A98A00E80700000824479F43FF1E030049B18A00E80700000825002AFFFFFFFF55F5728B00E00700000802210400000000009D858B00E80700000810266104FFFFFFFFC9E88B00E00700000830000000000000008EF18B00E80700000821664F430A0006FF68F98B00E807000008222A00001E1A723138018C00E8070000082300000100FF000006098C00E807000008240000428DFF801BCF108C00E8070000082500FFFFFF55555584D28C00E0070000080221B3000000000068E48C00E807000008037F2112555555559BA58D00E00700000802210E0000000000F4A78D00E8070000081025610E010100F7250B8E00E0070000083000000000000000A90C8E00E807000008210001000000000071148E00E8070000082201010100FF00FF4C1C8E00E80700000823FF00010301FF0146278E00E80700000824FF010000010000D82B8E00E80700000825FF010155555555B5ED8E00E00700000802210100000000000C088F00E80700000810286101FFFFFFFF396B8F00E0070000083000000000000000F9738F00E80700000821002B001E0C4943C97B8F00E8070000082243A009281300FF97868F00E807000008231B8D000A000000698B8F00E80700000824479F43FF1E030062948F00E80700000825002AFFFFFFFF5510559000E0070000080120000000000000D6669000E8070000080160555555555555</t>
  </si>
  <si>
    <t>A08B8600E0070000080210C0000000000022AA8600E8070000080250C0AAAAAAAAAA786C8700E007000008022180000000000093948700E807000008101A618032313337BEF78700E00700000830000000000000002C058800E8070000082152C13033373130B9188800E807000008223734521705B400472C8800E80700000823014001010188AA65EE8800E0070000080319023B00000000D0EC8C00E80700000810135902FF2263218A538D00E0070000083000000000000000675C8D00E8070000082150226322500380F06F8D00E80700000822962000029150AA0A328E00E0070000080210810000000000444B8E00E807000008025081AAAAAAAAAAD90F8F0043070000080210C000000000004A388F0063070000080250C0A2A2A2A2A21CFB8F0043070000080221800000000000582590006307000008101A6180313830397D88900043070000083000000000000000BF9B900063070000082152243032303830C6C190006307000008223535520302050638E99000630700000823124002010088A28FAC910043070000080319023B0000000092D39100630700000810235902B9930911B2369200430700000830000000000000006048920063070000082110930912109309D56F92006307000008221310940211109448969200630700000823021310C1010010A2C09200630700000824C1810010C1270053E6920063070000082510A2A2A2A2A2A2CAA89300430700000803222201000000001ECF93006307000008101162220100B30A42329400430700000830000000000000002D479400630700000821C20AEB0B140112F06B9400630700000822AE570A68A2A2A2812F950043070000080322020200000000CB569500630700000807620202196A000080199600430700000803222002000000008B41960063070000080662200203FF00A2F003970043070000080210810000000000662C97006307000008025081A2A2A2A2A257F1970052070000080210C000000000001708980072070000080250C00000000000F6C8980052070000080221800000000000EE4099007207000008101A61803936303517A499005207000008300000000000000019B699007207000008215204414D52303231DD99007207000008223431300305E3784F049A007207000008234EC5010000887899C89A0052070000080319023B000000001AEF9A007207000008035902B90000887807B39B005207000008021081000000000092D99B007207000008025081B90000887874A09C0055070000080210C00000000000E4B89C0075070000080250C00000000000C17C9D005507000008022180000000000005699E007507000008101A61803738393629CC9E005507000008300000000000000066DC9E0075070000082152044141393134A82A9F0075070000082237315200050000E1789F0075070000082300000201008800353EA00055070000080319023B000000004A4FA100750700000810335902B951011C71B2A10055070000083000000000000000C1C3A100750700000821285101132950C32B12A200750700000822491050C34910514260A200750700000823687928C15500289CB0A20075070000082450C3491050C349BFFCA2007507000008251050C3491050C3164BA300750700000826491050C34910502499A300750700000827C34910C3491050E359A40055070000080210810000000000C75CA400750700000802508110C34910503E24A500E1070000080210C0000000000005B8A900E1070000080210C00000000000A44CAE00E1070000080210C00000000000CDDFB200E1070000080210C00000000000B973B700E10700000802100300000000009D07BC00E1070000080210030000000000739BC000E10700000802100300000000004E2FC500E107000008021003000000000014C0C900E10700000802100100000000001E57CE0051070000080210C0000000000004EBD20051070000080210C00000000000C27ED70051070000080210C00000000000C412DC0051070000080210C000000000009DA6E000510700000802100300000000006D3AE500510700000802100300000000004ECEE900510700000802100300000000004762EE0051070000080210030000000000FEF2F20051070000080210010000000000E489F70042070000080210C00000000000BB8FF70062070000080250C0FFFFFFFFFFF551F80042070000080221800000000000725DF8006207000008101A61803133373397C0F800420700000830000000000000003FC4F80062070000082152043233313336F1CBF800620700000822303952024A0700E7D3F800620700000823000702010088FF3696F90042070000080319023B00000000B7A6F9006207000008035902B9FFFFFFFF2B69FA0042070000080210810000000000CA75FA006207000008025081FFFFFFFFFF4E3BFB0045070000080210C00000000000EA3CFB0065070000080250C0FFFFFFFFFF5AFFFB00450700000802218000000000005501FC006507000008101A618035363037EB65FC00450700000830000000000000005567FC00650700000821520430303134377168FC00650700000822303752140E17109269FC00650700000823171002010088FF1E2CFD0045070000080319023B00000000582EFD00650700000810E75902B99532127C91FD0045070000083000000000000000AC94FD0065070000082110953211105A84C895FD0065070000082231105A8496105AE396FD006507000008238531105A8596100198FD006507000008245A8331105A8396669EFD00650700000825105A8231105A82819FFD00650700000826961095B0021095A7A0FD006507000008273E1410953F1410C6A1FD0065070000082895401410953B14E2A2FD0065070000082910953C1410953D05A4FD0065070000082A14105A8055105A24A5FD0065070000082B80541095D018A848ACFD0065070000082C957C1410957C1267ADFD0065070000082D10957D1410957D86AEFD0065070000082E1210957E14109548B3FD0065070000082F7E12109512961068B4FD006507000008209578111095781582B5FD00650700000821109511811095109DB6FD0065070000082214109510121095BAB7FD006507000008236D1410956D1210D4B8FD00650700000824956E1410956E12F0BAFD0065070000082510956F1410956F09BCFD00650700000826121095C315109575BDFD00650700000827831410958312101ABFFD0065070000082895841410958412F3C0FD00650700000829109587141095870FC2FD0065070000082A121095881410952BC4FD0065070000082B881210955B141044C7FD0065070000082C955B121095429662C8FD0065070000082D1095D2081095D881C9FD0065070000082E081095F471109599CAFD0065070000082F36111095351110B6CBFD006507000008209538111095371174CDFD0065070000082110FFFFFFFFFFFF8F8FFE0045070000080221710000000000A897FE006507000008102A617100000000CFFAFE0045070000083000000000000000B9FCFE0065070000082100000000000000E5FFFE00650700000822000000000000001601FF00650700000823000000000000003802FF0065070000082407004E07D00A286103FF0065070000082500000000050A04A704FF00650700000826B0FFFFFFFFFFFF1EC8FF00450700000802210A000000000095CFFF00650700000805610AF9DC80FFFF36930001450700000802217400000000001A950001650700000810126174040000004AF8000145070000083000000000000000C8F9000165070000082100000000000000F1FA000165070000082200FFFFFFFFFFFF9DBC010145070000080210810000000000DDBE01016507000008025081FFFFFFFFFF</t>
  </si>
  <si>
    <t>10.11.62.22.01.00.23.16</t>
  </si>
  <si>
    <t>26.02.00.01.02.0A.89.74</t>
  </si>
  <si>
    <t>00h00m09s352-868</t>
  </si>
  <si>
    <t>00h00m09s361-899</t>
  </si>
  <si>
    <t>00h00m09s414-679</t>
  </si>
  <si>
    <t>00h00m09s421-846</t>
  </si>
  <si>
    <t>00h00m09s472-856</t>
  </si>
  <si>
    <t>00h00m09s481-843</t>
  </si>
  <si>
    <t>00h00m09s532-272</t>
  </si>
  <si>
    <t>00h00m09s541-837</t>
  </si>
  <si>
    <t>00h00m09s591-940</t>
  </si>
  <si>
    <t>00h00m09s601-860</t>
  </si>
  <si>
    <t>00h00m09s652-267</t>
  </si>
  <si>
    <t>00h00m09s662-045</t>
  </si>
  <si>
    <t>00h00m09s687-438</t>
  </si>
  <si>
    <t>00h00m09s689-670</t>
  </si>
  <si>
    <t>21.00.2B.00.1C.0C.49.4F</t>
  </si>
  <si>
    <t>00h00m09s691-674</t>
  </si>
  <si>
    <t>22.4D.A0.09.28.13.00.00</t>
  </si>
  <si>
    <t>00h00m09s694-562</t>
  </si>
  <si>
    <t>23.1C.8B.00.09.00.00.00</t>
  </si>
  <si>
    <t>00h00m09s695-664</t>
  </si>
  <si>
    <t>24.47.9F.4F.FF.1E.03.00</t>
  </si>
  <si>
    <t>00h00m09s697-677</t>
  </si>
  <si>
    <t>25.00.2B.FF.FF.FF.FF.55</t>
  </si>
  <si>
    <t>00h00m09s747-982</t>
  </si>
  <si>
    <t>00h00m09s752-340</t>
  </si>
  <si>
    <t>00h00m09s777-727</t>
  </si>
  <si>
    <t>00h00m09s779-657</t>
  </si>
  <si>
    <t>21.7A.4F.4F.09.00.06.FF</t>
  </si>
  <si>
    <t>00h00m09s781-685</t>
  </si>
  <si>
    <t>22.2A.00.00.1C.1C.71.34</t>
  </si>
  <si>
    <t>00h00m09s783-673</t>
  </si>
  <si>
    <t>00h00m09s785-670</t>
  </si>
  <si>
    <t>24.00.00.4D.8A.FF.80.1C</t>
  </si>
  <si>
    <t>00h00m09s787-665</t>
  </si>
  <si>
    <t>00h00m09s837-953</t>
  </si>
  <si>
    <t>00h00m09s841-832</t>
  </si>
  <si>
    <t>00h00m09s892-255</t>
  </si>
  <si>
    <t>00h00m09s901-892</t>
  </si>
  <si>
    <t>00h00m09s927-283</t>
  </si>
  <si>
    <t>00h00m09s927-671</t>
  </si>
  <si>
    <t>00h00m09s929-661</t>
  </si>
  <si>
    <t>00h00m09s931-675</t>
  </si>
  <si>
    <t>00h00m09s934-480</t>
  </si>
  <si>
    <t>00h00m09s935-657</t>
  </si>
  <si>
    <t>00h00m09s984-983</t>
  </si>
  <si>
    <t>00h00m09s992-047</t>
  </si>
  <si>
    <t>00h00m10s017-438</t>
  </si>
  <si>
    <t>00h00m10s019-654</t>
  </si>
  <si>
    <t>00h00m10s021-660</t>
  </si>
  <si>
    <t>22.4D.A0.01.28.13.00.00</t>
  </si>
  <si>
    <t>00h00m10s023-654</t>
  </si>
  <si>
    <t>23.1B.8A.00.09.00.00.00</t>
  </si>
  <si>
    <t>00h00m10s025-667</t>
  </si>
  <si>
    <t>00h00m10s027-657</t>
  </si>
  <si>
    <t>00h00m10s076-949</t>
  </si>
  <si>
    <t>00h00m10s081-830</t>
  </si>
  <si>
    <t>00h00m07s765-687</t>
  </si>
  <si>
    <t>00h00m07s775-173</t>
  </si>
  <si>
    <t>00h00m07s825-815</t>
  </si>
  <si>
    <t>00h00m07s835-122</t>
  </si>
  <si>
    <t>00h00m07s885-806</t>
  </si>
  <si>
    <t>00h00m07s895-118</t>
  </si>
  <si>
    <t>00h00m07s944-949</t>
  </si>
  <si>
    <t>00h00m07s955-112</t>
  </si>
  <si>
    <t>00h00m08s004-946</t>
  </si>
  <si>
    <t>00h00m08s016-014</t>
  </si>
  <si>
    <t>00h00m08s065-951</t>
  </si>
  <si>
    <t>00h00m08s075-331</t>
  </si>
  <si>
    <t>00h00m08s100-721</t>
  </si>
  <si>
    <t>00h00m08s102-937</t>
  </si>
  <si>
    <t>21.23.38.00.13.6D.48.53</t>
  </si>
  <si>
    <t>00h00m08s105-632</t>
  </si>
  <si>
    <t>22.7B.A0.01.42.20.00.FF</t>
  </si>
  <si>
    <t>00h00m08s106-947</t>
  </si>
  <si>
    <t>23.18.8C.03.0A.00.00.00</t>
  </si>
  <si>
    <t>00h00m08s108-942</t>
  </si>
  <si>
    <t>24.47.97.51.FF.1E.03.00</t>
  </si>
  <si>
    <t>00h00m08s110-952</t>
  </si>
  <si>
    <t>25.00.3B.FF.FF.FF.FF.55</t>
  </si>
  <si>
    <t>00h00m08s160-973</t>
  </si>
  <si>
    <t>00h00m08s165-320</t>
  </si>
  <si>
    <t>00h00m08s190-706</t>
  </si>
  <si>
    <t>00h00m08s193-684</t>
  </si>
  <si>
    <t>21.A4.4F.53.0A.00.06.FF</t>
  </si>
  <si>
    <t>00h00m08s194-944</t>
  </si>
  <si>
    <t>22.3D.00.00.13.1A.7D.1C</t>
  </si>
  <si>
    <t>00h00m08s197-791</t>
  </si>
  <si>
    <t>00h00m08s198-938</t>
  </si>
  <si>
    <t>24.00.00.7B.8C.FF.7F.1A</t>
  </si>
  <si>
    <t>00h00m08s200-937</t>
  </si>
  <si>
    <t>00h00m08s250-954</t>
  </si>
  <si>
    <t>00h00m08s255-147</t>
  </si>
  <si>
    <t>00h00m08s304-951</t>
  </si>
  <si>
    <t>00h00m08s315-180</t>
  </si>
  <si>
    <t>00h00m08s340-569</t>
  </si>
  <si>
    <t>00h00m08s341-035</t>
  </si>
  <si>
    <t>00h00m08s342-942</t>
  </si>
  <si>
    <t>00h00m08s344-953</t>
  </si>
  <si>
    <t>00h00m08s346-950</t>
  </si>
  <si>
    <t>00h00m08s348-935</t>
  </si>
  <si>
    <t>00h00m08s398-944</t>
  </si>
  <si>
    <t>00h00m08s405-320</t>
  </si>
  <si>
    <t>00h00m08s430-705</t>
  </si>
  <si>
    <t>00h00m08s432-928</t>
  </si>
  <si>
    <t>21.28.40.00.13.6E.48.53</t>
  </si>
  <si>
    <t>00h00m08s434-935</t>
  </si>
  <si>
    <t>22.7B.A0.01.44.22.00.FF</t>
  </si>
  <si>
    <t>00h00m08s437-672</t>
  </si>
  <si>
    <t>23.1B.8C.03.0A.00.00.00</t>
  </si>
  <si>
    <t>00h00m08s438-928</t>
  </si>
  <si>
    <t>24.48.97.51.FF.1E.03.00</t>
  </si>
  <si>
    <t>00h00m08s440-936</t>
  </si>
  <si>
    <t>25.00.3E.FF.FF.FF.FF.55</t>
  </si>
  <si>
    <t>00h00m08s490-969</t>
  </si>
  <si>
    <t>00h00m08s495-093</t>
  </si>
  <si>
    <t>00h00m07s313-200</t>
  </si>
  <si>
    <t>00h00m07s322-746</t>
  </si>
  <si>
    <t>00h00m07s372-943</t>
  </si>
  <si>
    <t>00h00m07s383-200</t>
  </si>
  <si>
    <t>00h00m07s433-066</t>
  </si>
  <si>
    <t>00h00m07s442-661</t>
  </si>
  <si>
    <t>00h00m07s492-931</t>
  </si>
  <si>
    <t>00h00m07s502-675</t>
  </si>
  <si>
    <t>00h00m07s552-963</t>
  </si>
  <si>
    <t>00h00m07s562-738</t>
  </si>
  <si>
    <t>00h00m07s588-122</t>
  </si>
  <si>
    <t>00h00m07s588-532</t>
  </si>
  <si>
    <t>00h00m07s590-529</t>
  </si>
  <si>
    <t>00h00m07s592-540</t>
  </si>
  <si>
    <t>00h00m07s596-571</t>
  </si>
  <si>
    <t>00h00m07s598-533</t>
  </si>
  <si>
    <t>00h00m07s600-526</t>
  </si>
  <si>
    <t>00h00m07s602-523</t>
  </si>
  <si>
    <t>27.00.02.EA.B2.02.0D.74</t>
  </si>
  <si>
    <t>00h00m07s606-424</t>
  </si>
  <si>
    <t>28.26.00.0B.00.00.01.00</t>
  </si>
  <si>
    <t>00h00m07s608-529</t>
  </si>
  <si>
    <t>00h00m07s658-073</t>
  </si>
  <si>
    <t>00h00m07s662-674</t>
  </si>
  <si>
    <t>00h00m07s712-939</t>
  </si>
  <si>
    <t>00h00m07s722-757</t>
  </si>
  <si>
    <t>00h00m07s748-146</t>
  </si>
  <si>
    <t>00h00m07s748-531</t>
  </si>
  <si>
    <t>21.F8.00.1F.3B.43.80.48</t>
  </si>
  <si>
    <t>00h00m07s750-521</t>
  </si>
  <si>
    <t>22.74.96.A4.03.26.13.00</t>
  </si>
  <si>
    <t>00h00m07s752-532</t>
  </si>
  <si>
    <t>23.0F.1B.91.01.FF.FF.00</t>
  </si>
  <si>
    <t>00h00m07s757-012</t>
  </si>
  <si>
    <t>24.02.48.C2.7F.FF.1E.03</t>
  </si>
  <si>
    <t>00h00m07s758-523</t>
  </si>
  <si>
    <t>25.00.00.21.55.55.55.55</t>
  </si>
  <si>
    <t>00h00m07s807-972</t>
  </si>
  <si>
    <t>00h00m07s366-008</t>
  </si>
  <si>
    <t>00h00m07s373-168</t>
  </si>
  <si>
    <t>00h00m07s422-948</t>
  </si>
  <si>
    <t>00h00m07s433-312</t>
  </si>
  <si>
    <t>00h00m07s483-088</t>
  </si>
  <si>
    <t>00h00m07s492-759</t>
  </si>
  <si>
    <t>00h00m07s542-935</t>
  </si>
  <si>
    <t>00h00m07s552-759</t>
  </si>
  <si>
    <t>00h00m07s602-910</t>
  </si>
  <si>
    <t>00h00m07s612-826</t>
  </si>
  <si>
    <t>00h00m07s638-933</t>
  </si>
  <si>
    <t>00h00m07s640-624</t>
  </si>
  <si>
    <t>21.E0.00.01.00.01.01.00</t>
  </si>
  <si>
    <t>00h00m07s642-621</t>
  </si>
  <si>
    <t>00h00m07s646-078</t>
  </si>
  <si>
    <t>00h00m07s646-623</t>
  </si>
  <si>
    <t>00h00m07s648-616</t>
  </si>
  <si>
    <t>25.00.00.00.FF.FF.00.0B</t>
  </si>
  <si>
    <t>00h00m07s650-610</t>
  </si>
  <si>
    <t>26.13.00.01.02.0A.89.74</t>
  </si>
  <si>
    <t>00h00m07s652-621</t>
  </si>
  <si>
    <t>27.00.03.0E.05.02.0D.97</t>
  </si>
  <si>
    <t>00h00m07s656-095</t>
  </si>
  <si>
    <t>28.79.00.0C.00.0A.01.00</t>
  </si>
  <si>
    <t>00h00m07s656-614</t>
  </si>
  <si>
    <t>00h00m07s706-055</t>
  </si>
  <si>
    <t>00h00m07s712-770</t>
  </si>
  <si>
    <t>00h00m07s762-930</t>
  </si>
  <si>
    <t>00h00m07s772-837</t>
  </si>
  <si>
    <t>00h00m07s798-635</t>
  </si>
  <si>
    <t>00h00m07s800-614</t>
  </si>
  <si>
    <t>21.F8.00.2B.58.2A.96.48</t>
  </si>
  <si>
    <t>00h00m07s802-616</t>
  </si>
  <si>
    <t>22.6F.A4.A4.03.26.13.00</t>
  </si>
  <si>
    <t>00h00m07s806-083</t>
  </si>
  <si>
    <t>23.0F.24.A3.05.FF.FF.02</t>
  </si>
  <si>
    <t>00h00m07s806-611</t>
  </si>
  <si>
    <t>24.02.49.C1.7A.FF.1E.03</t>
  </si>
  <si>
    <t>00h00m07s808-609</t>
  </si>
  <si>
    <t>25.00.00.2C.55.55.55.55</t>
  </si>
  <si>
    <t>00h00m07s857-916</t>
  </si>
  <si>
    <t>00h00m08s819-430</t>
  </si>
  <si>
    <t>00h00m08s828-756</t>
  </si>
  <si>
    <t>00h00m08s878-930</t>
  </si>
  <si>
    <t>00h00m08s889-361</t>
  </si>
  <si>
    <t>00h00m08s914-745</t>
  </si>
  <si>
    <t>00h00m08s917-613</t>
  </si>
  <si>
    <t>00h00m08s922-607</t>
  </si>
  <si>
    <t>00h00m08s927-598</t>
  </si>
  <si>
    <t>00h00m08s977-086</t>
  </si>
  <si>
    <t>00h00m09s238-906</t>
  </si>
  <si>
    <t>00h00m09s264-290</t>
  </si>
  <si>
    <t>00h00m09s267-589</t>
  </si>
  <si>
    <t>00h00m09s272-942</t>
  </si>
  <si>
    <t>00h00m09s322-929</t>
  </si>
  <si>
    <t>00h00m09s328-736</t>
  </si>
  <si>
    <t>00h00m09s380-103</t>
  </si>
  <si>
    <t>00h00m09s386-282</t>
  </si>
  <si>
    <t>00h00m09s435-988</t>
  </si>
  <si>
    <t>00h00m09s446-458</t>
  </si>
  <si>
    <t>00h00m09s471-836</t>
  </si>
  <si>
    <t>00h00m09s476-579</t>
  </si>
  <si>
    <t>00h00m09s486-523</t>
  </si>
  <si>
    <t>00h00m09s496-582</t>
  </si>
  <si>
    <t>00h00m09s545-915</t>
  </si>
  <si>
    <t>00h00m09s556-351</t>
  </si>
  <si>
    <t>00h00m09s581-733</t>
  </si>
  <si>
    <t>00h00m09s586-293</t>
  </si>
  <si>
    <t>00h00m09s596-283</t>
  </si>
  <si>
    <t>00h00m09s606-318</t>
  </si>
  <si>
    <t>00h00m09s616-454</t>
  </si>
  <si>
    <t>00h00m09s626-384</t>
  </si>
  <si>
    <t>00h00m09s676-209</t>
  </si>
  <si>
    <t>00h00m09s686-500</t>
  </si>
  <si>
    <t>00h00m09s711-883</t>
  </si>
  <si>
    <t>00h00m09s716-583</t>
  </si>
  <si>
    <t>21.00.16.14.15.89.01.12</t>
  </si>
  <si>
    <t>00h00m09s726-569</t>
  </si>
  <si>
    <t>22.AE.57.15.C8.A2.A2.A2</t>
  </si>
  <si>
    <t>00h00m09s776-631</t>
  </si>
  <si>
    <t>00h00m09s786-710</t>
  </si>
  <si>
    <t>07.62.02.02.1B.47.00.00</t>
  </si>
  <si>
    <t>00h00m09s836-931</t>
  </si>
  <si>
    <t>00h00m09s846-856</t>
  </si>
  <si>
    <t>00h00m09s896-930</t>
  </si>
  <si>
    <t>00h00m09s907-434</t>
  </si>
  <si>
    <t>00h00m09s957-698</t>
  </si>
  <si>
    <t>00h00m09s964-851</t>
  </si>
  <si>
    <t>00h00m10s014-932</t>
  </si>
  <si>
    <t>00h00m10s054-936</t>
  </si>
  <si>
    <t>00h00m10s080-314</t>
  </si>
  <si>
    <t>00h00m10s084-927</t>
  </si>
  <si>
    <t>00h00m10s094-937</t>
  </si>
  <si>
    <t>00h00m10s104-950</t>
  </si>
  <si>
    <t>00h00m10s154-903</t>
  </si>
  <si>
    <t>00h00m10s165-270</t>
  </si>
  <si>
    <t>00h00m10s214-903</t>
  </si>
  <si>
    <t>00h00m10s225-219</t>
  </si>
  <si>
    <t>00h00m10s276-179</t>
  </si>
  <si>
    <t>00h00m10s282-520</t>
  </si>
  <si>
    <t>00h00m10s331-915</t>
  </si>
  <si>
    <t>00h00m10s382-661</t>
  </si>
  <si>
    <t>00h00m10s408-105</t>
  </si>
  <si>
    <t>00h00m10s412-577</t>
  </si>
  <si>
    <t>00h00m10s432-606</t>
  </si>
  <si>
    <t>00h00m10s452-638</t>
  </si>
  <si>
    <t>00h00m10s502-916</t>
  </si>
  <si>
    <t>00h00m10s573-132</t>
  </si>
  <si>
    <t>00h00m10s598-517</t>
  </si>
  <si>
    <t>00h00m10s603-093</t>
  </si>
  <si>
    <t>00h00m10s622-994</t>
  </si>
  <si>
    <t>00h00m10s643-046</t>
  </si>
  <si>
    <t>00h00m10s663-177</t>
  </si>
  <si>
    <t>00h00m10s683-200</t>
  </si>
  <si>
    <t>00h00m10s703-152</t>
  </si>
  <si>
    <t>00h00m10s723-191</t>
  </si>
  <si>
    <t>00h00m10s773-068</t>
  </si>
  <si>
    <t>00h00m10s783-361</t>
  </si>
  <si>
    <t>00h00m10s833-707</t>
  </si>
  <si>
    <t>00h00m11s134-062</t>
  </si>
  <si>
    <t>00h00m11s434-726</t>
  </si>
  <si>
    <t>00h00m11s734-711</t>
  </si>
  <si>
    <t>00h00m12s034-705</t>
  </si>
  <si>
    <t>00h00m12s334-728</t>
  </si>
  <si>
    <t>00h00m12s634-709</t>
  </si>
  <si>
    <t>00h00m12s934-723</t>
  </si>
  <si>
    <t>00h00m13s233-910</t>
  </si>
  <si>
    <t>00h00m13s534-695</t>
  </si>
  <si>
    <t>00h00m13s834-701</t>
  </si>
  <si>
    <t>00h00m14s134-697</t>
  </si>
  <si>
    <t>00h00m14s434-690</t>
  </si>
  <si>
    <t>00h00m14s734-712</t>
  </si>
  <si>
    <t>00h00m15s035-671</t>
  </si>
  <si>
    <t>00h00m15s336-079</t>
  </si>
  <si>
    <t>00h00m15s635-654</t>
  </si>
  <si>
    <t>00h00m15s934-114</t>
  </si>
  <si>
    <t>00h00m16s235-611</t>
  </si>
  <si>
    <t>00h00m16s237-285</t>
  </si>
  <si>
    <t>00h00m16s286-913</t>
  </si>
  <si>
    <t>00h00m16s290-208</t>
  </si>
  <si>
    <t>00h00m16s315-607</t>
  </si>
  <si>
    <t>00h00m16s316-283</t>
  </si>
  <si>
    <t>00h00m16s318-265</t>
  </si>
  <si>
    <t>00h00m16s320-276</t>
  </si>
  <si>
    <t>00h00m16s371-017</t>
  </si>
  <si>
    <t>00h00m16s373-252</t>
  </si>
  <si>
    <t>00h00m16s422-914</t>
  </si>
  <si>
    <t>00h00m16s425-228</t>
  </si>
  <si>
    <t>00h00m16s475-891</t>
  </si>
  <si>
    <t>00h00m16s476-477</t>
  </si>
  <si>
    <t>00h00m16s525-906</t>
  </si>
  <si>
    <t>00h00m16s526-502</t>
  </si>
  <si>
    <t>00h00m16s551-886</t>
  </si>
  <si>
    <t>00h00m16s553-024</t>
  </si>
  <si>
    <t>00h00m16s553-308</t>
  </si>
  <si>
    <t>00h00m16s553-597</t>
  </si>
  <si>
    <t>00h00m16s602-923</t>
  </si>
  <si>
    <t>00h00m16s603-493</t>
  </si>
  <si>
    <t>00h00m16s628-872</t>
  </si>
  <si>
    <t>00h00m16s630-381</t>
  </si>
  <si>
    <t>00h00m16s631-319</t>
  </si>
  <si>
    <t>00h00m16s631-602</t>
  </si>
  <si>
    <t>00h00m16s631-889</t>
  </si>
  <si>
    <t>00h00m16s632-190</t>
  </si>
  <si>
    <t>00h00m16s633-154</t>
  </si>
  <si>
    <t>00h00m16s633-447</t>
  </si>
  <si>
    <t>00h00m16s633-734</t>
  </si>
  <si>
    <t>00h00m16s634-018</t>
  </si>
  <si>
    <t>00h00m16s634-309</t>
  </si>
  <si>
    <t>00h00m16s634-595</t>
  </si>
  <si>
    <t>00h00m16s635-804</t>
  </si>
  <si>
    <t>00h00m16s636-090</t>
  </si>
  <si>
    <t>00h00m16s636-375</t>
  </si>
  <si>
    <t>00h00m16s636-661</t>
  </si>
  <si>
    <t>00h00m16s636-947</t>
  </si>
  <si>
    <t>00h00m16s637-292</t>
  </si>
  <si>
    <t>00h00m16s638-084</t>
  </si>
  <si>
    <t>00h00m16s638-369</t>
  </si>
  <si>
    <t>00h00m16s638-649</t>
  </si>
  <si>
    <t>00h00m16s638-933</t>
  </si>
  <si>
    <t>00h00m16s639-394</t>
  </si>
  <si>
    <t>00h00m16s640-419</t>
  </si>
  <si>
    <t>00h00m16s641-351</t>
  </si>
  <si>
    <t>00h00m16s641-636</t>
  </si>
  <si>
    <t>00h00m16s641-920</t>
  </si>
  <si>
    <t>00h00m16s642-961</t>
  </si>
  <si>
    <t>00h00m16s643-241</t>
  </si>
  <si>
    <t>00h00m16s643-527</t>
  </si>
  <si>
    <t>00h00m16s643-814</t>
  </si>
  <si>
    <t>00h00m16s644-094</t>
  </si>
  <si>
    <t>00h00m16s644-378</t>
  </si>
  <si>
    <t>00h00m16s644-861</t>
  </si>
  <si>
    <t>00h00m16s696-158</t>
  </si>
  <si>
    <t>00h00m16s696-678</t>
  </si>
  <si>
    <t>00h00m16s722-059</t>
  </si>
  <si>
    <t>00h00m16s723-182</t>
  </si>
  <si>
    <t>00h00m16s723-488</t>
  </si>
  <si>
    <t>00h00m16s723-793</t>
  </si>
  <si>
    <t>00h00m16s724-133</t>
  </si>
  <si>
    <t>00h00m16s724-429</t>
  </si>
  <si>
    <t>00h00m16s725-212</t>
  </si>
  <si>
    <t>00h00m16s776-343</t>
  </si>
  <si>
    <t>00h00m16s776-743</t>
  </si>
  <si>
    <t>00h00m16s826-906</t>
  </si>
  <si>
    <t>00h00m16s827-462</t>
  </si>
  <si>
    <t>00h00m16s852-839</t>
  </si>
  <si>
    <t>00h00m16s853-353</t>
  </si>
  <si>
    <t>00h00m16s853-652</t>
  </si>
  <si>
    <t>00h00m16s903-919</t>
  </si>
  <si>
    <t>00h00m16s904-335</t>
  </si>
  <si>
    <t>00000523</t>
  </si>
  <si>
    <t>.11941</t>
  </si>
  <si>
    <t>00000524</t>
  </si>
  <si>
    <t>005749</t>
  </si>
  <si>
    <t>00000430</t>
  </si>
  <si>
    <t>00000624</t>
  </si>
  <si>
    <t>00000591</t>
  </si>
  <si>
    <t>.12057</t>
  </si>
  <si>
    <t>.12059M</t>
  </si>
  <si>
    <t>981B80138011A001CCC000110000010128000000000000000000000000000000</t>
  </si>
  <si>
    <t>01, 04, 05, 0C, 0D, 0F, 10, 11, 1C, 1F, 20, 21, 2C, 30, 31, 33, 40, 41, 42, 45, 46, 49, 4A, 5C, 60, 78, 80, 83, 85</t>
  </si>
  <si>
    <t>.12073M</t>
  </si>
  <si>
    <t>.11607</t>
  </si>
  <si>
    <t>00000205</t>
  </si>
  <si>
    <t>00000215</t>
  </si>
  <si>
    <t>00000620</t>
  </si>
  <si>
    <t>00000527</t>
  </si>
  <si>
    <t>OEM_MERCEDES</t>
  </si>
  <si>
    <t>.12072M</t>
  </si>
  <si>
    <t>.12113</t>
  </si>
  <si>
    <t>.12129</t>
  </si>
  <si>
    <t>.12131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</si>
</sst>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* #,##0.00\ &quot;€&quot;_-;\-* #,##0.00\ &quot;€&quot;_-;_-* &quot;-&quot;??\ &quot;€&quot;_-;_-@_-"/>
    <numFmt numFmtId="164" formatCode="000"/>
    <numFmt numFmtId="165" formatCode="0.0%"/>
    <numFmt numFmtId="166" formatCode="#"/>
    <numFmt numFmtId="167" formatCode="dd/mm/yyyy\ \-\ hh:mm:ss"/>
  </numFmts>
  <fonts count="32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10"/>
      <name val="Arial Unicode MS"/>
      <family val="2"/>
    </font>
    <font>
      <b/>
      <sz val="10"/>
      <color indexed="10"/>
      <name val="Arial"/>
      <family val="2"/>
    </font>
    <font>
      <b/>
      <sz val="10"/>
      <color rgb="FFFF0000"/>
      <name val="Arial"/>
      <family val="2"/>
    </font>
    <font>
      <sz val="10"/>
      <color theme="1" tint="4.9989318521683403E-2"/>
      <name val="Arial"/>
      <family val="2"/>
    </font>
    <font>
      <b/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0"/>
      <color theme="10"/>
      <name val="Arial"/>
      <family val="2"/>
    </font>
    <font>
      <b/>
      <sz val="7"/>
      <name val="Times New Roman"/>
      <family val="1"/>
    </font>
    <font>
      <b/>
      <u/>
      <sz val="10"/>
      <name val="Arial"/>
      <family val="2"/>
    </font>
    <font>
      <sz val="7"/>
      <name val="Times New Roman"/>
      <family val="1"/>
    </font>
    <font>
      <u/>
      <sz val="10"/>
      <name val="Arial"/>
      <family val="2"/>
    </font>
    <font>
      <b/>
      <sz val="16"/>
      <color indexed="8"/>
      <name val="Arial"/>
      <family val="2"/>
    </font>
    <font>
      <sz val="12"/>
      <color indexed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10" fillId="0" borderId="0"/>
    <xf numFmtId="0" fontId="9" fillId="0" borderId="0"/>
    <xf numFmtId="0" fontId="21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0" fillId="0" borderId="0" applyNumberFormat="0" applyFont="0" applyFill="0" applyBorder="0" applyAlignment="0" applyProtection="0"/>
  </cellStyleXfs>
  <cellXfs count="611">
    <xf numFmtId="0" fontId="0" fillId="0" borderId="0" xfId="0"/>
    <xf numFmtId="0" fontId="0" fillId="0" borderId="1" xfId="0" applyBorder="1"/>
    <xf numFmtId="0" fontId="0" fillId="0" borderId="0" xfId="0" applyAlignment="1">
      <alignment wrapText="1"/>
    </xf>
    <xf numFmtId="0" fontId="0" fillId="0" borderId="0" xfId="0" applyAlignment="1"/>
    <xf numFmtId="21" fontId="0" fillId="0" borderId="0" xfId="0" applyNumberFormat="1"/>
    <xf numFmtId="0" fontId="0" fillId="0" borderId="0" xfId="0" quotePrefix="1"/>
    <xf numFmtId="0" fontId="0" fillId="0" borderId="1" xfId="0" applyFill="1" applyBorder="1"/>
    <xf numFmtId="0" fontId="0" fillId="0" borderId="0" xfId="0" applyNumberFormat="1"/>
    <xf numFmtId="0" fontId="0" fillId="0" borderId="0" xfId="0" quotePrefix="1" applyAlignment="1">
      <alignment wrapText="1"/>
    </xf>
    <xf numFmtId="0" fontId="0" fillId="3" borderId="0" xfId="0" applyFill="1"/>
    <xf numFmtId="0" fontId="9" fillId="0" borderId="0" xfId="2" applyAlignment="1"/>
    <xf numFmtId="0" fontId="9" fillId="0" borderId="0" xfId="2" applyAlignment="1">
      <alignment horizontal="center"/>
    </xf>
    <xf numFmtId="0" fontId="9" fillId="3" borderId="0" xfId="2" applyFill="1" applyAlignment="1">
      <alignment horizontal="center"/>
    </xf>
    <xf numFmtId="0" fontId="9" fillId="3" borderId="0" xfId="2" applyFill="1" applyAlignment="1"/>
    <xf numFmtId="0" fontId="9" fillId="0" borderId="0" xfId="2"/>
    <xf numFmtId="0" fontId="9" fillId="3" borderId="1" xfId="2" applyFill="1" applyBorder="1" applyAlignment="1">
      <alignment horizontal="center"/>
    </xf>
    <xf numFmtId="0" fontId="9" fillId="0" borderId="1" xfId="2" applyBorder="1"/>
    <xf numFmtId="0" fontId="9" fillId="0" borderId="1" xfId="2" applyBorder="1" applyAlignment="1">
      <alignment horizontal="center"/>
    </xf>
    <xf numFmtId="0" fontId="9" fillId="3" borderId="1" xfId="2" applyFill="1" applyBorder="1" applyAlignment="1"/>
    <xf numFmtId="0" fontId="9" fillId="3" borderId="1" xfId="2" applyFill="1" applyBorder="1" applyAlignment="1">
      <alignment horizontal="center" vertical="center" wrapText="1"/>
    </xf>
    <xf numFmtId="0" fontId="9" fillId="0" borderId="1" xfId="2" quotePrefix="1" applyBorder="1" applyAlignment="1">
      <alignment horizontal="left" vertical="center" wrapText="1"/>
    </xf>
    <xf numFmtId="0" fontId="9" fillId="3" borderId="1" xfId="2" quotePrefix="1" applyFill="1" applyBorder="1" applyAlignment="1">
      <alignment horizontal="left" vertical="center" wrapText="1"/>
    </xf>
    <xf numFmtId="0" fontId="9" fillId="0" borderId="1" xfId="2" applyBorder="1" applyAlignment="1">
      <alignment horizontal="left" vertical="center" wrapText="1"/>
    </xf>
    <xf numFmtId="0" fontId="9" fillId="0" borderId="0" xfId="2" applyAlignment="1">
      <alignment horizontal="center" vertical="center" wrapText="1"/>
    </xf>
    <xf numFmtId="14" fontId="9" fillId="0" borderId="1" xfId="2" applyNumberFormat="1" applyBorder="1"/>
    <xf numFmtId="0" fontId="9" fillId="3" borderId="1" xfId="2" applyFill="1" applyBorder="1"/>
    <xf numFmtId="11" fontId="9" fillId="0" borderId="1" xfId="2" quotePrefix="1" applyNumberFormat="1" applyBorder="1"/>
    <xf numFmtId="0" fontId="9" fillId="0" borderId="1" xfId="2" quotePrefix="1" applyBorder="1"/>
    <xf numFmtId="0" fontId="9" fillId="0" borderId="1" xfId="2" quotePrefix="1" applyBorder="1" applyAlignment="1">
      <alignment wrapText="1"/>
    </xf>
    <xf numFmtId="0" fontId="9" fillId="0" borderId="1" xfId="2" applyFill="1" applyBorder="1"/>
    <xf numFmtId="0" fontId="9" fillId="0" borderId="1" xfId="2" applyBorder="1" applyAlignment="1">
      <alignment wrapText="1"/>
    </xf>
    <xf numFmtId="0" fontId="9" fillId="0" borderId="1" xfId="2" applyFill="1" applyBorder="1" applyAlignment="1">
      <alignment wrapText="1"/>
    </xf>
    <xf numFmtId="0" fontId="9" fillId="3" borderId="0" xfId="2" applyFill="1"/>
    <xf numFmtId="0" fontId="13" fillId="0" borderId="0" xfId="0" applyFont="1" applyAlignment="1">
      <alignment vertical="center" wrapText="1"/>
    </xf>
    <xf numFmtId="164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10" fillId="7" borderId="16" xfId="0" applyFont="1" applyFill="1" applyBorder="1" applyAlignment="1">
      <alignment vertical="center" wrapText="1"/>
    </xf>
    <xf numFmtId="0" fontId="10" fillId="8" borderId="16" xfId="0" applyFont="1" applyFill="1" applyBorder="1" applyAlignment="1">
      <alignment vertical="center" wrapText="1"/>
    </xf>
    <xf numFmtId="0" fontId="10" fillId="9" borderId="16" xfId="0" applyFont="1" applyFill="1" applyBorder="1" applyAlignment="1">
      <alignment vertical="center" wrapText="1"/>
    </xf>
    <xf numFmtId="0" fontId="10" fillId="8" borderId="16" xfId="0" applyFont="1" applyFill="1" applyBorder="1" applyAlignment="1">
      <alignment horizontal="center" vertical="center" wrapText="1"/>
    </xf>
    <xf numFmtId="0" fontId="10" fillId="8" borderId="13" xfId="0" applyFont="1" applyFill="1" applyBorder="1" applyAlignment="1">
      <alignment horizontal="center" vertical="center" wrapText="1"/>
    </xf>
    <xf numFmtId="164" fontId="10" fillId="8" borderId="13" xfId="0" applyNumberFormat="1" applyFont="1" applyFill="1" applyBorder="1" applyAlignment="1">
      <alignment horizontal="center" vertical="center" wrapText="1"/>
    </xf>
    <xf numFmtId="0" fontId="0" fillId="8" borderId="17" xfId="0" applyFont="1" applyFill="1" applyBorder="1" applyAlignment="1">
      <alignment horizontal="center" vertical="center" wrapText="1"/>
    </xf>
    <xf numFmtId="0" fontId="10" fillId="8" borderId="14" xfId="0" applyFont="1" applyFill="1" applyBorder="1" applyAlignment="1">
      <alignment horizontal="center" vertical="center" wrapText="1"/>
    </xf>
    <xf numFmtId="0" fontId="10" fillId="4" borderId="18" xfId="0" applyFont="1" applyFill="1" applyBorder="1" applyAlignment="1">
      <alignment horizontal="center" vertical="center" wrapText="1"/>
    </xf>
    <xf numFmtId="0" fontId="10" fillId="5" borderId="18" xfId="0" applyFont="1" applyFill="1" applyBorder="1" applyAlignment="1">
      <alignment horizontal="center" vertical="center" wrapText="1"/>
    </xf>
    <xf numFmtId="0" fontId="10" fillId="6" borderId="18" xfId="0" applyFont="1" applyFill="1" applyBorder="1" applyAlignment="1">
      <alignment horizontal="center" vertical="center" wrapText="1"/>
    </xf>
    <xf numFmtId="0" fontId="10" fillId="2" borderId="18" xfId="0" applyFont="1" applyFill="1" applyBorder="1" applyAlignment="1">
      <alignment horizontal="center" vertical="center" wrapText="1"/>
    </xf>
    <xf numFmtId="0" fontId="10" fillId="7" borderId="18" xfId="0" applyFont="1" applyFill="1" applyBorder="1" applyAlignment="1">
      <alignment horizontal="center" vertical="center" wrapText="1"/>
    </xf>
    <xf numFmtId="0" fontId="10" fillId="8" borderId="18" xfId="0" applyFont="1" applyFill="1" applyBorder="1" applyAlignment="1">
      <alignment horizontal="center" vertical="center" wrapText="1"/>
    </xf>
    <xf numFmtId="0" fontId="10" fillId="9" borderId="18" xfId="0" applyFont="1" applyFill="1" applyBorder="1" applyAlignment="1">
      <alignment horizontal="center" vertical="center" wrapText="1"/>
    </xf>
    <xf numFmtId="0" fontId="13" fillId="0" borderId="17" xfId="0" applyFont="1" applyBorder="1" applyAlignment="1">
      <alignment vertical="center" wrapText="1"/>
    </xf>
    <xf numFmtId="0" fontId="10" fillId="0" borderId="19" xfId="0" applyFont="1" applyBorder="1" applyAlignment="1">
      <alignment horizontal="justify" vertical="center" wrapText="1"/>
    </xf>
    <xf numFmtId="0" fontId="13" fillId="0" borderId="23" xfId="0" applyFont="1" applyBorder="1" applyAlignment="1">
      <alignment vertical="center" wrapText="1"/>
    </xf>
    <xf numFmtId="0" fontId="10" fillId="0" borderId="21" xfId="0" applyFont="1" applyBorder="1" applyAlignment="1">
      <alignment horizontal="justify" vertical="center" wrapText="1"/>
    </xf>
    <xf numFmtId="0" fontId="10" fillId="0" borderId="29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10" fillId="2" borderId="21" xfId="0" applyFont="1" applyFill="1" applyBorder="1" applyAlignment="1">
      <alignment horizontal="center" vertical="center" wrapText="1"/>
    </xf>
    <xf numFmtId="0" fontId="10" fillId="7" borderId="21" xfId="0" applyFont="1" applyFill="1" applyBorder="1" applyAlignment="1">
      <alignment horizontal="center" vertical="center" wrapText="1"/>
    </xf>
    <xf numFmtId="0" fontId="10" fillId="8" borderId="21" xfId="0" applyFont="1" applyFill="1" applyBorder="1" applyAlignment="1">
      <alignment horizontal="center" vertical="center" wrapText="1"/>
    </xf>
    <xf numFmtId="0" fontId="10" fillId="9" borderId="21" xfId="0" applyFont="1" applyFill="1" applyBorder="1" applyAlignment="1">
      <alignment horizontal="center" vertical="center" wrapText="1"/>
    </xf>
    <xf numFmtId="164" fontId="10" fillId="0" borderId="21" xfId="0" applyNumberFormat="1" applyFont="1" applyFill="1" applyBorder="1" applyAlignment="1">
      <alignment horizontal="center" vertical="center" wrapText="1"/>
    </xf>
    <xf numFmtId="0" fontId="14" fillId="7" borderId="21" xfId="0" applyFont="1" applyFill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10" fillId="0" borderId="28" xfId="0" applyFont="1" applyBorder="1" applyAlignment="1">
      <alignment horizontal="center" vertical="center" wrapText="1"/>
    </xf>
    <xf numFmtId="0" fontId="14" fillId="9" borderId="21" xfId="0" applyFont="1" applyFill="1" applyBorder="1" applyAlignment="1">
      <alignment horizontal="center" vertical="center" wrapText="1"/>
    </xf>
    <xf numFmtId="0" fontId="15" fillId="8" borderId="21" xfId="0" applyFont="1" applyFill="1" applyBorder="1" applyAlignment="1">
      <alignment horizontal="center" vertical="center" wrapText="1"/>
    </xf>
    <xf numFmtId="0" fontId="0" fillId="0" borderId="21" xfId="0" applyFont="1" applyBorder="1" applyAlignment="1">
      <alignment horizontal="justify" vertical="center" wrapText="1"/>
    </xf>
    <xf numFmtId="0" fontId="14" fillId="8" borderId="21" xfId="0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justify"/>
    </xf>
    <xf numFmtId="0" fontId="10" fillId="0" borderId="21" xfId="0" applyFont="1" applyBorder="1" applyAlignment="1">
      <alignment horizontal="center"/>
    </xf>
    <xf numFmtId="0" fontId="0" fillId="0" borderId="21" xfId="0" applyFont="1" applyBorder="1" applyAlignment="1">
      <alignment horizontal="justify"/>
    </xf>
    <xf numFmtId="0" fontId="10" fillId="0" borderId="21" xfId="0" applyFont="1" applyBorder="1" applyAlignment="1">
      <alignment vertical="center" wrapText="1"/>
    </xf>
    <xf numFmtId="0" fontId="0" fillId="0" borderId="21" xfId="0" applyFont="1" applyBorder="1" applyAlignment="1">
      <alignment vertical="center" wrapText="1"/>
    </xf>
    <xf numFmtId="164" fontId="10" fillId="0" borderId="32" xfId="0" applyNumberFormat="1" applyFont="1" applyFill="1" applyBorder="1" applyAlignment="1">
      <alignment horizontal="center" vertical="center" wrapText="1"/>
    </xf>
    <xf numFmtId="0" fontId="10" fillId="0" borderId="32" xfId="0" applyFont="1" applyBorder="1" applyAlignment="1">
      <alignment vertical="center" wrapText="1"/>
    </xf>
    <xf numFmtId="0" fontId="10" fillId="4" borderId="32" xfId="0" applyFont="1" applyFill="1" applyBorder="1" applyAlignment="1">
      <alignment horizontal="center" vertical="center" wrapText="1"/>
    </xf>
    <xf numFmtId="0" fontId="10" fillId="5" borderId="32" xfId="0" applyFont="1" applyFill="1" applyBorder="1" applyAlignment="1">
      <alignment horizontal="center" vertical="center" wrapText="1"/>
    </xf>
    <xf numFmtId="0" fontId="10" fillId="6" borderId="32" xfId="0" applyFont="1" applyFill="1" applyBorder="1" applyAlignment="1">
      <alignment horizontal="center" vertical="center" wrapText="1"/>
    </xf>
    <xf numFmtId="0" fontId="0" fillId="0" borderId="32" xfId="0" applyFont="1" applyBorder="1" applyAlignment="1">
      <alignment vertical="center" wrapText="1"/>
    </xf>
    <xf numFmtId="164" fontId="10" fillId="0" borderId="23" xfId="0" applyNumberFormat="1" applyFont="1" applyFill="1" applyBorder="1" applyAlignment="1">
      <alignment horizontal="center" vertical="center" wrapText="1"/>
    </xf>
    <xf numFmtId="164" fontId="10" fillId="0" borderId="34" xfId="0" applyNumberFormat="1" applyFont="1" applyFill="1" applyBorder="1" applyAlignment="1">
      <alignment horizontal="center" vertical="center" wrapText="1"/>
    </xf>
    <xf numFmtId="164" fontId="10" fillId="0" borderId="19" xfId="0" applyNumberFormat="1" applyFont="1" applyFill="1" applyBorder="1" applyAlignment="1">
      <alignment horizontal="center" vertical="center" wrapText="1"/>
    </xf>
    <xf numFmtId="0" fontId="10" fillId="0" borderId="19" xfId="0" applyFont="1" applyBorder="1" applyAlignment="1">
      <alignment vertical="center" wrapText="1"/>
    </xf>
    <xf numFmtId="0" fontId="10" fillId="0" borderId="35" xfId="0" applyFont="1" applyBorder="1" applyAlignment="1">
      <alignment horizontal="center" vertical="center" wrapText="1"/>
    </xf>
    <xf numFmtId="0" fontId="10" fillId="0" borderId="36" xfId="0" applyFont="1" applyBorder="1" applyAlignment="1">
      <alignment horizontal="center" vertical="center" wrapText="1"/>
    </xf>
    <xf numFmtId="0" fontId="10" fillId="2" borderId="19" xfId="0" applyFont="1" applyFill="1" applyBorder="1" applyAlignment="1">
      <alignment horizontal="center" vertical="center" wrapText="1"/>
    </xf>
    <xf numFmtId="0" fontId="10" fillId="7" borderId="19" xfId="0" applyFont="1" applyFill="1" applyBorder="1" applyAlignment="1">
      <alignment horizontal="center" vertical="center" wrapText="1"/>
    </xf>
    <xf numFmtId="0" fontId="10" fillId="8" borderId="19" xfId="0" applyFont="1" applyFill="1" applyBorder="1" applyAlignment="1">
      <alignment horizontal="center" vertical="center" wrapText="1"/>
    </xf>
    <xf numFmtId="0" fontId="10" fillId="9" borderId="19" xfId="0" applyFont="1" applyFill="1" applyBorder="1" applyAlignment="1">
      <alignment horizontal="center" vertical="center" wrapText="1"/>
    </xf>
    <xf numFmtId="0" fontId="14" fillId="6" borderId="21" xfId="0" applyFont="1" applyFill="1" applyBorder="1" applyAlignment="1">
      <alignment horizontal="center" vertical="center" wrapText="1"/>
    </xf>
    <xf numFmtId="0" fontId="16" fillId="0" borderId="23" xfId="0" applyFont="1" applyBorder="1" applyAlignment="1">
      <alignment horizontal="center" vertical="center"/>
    </xf>
    <xf numFmtId="0" fontId="13" fillId="0" borderId="18" xfId="0" applyFont="1" applyBorder="1" applyAlignment="1">
      <alignment vertical="center" wrapText="1"/>
    </xf>
    <xf numFmtId="0" fontId="10" fillId="0" borderId="34" xfId="0" applyFont="1" applyBorder="1" applyAlignment="1">
      <alignment vertical="center" wrapText="1"/>
    </xf>
    <xf numFmtId="0" fontId="10" fillId="0" borderId="34" xfId="0" applyFont="1" applyBorder="1" applyAlignment="1">
      <alignment horizontal="center" vertical="center" wrapText="1"/>
    </xf>
    <xf numFmtId="0" fontId="10" fillId="0" borderId="37" xfId="0" applyFont="1" applyBorder="1" applyAlignment="1">
      <alignment horizontal="center" vertical="center" wrapText="1"/>
    </xf>
    <xf numFmtId="0" fontId="10" fillId="0" borderId="38" xfId="0" applyFont="1" applyBorder="1" applyAlignment="1">
      <alignment horizontal="center" vertical="center" wrapText="1"/>
    </xf>
    <xf numFmtId="0" fontId="10" fillId="4" borderId="34" xfId="0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0" fontId="10" fillId="6" borderId="34" xfId="0" applyFont="1" applyFill="1" applyBorder="1" applyAlignment="1">
      <alignment horizontal="center" vertical="center" wrapText="1"/>
    </xf>
    <xf numFmtId="0" fontId="10" fillId="2" borderId="34" xfId="0" applyFont="1" applyFill="1" applyBorder="1" applyAlignment="1">
      <alignment horizontal="center" vertical="center" wrapText="1"/>
    </xf>
    <xf numFmtId="0" fontId="10" fillId="7" borderId="34" xfId="0" applyFont="1" applyFill="1" applyBorder="1" applyAlignment="1">
      <alignment horizontal="center" vertical="center" wrapText="1"/>
    </xf>
    <xf numFmtId="0" fontId="10" fillId="8" borderId="34" xfId="0" applyFont="1" applyFill="1" applyBorder="1" applyAlignment="1">
      <alignment horizontal="center" vertical="center" wrapText="1"/>
    </xf>
    <xf numFmtId="0" fontId="10" fillId="9" borderId="34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wrapText="1"/>
    </xf>
    <xf numFmtId="0" fontId="10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center" vertical="center" wrapText="1"/>
    </xf>
    <xf numFmtId="0" fontId="17" fillId="0" borderId="23" xfId="0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0" fontId="14" fillId="0" borderId="32" xfId="0" applyFont="1" applyBorder="1" applyAlignment="1">
      <alignment horizontal="center" vertical="center" wrapText="1"/>
    </xf>
    <xf numFmtId="0" fontId="14" fillId="4" borderId="32" xfId="0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8" fillId="0" borderId="23" xfId="0" applyFont="1" applyBorder="1" applyAlignment="1">
      <alignment vertical="center" wrapText="1"/>
    </xf>
    <xf numFmtId="164" fontId="12" fillId="0" borderId="32" xfId="0" applyNumberFormat="1" applyFont="1" applyFill="1" applyBorder="1" applyAlignment="1">
      <alignment horizontal="center" vertical="center" wrapText="1"/>
    </xf>
    <xf numFmtId="0" fontId="12" fillId="0" borderId="32" xfId="0" applyFont="1" applyBorder="1" applyAlignment="1">
      <alignment vertical="center" wrapText="1"/>
    </xf>
    <xf numFmtId="0" fontId="12" fillId="0" borderId="32" xfId="0" applyFont="1" applyBorder="1" applyAlignment="1">
      <alignment horizontal="center" vertical="center" wrapText="1"/>
    </xf>
    <xf numFmtId="0" fontId="12" fillId="0" borderId="31" xfId="0" applyFont="1" applyBorder="1" applyAlignment="1">
      <alignment horizontal="center" vertical="center" wrapText="1"/>
    </xf>
    <xf numFmtId="0" fontId="12" fillId="0" borderId="33" xfId="0" applyFont="1" applyBorder="1" applyAlignment="1">
      <alignment horizontal="center" vertical="center" wrapText="1"/>
    </xf>
    <xf numFmtId="0" fontId="12" fillId="4" borderId="32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 wrapText="1"/>
    </xf>
    <xf numFmtId="0" fontId="10" fillId="4" borderId="19" xfId="0" applyFont="1" applyFill="1" applyBorder="1" applyAlignment="1">
      <alignment vertical="center" wrapText="1"/>
    </xf>
    <xf numFmtId="0" fontId="13" fillId="0" borderId="23" xfId="0" applyFont="1" applyFill="1" applyBorder="1" applyAlignment="1">
      <alignment vertical="center" wrapText="1"/>
    </xf>
    <xf numFmtId="0" fontId="10" fillId="4" borderId="21" xfId="0" applyFont="1" applyFill="1" applyBorder="1" applyAlignment="1">
      <alignment vertical="center" wrapText="1"/>
    </xf>
    <xf numFmtId="0" fontId="10" fillId="0" borderId="21" xfId="0" applyFont="1" applyFill="1" applyBorder="1" applyAlignment="1">
      <alignment vertical="center" wrapText="1"/>
    </xf>
    <xf numFmtId="0" fontId="10" fillId="0" borderId="23" xfId="0" applyFont="1" applyFill="1" applyBorder="1" applyAlignment="1">
      <alignment horizontal="center" vertical="center" wrapText="1"/>
    </xf>
    <xf numFmtId="164" fontId="14" fillId="0" borderId="23" xfId="0" applyNumberFormat="1" applyFont="1" applyFill="1" applyBorder="1" applyAlignment="1">
      <alignment horizontal="center" vertical="center" wrapText="1"/>
    </xf>
    <xf numFmtId="0" fontId="10" fillId="12" borderId="21" xfId="0" applyFont="1" applyFill="1" applyBorder="1" applyAlignment="1">
      <alignment vertical="center" wrapText="1"/>
    </xf>
    <xf numFmtId="0" fontId="10" fillId="0" borderId="8" xfId="0" applyFont="1" applyBorder="1" applyAlignment="1">
      <alignment vertical="center" wrapText="1"/>
    </xf>
    <xf numFmtId="0" fontId="10" fillId="0" borderId="30" xfId="0" applyFont="1" applyBorder="1" applyAlignment="1">
      <alignment vertical="center" wrapText="1"/>
    </xf>
    <xf numFmtId="0" fontId="10" fillId="0" borderId="39" xfId="0" applyFont="1" applyBorder="1" applyAlignment="1">
      <alignment vertical="center" wrapText="1"/>
    </xf>
    <xf numFmtId="164" fontId="10" fillId="0" borderId="28" xfId="0" applyNumberFormat="1" applyFont="1" applyBorder="1" applyAlignment="1">
      <alignment horizontal="center" vertical="center" wrapText="1"/>
    </xf>
    <xf numFmtId="0" fontId="10" fillId="0" borderId="28" xfId="0" applyFont="1" applyBorder="1" applyAlignment="1">
      <alignment vertical="center" wrapText="1"/>
    </xf>
    <xf numFmtId="0" fontId="10" fillId="4" borderId="28" xfId="0" applyFont="1" applyFill="1" applyBorder="1" applyAlignment="1">
      <alignment horizontal="center" vertical="center" wrapText="1"/>
    </xf>
    <xf numFmtId="0" fontId="10" fillId="6" borderId="28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vertical="center" wrapText="1"/>
    </xf>
    <xf numFmtId="10" fontId="10" fillId="0" borderId="21" xfId="0" applyNumberFormat="1" applyFont="1" applyBorder="1" applyAlignment="1">
      <alignment horizontal="center" vertical="center" wrapText="1"/>
    </xf>
    <xf numFmtId="0" fontId="14" fillId="5" borderId="21" xfId="0" applyFont="1" applyFill="1" applyBorder="1" applyAlignment="1">
      <alignment horizontal="center" vertical="center" wrapText="1"/>
    </xf>
    <xf numFmtId="0" fontId="14" fillId="2" borderId="21" xfId="0" applyFont="1" applyFill="1" applyBorder="1" applyAlignment="1">
      <alignment horizontal="center" vertical="center" wrapText="1"/>
    </xf>
    <xf numFmtId="164" fontId="10" fillId="0" borderId="28" xfId="0" applyNumberFormat="1" applyFont="1" applyFill="1" applyBorder="1" applyAlignment="1">
      <alignment horizontal="center" vertical="center" wrapText="1"/>
    </xf>
    <xf numFmtId="10" fontId="10" fillId="0" borderId="28" xfId="0" applyNumberFormat="1" applyFont="1" applyBorder="1" applyAlignment="1">
      <alignment horizontal="center" vertical="center" wrapText="1"/>
    </xf>
    <xf numFmtId="0" fontId="10" fillId="4" borderId="28" xfId="0" applyFont="1" applyFill="1" applyBorder="1" applyAlignment="1">
      <alignment vertical="center" wrapText="1"/>
    </xf>
    <xf numFmtId="0" fontId="14" fillId="9" borderId="28" xfId="0" applyFont="1" applyFill="1" applyBorder="1" applyAlignment="1">
      <alignment horizontal="center" vertical="center" wrapText="1"/>
    </xf>
    <xf numFmtId="0" fontId="14" fillId="8" borderId="28" xfId="0" applyFont="1" applyFill="1" applyBorder="1" applyAlignment="1">
      <alignment horizontal="center" vertical="center" wrapText="1"/>
    </xf>
    <xf numFmtId="0" fontId="10" fillId="0" borderId="29" xfId="0" applyFont="1" applyBorder="1" applyAlignment="1">
      <alignment vertical="center" wrapText="1"/>
    </xf>
    <xf numFmtId="0" fontId="10" fillId="0" borderId="29" xfId="0" applyFont="1" applyBorder="1" applyAlignment="1">
      <alignment horizontal="justify" vertical="center" wrapText="1"/>
    </xf>
    <xf numFmtId="0" fontId="14" fillId="0" borderId="28" xfId="0" applyFont="1" applyFill="1" applyBorder="1" applyAlignment="1">
      <alignment vertical="center" wrapText="1"/>
    </xf>
    <xf numFmtId="0" fontId="10" fillId="4" borderId="32" xfId="0" applyFont="1" applyFill="1" applyBorder="1" applyAlignment="1">
      <alignment vertical="center" wrapText="1"/>
    </xf>
    <xf numFmtId="164" fontId="10" fillId="0" borderId="32" xfId="0" applyNumberFormat="1" applyFont="1" applyBorder="1" applyAlignment="1">
      <alignment horizontal="center" vertical="center" wrapText="1"/>
    </xf>
    <xf numFmtId="164" fontId="15" fillId="0" borderId="28" xfId="0" applyNumberFormat="1" applyFont="1" applyFill="1" applyBorder="1" applyAlignment="1">
      <alignment horizontal="center" vertical="center" wrapText="1"/>
    </xf>
    <xf numFmtId="0" fontId="15" fillId="0" borderId="28" xfId="0" applyFont="1" applyBorder="1" applyAlignment="1">
      <alignment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5" fillId="4" borderId="28" xfId="0" applyFont="1" applyFill="1" applyBorder="1" applyAlignment="1">
      <alignment vertical="center" wrapText="1"/>
    </xf>
    <xf numFmtId="0" fontId="15" fillId="5" borderId="28" xfId="0" applyFont="1" applyFill="1" applyBorder="1" applyAlignment="1">
      <alignment horizontal="center" vertical="center" wrapText="1"/>
    </xf>
    <xf numFmtId="0" fontId="15" fillId="6" borderId="28" xfId="0" applyFont="1" applyFill="1" applyBorder="1" applyAlignment="1">
      <alignment horizontal="center" vertical="center" wrapText="1"/>
    </xf>
    <xf numFmtId="0" fontId="15" fillId="2" borderId="28" xfId="0" applyFont="1" applyFill="1" applyBorder="1" applyAlignment="1">
      <alignment horizontal="center" vertical="center" wrapText="1"/>
    </xf>
    <xf numFmtId="0" fontId="15" fillId="7" borderId="28" xfId="0" applyFont="1" applyFill="1" applyBorder="1" applyAlignment="1">
      <alignment horizontal="center" vertical="center" wrapText="1"/>
    </xf>
    <xf numFmtId="0" fontId="15" fillId="8" borderId="28" xfId="0" applyFont="1" applyFill="1" applyBorder="1" applyAlignment="1">
      <alignment horizontal="center" vertical="center" wrapText="1"/>
    </xf>
    <xf numFmtId="0" fontId="15" fillId="9" borderId="28" xfId="0" applyFont="1" applyFill="1" applyBorder="1" applyAlignment="1">
      <alignment horizontal="center" vertical="center" wrapText="1"/>
    </xf>
    <xf numFmtId="164" fontId="15" fillId="0" borderId="21" xfId="0" applyNumberFormat="1" applyFont="1" applyFill="1" applyBorder="1" applyAlignment="1">
      <alignment horizontal="center" vertical="center" wrapText="1"/>
    </xf>
    <xf numFmtId="0" fontId="15" fillId="0" borderId="21" xfId="0" applyFont="1" applyBorder="1" applyAlignment="1">
      <alignment vertical="center" wrapText="1"/>
    </xf>
    <xf numFmtId="0" fontId="15" fillId="0" borderId="21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15" fillId="4" borderId="21" xfId="0" applyFont="1" applyFill="1" applyBorder="1" applyAlignment="1">
      <alignment vertical="center" wrapText="1"/>
    </xf>
    <xf numFmtId="0" fontId="15" fillId="5" borderId="21" xfId="0" applyFont="1" applyFill="1" applyBorder="1" applyAlignment="1">
      <alignment horizontal="center" vertical="center" wrapText="1"/>
    </xf>
    <xf numFmtId="0" fontId="15" fillId="6" borderId="21" xfId="0" applyFont="1" applyFill="1" applyBorder="1" applyAlignment="1">
      <alignment horizontal="center" vertical="center" wrapText="1"/>
    </xf>
    <xf numFmtId="0" fontId="15" fillId="2" borderId="21" xfId="0" applyFont="1" applyFill="1" applyBorder="1" applyAlignment="1">
      <alignment horizontal="center" vertical="center" wrapText="1"/>
    </xf>
    <xf numFmtId="0" fontId="15" fillId="7" borderId="21" xfId="0" applyFont="1" applyFill="1" applyBorder="1" applyAlignment="1">
      <alignment horizontal="center" vertical="center" wrapText="1"/>
    </xf>
    <xf numFmtId="0" fontId="15" fillId="9" borderId="21" xfId="0" applyFont="1" applyFill="1" applyBorder="1" applyAlignment="1">
      <alignment horizontal="center" vertical="center" wrapText="1"/>
    </xf>
    <xf numFmtId="0" fontId="14" fillId="0" borderId="21" xfId="0" applyFont="1" applyBorder="1" applyAlignment="1">
      <alignment vertical="center" wrapText="1"/>
    </xf>
    <xf numFmtId="0" fontId="14" fillId="0" borderId="21" xfId="0" applyFont="1" applyBorder="1" applyAlignment="1">
      <alignment horizontal="center" vertical="center" wrapText="1"/>
    </xf>
    <xf numFmtId="0" fontId="14" fillId="0" borderId="29" xfId="0" applyFont="1" applyBorder="1" applyAlignment="1">
      <alignment horizontal="center" vertical="center" wrapText="1"/>
    </xf>
    <xf numFmtId="0" fontId="14" fillId="0" borderId="30" xfId="0" applyFont="1" applyBorder="1" applyAlignment="1">
      <alignment horizontal="center" vertical="center" wrapText="1"/>
    </xf>
    <xf numFmtId="0" fontId="14" fillId="4" borderId="21" xfId="0" applyFont="1" applyFill="1" applyBorder="1" applyAlignment="1">
      <alignment vertical="center" wrapText="1"/>
    </xf>
    <xf numFmtId="0" fontId="12" fillId="5" borderId="21" xfId="0" applyFont="1" applyFill="1" applyBorder="1" applyAlignment="1">
      <alignment horizontal="center" vertical="center" wrapText="1"/>
    </xf>
    <xf numFmtId="0" fontId="12" fillId="0" borderId="21" xfId="0" applyFont="1" applyBorder="1" applyAlignment="1">
      <alignment vertical="center" wrapText="1"/>
    </xf>
    <xf numFmtId="0" fontId="12" fillId="0" borderId="21" xfId="0" applyFont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 wrapText="1"/>
    </xf>
    <xf numFmtId="0" fontId="12" fillId="0" borderId="30" xfId="0" applyFont="1" applyBorder="1" applyAlignment="1">
      <alignment horizontal="center" vertical="center" wrapText="1"/>
    </xf>
    <xf numFmtId="0" fontId="12" fillId="6" borderId="21" xfId="0" applyFont="1" applyFill="1" applyBorder="1" applyAlignment="1">
      <alignment horizontal="center" vertical="center" wrapText="1"/>
    </xf>
    <xf numFmtId="0" fontId="12" fillId="2" borderId="21" xfId="0" applyFont="1" applyFill="1" applyBorder="1" applyAlignment="1">
      <alignment horizontal="center" vertical="center" wrapText="1"/>
    </xf>
    <xf numFmtId="0" fontId="12" fillId="7" borderId="21" xfId="0" applyFont="1" applyFill="1" applyBorder="1" applyAlignment="1">
      <alignment horizontal="center" vertical="center" wrapText="1"/>
    </xf>
    <xf numFmtId="0" fontId="12" fillId="8" borderId="21" xfId="0" applyFont="1" applyFill="1" applyBorder="1" applyAlignment="1">
      <alignment horizontal="center" vertical="center" wrapText="1"/>
    </xf>
    <xf numFmtId="0" fontId="12" fillId="9" borderId="21" xfId="0" applyFont="1" applyFill="1" applyBorder="1" applyAlignment="1">
      <alignment horizontal="center" vertical="center" wrapText="1"/>
    </xf>
    <xf numFmtId="164" fontId="12" fillId="0" borderId="21" xfId="0" applyNumberFormat="1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vertical="center" wrapText="1"/>
    </xf>
    <xf numFmtId="0" fontId="14" fillId="0" borderId="28" xfId="0" applyFont="1" applyBorder="1" applyAlignment="1">
      <alignment horizontal="center" vertical="center" wrapText="1"/>
    </xf>
    <xf numFmtId="0" fontId="14" fillId="0" borderId="26" xfId="0" applyFont="1" applyBorder="1" applyAlignment="1">
      <alignment horizontal="center" vertical="center" wrapText="1"/>
    </xf>
    <xf numFmtId="0" fontId="14" fillId="0" borderId="27" xfId="0" applyFont="1" applyBorder="1" applyAlignment="1">
      <alignment horizontal="center" vertical="center" wrapText="1"/>
    </xf>
    <xf numFmtId="0" fontId="14" fillId="4" borderId="28" xfId="0" applyFont="1" applyFill="1" applyBorder="1" applyAlignment="1">
      <alignment vertical="center" wrapText="1"/>
    </xf>
    <xf numFmtId="0" fontId="14" fillId="5" borderId="28" xfId="0" applyFont="1" applyFill="1" applyBorder="1" applyAlignment="1">
      <alignment horizontal="center" vertical="center" wrapText="1"/>
    </xf>
    <xf numFmtId="164" fontId="14" fillId="0" borderId="34" xfId="0" applyNumberFormat="1" applyFont="1" applyFill="1" applyBorder="1" applyAlignment="1">
      <alignment horizontal="center" vertical="center" wrapText="1"/>
    </xf>
    <xf numFmtId="0" fontId="14" fillId="0" borderId="34" xfId="0" applyFont="1" applyBorder="1" applyAlignment="1">
      <alignment vertical="center" wrapText="1"/>
    </xf>
    <xf numFmtId="0" fontId="14" fillId="0" borderId="34" xfId="0" applyFont="1" applyBorder="1" applyAlignment="1">
      <alignment horizontal="center" vertical="center" wrapText="1"/>
    </xf>
    <xf numFmtId="0" fontId="14" fillId="0" borderId="37" xfId="0" applyFont="1" applyBorder="1" applyAlignment="1">
      <alignment horizontal="center" vertical="center" wrapText="1"/>
    </xf>
    <xf numFmtId="0" fontId="14" fillId="0" borderId="38" xfId="0" applyFont="1" applyBorder="1" applyAlignment="1">
      <alignment horizontal="center" vertical="center" wrapText="1"/>
    </xf>
    <xf numFmtId="0" fontId="10" fillId="4" borderId="34" xfId="0" applyFont="1" applyFill="1" applyBorder="1" applyAlignment="1">
      <alignment vertical="center" wrapText="1"/>
    </xf>
    <xf numFmtId="0" fontId="10" fillId="0" borderId="32" xfId="0" applyFont="1" applyFill="1" applyBorder="1" applyAlignment="1">
      <alignment vertical="center" wrapText="1"/>
    </xf>
    <xf numFmtId="0" fontId="10" fillId="0" borderId="23" xfId="0" applyFont="1" applyFill="1" applyBorder="1" applyAlignment="1">
      <alignment vertical="center" wrapText="1"/>
    </xf>
    <xf numFmtId="0" fontId="10" fillId="0" borderId="19" xfId="0" applyFont="1" applyFill="1" applyBorder="1" applyAlignment="1">
      <alignment vertical="center" wrapText="1"/>
    </xf>
    <xf numFmtId="164" fontId="10" fillId="0" borderId="23" xfId="0" applyNumberFormat="1" applyFont="1" applyBorder="1" applyAlignment="1">
      <alignment horizontal="center" vertical="center" wrapText="1"/>
    </xf>
    <xf numFmtId="0" fontId="10" fillId="0" borderId="23" xfId="0" applyFont="1" applyBorder="1" applyAlignment="1">
      <alignment vertical="center" wrapText="1"/>
    </xf>
    <xf numFmtId="0" fontId="10" fillId="4" borderId="23" xfId="0" applyFont="1" applyFill="1" applyBorder="1" applyAlignment="1">
      <alignment vertical="center" wrapText="1"/>
    </xf>
    <xf numFmtId="0" fontId="10" fillId="6" borderId="23" xfId="0" applyFont="1" applyFill="1" applyBorder="1" applyAlignment="1">
      <alignment horizontal="center" vertical="center" wrapText="1"/>
    </xf>
    <xf numFmtId="164" fontId="10" fillId="0" borderId="1" xfId="0" applyNumberFormat="1" applyFont="1" applyBorder="1" applyAlignment="1">
      <alignment horizontal="center" vertical="center" wrapText="1"/>
    </xf>
    <xf numFmtId="0" fontId="10" fillId="0" borderId="1" xfId="0" applyFont="1" applyFill="1" applyBorder="1" applyAlignment="1">
      <alignment vertical="center" wrapText="1"/>
    </xf>
    <xf numFmtId="0" fontId="10" fillId="0" borderId="33" xfId="0" applyFont="1" applyBorder="1" applyAlignment="1">
      <alignment vertical="center" wrapText="1"/>
    </xf>
    <xf numFmtId="0" fontId="17" fillId="0" borderId="18" xfId="0" applyFont="1" applyBorder="1" applyAlignment="1">
      <alignment vertical="center" wrapText="1"/>
    </xf>
    <xf numFmtId="0" fontId="10" fillId="0" borderId="34" xfId="0" applyFont="1" applyFill="1" applyBorder="1" applyAlignment="1">
      <alignment vertical="center" wrapText="1"/>
    </xf>
    <xf numFmtId="0" fontId="14" fillId="5" borderId="34" xfId="0" applyFont="1" applyFill="1" applyBorder="1" applyAlignment="1">
      <alignment horizontal="center" vertical="center" wrapText="1"/>
    </xf>
    <xf numFmtId="0" fontId="14" fillId="6" borderId="34" xfId="0" applyFont="1" applyFill="1" applyBorder="1" applyAlignment="1">
      <alignment horizontal="center" vertical="center" wrapText="1"/>
    </xf>
    <xf numFmtId="0" fontId="14" fillId="2" borderId="34" xfId="0" applyFont="1" applyFill="1" applyBorder="1" applyAlignment="1">
      <alignment horizontal="center" vertical="center" wrapText="1"/>
    </xf>
    <xf numFmtId="0" fontId="14" fillId="7" borderId="34" xfId="0" applyFont="1" applyFill="1" applyBorder="1" applyAlignment="1">
      <alignment horizontal="center" vertical="center" wrapText="1"/>
    </xf>
    <xf numFmtId="0" fontId="14" fillId="8" borderId="34" xfId="0" applyFont="1" applyFill="1" applyBorder="1" applyAlignment="1">
      <alignment horizontal="center" vertical="center" wrapText="1"/>
    </xf>
    <xf numFmtId="0" fontId="14" fillId="9" borderId="34" xfId="0" applyFont="1" applyFill="1" applyBorder="1" applyAlignment="1">
      <alignment horizontal="center" vertical="center" wrapText="1"/>
    </xf>
    <xf numFmtId="0" fontId="14" fillId="2" borderId="19" xfId="0" applyFont="1" applyFill="1" applyBorder="1" applyAlignment="1">
      <alignment horizontal="center" vertical="center" wrapText="1"/>
    </xf>
    <xf numFmtId="0" fontId="14" fillId="7" borderId="19" xfId="0" applyFont="1" applyFill="1" applyBorder="1" applyAlignment="1">
      <alignment horizontal="center" vertical="center" wrapText="1"/>
    </xf>
    <xf numFmtId="0" fontId="14" fillId="8" borderId="19" xfId="0" applyFont="1" applyFill="1" applyBorder="1" applyAlignment="1">
      <alignment horizontal="center" vertical="center" wrapText="1"/>
    </xf>
    <xf numFmtId="0" fontId="14" fillId="9" borderId="19" xfId="0" applyFont="1" applyFill="1" applyBorder="1" applyAlignment="1">
      <alignment horizontal="center" vertical="center" wrapText="1"/>
    </xf>
    <xf numFmtId="0" fontId="13" fillId="0" borderId="19" xfId="0" applyFont="1" applyBorder="1" applyAlignment="1">
      <alignment vertical="center" wrapText="1"/>
    </xf>
    <xf numFmtId="164" fontId="10" fillId="0" borderId="18" xfId="0" applyNumberFormat="1" applyFont="1" applyFill="1" applyBorder="1" applyAlignment="1">
      <alignment horizontal="center" vertical="center" wrapText="1"/>
    </xf>
    <xf numFmtId="0" fontId="10" fillId="0" borderId="18" xfId="0" applyFont="1" applyBorder="1" applyAlignment="1">
      <alignment vertical="center" wrapText="1"/>
    </xf>
    <xf numFmtId="0" fontId="10" fillId="0" borderId="18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center" vertical="center" wrapText="1"/>
    </xf>
    <xf numFmtId="0" fontId="10" fillId="4" borderId="18" xfId="0" applyFont="1" applyFill="1" applyBorder="1" applyAlignment="1">
      <alignment vertical="center" wrapText="1"/>
    </xf>
    <xf numFmtId="0" fontId="13" fillId="0" borderId="24" xfId="0" applyFont="1" applyBorder="1" applyAlignment="1">
      <alignment vertical="center" wrapText="1"/>
    </xf>
    <xf numFmtId="164" fontId="10" fillId="0" borderId="1" xfId="0" applyNumberFormat="1" applyFont="1" applyFill="1" applyBorder="1" applyAlignment="1">
      <alignment horizontal="center" vertical="center" wrapText="1"/>
    </xf>
    <xf numFmtId="0" fontId="10" fillId="0" borderId="27" xfId="0" applyFont="1" applyBorder="1" applyAlignment="1">
      <alignment vertical="center" wrapText="1"/>
    </xf>
    <xf numFmtId="0" fontId="10" fillId="0" borderId="27" xfId="0" applyFont="1" applyFill="1" applyBorder="1" applyAlignment="1">
      <alignment vertical="center" wrapText="1"/>
    </xf>
    <xf numFmtId="0" fontId="14" fillId="0" borderId="23" xfId="0" applyFont="1" applyFill="1" applyBorder="1" applyAlignment="1">
      <alignment vertical="center" wrapText="1"/>
    </xf>
    <xf numFmtId="0" fontId="14" fillId="4" borderId="19" xfId="0" applyFont="1" applyFill="1" applyBorder="1" applyAlignment="1">
      <alignment vertical="center" wrapText="1"/>
    </xf>
    <xf numFmtId="0" fontId="13" fillId="0" borderId="23" xfId="0" applyFont="1" applyFill="1" applyBorder="1" applyAlignment="1">
      <alignment horizontal="center" vertical="center" wrapText="1"/>
    </xf>
    <xf numFmtId="0" fontId="19" fillId="0" borderId="23" xfId="0" applyFont="1" applyFill="1" applyBorder="1" applyAlignment="1">
      <alignment horizontal="center"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9" xfId="0" applyFont="1" applyBorder="1" applyAlignment="1">
      <alignment horizontal="center" vertical="center" wrapText="1"/>
    </xf>
    <xf numFmtId="0" fontId="19" fillId="0" borderId="30" xfId="0" applyFont="1" applyBorder="1" applyAlignment="1">
      <alignment horizontal="center" vertical="center" wrapText="1"/>
    </xf>
    <xf numFmtId="0" fontId="19" fillId="0" borderId="28" xfId="0" applyFont="1" applyBorder="1" applyAlignment="1">
      <alignment horizontal="center" vertical="center" wrapText="1"/>
    </xf>
    <xf numFmtId="0" fontId="19" fillId="4" borderId="28" xfId="0" applyFont="1" applyFill="1" applyBorder="1" applyAlignment="1">
      <alignment vertical="center" wrapText="1"/>
    </xf>
    <xf numFmtId="0" fontId="19" fillId="5" borderId="28" xfId="0" applyFont="1" applyFill="1" applyBorder="1" applyAlignment="1">
      <alignment horizontal="center" vertical="center" wrapText="1"/>
    </xf>
    <xf numFmtId="0" fontId="19" fillId="6" borderId="28" xfId="0" applyFont="1" applyFill="1" applyBorder="1" applyAlignment="1">
      <alignment horizontal="center" vertical="center" wrapText="1"/>
    </xf>
    <xf numFmtId="0" fontId="19" fillId="2" borderId="28" xfId="0" applyFont="1" applyFill="1" applyBorder="1" applyAlignment="1">
      <alignment horizontal="center" vertical="center" wrapText="1"/>
    </xf>
    <xf numFmtId="0" fontId="19" fillId="7" borderId="28" xfId="0" applyFont="1" applyFill="1" applyBorder="1" applyAlignment="1">
      <alignment horizontal="center" vertical="center" wrapText="1"/>
    </xf>
    <xf numFmtId="0" fontId="19" fillId="8" borderId="28" xfId="0" applyFont="1" applyFill="1" applyBorder="1" applyAlignment="1">
      <alignment horizontal="center" vertical="center" wrapText="1"/>
    </xf>
    <xf numFmtId="0" fontId="19" fillId="9" borderId="28" xfId="0" applyFont="1" applyFill="1" applyBorder="1" applyAlignment="1">
      <alignment horizontal="center" vertical="center" wrapText="1"/>
    </xf>
    <xf numFmtId="0" fontId="19" fillId="0" borderId="0" xfId="0" applyFont="1" applyAlignment="1">
      <alignment vertical="center" wrapText="1"/>
    </xf>
    <xf numFmtId="164" fontId="19" fillId="0" borderId="28" xfId="0" applyNumberFormat="1" applyFont="1" applyFill="1" applyBorder="1" applyAlignment="1">
      <alignment horizontal="center" vertical="center" wrapText="1"/>
    </xf>
    <xf numFmtId="0" fontId="19" fillId="0" borderId="27" xfId="0" applyFont="1" applyBorder="1" applyAlignment="1">
      <alignment horizontal="center" vertical="center" wrapText="1"/>
    </xf>
    <xf numFmtId="0" fontId="19" fillId="0" borderId="21" xfId="0" applyFont="1" applyFill="1" applyBorder="1" applyAlignment="1">
      <alignment vertical="center" wrapText="1"/>
    </xf>
    <xf numFmtId="10" fontId="19" fillId="0" borderId="21" xfId="0" applyNumberFormat="1" applyFont="1" applyBorder="1" applyAlignment="1">
      <alignment horizontal="center" vertical="center" wrapText="1"/>
    </xf>
    <xf numFmtId="0" fontId="19" fillId="0" borderId="28" xfId="0" applyFont="1" applyBorder="1" applyAlignment="1">
      <alignment vertical="center" wrapText="1"/>
    </xf>
    <xf numFmtId="10" fontId="10" fillId="13" borderId="21" xfId="0" applyNumberFormat="1" applyFont="1" applyFill="1" applyBorder="1" applyAlignment="1">
      <alignment horizontal="center" vertical="center" wrapText="1"/>
    </xf>
    <xf numFmtId="0" fontId="10" fillId="13" borderId="21" xfId="0" applyFont="1" applyFill="1" applyBorder="1" applyAlignment="1">
      <alignment horizontal="center" vertical="center" wrapText="1"/>
    </xf>
    <xf numFmtId="164" fontId="13" fillId="0" borderId="23" xfId="0" applyNumberFormat="1" applyFont="1" applyFill="1" applyBorder="1" applyAlignment="1">
      <alignment horizontal="center" vertical="center" wrapText="1"/>
    </xf>
    <xf numFmtId="0" fontId="13" fillId="0" borderId="20" xfId="0" applyFont="1" applyBorder="1" applyAlignment="1">
      <alignment vertical="center" wrapText="1"/>
    </xf>
    <xf numFmtId="0" fontId="13" fillId="0" borderId="41" xfId="0" applyFont="1" applyBorder="1" applyAlignment="1">
      <alignment vertical="center" wrapText="1"/>
    </xf>
    <xf numFmtId="1" fontId="10" fillId="0" borderId="21" xfId="0" applyNumberFormat="1" applyFont="1" applyFill="1" applyBorder="1" applyAlignment="1">
      <alignment horizontal="center" vertical="center" wrapText="1"/>
    </xf>
    <xf numFmtId="1" fontId="10" fillId="0" borderId="34" xfId="0" applyNumberFormat="1" applyFont="1" applyFill="1" applyBorder="1" applyAlignment="1">
      <alignment horizontal="center" vertical="center" wrapText="1"/>
    </xf>
    <xf numFmtId="1" fontId="15" fillId="0" borderId="21" xfId="0" applyNumberFormat="1" applyFont="1" applyFill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34" xfId="0" quotePrefix="1" applyFont="1" applyBorder="1" applyAlignment="1">
      <alignment horizontal="center" vertical="center" wrapText="1"/>
    </xf>
    <xf numFmtId="0" fontId="8" fillId="0" borderId="0" xfId="2" applyFont="1"/>
    <xf numFmtId="0" fontId="7" fillId="0" borderId="1" xfId="2" applyFont="1" applyBorder="1"/>
    <xf numFmtId="49" fontId="0" fillId="13" borderId="1" xfId="0" applyNumberFormat="1" applyFill="1" applyBorder="1"/>
    <xf numFmtId="49" fontId="0" fillId="13" borderId="1" xfId="0" quotePrefix="1" applyNumberFormat="1" applyFill="1" applyBorder="1"/>
    <xf numFmtId="49" fontId="0" fillId="0" borderId="1" xfId="0" applyNumberFormat="1" applyBorder="1"/>
    <xf numFmtId="0" fontId="0" fillId="0" borderId="0" xfId="0" applyNumberFormat="1" applyAlignment="1">
      <alignment horizontal="center"/>
    </xf>
    <xf numFmtId="0" fontId="20" fillId="15" borderId="43" xfId="0" applyFont="1" applyFill="1" applyBorder="1" applyAlignment="1">
      <alignment horizontal="center" vertical="top" wrapText="1"/>
    </xf>
    <xf numFmtId="3" fontId="20" fillId="15" borderId="43" xfId="0" applyNumberFormat="1" applyFont="1" applyFill="1" applyBorder="1" applyAlignment="1">
      <alignment horizontal="center" vertical="top" wrapText="1"/>
    </xf>
    <xf numFmtId="165" fontId="0" fillId="16" borderId="0" xfId="0" applyNumberFormat="1" applyFill="1" applyAlignment="1">
      <alignment horizontal="center" vertical="top" wrapText="1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center"/>
    </xf>
    <xf numFmtId="165" fontId="0" fillId="0" borderId="0" xfId="0" applyNumberFormat="1"/>
    <xf numFmtId="0" fontId="6" fillId="0" borderId="1" xfId="2" applyFont="1" applyBorder="1" applyAlignment="1">
      <alignment wrapText="1"/>
    </xf>
    <xf numFmtId="0" fontId="0" fillId="0" borderId="1" xfId="0" applyBorder="1" applyAlignment="1">
      <alignment wrapText="1"/>
    </xf>
    <xf numFmtId="14" fontId="0" fillId="0" borderId="1" xfId="0" applyNumberFormat="1" applyBorder="1"/>
    <xf numFmtId="0" fontId="6" fillId="0" borderId="1" xfId="2" applyFont="1" applyBorder="1"/>
    <xf numFmtId="17" fontId="0" fillId="0" borderId="1" xfId="0" applyNumberFormat="1" applyBorder="1"/>
    <xf numFmtId="0" fontId="0" fillId="0" borderId="6" xfId="0" applyBorder="1" applyAlignment="1">
      <alignment vertical="center"/>
    </xf>
    <xf numFmtId="0" fontId="0" fillId="0" borderId="0" xfId="0" applyBorder="1"/>
    <xf numFmtId="0" fontId="0" fillId="0" borderId="29" xfId="0" applyBorder="1" applyAlignment="1">
      <alignment vertical="center"/>
    </xf>
    <xf numFmtId="0" fontId="0" fillId="0" borderId="21" xfId="0" quotePrefix="1" applyBorder="1" applyAlignment="1">
      <alignment vertical="center" wrapText="1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26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8" xfId="0" applyBorder="1" applyAlignment="1">
      <alignment vertical="center"/>
    </xf>
    <xf numFmtId="0" fontId="0" fillId="0" borderId="49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28" xfId="0" quotePrefix="1" applyBorder="1" applyAlignment="1">
      <alignment vertical="center" wrapText="1"/>
    </xf>
    <xf numFmtId="0" fontId="0" fillId="0" borderId="14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29" xfId="0" quotePrefix="1" applyBorder="1" applyAlignment="1">
      <alignment vertical="center"/>
    </xf>
    <xf numFmtId="0" fontId="0" fillId="0" borderId="0" xfId="0" applyFill="1" applyBorder="1"/>
    <xf numFmtId="0" fontId="0" fillId="0" borderId="1" xfId="0" applyBorder="1" applyAlignment="1"/>
    <xf numFmtId="0" fontId="0" fillId="0" borderId="1" xfId="0" applyFill="1" applyBorder="1" applyAlignment="1"/>
    <xf numFmtId="0" fontId="22" fillId="0" borderId="0" xfId="3" applyFont="1"/>
    <xf numFmtId="0" fontId="21" fillId="0" borderId="0" xfId="3"/>
    <xf numFmtId="0" fontId="21" fillId="0" borderId="0" xfId="3" applyAlignment="1">
      <alignment vertical="top"/>
    </xf>
    <xf numFmtId="0" fontId="21" fillId="19" borderId="0" xfId="3" applyFill="1"/>
    <xf numFmtId="0" fontId="0" fillId="17" borderId="1" xfId="0" applyFill="1" applyBorder="1" applyAlignment="1">
      <alignment vertical="top" wrapText="1"/>
    </xf>
    <xf numFmtId="0" fontId="0" fillId="18" borderId="1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wrapText="1"/>
    </xf>
    <xf numFmtId="0" fontId="0" fillId="0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13" borderId="1" xfId="0" applyFill="1" applyBorder="1" applyAlignment="1">
      <alignment horizontal="left" vertical="center"/>
    </xf>
    <xf numFmtId="0" fontId="0" fillId="13" borderId="1" xfId="0" applyFill="1" applyBorder="1"/>
    <xf numFmtId="0" fontId="0" fillId="13" borderId="1" xfId="0" applyFill="1" applyBorder="1" applyAlignment="1">
      <alignment horizontal="right"/>
    </xf>
    <xf numFmtId="0" fontId="0" fillId="13" borderId="1" xfId="0" applyFill="1" applyBorder="1" applyAlignment="1">
      <alignment horizontal="left" wrapText="1"/>
    </xf>
    <xf numFmtId="0" fontId="0" fillId="13" borderId="1" xfId="0" applyFill="1" applyBorder="1" applyAlignment="1">
      <alignment wrapText="1"/>
    </xf>
    <xf numFmtId="0" fontId="0" fillId="14" borderId="1" xfId="0" applyFill="1" applyBorder="1" applyAlignment="1">
      <alignment wrapText="1"/>
    </xf>
    <xf numFmtId="0" fontId="0" fillId="0" borderId="1" xfId="0" applyBorder="1" applyAlignment="1">
      <alignment horizontal="left" vertical="center" wrapText="1"/>
    </xf>
    <xf numFmtId="0" fontId="0" fillId="0" borderId="1" xfId="0" quotePrefix="1" applyBorder="1"/>
    <xf numFmtId="0" fontId="0" fillId="14" borderId="1" xfId="0" applyFill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 wrapText="1"/>
    </xf>
    <xf numFmtId="0" fontId="22" fillId="14" borderId="1" xfId="0" applyFont="1" applyFill="1" applyBorder="1"/>
    <xf numFmtId="10" fontId="0" fillId="0" borderId="1" xfId="0" quotePrefix="1" applyNumberFormat="1" applyBorder="1"/>
    <xf numFmtId="0" fontId="0" fillId="19" borderId="1" xfId="0" applyFill="1" applyBorder="1" applyAlignment="1">
      <alignment horizontal="left" wrapText="1"/>
    </xf>
    <xf numFmtId="0" fontId="0" fillId="19" borderId="1" xfId="0" applyFill="1" applyBorder="1" applyAlignment="1">
      <alignment horizontal="right"/>
    </xf>
    <xf numFmtId="0" fontId="0" fillId="19" borderId="1" xfId="0" applyFill="1" applyBorder="1" applyAlignment="1">
      <alignment wrapText="1"/>
    </xf>
    <xf numFmtId="0" fontId="0" fillId="19" borderId="1" xfId="0" applyFill="1" applyBorder="1" applyAlignment="1">
      <alignment horizontal="left" vertical="center"/>
    </xf>
    <xf numFmtId="0" fontId="10" fillId="14" borderId="1" xfId="0" applyFont="1" applyFill="1" applyBorder="1" applyAlignment="1">
      <alignment vertical="center" wrapText="1"/>
    </xf>
    <xf numFmtId="0" fontId="10" fillId="14" borderId="1" xfId="0" applyFont="1" applyFill="1" applyBorder="1" applyAlignment="1">
      <alignment horizontal="center" vertical="center" wrapText="1"/>
    </xf>
    <xf numFmtId="0" fontId="0" fillId="14" borderId="1" xfId="0" applyFill="1" applyBorder="1"/>
    <xf numFmtId="164" fontId="10" fillId="14" borderId="1" xfId="0" applyNumberFormat="1" applyFont="1" applyFill="1" applyBorder="1" applyAlignment="1">
      <alignment horizontal="center" vertical="center" wrapText="1"/>
    </xf>
    <xf numFmtId="0" fontId="23" fillId="0" borderId="0" xfId="4" applyAlignment="1" applyProtection="1"/>
    <xf numFmtId="0" fontId="0" fillId="0" borderId="0" xfId="0" applyAlignment="1">
      <alignment horizontal="center"/>
    </xf>
    <xf numFmtId="0" fontId="0" fillId="0" borderId="52" xfId="0" applyFill="1" applyBorder="1"/>
    <xf numFmtId="0" fontId="6" fillId="0" borderId="53" xfId="2" applyFont="1" applyBorder="1"/>
    <xf numFmtId="0" fontId="9" fillId="0" borderId="53" xfId="2" applyBorder="1"/>
    <xf numFmtId="0" fontId="9" fillId="3" borderId="53" xfId="2" applyFill="1" applyBorder="1"/>
    <xf numFmtId="0" fontId="0" fillId="0" borderId="1" xfId="0" quotePrefix="1" applyBorder="1" applyAlignment="1">
      <alignment wrapText="1"/>
    </xf>
    <xf numFmtId="11" fontId="0" fillId="0" borderId="0" xfId="0" quotePrefix="1" applyNumberFormat="1"/>
    <xf numFmtId="14" fontId="0" fillId="0" borderId="0" xfId="0" quotePrefix="1" applyNumberFormat="1"/>
    <xf numFmtId="49" fontId="0" fillId="0" borderId="0" xfId="0" quotePrefix="1" applyNumberFormat="1" applyFill="1" applyBorder="1"/>
    <xf numFmtId="0" fontId="0" fillId="0" borderId="52" xfId="0" applyFill="1" applyBorder="1" applyAlignment="1">
      <alignment wrapText="1"/>
    </xf>
    <xf numFmtId="0" fontId="5" fillId="0" borderId="0" xfId="3" applyFont="1"/>
    <xf numFmtId="0" fontId="0" fillId="0" borderId="0" xfId="0" quotePrefix="1" applyFill="1" applyBorder="1"/>
    <xf numFmtId="0" fontId="0" fillId="0" borderId="0" xfId="0" applyBorder="1" applyAlignment="1"/>
    <xf numFmtId="0" fontId="0" fillId="0" borderId="39" xfId="0" applyBorder="1" applyAlignment="1">
      <alignment wrapText="1"/>
    </xf>
    <xf numFmtId="0" fontId="0" fillId="0" borderId="45" xfId="0" applyBorder="1" applyAlignment="1">
      <alignment wrapText="1"/>
    </xf>
    <xf numFmtId="0" fontId="0" fillId="0" borderId="44" xfId="0" quotePrefix="1" applyBorder="1" applyAlignment="1"/>
    <xf numFmtId="0" fontId="0" fillId="0" borderId="1" xfId="0" quotePrefix="1" applyBorder="1" applyProtection="1"/>
    <xf numFmtId="0" fontId="0" fillId="0" borderId="1" xfId="0" applyBorder="1" applyProtection="1"/>
    <xf numFmtId="0" fontId="0" fillId="0" borderId="1" xfId="0" applyNumberFormat="1" applyBorder="1" applyProtection="1"/>
    <xf numFmtId="0" fontId="0" fillId="3" borderId="1" xfId="0" applyFill="1" applyBorder="1" applyProtection="1"/>
    <xf numFmtId="0" fontId="0" fillId="0" borderId="44" xfId="0" quotePrefix="1" applyBorder="1" applyAlignment="1" applyProtection="1">
      <protection locked="0"/>
    </xf>
    <xf numFmtId="0" fontId="0" fillId="0" borderId="39" xfId="0" applyBorder="1" applyAlignment="1" applyProtection="1">
      <alignment wrapText="1"/>
      <protection locked="0"/>
    </xf>
    <xf numFmtId="0" fontId="0" fillId="0" borderId="45" xfId="0" applyBorder="1" applyAlignment="1" applyProtection="1">
      <alignment wrapText="1"/>
      <protection locked="0"/>
    </xf>
    <xf numFmtId="0" fontId="0" fillId="3" borderId="1" xfId="0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NumberFormat="1" applyBorder="1" applyProtection="1">
      <protection locked="0"/>
    </xf>
    <xf numFmtId="0" fontId="0" fillId="0" borderId="1" xfId="0" quotePrefix="1" applyBorder="1" applyProtection="1">
      <protection locked="0"/>
    </xf>
    <xf numFmtId="0" fontId="0" fillId="0" borderId="0" xfId="0" applyProtection="1">
      <protection locked="0"/>
    </xf>
    <xf numFmtId="0" fontId="0" fillId="0" borderId="1" xfId="0" quotePrefix="1" applyBorder="1" applyAlignment="1" applyProtection="1">
      <alignment wrapText="1"/>
      <protection locked="0"/>
    </xf>
    <xf numFmtId="0" fontId="0" fillId="0" borderId="1" xfId="0" quotePrefix="1" applyNumberFormat="1" applyBorder="1" applyProtection="1">
      <protection locked="0"/>
    </xf>
    <xf numFmtId="0" fontId="0" fillId="0" borderId="52" xfId="0" quotePrefix="1" applyNumberFormat="1" applyFill="1" applyBorder="1" applyProtection="1">
      <protection locked="0"/>
    </xf>
    <xf numFmtId="11" fontId="0" fillId="0" borderId="52" xfId="0" quotePrefix="1" applyNumberFormat="1" applyFill="1" applyBorder="1" applyProtection="1">
      <protection locked="0"/>
    </xf>
    <xf numFmtId="11" fontId="0" fillId="0" borderId="1" xfId="0" quotePrefix="1" applyNumberFormat="1" applyBorder="1" applyProtection="1">
      <protection locked="0"/>
    </xf>
    <xf numFmtId="11" fontId="0" fillId="0" borderId="0" xfId="0" quotePrefix="1" applyNumberFormat="1" applyProtection="1">
      <protection locked="0"/>
    </xf>
    <xf numFmtId="0" fontId="0" fillId="3" borderId="0" xfId="0" applyFill="1" applyProtection="1">
      <protection locked="0"/>
    </xf>
    <xf numFmtId="0" fontId="0" fillId="3" borderId="1" xfId="0" applyFill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4" fillId="0" borderId="0" xfId="5"/>
    <xf numFmtId="0" fontId="4" fillId="0" borderId="1" xfId="5" applyBorder="1"/>
    <xf numFmtId="0" fontId="4" fillId="3" borderId="1" xfId="5" applyFill="1" applyBorder="1"/>
    <xf numFmtId="0" fontId="4" fillId="0" borderId="1" xfId="5" applyBorder="1" applyAlignment="1">
      <alignment horizontal="right"/>
    </xf>
    <xf numFmtId="0" fontId="3" fillId="0" borderId="1" xfId="5" applyFont="1" applyBorder="1"/>
    <xf numFmtId="0" fontId="3" fillId="0" borderId="1" xfId="5" applyFont="1" applyBorder="1" applyAlignment="1">
      <alignment horizontal="left" vertical="center"/>
    </xf>
    <xf numFmtId="0" fontId="4" fillId="0" borderId="1" xfId="5" applyBorder="1" applyAlignment="1">
      <alignment horizontal="left" vertical="center"/>
    </xf>
    <xf numFmtId="0" fontId="3" fillId="3" borderId="1" xfId="5" applyFont="1" applyFill="1" applyBorder="1"/>
    <xf numFmtId="0" fontId="2" fillId="0" borderId="1" xfId="5" applyFont="1" applyBorder="1" applyAlignment="1">
      <alignment horizontal="left" vertical="center"/>
    </xf>
    <xf numFmtId="0" fontId="0" fillId="0" borderId="0" xfId="0" quotePrefix="1" applyProtection="1">
      <protection locked="0"/>
    </xf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Alignment="1">
      <alignment horizontal="justify" vertical="center"/>
    </xf>
    <xf numFmtId="0" fontId="10" fillId="0" borderId="0" xfId="0" applyFont="1" applyAlignment="1">
      <alignment horizontal="justify" vertical="center"/>
    </xf>
    <xf numFmtId="0" fontId="0" fillId="0" borderId="0" xfId="0" applyAlignment="1">
      <alignment vertical="center"/>
    </xf>
    <xf numFmtId="0" fontId="0" fillId="0" borderId="0" xfId="0" applyFont="1" applyAlignment="1">
      <alignment horizontal="justify" vertical="center"/>
    </xf>
    <xf numFmtId="0" fontId="13" fillId="0" borderId="0" xfId="0" applyFont="1" applyAlignment="1">
      <alignment horizontal="center" vertical="center"/>
    </xf>
    <xf numFmtId="0" fontId="0" fillId="0" borderId="1" xfId="0" applyBorder="1" applyAlignment="1" applyProtection="1">
      <alignment wrapText="1" shrinkToFit="1"/>
      <protection locked="0"/>
    </xf>
    <xf numFmtId="0" fontId="0" fillId="0" borderId="13" xfId="0" applyFont="1" applyFill="1" applyBorder="1" applyAlignment="1">
      <alignment horizontal="center" vertical="center" wrapText="1"/>
    </xf>
    <xf numFmtId="0" fontId="10" fillId="0" borderId="16" xfId="0" applyFont="1" applyFill="1" applyBorder="1" applyAlignment="1">
      <alignment horizontal="center" vertical="center" wrapText="1"/>
    </xf>
    <xf numFmtId="0" fontId="0" fillId="0" borderId="20" xfId="0" applyBorder="1" applyAlignment="1" applyProtection="1">
      <alignment wrapText="1" shrinkToFit="1"/>
      <protection locked="0"/>
    </xf>
    <xf numFmtId="0" fontId="0" fillId="0" borderId="17" xfId="0" applyBorder="1" applyAlignment="1" applyProtection="1">
      <alignment wrapText="1" shrinkToFit="1"/>
      <protection locked="0"/>
    </xf>
    <xf numFmtId="0" fontId="0" fillId="0" borderId="22" xfId="0" applyBorder="1" applyAlignment="1" applyProtection="1">
      <alignment wrapText="1" shrinkToFit="1"/>
      <protection locked="0"/>
    </xf>
    <xf numFmtId="0" fontId="0" fillId="0" borderId="41" xfId="0" applyBorder="1" applyAlignment="1" applyProtection="1">
      <alignment wrapText="1" shrinkToFit="1"/>
      <protection locked="0"/>
    </xf>
    <xf numFmtId="0" fontId="0" fillId="0" borderId="18" xfId="0" applyBorder="1" applyAlignment="1" applyProtection="1">
      <alignment wrapText="1" shrinkToFit="1"/>
      <protection locked="0"/>
    </xf>
    <xf numFmtId="0" fontId="0" fillId="0" borderId="42" xfId="0" applyBorder="1" applyAlignment="1" applyProtection="1">
      <alignment wrapText="1" shrinkToFit="1"/>
      <protection locked="0"/>
    </xf>
    <xf numFmtId="0" fontId="0" fillId="0" borderId="14" xfId="0" applyBorder="1" applyAlignment="1" applyProtection="1">
      <alignment wrapText="1" shrinkToFit="1"/>
      <protection locked="0"/>
    </xf>
    <xf numFmtId="0" fontId="0" fillId="0" borderId="13" xfId="0" applyBorder="1" applyAlignment="1" applyProtection="1">
      <alignment wrapText="1" shrinkToFit="1"/>
      <protection locked="0"/>
    </xf>
    <xf numFmtId="0" fontId="0" fillId="0" borderId="16" xfId="0" applyBorder="1" applyAlignment="1" applyProtection="1">
      <alignment wrapText="1" shrinkToFit="1"/>
      <protection locked="0"/>
    </xf>
    <xf numFmtId="0" fontId="0" fillId="0" borderId="1" xfId="0" quotePrefix="1" applyBorder="1" applyAlignment="1" applyProtection="1">
      <alignment wrapText="1" shrinkToFit="1"/>
      <protection locked="0"/>
    </xf>
    <xf numFmtId="166" fontId="28" fillId="0" borderId="56" xfId="6" applyNumberFormat="1" applyFont="1" applyFill="1" applyBorder="1" applyAlignment="1">
      <alignment horizontal="left" vertical="center" indent="1"/>
    </xf>
    <xf numFmtId="166" fontId="28" fillId="0" borderId="57" xfId="6" applyNumberFormat="1" applyFont="1" applyFill="1" applyBorder="1" applyAlignment="1">
      <alignment horizontal="left" vertical="center" indent="1"/>
    </xf>
    <xf numFmtId="0" fontId="0" fillId="0" borderId="0" xfId="6" applyNumberFormat="1" applyFont="1" applyFill="1" applyBorder="1" applyAlignment="1"/>
    <xf numFmtId="166" fontId="29" fillId="0" borderId="59" xfId="6" applyNumberFormat="1" applyFont="1" applyFill="1" applyBorder="1" applyAlignment="1">
      <alignment horizontal="left" vertical="top" indent="1"/>
    </xf>
    <xf numFmtId="166" fontId="29" fillId="0" borderId="60" xfId="6" applyNumberFormat="1" applyFont="1" applyFill="1" applyBorder="1" applyAlignment="1">
      <alignment horizontal="left" vertical="top" indent="1"/>
    </xf>
    <xf numFmtId="166" fontId="29" fillId="0" borderId="61" xfId="6" applyNumberFormat="1" applyFont="1" applyFill="1" applyBorder="1" applyAlignment="1">
      <alignment horizontal="right" vertical="top" indent="1"/>
    </xf>
    <xf numFmtId="166" fontId="30" fillId="0" borderId="62" xfId="6" applyNumberFormat="1" applyFont="1" applyFill="1" applyBorder="1" applyAlignment="1">
      <alignment horizontal="center" vertical="center" wrapText="1" indent="1"/>
    </xf>
    <xf numFmtId="167" fontId="31" fillId="0" borderId="63" xfId="6" applyNumberFormat="1" applyFont="1" applyFill="1" applyBorder="1" applyAlignment="1">
      <alignment horizontal="left" vertical="center" wrapText="1" indent="1"/>
    </xf>
    <xf numFmtId="166" fontId="31" fillId="0" borderId="63" xfId="6" applyNumberFormat="1" applyFont="1" applyFill="1" applyBorder="1" applyAlignment="1">
      <alignment horizontal="left" vertical="center" wrapText="1" indent="1"/>
    </xf>
    <xf numFmtId="166" fontId="31" fillId="0" borderId="57" xfId="6" applyNumberFormat="1" applyFont="1" applyFill="1" applyBorder="1" applyAlignment="1">
      <alignment horizontal="left" indent="1"/>
    </xf>
    <xf numFmtId="166" fontId="31" fillId="0" borderId="57" xfId="6" applyNumberFormat="1" applyFont="1" applyFill="1" applyBorder="1" applyAlignment="1">
      <alignment horizontal="right" indent="1"/>
    </xf>
    <xf numFmtId="166" fontId="29" fillId="0" borderId="58" xfId="6" applyNumberFormat="1" applyFont="1" applyFill="1" applyBorder="1" applyAlignment="1">
      <alignment horizontal="left" vertical="top" wrapText="1" indent="1"/>
    </xf>
    <xf numFmtId="0" fontId="1" fillId="0" borderId="1" xfId="5" applyFont="1" applyBorder="1" applyAlignment="1">
      <alignment horizontal="right"/>
    </xf>
    <xf numFmtId="0" fontId="0" fillId="0" borderId="0" xfId="0" applyAlignment="1">
      <alignment horizontal="center" wrapText="1"/>
    </xf>
    <xf numFmtId="21" fontId="0" fillId="0" borderId="0" xfId="0" quotePrefix="1" applyNumberFormat="1"/>
    <xf numFmtId="0" fontId="0" fillId="0" borderId="1" xfId="0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64" fontId="10" fillId="0" borderId="19" xfId="0" applyNumberFormat="1" applyFont="1" applyBorder="1" applyAlignment="1">
      <alignment horizontal="center" vertical="center" wrapText="1"/>
    </xf>
    <xf numFmtId="164" fontId="10" fillId="0" borderId="21" xfId="0" applyNumberFormat="1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0" fontId="10" fillId="7" borderId="23" xfId="0" applyFont="1" applyFill="1" applyBorder="1" applyAlignment="1">
      <alignment horizontal="center" vertical="center" wrapText="1"/>
    </xf>
    <xf numFmtId="0" fontId="10" fillId="7" borderId="28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4" borderId="19" xfId="0" applyFont="1" applyFill="1" applyBorder="1" applyAlignment="1">
      <alignment horizontal="center" vertical="center" wrapText="1"/>
    </xf>
    <xf numFmtId="0" fontId="10" fillId="4" borderId="21" xfId="0" applyFont="1" applyFill="1" applyBorder="1" applyAlignment="1">
      <alignment horizontal="center" vertical="center" wrapText="1"/>
    </xf>
    <xf numFmtId="0" fontId="10" fillId="5" borderId="19" xfId="0" applyFont="1" applyFill="1" applyBorder="1" applyAlignment="1">
      <alignment horizontal="center" vertical="center" wrapText="1"/>
    </xf>
    <xf numFmtId="0" fontId="10" fillId="5" borderId="21" xfId="0" applyFont="1" applyFill="1" applyBorder="1" applyAlignment="1">
      <alignment horizontal="center" vertical="center" wrapText="1"/>
    </xf>
    <xf numFmtId="0" fontId="10" fillId="6" borderId="21" xfId="0" applyFont="1" applyFill="1" applyBorder="1" applyAlignment="1">
      <alignment horizontal="center" vertical="center" wrapText="1"/>
    </xf>
    <xf numFmtId="0" fontId="10" fillId="8" borderId="23" xfId="0" applyFont="1" applyFill="1" applyBorder="1" applyAlignment="1">
      <alignment horizontal="center" vertical="center" wrapText="1"/>
    </xf>
    <xf numFmtId="0" fontId="10" fillId="8" borderId="28" xfId="0" applyFont="1" applyFill="1" applyBorder="1" applyAlignment="1">
      <alignment horizontal="center" vertical="center" wrapText="1"/>
    </xf>
    <xf numFmtId="0" fontId="10" fillId="9" borderId="23" xfId="0" applyFont="1" applyFill="1" applyBorder="1" applyAlignment="1">
      <alignment horizontal="center" vertical="center" wrapText="1"/>
    </xf>
    <xf numFmtId="0" fontId="10" fillId="9" borderId="28" xfId="0" applyFont="1" applyFill="1" applyBorder="1" applyAlignment="1">
      <alignment horizontal="center" vertical="center" wrapText="1"/>
    </xf>
    <xf numFmtId="0" fontId="10" fillId="0" borderId="33" xfId="0" applyFont="1" applyBorder="1" applyAlignment="1">
      <alignment horizontal="center" vertical="center" wrapText="1"/>
    </xf>
    <xf numFmtId="0" fontId="10" fillId="2" borderId="32" xfId="0" applyFont="1" applyFill="1" applyBorder="1" applyAlignment="1">
      <alignment horizontal="center" vertical="center" wrapText="1"/>
    </xf>
    <xf numFmtId="0" fontId="10" fillId="2" borderId="28" xfId="0" applyFont="1" applyFill="1" applyBorder="1" applyAlignment="1">
      <alignment horizontal="center" vertical="center" wrapText="1"/>
    </xf>
    <xf numFmtId="0" fontId="10" fillId="5" borderId="23" xfId="0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vertical="center" wrapText="1"/>
    </xf>
    <xf numFmtId="0" fontId="10" fillId="6" borderId="19" xfId="0" applyFont="1" applyFill="1" applyBorder="1" applyAlignment="1">
      <alignment horizontal="center" vertical="center" wrapText="1"/>
    </xf>
    <xf numFmtId="0" fontId="10" fillId="2" borderId="23" xfId="0" applyFont="1" applyFill="1" applyBorder="1" applyAlignment="1">
      <alignment horizontal="center" vertical="center" wrapText="1"/>
    </xf>
    <xf numFmtId="0" fontId="10" fillId="7" borderId="32" xfId="0" applyFont="1" applyFill="1" applyBorder="1" applyAlignment="1">
      <alignment horizontal="center" vertical="center" wrapText="1"/>
    </xf>
    <xf numFmtId="0" fontId="10" fillId="8" borderId="32" xfId="0" applyFont="1" applyFill="1" applyBorder="1" applyAlignment="1">
      <alignment horizontal="center" vertical="center" wrapText="1"/>
    </xf>
    <xf numFmtId="0" fontId="10" fillId="9" borderId="32" xfId="0" applyFont="1" applyFill="1" applyBorder="1" applyAlignment="1">
      <alignment horizontal="center" vertical="center" wrapText="1"/>
    </xf>
    <xf numFmtId="0" fontId="18" fillId="0" borderId="21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164" fontId="10" fillId="12" borderId="21" xfId="0" applyNumberFormat="1" applyFont="1" applyFill="1" applyBorder="1" applyAlignment="1">
      <alignment horizontal="center" vertical="center" wrapText="1"/>
    </xf>
    <xf numFmtId="164" fontId="12" fillId="0" borderId="28" xfId="1" applyNumberFormat="1" applyFont="1" applyFill="1" applyBorder="1" applyAlignment="1">
      <alignment horizontal="center" vertical="center" wrapText="1"/>
    </xf>
    <xf numFmtId="0" fontId="12" fillId="0" borderId="28" xfId="1" applyFont="1" applyBorder="1" applyAlignment="1">
      <alignment vertical="center" wrapText="1"/>
    </xf>
    <xf numFmtId="0" fontId="12" fillId="0" borderId="21" xfId="1" applyFont="1" applyBorder="1" applyAlignment="1">
      <alignment horizontal="center" vertical="center" wrapText="1"/>
    </xf>
    <xf numFmtId="0" fontId="12" fillId="0" borderId="26" xfId="1" applyFont="1" applyBorder="1" applyAlignment="1">
      <alignment horizontal="center" vertical="center" wrapText="1"/>
    </xf>
    <xf numFmtId="0" fontId="12" fillId="0" borderId="28" xfId="1" applyFont="1" applyBorder="1" applyAlignment="1">
      <alignment horizontal="center" vertical="center" wrapText="1"/>
    </xf>
    <xf numFmtId="0" fontId="12" fillId="0" borderId="30" xfId="1" applyFont="1" applyBorder="1" applyAlignment="1">
      <alignment horizontal="center" vertical="center" wrapText="1"/>
    </xf>
    <xf numFmtId="0" fontId="12" fillId="4" borderId="28" xfId="1" applyFont="1" applyFill="1" applyBorder="1" applyAlignment="1">
      <alignment vertical="center" wrapText="1"/>
    </xf>
    <xf numFmtId="0" fontId="12" fillId="5" borderId="28" xfId="1" applyFont="1" applyFill="1" applyBorder="1" applyAlignment="1">
      <alignment horizontal="center" vertical="center" wrapText="1"/>
    </xf>
    <xf numFmtId="0" fontId="12" fillId="0" borderId="21" xfId="0" applyFont="1" applyBorder="1" applyAlignment="1">
      <alignment horizontal="justify" vertical="center" wrapText="1"/>
    </xf>
    <xf numFmtId="0" fontId="12" fillId="4" borderId="21" xfId="0" applyFont="1" applyFill="1" applyBorder="1" applyAlignment="1">
      <alignment horizontal="center" vertical="center" wrapText="1"/>
    </xf>
    <xf numFmtId="164" fontId="12" fillId="0" borderId="21" xfId="1" applyNumberFormat="1" applyFont="1" applyFill="1" applyBorder="1" applyAlignment="1">
      <alignment horizontal="center" vertical="center" wrapText="1"/>
    </xf>
    <xf numFmtId="0" fontId="12" fillId="0" borderId="21" xfId="1" applyFont="1" applyBorder="1" applyAlignment="1">
      <alignment vertical="center" wrapText="1"/>
    </xf>
    <xf numFmtId="0" fontId="12" fillId="0" borderId="29" xfId="1" applyFont="1" applyBorder="1" applyAlignment="1">
      <alignment horizontal="center" vertical="center" wrapText="1"/>
    </xf>
    <xf numFmtId="0" fontId="12" fillId="5" borderId="21" xfId="1" applyFont="1" applyFill="1" applyBorder="1" applyAlignment="1">
      <alignment horizontal="center" vertical="center" wrapText="1"/>
    </xf>
    <xf numFmtId="0" fontId="10" fillId="11" borderId="28" xfId="0" applyFont="1" applyFill="1" applyBorder="1" applyAlignment="1">
      <alignment vertical="center" wrapText="1"/>
    </xf>
    <xf numFmtId="0" fontId="10" fillId="11" borderId="21" xfId="0" applyFont="1" applyFill="1" applyBorder="1" applyAlignment="1">
      <alignment vertical="center" wrapText="1"/>
    </xf>
    <xf numFmtId="0" fontId="10" fillId="11" borderId="34" xfId="0" applyFont="1" applyFill="1" applyBorder="1" applyAlignment="1">
      <alignment vertical="center" wrapText="1"/>
    </xf>
    <xf numFmtId="165" fontId="10" fillId="0" borderId="21" xfId="0" applyNumberFormat="1" applyFont="1" applyBorder="1" applyAlignment="1">
      <alignment horizontal="center" vertical="center" wrapText="1"/>
    </xf>
    <xf numFmtId="0" fontId="10" fillId="0" borderId="21" xfId="0" applyFont="1" applyBorder="1" applyAlignment="1">
      <alignment horizontal="left" vertical="center" wrapText="1"/>
    </xf>
    <xf numFmtId="10" fontId="10" fillId="0" borderId="32" xfId="0" applyNumberFormat="1" applyFont="1" applyBorder="1" applyAlignment="1">
      <alignment horizontal="center" vertical="center" wrapText="1"/>
    </xf>
    <xf numFmtId="0" fontId="10" fillId="0" borderId="36" xfId="0" applyFont="1" applyBorder="1" applyAlignment="1">
      <alignment vertical="center" wrapText="1"/>
    </xf>
    <xf numFmtId="164" fontId="10" fillId="0" borderId="8" xfId="0" applyNumberFormat="1" applyFont="1" applyBorder="1" applyAlignment="1">
      <alignment horizontal="center" vertical="center" wrapText="1"/>
    </xf>
    <xf numFmtId="0" fontId="10" fillId="0" borderId="9" xfId="0" applyFont="1" applyBorder="1" applyAlignment="1">
      <alignment vertical="center" wrapText="1"/>
    </xf>
    <xf numFmtId="164" fontId="12" fillId="0" borderId="8" xfId="0" applyNumberFormat="1" applyFont="1" applyBorder="1" applyAlignment="1">
      <alignment horizontal="center" vertical="center" wrapText="1"/>
    </xf>
    <xf numFmtId="0" fontId="12" fillId="0" borderId="9" xfId="0" applyFont="1" applyBorder="1" applyAlignment="1">
      <alignment vertical="center" wrapText="1"/>
    </xf>
    <xf numFmtId="0" fontId="12" fillId="0" borderId="30" xfId="0" applyFont="1" applyBorder="1" applyAlignment="1">
      <alignment vertical="center" wrapText="1"/>
    </xf>
    <xf numFmtId="10" fontId="12" fillId="0" borderId="21" xfId="0" applyNumberFormat="1" applyFont="1" applyBorder="1" applyAlignment="1">
      <alignment horizontal="center" vertical="center" wrapText="1"/>
    </xf>
    <xf numFmtId="164" fontId="10" fillId="0" borderId="0" xfId="0" applyNumberFormat="1" applyFont="1" applyFill="1" applyAlignment="1">
      <alignment horizontal="center" vertical="center" wrapText="1"/>
    </xf>
    <xf numFmtId="0" fontId="13" fillId="0" borderId="35" xfId="0" applyFont="1" applyBorder="1" applyAlignment="1">
      <alignment vertical="center" wrapText="1"/>
    </xf>
    <xf numFmtId="0" fontId="10" fillId="0" borderId="68" xfId="0" applyFont="1" applyBorder="1" applyAlignment="1">
      <alignment vertical="center" wrapText="1"/>
    </xf>
    <xf numFmtId="0" fontId="10" fillId="0" borderId="68" xfId="0" applyFont="1" applyBorder="1" applyAlignment="1">
      <alignment horizontal="center" vertical="center" wrapText="1"/>
    </xf>
    <xf numFmtId="0" fontId="10" fillId="5" borderId="19" xfId="0" applyFont="1" applyFill="1" applyBorder="1" applyAlignment="1">
      <alignment vertical="center" wrapText="1"/>
    </xf>
    <xf numFmtId="0" fontId="10" fillId="6" borderId="19" xfId="0" applyFont="1" applyFill="1" applyBorder="1" applyAlignment="1">
      <alignment vertical="center" wrapText="1"/>
    </xf>
    <xf numFmtId="0" fontId="10" fillId="2" borderId="19" xfId="0" applyFont="1" applyFill="1" applyBorder="1" applyAlignment="1">
      <alignment vertical="center" wrapText="1"/>
    </xf>
    <xf numFmtId="0" fontId="10" fillId="7" borderId="19" xfId="0" applyFont="1" applyFill="1" applyBorder="1" applyAlignment="1">
      <alignment vertical="center" wrapText="1"/>
    </xf>
    <xf numFmtId="0" fontId="13" fillId="0" borderId="29" xfId="0" applyFont="1" applyBorder="1" applyAlignment="1">
      <alignment vertical="center" wrapText="1"/>
    </xf>
    <xf numFmtId="0" fontId="10" fillId="0" borderId="39" xfId="0" applyFont="1" applyBorder="1" applyAlignment="1">
      <alignment horizontal="center" vertical="center" wrapText="1"/>
    </xf>
    <xf numFmtId="0" fontId="10" fillId="5" borderId="21" xfId="0" applyFont="1" applyFill="1" applyBorder="1" applyAlignment="1">
      <alignment vertical="center" wrapText="1"/>
    </xf>
    <xf numFmtId="0" fontId="10" fillId="6" borderId="21" xfId="0" applyFont="1" applyFill="1" applyBorder="1" applyAlignment="1">
      <alignment vertical="center" wrapText="1"/>
    </xf>
    <xf numFmtId="0" fontId="10" fillId="2" borderId="21" xfId="0" applyFont="1" applyFill="1" applyBorder="1" applyAlignment="1">
      <alignment vertical="center" wrapText="1"/>
    </xf>
    <xf numFmtId="0" fontId="10" fillId="7" borderId="21" xfId="0" applyFont="1" applyFill="1" applyBorder="1" applyAlignment="1">
      <alignment vertical="center" wrapText="1"/>
    </xf>
    <xf numFmtId="0" fontId="13" fillId="0" borderId="37" xfId="0" applyFont="1" applyBorder="1" applyAlignment="1">
      <alignment vertical="center" wrapText="1"/>
    </xf>
    <xf numFmtId="0" fontId="10" fillId="0" borderId="69" xfId="0" applyFont="1" applyBorder="1" applyAlignment="1">
      <alignment vertical="center" wrapText="1"/>
    </xf>
    <xf numFmtId="0" fontId="10" fillId="0" borderId="69" xfId="0" applyFont="1" applyBorder="1" applyAlignment="1">
      <alignment horizontal="center" vertical="center" wrapText="1"/>
    </xf>
    <xf numFmtId="0" fontId="10" fillId="5" borderId="34" xfId="0" applyFont="1" applyFill="1" applyBorder="1" applyAlignment="1">
      <alignment vertical="center" wrapText="1"/>
    </xf>
    <xf numFmtId="0" fontId="10" fillId="6" borderId="34" xfId="0" applyFont="1" applyFill="1" applyBorder="1" applyAlignment="1">
      <alignment vertical="center" wrapText="1"/>
    </xf>
    <xf numFmtId="0" fontId="10" fillId="2" borderId="34" xfId="0" applyFont="1" applyFill="1" applyBorder="1" applyAlignment="1">
      <alignment vertical="center" wrapText="1"/>
    </xf>
    <xf numFmtId="0" fontId="10" fillId="7" borderId="34" xfId="0" applyFont="1" applyFill="1" applyBorder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10" fillId="0" borderId="25" xfId="0" applyFont="1" applyBorder="1" applyAlignment="1">
      <alignment vertical="center" wrapText="1"/>
    </xf>
    <xf numFmtId="0" fontId="13" fillId="0" borderId="14" xfId="0" applyFont="1" applyBorder="1" applyAlignment="1">
      <alignment vertical="center" wrapText="1"/>
    </xf>
    <xf numFmtId="0" fontId="10" fillId="0" borderId="15" xfId="0" applyFont="1" applyBorder="1" applyAlignment="1">
      <alignment vertical="center" wrapText="1"/>
    </xf>
    <xf numFmtId="0" fontId="10" fillId="0" borderId="15" xfId="0" applyFont="1" applyBorder="1" applyAlignment="1">
      <alignment horizontal="center" vertical="center" wrapText="1"/>
    </xf>
    <xf numFmtId="0" fontId="13" fillId="4" borderId="13" xfId="0" applyFont="1" applyFill="1" applyBorder="1" applyAlignment="1">
      <alignment vertical="center" wrapText="1"/>
    </xf>
    <xf numFmtId="0" fontId="13" fillId="5" borderId="13" xfId="0" applyFont="1" applyFill="1" applyBorder="1" applyAlignment="1">
      <alignment vertical="center" wrapText="1"/>
    </xf>
    <xf numFmtId="0" fontId="13" fillId="6" borderId="13" xfId="0" applyFont="1" applyFill="1" applyBorder="1" applyAlignment="1">
      <alignment vertical="center" wrapText="1"/>
    </xf>
    <xf numFmtId="0" fontId="13" fillId="2" borderId="13" xfId="0" applyFont="1" applyFill="1" applyBorder="1" applyAlignment="1">
      <alignment vertical="center" wrapText="1"/>
    </xf>
    <xf numFmtId="0" fontId="13" fillId="7" borderId="13" xfId="0" applyFont="1" applyFill="1" applyBorder="1" applyAlignment="1">
      <alignment vertical="center" wrapText="1"/>
    </xf>
    <xf numFmtId="0" fontId="0" fillId="11" borderId="1" xfId="0" applyFill="1" applyBorder="1"/>
    <xf numFmtId="0" fontId="0" fillId="0" borderId="37" xfId="0" quotePrefix="1" applyBorder="1" applyAlignment="1">
      <alignment vertical="center"/>
    </xf>
    <xf numFmtId="0" fontId="0" fillId="0" borderId="34" xfId="0" quotePrefix="1" applyBorder="1" applyAlignment="1">
      <alignment vertical="center" wrapText="1"/>
    </xf>
    <xf numFmtId="0" fontId="0" fillId="20" borderId="1" xfId="0" applyFill="1" applyBorder="1"/>
    <xf numFmtId="0" fontId="0" fillId="0" borderId="26" xfId="0" quotePrefix="1" applyBorder="1" applyAlignment="1">
      <alignment vertical="center"/>
    </xf>
    <xf numFmtId="1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3" borderId="1" xfId="0" applyFill="1" applyBorder="1" applyAlignment="1" applyProtection="1">
      <alignment horizontal="center" vertical="top" textRotation="90" wrapText="1"/>
      <protection locked="0"/>
    </xf>
    <xf numFmtId="0" fontId="0" fillId="0" borderId="44" xfId="0" quotePrefix="1" applyBorder="1" applyAlignment="1" applyProtection="1">
      <alignment horizontal="center" wrapText="1"/>
      <protection locked="0"/>
    </xf>
    <xf numFmtId="0" fontId="0" fillId="0" borderId="39" xfId="0" applyBorder="1" applyAlignment="1" applyProtection="1">
      <alignment horizontal="center" wrapText="1"/>
      <protection locked="0"/>
    </xf>
    <xf numFmtId="0" fontId="0" fillId="0" borderId="45" xfId="0" applyBorder="1" applyAlignment="1" applyProtection="1">
      <alignment horizontal="center" wrapText="1"/>
      <protection locked="0"/>
    </xf>
    <xf numFmtId="0" fontId="0" fillId="0" borderId="0" xfId="0" applyNumberFormat="1" applyAlignment="1">
      <alignment horizontal="left" vertical="top" wrapText="1"/>
    </xf>
    <xf numFmtId="11" fontId="0" fillId="0" borderId="0" xfId="0" applyNumberFormat="1" applyAlignment="1">
      <alignment horizontal="left" vertical="top" wrapText="1"/>
    </xf>
    <xf numFmtId="0" fontId="0" fillId="0" borderId="0" xfId="0" quotePrefix="1" applyNumberFormat="1" applyAlignment="1">
      <alignment horizontal="left" vertical="top" wrapText="1"/>
    </xf>
    <xf numFmtId="0" fontId="0" fillId="0" borderId="1" xfId="0" applyBorder="1" applyAlignment="1">
      <alignment horizontal="center" wrapText="1"/>
    </xf>
    <xf numFmtId="44" fontId="0" fillId="0" borderId="64" xfId="0" applyNumberFormat="1" applyBorder="1" applyAlignment="1">
      <alignment horizontal="center" vertical="center" wrapText="1"/>
    </xf>
    <xf numFmtId="44" fontId="0" fillId="0" borderId="40" xfId="0" applyNumberFormat="1" applyBorder="1" applyAlignment="1">
      <alignment horizontal="center" vertical="center" wrapText="1"/>
    </xf>
    <xf numFmtId="44" fontId="0" fillId="0" borderId="65" xfId="0" applyNumberFormat="1" applyBorder="1" applyAlignment="1">
      <alignment horizontal="center" vertical="center" wrapText="1"/>
    </xf>
    <xf numFmtId="44" fontId="0" fillId="0" borderId="66" xfId="0" applyNumberFormat="1" applyBorder="1" applyAlignment="1">
      <alignment horizontal="center" vertical="center" wrapText="1"/>
    </xf>
    <xf numFmtId="44" fontId="0" fillId="0" borderId="0" xfId="0" applyNumberFormat="1" applyBorder="1" applyAlignment="1">
      <alignment horizontal="center" vertical="center" wrapText="1"/>
    </xf>
    <xf numFmtId="44" fontId="0" fillId="0" borderId="54" xfId="0" applyNumberFormat="1" applyBorder="1" applyAlignment="1">
      <alignment horizontal="center" vertical="center" wrapText="1"/>
    </xf>
    <xf numFmtId="44" fontId="0" fillId="0" borderId="49" xfId="0" applyNumberFormat="1" applyBorder="1" applyAlignment="1">
      <alignment horizontal="center" vertical="center" wrapText="1"/>
    </xf>
    <xf numFmtId="44" fontId="0" fillId="0" borderId="67" xfId="0" applyNumberFormat="1" applyBorder="1" applyAlignment="1">
      <alignment horizontal="center" vertical="center" wrapText="1"/>
    </xf>
    <xf numFmtId="44" fontId="0" fillId="0" borderId="48" xfId="0" applyNumberFormat="1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4" fillId="0" borderId="44" xfId="5" applyBorder="1" applyAlignment="1">
      <alignment horizontal="center"/>
    </xf>
    <xf numFmtId="0" fontId="4" fillId="0" borderId="45" xfId="5" applyBorder="1" applyAlignment="1">
      <alignment horizontal="center"/>
    </xf>
    <xf numFmtId="0" fontId="3" fillId="0" borderId="1" xfId="5" applyFont="1" applyBorder="1" applyAlignment="1">
      <alignment horizontal="left" vertical="center"/>
    </xf>
    <xf numFmtId="0" fontId="4" fillId="0" borderId="1" xfId="5" applyBorder="1" applyAlignment="1">
      <alignment horizontal="left" vertical="center"/>
    </xf>
    <xf numFmtId="0" fontId="10" fillId="8" borderId="32" xfId="0" applyFont="1" applyFill="1" applyBorder="1" applyAlignment="1">
      <alignment horizontal="center" vertical="center" wrapText="1"/>
    </xf>
    <xf numFmtId="0" fontId="10" fillId="8" borderId="23" xfId="0" applyFont="1" applyFill="1" applyBorder="1" applyAlignment="1">
      <alignment horizontal="center" vertical="center" wrapText="1"/>
    </xf>
    <xf numFmtId="0" fontId="10" fillId="8" borderId="28" xfId="0" applyFont="1" applyFill="1" applyBorder="1" applyAlignment="1">
      <alignment horizontal="center" vertical="center" wrapText="1"/>
    </xf>
    <xf numFmtId="0" fontId="10" fillId="2" borderId="32" xfId="0" applyFont="1" applyFill="1" applyBorder="1" applyAlignment="1">
      <alignment horizontal="center" vertical="center" wrapText="1"/>
    </xf>
    <xf numFmtId="0" fontId="10" fillId="2" borderId="28" xfId="0" applyFont="1" applyFill="1" applyBorder="1" applyAlignment="1">
      <alignment horizontal="center" vertical="center" wrapText="1"/>
    </xf>
    <xf numFmtId="0" fontId="10" fillId="7" borderId="32" xfId="0" applyFont="1" applyFill="1" applyBorder="1" applyAlignment="1">
      <alignment horizontal="center" vertical="center" wrapText="1"/>
    </xf>
    <xf numFmtId="0" fontId="10" fillId="7" borderId="28" xfId="0" applyFont="1" applyFill="1" applyBorder="1" applyAlignment="1">
      <alignment horizontal="center" vertical="center" wrapText="1"/>
    </xf>
    <xf numFmtId="0" fontId="10" fillId="9" borderId="32" xfId="0" applyFont="1" applyFill="1" applyBorder="1" applyAlignment="1">
      <alignment horizontal="center" vertical="center" wrapText="1"/>
    </xf>
    <xf numFmtId="0" fontId="10" fillId="9" borderId="28" xfId="0" applyFont="1" applyFill="1" applyBorder="1" applyAlignment="1">
      <alignment horizontal="center" vertical="center" wrapText="1"/>
    </xf>
    <xf numFmtId="0" fontId="10" fillId="6" borderId="21" xfId="0" applyFont="1" applyFill="1" applyBorder="1" applyAlignment="1">
      <alignment horizontal="center" vertical="center" wrapText="1"/>
    </xf>
    <xf numFmtId="0" fontId="10" fillId="2" borderId="23" xfId="0" applyFont="1" applyFill="1" applyBorder="1" applyAlignment="1">
      <alignment horizontal="center" vertical="center" wrapText="1"/>
    </xf>
    <xf numFmtId="0" fontId="10" fillId="7" borderId="23" xfId="0" applyFont="1" applyFill="1" applyBorder="1" applyAlignment="1">
      <alignment horizontal="center" vertical="center" wrapText="1"/>
    </xf>
    <xf numFmtId="0" fontId="10" fillId="9" borderId="23" xfId="0" applyFont="1" applyFill="1" applyBorder="1" applyAlignment="1">
      <alignment horizontal="center" vertical="center" wrapText="1"/>
    </xf>
    <xf numFmtId="0" fontId="10" fillId="4" borderId="21" xfId="0" applyFont="1" applyFill="1" applyBorder="1" applyAlignment="1">
      <alignment horizontal="center" vertical="center" wrapText="1"/>
    </xf>
    <xf numFmtId="0" fontId="10" fillId="5" borderId="21" xfId="0" applyFont="1" applyFill="1" applyBorder="1" applyAlignment="1">
      <alignment horizontal="center" vertical="center" wrapText="1"/>
    </xf>
    <xf numFmtId="0" fontId="10" fillId="8" borderId="17" xfId="0" applyFont="1" applyFill="1" applyBorder="1" applyAlignment="1">
      <alignment horizontal="center" vertical="center" wrapText="1"/>
    </xf>
    <xf numFmtId="0" fontId="10" fillId="9" borderId="17" xfId="0" applyFont="1" applyFill="1" applyBorder="1" applyAlignment="1">
      <alignment horizontal="center" vertical="center" wrapText="1"/>
    </xf>
    <xf numFmtId="0" fontId="10" fillId="0" borderId="33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5" borderId="17" xfId="0" applyFont="1" applyFill="1" applyBorder="1" applyAlignment="1">
      <alignment horizontal="center" vertical="center" wrapText="1"/>
    </xf>
    <xf numFmtId="0" fontId="10" fillId="5" borderId="23" xfId="0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vertical="center" wrapText="1"/>
    </xf>
    <xf numFmtId="0" fontId="10" fillId="6" borderId="19" xfId="0" applyFont="1" applyFill="1" applyBorder="1" applyAlignment="1">
      <alignment horizontal="center" vertical="center" wrapText="1"/>
    </xf>
    <xf numFmtId="0" fontId="10" fillId="2" borderId="17" xfId="0" applyFont="1" applyFill="1" applyBorder="1" applyAlignment="1">
      <alignment horizontal="center" vertical="center" wrapText="1"/>
    </xf>
    <xf numFmtId="0" fontId="10" fillId="7" borderId="17" xfId="0" applyFont="1" applyFill="1" applyBorder="1" applyAlignment="1">
      <alignment horizontal="center" vertical="center" wrapText="1"/>
    </xf>
    <xf numFmtId="0" fontId="10" fillId="0" borderId="19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4" borderId="19" xfId="0" applyFont="1" applyFill="1" applyBorder="1" applyAlignment="1">
      <alignment horizontal="center" vertical="center" wrapText="1"/>
    </xf>
    <xf numFmtId="0" fontId="10" fillId="5" borderId="19" xfId="0" applyFont="1" applyFill="1" applyBorder="1" applyAlignment="1">
      <alignment horizontal="center" vertical="center" wrapText="1"/>
    </xf>
    <xf numFmtId="0" fontId="10" fillId="4" borderId="13" xfId="0" applyFont="1" applyFill="1" applyBorder="1" applyAlignment="1">
      <alignment horizontal="center" vertical="center" wrapText="1"/>
    </xf>
    <xf numFmtId="0" fontId="10" fillId="5" borderId="14" xfId="0" applyFont="1" applyFill="1" applyBorder="1" applyAlignment="1">
      <alignment horizontal="center" vertical="center" wrapText="1"/>
    </xf>
    <xf numFmtId="0" fontId="10" fillId="5" borderId="15" xfId="0" applyFont="1" applyFill="1" applyBorder="1" applyAlignment="1">
      <alignment horizontal="center" vertical="center" wrapText="1"/>
    </xf>
    <xf numFmtId="0" fontId="10" fillId="5" borderId="16" xfId="0" applyFont="1" applyFill="1" applyBorder="1" applyAlignment="1">
      <alignment horizontal="center" vertical="center" wrapText="1"/>
    </xf>
    <xf numFmtId="0" fontId="10" fillId="6" borderId="13" xfId="0" applyFont="1" applyFill="1" applyBorder="1" applyAlignment="1">
      <alignment horizontal="center" vertical="center" wrapText="1"/>
    </xf>
    <xf numFmtId="0" fontId="10" fillId="2" borderId="14" xfId="0" applyFont="1" applyFill="1" applyBorder="1" applyAlignment="1">
      <alignment horizontal="center" vertical="center" wrapText="1"/>
    </xf>
    <xf numFmtId="0" fontId="10" fillId="2" borderId="16" xfId="0" applyFont="1" applyFill="1" applyBorder="1" applyAlignment="1">
      <alignment horizontal="center" vertical="center" wrapText="1"/>
    </xf>
    <xf numFmtId="164" fontId="10" fillId="0" borderId="19" xfId="0" applyNumberFormat="1" applyFont="1" applyBorder="1" applyAlignment="1">
      <alignment horizontal="center" vertical="center" wrapText="1"/>
    </xf>
    <xf numFmtId="164" fontId="10" fillId="0" borderId="21" xfId="0" applyNumberFormat="1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 wrapText="1"/>
    </xf>
    <xf numFmtId="0" fontId="10" fillId="0" borderId="22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0" fillId="0" borderId="55" xfId="0" applyNumberFormat="1" applyFont="1" applyBorder="1" applyAlignment="1">
      <alignment horizontal="left" vertical="center" wrapText="1"/>
    </xf>
    <xf numFmtId="0" fontId="0" fillId="0" borderId="55" xfId="0" applyFont="1" applyBorder="1" applyAlignment="1">
      <alignment horizontal="center" vertical="center" wrapText="1"/>
    </xf>
    <xf numFmtId="0" fontId="10" fillId="0" borderId="55" xfId="0" applyFont="1" applyBorder="1" applyAlignment="1">
      <alignment horizontal="center" vertical="center" wrapText="1"/>
    </xf>
    <xf numFmtId="0" fontId="9" fillId="0" borderId="1" xfId="2" applyBorder="1" applyAlignment="1">
      <alignment horizontal="center" vertical="center" wrapText="1"/>
    </xf>
    <xf numFmtId="0" fontId="9" fillId="0" borderId="0" xfId="2" applyAlignment="1">
      <alignment horizontal="center"/>
    </xf>
    <xf numFmtId="0" fontId="0" fillId="0" borderId="1" xfId="0" quotePrefix="1" applyBorder="1" applyAlignment="1">
      <alignment horizontal="center" wrapText="1"/>
    </xf>
    <xf numFmtId="0" fontId="0" fillId="0" borderId="44" xfId="0" quotePrefix="1" applyBorder="1" applyAlignment="1">
      <alignment horizontal="center" wrapText="1"/>
    </xf>
    <xf numFmtId="0" fontId="0" fillId="0" borderId="39" xfId="0" applyBorder="1" applyAlignment="1">
      <alignment horizontal="center" wrapText="1"/>
    </xf>
    <xf numFmtId="0" fontId="0" fillId="0" borderId="45" xfId="0" applyBorder="1" applyAlignment="1">
      <alignment horizontal="center" wrapText="1"/>
    </xf>
  </cellXfs>
  <cellStyles count="7">
    <cellStyle name="Lien hypertexte" xfId="4" builtinId="8"/>
    <cellStyle name="Normal" xfId="0" builtinId="0"/>
    <cellStyle name="Normal 2" xfId="1"/>
    <cellStyle name="Normal 3" xfId="2"/>
    <cellStyle name="Normal 4" xfId="3"/>
    <cellStyle name="Normal 5" xfId="5"/>
    <cellStyle name="Normal 6" xfId="6"/>
  </cellStyles>
  <dxfs count="22">
    <dxf>
      <fill>
        <patternFill>
          <bgColor indexed="52"/>
        </patternFill>
      </fill>
    </dxf>
    <dxf>
      <fill>
        <patternFill>
          <bgColor indexed="4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indexed="52"/>
        </patternFill>
      </fill>
    </dxf>
    <dxf>
      <fill>
        <patternFill>
          <bgColor indexed="41"/>
        </patternFill>
      </fill>
    </dxf>
    <dxf>
      <fill>
        <patternFill>
          <bgColor theme="0" tint="-0.14996795556505021"/>
        </patternFill>
      </fill>
    </dxf>
    <dxf>
      <fill>
        <patternFill>
          <bgColor indexed="52"/>
        </patternFill>
      </fill>
    </dxf>
    <dxf>
      <fill>
        <patternFill>
          <bgColor indexed="4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indexed="52"/>
        </patternFill>
      </fill>
    </dxf>
    <dxf>
      <fill>
        <patternFill>
          <bgColor indexed="41"/>
        </patternFill>
      </fill>
    </dxf>
    <dxf>
      <fill>
        <patternFill>
          <bgColor indexed="52"/>
        </patternFill>
      </fill>
    </dxf>
    <dxf>
      <fill>
        <patternFill>
          <bgColor indexed="41"/>
        </patternFill>
      </fill>
    </dxf>
    <dxf>
      <fill>
        <patternFill>
          <bgColor indexed="52"/>
        </patternFill>
      </fill>
    </dxf>
    <dxf>
      <fill>
        <patternFill>
          <bgColor indexed="41"/>
        </patternFill>
      </fill>
    </dxf>
    <dxf>
      <fill>
        <patternFill>
          <bgColor indexed="52"/>
        </patternFill>
      </fill>
    </dxf>
    <dxf>
      <fill>
        <patternFill>
          <bgColor indexed="4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1188720</xdr:colOff>
          <xdr:row>3</xdr:row>
          <xdr:rowOff>0</xdr:rowOff>
        </xdr:from>
        <xdr:to>
          <xdr:col>5</xdr:col>
          <xdr:colOff>3185160</xdr:colOff>
          <xdr:row>7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Logs Ican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426720</xdr:colOff>
          <xdr:row>2</xdr:row>
          <xdr:rowOff>160020</xdr:rowOff>
        </xdr:from>
        <xdr:to>
          <xdr:col>5</xdr:col>
          <xdr:colOff>594360</xdr:colOff>
          <xdr:row>7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Dossier_Traces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365760</xdr:colOff>
          <xdr:row>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un CRV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3</xdr:row>
          <xdr:rowOff>15240</xdr:rowOff>
        </xdr:from>
        <xdr:to>
          <xdr:col>12</xdr:col>
          <xdr:colOff>960120</xdr:colOff>
          <xdr:row>7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Télécharger les fichiers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106680</xdr:rowOff>
        </xdr:from>
        <xdr:to>
          <xdr:col>2</xdr:col>
          <xdr:colOff>0</xdr:colOff>
          <xdr:row>1</xdr:row>
          <xdr:rowOff>647700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Logs Ican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11</xdr:row>
          <xdr:rowOff>7620</xdr:rowOff>
        </xdr:from>
        <xdr:to>
          <xdr:col>1</xdr:col>
          <xdr:colOff>1059180</xdr:colOff>
          <xdr:row>13</xdr:row>
          <xdr:rowOff>30480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Décompose Fichier de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14</xdr:row>
          <xdr:rowOff>0</xdr:rowOff>
        </xdr:from>
        <xdr:to>
          <xdr:col>1</xdr:col>
          <xdr:colOff>1051560</xdr:colOff>
          <xdr:row>16</xdr:row>
          <xdr:rowOff>22860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Compose Fichier de configuration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335280</xdr:colOff>
          <xdr:row>0</xdr:row>
          <xdr:rowOff>121920</xdr:rowOff>
        </xdr:from>
        <xdr:to>
          <xdr:col>8</xdr:col>
          <xdr:colOff>533400</xdr:colOff>
          <xdr:row>2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335280</xdr:colOff>
          <xdr:row>0</xdr:row>
          <xdr:rowOff>121920</xdr:rowOff>
        </xdr:from>
        <xdr:to>
          <xdr:col>8</xdr:col>
          <xdr:colOff>533400</xdr:colOff>
          <xdr:row>2</xdr:row>
          <xdr:rowOff>144780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495300</xdr:colOff>
          <xdr:row>0</xdr:row>
          <xdr:rowOff>152400</xdr:rowOff>
        </xdr:from>
        <xdr:to>
          <xdr:col>14</xdr:col>
          <xdr:colOff>579120</xdr:colOff>
          <xdr:row>3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449580</xdr:colOff>
          <xdr:row>6</xdr:row>
          <xdr:rowOff>76200</xdr:rowOff>
        </xdr:from>
        <xdr:to>
          <xdr:col>37</xdr:col>
          <xdr:colOff>7620</xdr:colOff>
          <xdr:row>9</xdr:row>
          <xdr:rowOff>251460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297180</xdr:colOff>
          <xdr:row>0</xdr:row>
          <xdr:rowOff>121920</xdr:rowOff>
        </xdr:from>
        <xdr:to>
          <xdr:col>11</xdr:col>
          <xdr:colOff>541020</xdr:colOff>
          <xdr:row>5</xdr:row>
          <xdr:rowOff>99060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Conversion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556260</xdr:colOff>
          <xdr:row>3</xdr:row>
          <xdr:rowOff>7620</xdr:rowOff>
        </xdr:from>
        <xdr:to>
          <xdr:col>9</xdr:col>
          <xdr:colOff>769620</xdr:colOff>
          <xdr:row>5</xdr:row>
          <xdr:rowOff>83820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Décrypter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4533900</xdr:colOff>
          <xdr:row>0</xdr:row>
          <xdr:rowOff>632460</xdr:rowOff>
        </xdr:from>
        <xdr:to>
          <xdr:col>2</xdr:col>
          <xdr:colOff>7269480</xdr:colOff>
          <xdr:row>0</xdr:row>
          <xdr:rowOff>1287780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Génération Logs Ican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571500</xdr:colOff>
          <xdr:row>3</xdr:row>
          <xdr:rowOff>30480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Analyse Traces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0</xdr:row>
          <xdr:rowOff>106680</xdr:rowOff>
        </xdr:from>
        <xdr:to>
          <xdr:col>3</xdr:col>
          <xdr:colOff>1432560</xdr:colOff>
          <xdr:row>3</xdr:row>
          <xdr:rowOff>45720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Décrypt traces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327660</xdr:colOff>
          <xdr:row>0</xdr:row>
          <xdr:rowOff>83820</xdr:rowOff>
        </xdr:from>
        <xdr:to>
          <xdr:col>9</xdr:col>
          <xdr:colOff>160020</xdr:colOff>
          <xdr:row>3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Dossier_Traces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mlevesq/Local%20Settings/Temporary%20Internet%20Files/OLK13/STD110114_00100FERA_unprotecte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der"/>
      <sheetName val="Versions"/>
      <sheetName val="ReadMe"/>
      <sheetName val="Data Map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..\Exchang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FF00"/>
  </sheetPr>
  <dimension ref="A1:M1048555"/>
  <sheetViews>
    <sheetView tabSelected="1" zoomScaleNormal="100" workbookViewId="0">
      <selection activeCell="J10" sqref="J10"/>
    </sheetView>
  </sheetViews>
  <sheetFormatPr baseColWidth="10" defaultRowHeight="13.2" x14ac:dyDescent="0.25"/>
  <cols>
    <col min="1" max="1" width="10.5546875" customWidth="1"/>
    <col min="2" max="2" width="3" bestFit="1" customWidth="1"/>
    <col min="3" max="3" width="10" bestFit="1" customWidth="1"/>
    <col min="4" max="4" width="6.33203125" customWidth="1"/>
    <col min="5" max="5" width="5.33203125" bestFit="1" customWidth="1"/>
    <col min="6" max="6" width="49.6640625" customWidth="1"/>
    <col min="7" max="7" width="6" bestFit="1" customWidth="1"/>
    <col min="8" max="8" width="16.33203125" customWidth="1"/>
    <col min="9" max="9" width="7.44140625" bestFit="1" customWidth="1"/>
    <col min="10" max="11" width="10" bestFit="1" customWidth="1"/>
    <col min="12" max="12" width="5.33203125" bestFit="1" customWidth="1"/>
    <col min="13" max="13" width="26" style="3" customWidth="1"/>
  </cols>
  <sheetData>
    <row r="1" spans="1:13" x14ac:dyDescent="0.25">
      <c r="A1" t="s">
        <v>72</v>
      </c>
      <c r="D1" t="s">
        <v>3122</v>
      </c>
    </row>
    <row r="12" spans="1:13" x14ac:dyDescent="0.25">
      <c r="A12" s="1" t="s">
        <v>85</v>
      </c>
      <c r="B12" s="1" t="s">
        <v>84</v>
      </c>
      <c r="C12" s="1" t="s">
        <v>79</v>
      </c>
      <c r="D12" s="1" t="s">
        <v>82</v>
      </c>
      <c r="E12" s="1" t="s">
        <v>77</v>
      </c>
      <c r="F12" s="1" t="s">
        <v>83</v>
      </c>
      <c r="H12" s="1" t="s">
        <v>86</v>
      </c>
      <c r="I12" s="1" t="s">
        <v>84</v>
      </c>
      <c r="J12" s="1" t="s">
        <v>87</v>
      </c>
      <c r="K12" s="1" t="s">
        <v>88</v>
      </c>
      <c r="L12" s="1" t="s">
        <v>90</v>
      </c>
      <c r="M12" s="317" t="s">
        <v>89</v>
      </c>
    </row>
    <row r="13" spans="1:13" x14ac:dyDescent="0.25">
      <c r="A13" s="1" t="s">
        <v>0</v>
      </c>
      <c r="B13" s="1">
        <v>1</v>
      </c>
      <c r="C13" s="1" t="s">
        <v>81</v>
      </c>
      <c r="D13" s="1" t="s">
        <v>81</v>
      </c>
      <c r="E13" s="1">
        <v>8</v>
      </c>
      <c r="F13" s="1" t="s">
        <v>1</v>
      </c>
      <c r="H13" s="1" t="s">
        <v>25</v>
      </c>
      <c r="I13" s="1">
        <v>15</v>
      </c>
      <c r="J13" s="1">
        <v>1</v>
      </c>
      <c r="K13" s="1">
        <v>0</v>
      </c>
      <c r="L13" s="1"/>
      <c r="M13" s="317" t="s">
        <v>101</v>
      </c>
    </row>
    <row r="14" spans="1:13" x14ac:dyDescent="0.25">
      <c r="A14" s="1" t="s">
        <v>3</v>
      </c>
      <c r="B14" s="1">
        <v>2</v>
      </c>
      <c r="C14" s="1" t="s">
        <v>81</v>
      </c>
      <c r="D14" s="1" t="s">
        <v>81</v>
      </c>
      <c r="E14" s="1">
        <v>4</v>
      </c>
      <c r="F14" s="1" t="s">
        <v>4</v>
      </c>
      <c r="H14" s="1" t="s">
        <v>57</v>
      </c>
      <c r="I14" s="1">
        <v>153</v>
      </c>
      <c r="J14" s="1">
        <v>1</v>
      </c>
      <c r="K14" s="1">
        <v>0</v>
      </c>
      <c r="L14" s="1"/>
      <c r="M14" s="317" t="s">
        <v>108</v>
      </c>
    </row>
    <row r="15" spans="1:13" x14ac:dyDescent="0.25">
      <c r="A15" s="1" t="s">
        <v>6</v>
      </c>
      <c r="B15" s="1">
        <v>3</v>
      </c>
      <c r="C15" s="1" t="s">
        <v>81</v>
      </c>
      <c r="D15" s="1" t="s">
        <v>81</v>
      </c>
      <c r="E15" s="1">
        <v>2</v>
      </c>
      <c r="F15" s="1" t="s">
        <v>7</v>
      </c>
      <c r="H15" s="6" t="s">
        <v>2589</v>
      </c>
      <c r="I15" s="6">
        <v>159</v>
      </c>
      <c r="J15" s="1">
        <v>1</v>
      </c>
      <c r="K15" s="1">
        <v>0</v>
      </c>
      <c r="L15" s="1"/>
      <c r="M15" s="6" t="s">
        <v>2589</v>
      </c>
    </row>
    <row r="16" spans="1:13" x14ac:dyDescent="0.25">
      <c r="A16" s="1" t="s">
        <v>9</v>
      </c>
      <c r="B16" s="1">
        <v>4</v>
      </c>
      <c r="C16" s="1" t="s">
        <v>81</v>
      </c>
      <c r="D16" s="1" t="s">
        <v>81</v>
      </c>
      <c r="E16" s="1">
        <v>1</v>
      </c>
      <c r="F16" s="1" t="s">
        <v>10</v>
      </c>
      <c r="H16" s="6" t="s">
        <v>3138</v>
      </c>
      <c r="I16" s="6">
        <v>160</v>
      </c>
      <c r="J16" s="1">
        <v>1</v>
      </c>
      <c r="K16" s="1">
        <v>0</v>
      </c>
      <c r="L16" s="1"/>
      <c r="M16" s="6" t="s">
        <v>3138</v>
      </c>
    </row>
    <row r="17" spans="1:13" x14ac:dyDescent="0.25">
      <c r="A17" s="1" t="s">
        <v>12</v>
      </c>
      <c r="B17" s="1">
        <v>5</v>
      </c>
      <c r="C17" s="1" t="s">
        <v>80</v>
      </c>
      <c r="D17" s="1" t="s">
        <v>81</v>
      </c>
      <c r="E17" s="1">
        <v>8</v>
      </c>
      <c r="F17" s="1" t="s">
        <v>13</v>
      </c>
      <c r="H17" s="1" t="s">
        <v>3170</v>
      </c>
      <c r="I17" s="6">
        <v>200</v>
      </c>
      <c r="J17" s="1">
        <v>1</v>
      </c>
      <c r="K17" s="1">
        <v>0</v>
      </c>
      <c r="L17" s="1"/>
      <c r="M17" s="1" t="s">
        <v>3170</v>
      </c>
    </row>
    <row r="18" spans="1:13" x14ac:dyDescent="0.25">
      <c r="A18" s="1" t="s">
        <v>15</v>
      </c>
      <c r="B18" s="1">
        <v>6</v>
      </c>
      <c r="C18" s="1" t="s">
        <v>80</v>
      </c>
      <c r="D18" s="1" t="s">
        <v>81</v>
      </c>
      <c r="E18" s="1">
        <v>4</v>
      </c>
      <c r="F18" s="1" t="s">
        <v>16</v>
      </c>
      <c r="H18" s="1" t="s">
        <v>3172</v>
      </c>
      <c r="I18" s="6">
        <v>201</v>
      </c>
      <c r="J18" s="1">
        <v>1</v>
      </c>
      <c r="K18" s="1">
        <v>0</v>
      </c>
      <c r="L18" s="1"/>
      <c r="M18" s="1" t="s">
        <v>3171</v>
      </c>
    </row>
    <row r="19" spans="1:13" x14ac:dyDescent="0.25">
      <c r="A19" s="1" t="s">
        <v>18</v>
      </c>
      <c r="B19" s="1">
        <v>7</v>
      </c>
      <c r="C19" s="1" t="s">
        <v>80</v>
      </c>
      <c r="D19" s="1" t="s">
        <v>81</v>
      </c>
      <c r="E19" s="1">
        <v>2</v>
      </c>
      <c r="F19" s="1" t="s">
        <v>19</v>
      </c>
      <c r="H19" s="1" t="s">
        <v>60</v>
      </c>
      <c r="I19" s="1">
        <v>202</v>
      </c>
      <c r="J19" s="1">
        <v>1</v>
      </c>
      <c r="K19" s="1">
        <v>0</v>
      </c>
      <c r="L19" s="1"/>
      <c r="M19" s="317" t="s">
        <v>109</v>
      </c>
    </row>
    <row r="20" spans="1:13" x14ac:dyDescent="0.25">
      <c r="A20" s="1" t="s">
        <v>20</v>
      </c>
      <c r="B20" s="1">
        <v>8</v>
      </c>
      <c r="C20" s="1" t="s">
        <v>81</v>
      </c>
      <c r="D20" s="1" t="s">
        <v>80</v>
      </c>
      <c r="E20" s="1">
        <v>8</v>
      </c>
      <c r="F20" s="1" t="s">
        <v>21</v>
      </c>
      <c r="H20" s="1" t="s">
        <v>63</v>
      </c>
      <c r="I20" s="1">
        <v>203</v>
      </c>
      <c r="J20" s="1">
        <v>1</v>
      </c>
      <c r="K20" s="1">
        <v>0</v>
      </c>
      <c r="L20" s="1"/>
      <c r="M20" s="317" t="s">
        <v>110</v>
      </c>
    </row>
    <row r="21" spans="1:13" x14ac:dyDescent="0.25">
      <c r="A21" s="1" t="s">
        <v>23</v>
      </c>
      <c r="B21" s="1">
        <v>9</v>
      </c>
      <c r="C21" s="1" t="s">
        <v>81</v>
      </c>
      <c r="D21" s="1" t="s">
        <v>80</v>
      </c>
      <c r="E21" s="1">
        <v>4</v>
      </c>
      <c r="F21" s="1" t="s">
        <v>24</v>
      </c>
      <c r="H21" s="1" t="s">
        <v>3171</v>
      </c>
      <c r="I21" s="6">
        <v>204</v>
      </c>
      <c r="J21" s="1">
        <v>1</v>
      </c>
      <c r="K21" s="1">
        <v>0</v>
      </c>
      <c r="L21" s="1"/>
      <c r="M21" s="1" t="s">
        <v>3172</v>
      </c>
    </row>
    <row r="22" spans="1:13" x14ac:dyDescent="0.25">
      <c r="A22" s="1" t="s">
        <v>26</v>
      </c>
      <c r="B22" s="1">
        <v>10</v>
      </c>
      <c r="C22" s="1" t="s">
        <v>81</v>
      </c>
      <c r="D22" s="1" t="s">
        <v>80</v>
      </c>
      <c r="E22" s="1">
        <v>2</v>
      </c>
      <c r="F22" s="1" t="s">
        <v>27</v>
      </c>
      <c r="H22" s="1" t="s">
        <v>3173</v>
      </c>
      <c r="I22" s="6">
        <v>205</v>
      </c>
      <c r="J22" s="1">
        <v>1</v>
      </c>
      <c r="K22" s="1">
        <v>0</v>
      </c>
      <c r="L22" s="1"/>
      <c r="M22" s="1" t="s">
        <v>3173</v>
      </c>
    </row>
    <row r="23" spans="1:13" x14ac:dyDescent="0.25">
      <c r="A23" s="1" t="s">
        <v>29</v>
      </c>
      <c r="B23" s="1">
        <v>11</v>
      </c>
      <c r="C23" s="1" t="s">
        <v>81</v>
      </c>
      <c r="D23" s="1" t="s">
        <v>80</v>
      </c>
      <c r="E23" s="1">
        <v>1</v>
      </c>
      <c r="F23" s="1" t="s">
        <v>30</v>
      </c>
      <c r="H23" s="1" t="s">
        <v>66</v>
      </c>
      <c r="I23" s="1">
        <v>206</v>
      </c>
      <c r="J23" s="1">
        <v>1</v>
      </c>
      <c r="K23" s="1">
        <v>0</v>
      </c>
      <c r="L23" s="1"/>
      <c r="M23" s="317" t="s">
        <v>111</v>
      </c>
    </row>
    <row r="24" spans="1:13" x14ac:dyDescent="0.25">
      <c r="A24" s="1" t="s">
        <v>32</v>
      </c>
      <c r="B24" s="1">
        <v>12</v>
      </c>
      <c r="C24" s="1" t="s">
        <v>80</v>
      </c>
      <c r="D24" s="1" t="s">
        <v>80</v>
      </c>
      <c r="E24" s="1">
        <v>8</v>
      </c>
      <c r="F24" s="1" t="s">
        <v>2555</v>
      </c>
      <c r="H24" s="1" t="s">
        <v>69</v>
      </c>
      <c r="I24" s="1">
        <v>207</v>
      </c>
      <c r="J24" s="1">
        <v>1</v>
      </c>
      <c r="K24" s="1">
        <v>0</v>
      </c>
      <c r="L24" s="1"/>
      <c r="M24" s="317" t="s">
        <v>112</v>
      </c>
    </row>
    <row r="25" spans="1:13" x14ac:dyDescent="0.25">
      <c r="A25" s="1" t="s">
        <v>34</v>
      </c>
      <c r="B25" s="1">
        <v>13</v>
      </c>
      <c r="C25" s="1" t="s">
        <v>80</v>
      </c>
      <c r="D25" s="1" t="s">
        <v>80</v>
      </c>
      <c r="E25" s="1">
        <v>4</v>
      </c>
      <c r="F25" s="1" t="s">
        <v>35</v>
      </c>
      <c r="H25" s="1" t="s">
        <v>161</v>
      </c>
      <c r="I25" s="6">
        <v>212</v>
      </c>
      <c r="J25" s="6">
        <v>1</v>
      </c>
      <c r="K25" s="6">
        <v>0</v>
      </c>
      <c r="L25" s="1"/>
      <c r="M25" s="318" t="s">
        <v>162</v>
      </c>
    </row>
    <row r="26" spans="1:13" x14ac:dyDescent="0.25">
      <c r="A26" s="1" t="s">
        <v>37</v>
      </c>
      <c r="B26" s="1">
        <v>14</v>
      </c>
      <c r="C26" s="1" t="s">
        <v>80</v>
      </c>
      <c r="D26" s="1" t="s">
        <v>80</v>
      </c>
      <c r="E26" s="1">
        <v>2</v>
      </c>
      <c r="F26" s="1" t="s">
        <v>38</v>
      </c>
      <c r="H26" s="1" t="s">
        <v>178</v>
      </c>
      <c r="I26" s="1">
        <v>216</v>
      </c>
      <c r="J26" s="6">
        <v>1</v>
      </c>
      <c r="K26" s="6">
        <v>0</v>
      </c>
      <c r="L26" s="1"/>
      <c r="M26" s="317" t="s">
        <v>178</v>
      </c>
    </row>
    <row r="27" spans="1:13" x14ac:dyDescent="0.25">
      <c r="A27" s="1" t="s">
        <v>40</v>
      </c>
      <c r="B27" s="1">
        <v>15</v>
      </c>
      <c r="C27" s="1" t="s">
        <v>81</v>
      </c>
      <c r="D27" s="1" t="s">
        <v>80</v>
      </c>
      <c r="E27" s="1">
        <v>8</v>
      </c>
      <c r="F27" s="1" t="s">
        <v>41</v>
      </c>
      <c r="H27" s="1" t="s">
        <v>2535</v>
      </c>
      <c r="I27" s="6">
        <v>243</v>
      </c>
      <c r="J27" s="6">
        <v>1</v>
      </c>
      <c r="K27" s="6">
        <v>0</v>
      </c>
      <c r="L27" s="1"/>
      <c r="M27" s="317" t="s">
        <v>2533</v>
      </c>
    </row>
    <row r="28" spans="1:13" x14ac:dyDescent="0.25">
      <c r="A28" s="1" t="s">
        <v>43</v>
      </c>
      <c r="B28" s="1">
        <v>16</v>
      </c>
      <c r="C28" s="1" t="s">
        <v>81</v>
      </c>
      <c r="D28" s="1" t="s">
        <v>80</v>
      </c>
      <c r="E28" s="1">
        <v>4</v>
      </c>
      <c r="F28" s="1" t="s">
        <v>44</v>
      </c>
      <c r="H28" s="1" t="s">
        <v>2536</v>
      </c>
      <c r="I28" s="6">
        <v>244</v>
      </c>
      <c r="J28" s="6">
        <v>1</v>
      </c>
      <c r="K28" s="6">
        <v>0</v>
      </c>
      <c r="L28" s="1"/>
      <c r="M28" s="317" t="s">
        <v>2534</v>
      </c>
    </row>
    <row r="29" spans="1:13" x14ac:dyDescent="0.25">
      <c r="A29" s="1" t="s">
        <v>46</v>
      </c>
      <c r="B29" s="1">
        <v>17</v>
      </c>
      <c r="C29" s="1" t="s">
        <v>81</v>
      </c>
      <c r="D29" s="1" t="s">
        <v>80</v>
      </c>
      <c r="E29" s="1">
        <v>2</v>
      </c>
      <c r="F29" s="1" t="s">
        <v>47</v>
      </c>
      <c r="H29" s="1" t="s">
        <v>143</v>
      </c>
      <c r="I29" s="6">
        <v>245</v>
      </c>
      <c r="J29" s="1">
        <v>1</v>
      </c>
      <c r="K29" s="1">
        <v>0</v>
      </c>
      <c r="L29" s="1" t="s">
        <v>147</v>
      </c>
      <c r="M29" s="317" t="s">
        <v>148</v>
      </c>
    </row>
    <row r="30" spans="1:13" x14ac:dyDescent="0.25">
      <c r="A30" s="1" t="s">
        <v>49</v>
      </c>
      <c r="B30" s="1">
        <v>18</v>
      </c>
      <c r="C30" s="1" t="s">
        <v>81</v>
      </c>
      <c r="D30" s="1" t="s">
        <v>80</v>
      </c>
      <c r="E30" s="1">
        <v>1</v>
      </c>
      <c r="F30" s="1" t="s">
        <v>50</v>
      </c>
      <c r="H30" s="1" t="s">
        <v>144</v>
      </c>
      <c r="I30" s="6">
        <v>246</v>
      </c>
      <c r="J30" s="1">
        <v>1</v>
      </c>
      <c r="K30" s="1">
        <v>0</v>
      </c>
      <c r="L30" s="1" t="s">
        <v>147</v>
      </c>
      <c r="M30" s="317" t="s">
        <v>149</v>
      </c>
    </row>
    <row r="31" spans="1:13" x14ac:dyDescent="0.25">
      <c r="A31" s="1" t="s">
        <v>52</v>
      </c>
      <c r="B31" s="1">
        <v>19</v>
      </c>
      <c r="C31" s="1" t="s">
        <v>80</v>
      </c>
      <c r="D31" s="1" t="s">
        <v>80</v>
      </c>
      <c r="E31" s="1">
        <v>8</v>
      </c>
      <c r="F31" s="1" t="s">
        <v>53</v>
      </c>
      <c r="H31" s="1" t="s">
        <v>145</v>
      </c>
      <c r="I31" s="6">
        <v>267</v>
      </c>
      <c r="J31" s="1">
        <v>1</v>
      </c>
      <c r="K31" s="1">
        <v>0</v>
      </c>
      <c r="L31" s="1" t="s">
        <v>147</v>
      </c>
      <c r="M31" s="317" t="s">
        <v>150</v>
      </c>
    </row>
    <row r="32" spans="1:13" x14ac:dyDescent="0.25">
      <c r="A32" s="1" t="s">
        <v>55</v>
      </c>
      <c r="B32" s="1">
        <v>20</v>
      </c>
      <c r="C32" s="1" t="s">
        <v>80</v>
      </c>
      <c r="D32" s="1" t="s">
        <v>80</v>
      </c>
      <c r="E32" s="1">
        <v>4</v>
      </c>
      <c r="F32" s="1" t="s">
        <v>56</v>
      </c>
      <c r="H32" s="1" t="s">
        <v>146</v>
      </c>
      <c r="I32" s="6">
        <v>268</v>
      </c>
      <c r="J32" s="1">
        <v>1</v>
      </c>
      <c r="K32" s="1">
        <v>0</v>
      </c>
      <c r="L32" s="1" t="s">
        <v>147</v>
      </c>
      <c r="M32" s="317" t="s">
        <v>151</v>
      </c>
    </row>
    <row r="33" spans="1:13" x14ac:dyDescent="0.25">
      <c r="A33" s="1" t="s">
        <v>58</v>
      </c>
      <c r="B33" s="1">
        <v>21</v>
      </c>
      <c r="C33" s="1" t="s">
        <v>80</v>
      </c>
      <c r="D33" s="1" t="s">
        <v>80</v>
      </c>
      <c r="E33" s="1">
        <v>2</v>
      </c>
      <c r="F33" s="1" t="s">
        <v>59</v>
      </c>
      <c r="H33" s="1" t="s">
        <v>3178</v>
      </c>
      <c r="I33" s="6">
        <v>287</v>
      </c>
      <c r="J33" s="1">
        <v>1</v>
      </c>
      <c r="K33" s="1">
        <v>0</v>
      </c>
      <c r="L33" s="1"/>
      <c r="M33" s="1" t="s">
        <v>3178</v>
      </c>
    </row>
    <row r="34" spans="1:13" x14ac:dyDescent="0.25">
      <c r="A34" s="1" t="s">
        <v>61</v>
      </c>
      <c r="B34" s="1">
        <v>22</v>
      </c>
      <c r="C34" s="1" t="s">
        <v>81</v>
      </c>
      <c r="D34" s="1" t="s">
        <v>81</v>
      </c>
      <c r="E34" s="1"/>
      <c r="F34" s="1" t="s">
        <v>62</v>
      </c>
      <c r="H34" s="1" t="s">
        <v>3179</v>
      </c>
      <c r="I34" s="6">
        <v>288</v>
      </c>
      <c r="J34" s="1">
        <v>1</v>
      </c>
      <c r="K34" s="1">
        <v>0</v>
      </c>
      <c r="L34" s="1"/>
      <c r="M34" s="1" t="s">
        <v>3179</v>
      </c>
    </row>
    <row r="35" spans="1:13" x14ac:dyDescent="0.25">
      <c r="A35" s="1" t="s">
        <v>64</v>
      </c>
      <c r="B35" s="1">
        <v>23</v>
      </c>
      <c r="C35" s="1" t="s">
        <v>81</v>
      </c>
      <c r="D35" s="1" t="s">
        <v>81</v>
      </c>
      <c r="E35" s="1"/>
      <c r="F35" s="1" t="s">
        <v>65</v>
      </c>
      <c r="H35" s="1" t="s">
        <v>3176</v>
      </c>
      <c r="I35" s="6">
        <v>289</v>
      </c>
      <c r="J35" s="1">
        <v>1</v>
      </c>
      <c r="K35" s="1">
        <v>0</v>
      </c>
      <c r="L35" s="1" t="s">
        <v>153</v>
      </c>
      <c r="M35" s="1" t="s">
        <v>3176</v>
      </c>
    </row>
    <row r="36" spans="1:13" x14ac:dyDescent="0.25">
      <c r="A36" s="1" t="s">
        <v>67</v>
      </c>
      <c r="B36" s="1">
        <v>24</v>
      </c>
      <c r="C36" s="1" t="s">
        <v>81</v>
      </c>
      <c r="D36" s="1" t="s">
        <v>81</v>
      </c>
      <c r="E36" s="1"/>
      <c r="F36" s="1" t="s">
        <v>68</v>
      </c>
      <c r="H36" s="1" t="s">
        <v>3177</v>
      </c>
      <c r="I36" s="6">
        <v>290</v>
      </c>
      <c r="J36" s="1">
        <v>1</v>
      </c>
      <c r="K36" s="1">
        <v>0</v>
      </c>
      <c r="L36" s="1" t="s">
        <v>153</v>
      </c>
      <c r="M36" s="1" t="s">
        <v>3177</v>
      </c>
    </row>
    <row r="37" spans="1:13" x14ac:dyDescent="0.25">
      <c r="A37" s="1" t="s">
        <v>70</v>
      </c>
      <c r="B37" s="1">
        <v>25</v>
      </c>
      <c r="C37" s="1" t="s">
        <v>81</v>
      </c>
      <c r="D37" s="1" t="s">
        <v>81</v>
      </c>
      <c r="E37" s="1"/>
      <c r="F37" s="1" t="s">
        <v>71</v>
      </c>
      <c r="H37" s="1" t="s">
        <v>3174</v>
      </c>
      <c r="I37" s="6">
        <v>291</v>
      </c>
      <c r="J37" s="1">
        <v>1</v>
      </c>
      <c r="K37" s="1">
        <v>0</v>
      </c>
      <c r="L37" s="1"/>
      <c r="M37" s="1" t="s">
        <v>3174</v>
      </c>
    </row>
    <row r="38" spans="1:13" x14ac:dyDescent="0.25">
      <c r="A38" s="1" t="s">
        <v>2543</v>
      </c>
      <c r="B38" s="1">
        <v>26</v>
      </c>
      <c r="C38" s="1" t="s">
        <v>81</v>
      </c>
      <c r="D38" s="1" t="s">
        <v>81</v>
      </c>
      <c r="E38" s="1"/>
      <c r="F38" s="1" t="s">
        <v>71</v>
      </c>
      <c r="H38" s="1" t="s">
        <v>3175</v>
      </c>
      <c r="I38" s="6">
        <v>292</v>
      </c>
      <c r="J38" s="1">
        <v>1</v>
      </c>
      <c r="K38" s="1">
        <v>0</v>
      </c>
      <c r="L38" s="1"/>
      <c r="M38" s="1" t="s">
        <v>3175</v>
      </c>
    </row>
    <row r="39" spans="1:13" x14ac:dyDescent="0.25">
      <c r="A39" s="1" t="s">
        <v>2540</v>
      </c>
      <c r="B39" s="1">
        <v>27</v>
      </c>
      <c r="C39" s="1" t="s">
        <v>81</v>
      </c>
      <c r="D39" s="1" t="s">
        <v>81</v>
      </c>
      <c r="E39" s="1"/>
      <c r="F39" s="1" t="s">
        <v>71</v>
      </c>
      <c r="H39" s="1" t="s">
        <v>3152</v>
      </c>
      <c r="I39" s="6">
        <v>336</v>
      </c>
      <c r="J39" s="6">
        <v>1</v>
      </c>
      <c r="K39" s="6">
        <v>0</v>
      </c>
      <c r="L39" s="1" t="s">
        <v>1073</v>
      </c>
      <c r="M39" s="1" t="s">
        <v>3152</v>
      </c>
    </row>
    <row r="40" spans="1:13" x14ac:dyDescent="0.25">
      <c r="A40" s="1" t="s">
        <v>2541</v>
      </c>
      <c r="B40" s="1">
        <v>28</v>
      </c>
      <c r="C40" s="1" t="s">
        <v>81</v>
      </c>
      <c r="D40" s="1" t="s">
        <v>81</v>
      </c>
      <c r="E40" s="1"/>
      <c r="F40" s="1" t="s">
        <v>71</v>
      </c>
      <c r="H40" s="1" t="s">
        <v>3153</v>
      </c>
      <c r="I40" s="6">
        <v>337</v>
      </c>
      <c r="J40" s="6">
        <v>1</v>
      </c>
      <c r="K40" s="6">
        <v>0</v>
      </c>
      <c r="L40" s="1" t="s">
        <v>153</v>
      </c>
      <c r="M40" s="1" t="s">
        <v>3153</v>
      </c>
    </row>
    <row r="41" spans="1:13" x14ac:dyDescent="0.25">
      <c r="A41" s="1" t="s">
        <v>2542</v>
      </c>
      <c r="B41" s="1">
        <v>29</v>
      </c>
      <c r="C41" s="1" t="s">
        <v>81</v>
      </c>
      <c r="D41" s="1" t="s">
        <v>81</v>
      </c>
      <c r="E41" s="1">
        <v>1</v>
      </c>
      <c r="F41" s="1" t="s">
        <v>2556</v>
      </c>
      <c r="H41" s="1" t="s">
        <v>125</v>
      </c>
      <c r="I41" s="1">
        <v>400</v>
      </c>
      <c r="J41" s="1">
        <v>1</v>
      </c>
      <c r="K41" s="1">
        <v>0</v>
      </c>
      <c r="L41" s="1"/>
      <c r="M41" s="317" t="s">
        <v>2411</v>
      </c>
    </row>
    <row r="42" spans="1:13" x14ac:dyDescent="0.25">
      <c r="A42" s="1" t="s">
        <v>4688</v>
      </c>
      <c r="B42" s="352">
        <v>30</v>
      </c>
      <c r="C42" s="1" t="s">
        <v>81</v>
      </c>
      <c r="D42" s="1" t="s">
        <v>81</v>
      </c>
      <c r="E42" s="1">
        <v>4</v>
      </c>
      <c r="F42" s="1" t="s">
        <v>4689</v>
      </c>
      <c r="H42" s="1" t="s">
        <v>36</v>
      </c>
      <c r="I42" s="1">
        <v>460</v>
      </c>
      <c r="J42" s="1">
        <v>1</v>
      </c>
      <c r="K42" s="1">
        <v>0</v>
      </c>
      <c r="L42" s="1"/>
      <c r="M42" s="317" t="s">
        <v>118</v>
      </c>
    </row>
    <row r="43" spans="1:13" x14ac:dyDescent="0.25">
      <c r="A43" s="1" t="s">
        <v>3190</v>
      </c>
      <c r="B43" s="352">
        <v>31</v>
      </c>
      <c r="C43" s="1" t="s">
        <v>81</v>
      </c>
      <c r="D43" s="1" t="s">
        <v>81</v>
      </c>
      <c r="E43" s="1">
        <v>8</v>
      </c>
      <c r="F43" s="1" t="s">
        <v>3453</v>
      </c>
      <c r="H43" s="1" t="s">
        <v>196</v>
      </c>
      <c r="I43" s="1">
        <v>461</v>
      </c>
      <c r="J43" s="6">
        <v>1</v>
      </c>
      <c r="K43" s="6">
        <v>0</v>
      </c>
      <c r="L43" s="1"/>
      <c r="M43" s="317" t="s">
        <v>202</v>
      </c>
    </row>
    <row r="44" spans="1:13" x14ac:dyDescent="0.25">
      <c r="A44" s="1" t="s">
        <v>3191</v>
      </c>
      <c r="B44" s="352">
        <v>33</v>
      </c>
      <c r="C44" s="1" t="s">
        <v>81</v>
      </c>
      <c r="D44" s="1" t="s">
        <v>81</v>
      </c>
      <c r="E44" s="1">
        <v>1</v>
      </c>
      <c r="F44" s="1" t="s">
        <v>2490</v>
      </c>
      <c r="H44" s="1" t="s">
        <v>200</v>
      </c>
      <c r="I44" s="1">
        <v>462</v>
      </c>
      <c r="J44" s="6">
        <v>1</v>
      </c>
      <c r="K44" s="6">
        <v>0</v>
      </c>
      <c r="L44" s="1"/>
      <c r="M44" s="317" t="s">
        <v>203</v>
      </c>
    </row>
    <row r="45" spans="1:13" x14ac:dyDescent="0.25">
      <c r="A45" s="1" t="s">
        <v>3619</v>
      </c>
      <c r="B45" s="352">
        <v>34</v>
      </c>
      <c r="C45" s="1" t="s">
        <v>81</v>
      </c>
      <c r="D45" s="1" t="s">
        <v>81</v>
      </c>
      <c r="E45" s="1">
        <v>1</v>
      </c>
      <c r="F45" s="1" t="s">
        <v>2490</v>
      </c>
      <c r="H45" s="1" t="s">
        <v>195</v>
      </c>
      <c r="I45" s="1">
        <v>480</v>
      </c>
      <c r="J45" s="6">
        <v>1</v>
      </c>
      <c r="K45" s="6">
        <v>0</v>
      </c>
      <c r="L45" s="1"/>
      <c r="M45" s="317" t="s">
        <v>204</v>
      </c>
    </row>
    <row r="46" spans="1:13" x14ac:dyDescent="0.25">
      <c r="H46" s="1" t="s">
        <v>1331</v>
      </c>
      <c r="I46" s="1">
        <v>500</v>
      </c>
      <c r="J46" s="6">
        <v>1</v>
      </c>
      <c r="K46" s="6">
        <v>0</v>
      </c>
      <c r="L46" s="1"/>
      <c r="M46" s="1" t="s">
        <v>1331</v>
      </c>
    </row>
    <row r="47" spans="1:13" x14ac:dyDescent="0.25">
      <c r="H47" s="1" t="s">
        <v>1332</v>
      </c>
      <c r="I47" s="1">
        <v>501</v>
      </c>
      <c r="J47" s="6">
        <v>1</v>
      </c>
      <c r="K47" s="6">
        <v>0</v>
      </c>
      <c r="L47" s="1" t="s">
        <v>1073</v>
      </c>
      <c r="M47" s="1" t="s">
        <v>1332</v>
      </c>
    </row>
    <row r="48" spans="1:13" x14ac:dyDescent="0.25">
      <c r="H48" s="1" t="s">
        <v>3572</v>
      </c>
      <c r="I48" s="1">
        <v>502</v>
      </c>
      <c r="J48" s="6">
        <v>1</v>
      </c>
      <c r="K48" s="6">
        <v>0</v>
      </c>
      <c r="L48" s="1" t="s">
        <v>153</v>
      </c>
      <c r="M48" s="1"/>
    </row>
    <row r="49" spans="8:13" x14ac:dyDescent="0.25">
      <c r="H49" s="1" t="s">
        <v>1334</v>
      </c>
      <c r="I49" s="1">
        <v>503</v>
      </c>
      <c r="J49" s="6">
        <v>1</v>
      </c>
      <c r="K49" s="6">
        <v>0</v>
      </c>
      <c r="L49" s="1"/>
      <c r="M49" s="1" t="s">
        <v>1334</v>
      </c>
    </row>
    <row r="50" spans="8:13" x14ac:dyDescent="0.25">
      <c r="H50" s="1" t="s">
        <v>1335</v>
      </c>
      <c r="I50" s="1">
        <v>504</v>
      </c>
      <c r="J50" s="6">
        <v>1</v>
      </c>
      <c r="K50" s="6">
        <v>0</v>
      </c>
      <c r="L50" s="1" t="s">
        <v>1073</v>
      </c>
      <c r="M50" s="1" t="s">
        <v>1335</v>
      </c>
    </row>
    <row r="51" spans="8:13" x14ac:dyDescent="0.25">
      <c r="H51" s="1" t="s">
        <v>3573</v>
      </c>
      <c r="I51" s="1">
        <v>505</v>
      </c>
      <c r="J51" s="6">
        <v>1</v>
      </c>
      <c r="K51" s="6">
        <v>0</v>
      </c>
      <c r="L51" s="1" t="s">
        <v>153</v>
      </c>
      <c r="M51" s="1"/>
    </row>
    <row r="52" spans="8:13" x14ac:dyDescent="0.25">
      <c r="H52" s="1" t="s">
        <v>4643</v>
      </c>
      <c r="I52" s="1">
        <v>552</v>
      </c>
      <c r="J52" s="6">
        <v>1</v>
      </c>
      <c r="K52" s="6">
        <v>0</v>
      </c>
      <c r="L52" s="1" t="s">
        <v>2397</v>
      </c>
      <c r="M52" s="1"/>
    </row>
    <row r="53" spans="8:13" x14ac:dyDescent="0.25">
      <c r="H53" s="1" t="s">
        <v>1337</v>
      </c>
      <c r="I53" s="1">
        <v>506</v>
      </c>
      <c r="J53" s="6">
        <v>1</v>
      </c>
      <c r="K53" s="6">
        <v>0</v>
      </c>
      <c r="L53" s="1"/>
      <c r="M53" s="1" t="s">
        <v>1337</v>
      </c>
    </row>
    <row r="54" spans="8:13" x14ac:dyDescent="0.25">
      <c r="H54" s="1" t="s">
        <v>1338</v>
      </c>
      <c r="I54" s="1">
        <v>507</v>
      </c>
      <c r="J54" s="6">
        <v>1</v>
      </c>
      <c r="K54" s="6">
        <v>0</v>
      </c>
      <c r="L54" s="1" t="s">
        <v>1073</v>
      </c>
      <c r="M54" s="1" t="s">
        <v>1338</v>
      </c>
    </row>
    <row r="55" spans="8:13" x14ac:dyDescent="0.25">
      <c r="H55" s="1" t="s">
        <v>3574</v>
      </c>
      <c r="I55" s="1">
        <v>508</v>
      </c>
      <c r="J55" s="6">
        <v>1</v>
      </c>
      <c r="K55" s="6">
        <v>0</v>
      </c>
      <c r="L55" s="1" t="s">
        <v>153</v>
      </c>
      <c r="M55" s="1"/>
    </row>
    <row r="56" spans="8:13" x14ac:dyDescent="0.25">
      <c r="H56" s="1" t="s">
        <v>4642</v>
      </c>
      <c r="I56" s="1">
        <v>553</v>
      </c>
      <c r="J56" s="6">
        <v>1</v>
      </c>
      <c r="K56" s="6">
        <v>0</v>
      </c>
      <c r="L56" s="1" t="s">
        <v>2396</v>
      </c>
      <c r="M56" s="1"/>
    </row>
    <row r="57" spans="8:13" x14ac:dyDescent="0.25">
      <c r="H57" s="1" t="s">
        <v>1343</v>
      </c>
      <c r="I57" s="1">
        <v>512</v>
      </c>
      <c r="J57" s="6">
        <v>1</v>
      </c>
      <c r="K57" s="6">
        <v>0</v>
      </c>
      <c r="L57" s="1"/>
      <c r="M57" s="1" t="s">
        <v>1343</v>
      </c>
    </row>
    <row r="58" spans="8:13" x14ac:dyDescent="0.25">
      <c r="H58" s="1" t="s">
        <v>1344</v>
      </c>
      <c r="I58" s="1">
        <v>513</v>
      </c>
      <c r="J58" s="6">
        <v>1</v>
      </c>
      <c r="K58" s="6">
        <v>0</v>
      </c>
      <c r="L58" s="1"/>
      <c r="M58" s="1" t="s">
        <v>1344</v>
      </c>
    </row>
    <row r="59" spans="8:13" x14ac:dyDescent="0.25">
      <c r="H59" s="1" t="s">
        <v>2586</v>
      </c>
      <c r="I59" s="1">
        <v>516</v>
      </c>
      <c r="J59" s="6">
        <v>1</v>
      </c>
      <c r="K59" s="6">
        <v>0</v>
      </c>
      <c r="L59" s="1"/>
      <c r="M59" s="1" t="s">
        <v>2586</v>
      </c>
    </row>
    <row r="60" spans="8:13" x14ac:dyDescent="0.25">
      <c r="H60" s="1" t="s">
        <v>2587</v>
      </c>
      <c r="I60" s="1">
        <v>517</v>
      </c>
      <c r="J60" s="6">
        <v>1</v>
      </c>
      <c r="K60" s="6">
        <v>0</v>
      </c>
      <c r="L60" s="1" t="s">
        <v>1073</v>
      </c>
      <c r="M60" s="1" t="s">
        <v>2587</v>
      </c>
    </row>
    <row r="61" spans="8:13" x14ac:dyDescent="0.25">
      <c r="H61" s="1" t="s">
        <v>2588</v>
      </c>
      <c r="I61" s="1">
        <v>518</v>
      </c>
      <c r="J61" s="6">
        <v>1</v>
      </c>
      <c r="K61" s="6">
        <v>0</v>
      </c>
      <c r="L61" s="1" t="s">
        <v>153</v>
      </c>
      <c r="M61" s="1" t="s">
        <v>2588</v>
      </c>
    </row>
    <row r="62" spans="8:13" x14ac:dyDescent="0.25">
      <c r="H62" s="1" t="s">
        <v>3112</v>
      </c>
      <c r="I62" s="6">
        <v>524</v>
      </c>
      <c r="J62" s="6">
        <v>1</v>
      </c>
      <c r="K62" s="6">
        <v>0</v>
      </c>
      <c r="L62" s="1"/>
      <c r="M62" s="317" t="s">
        <v>3112</v>
      </c>
    </row>
    <row r="63" spans="8:13" x14ac:dyDescent="0.25">
      <c r="H63" s="1" t="s">
        <v>3113</v>
      </c>
      <c r="I63" s="6">
        <v>525</v>
      </c>
      <c r="J63" s="6">
        <v>1</v>
      </c>
      <c r="K63" s="6">
        <v>0</v>
      </c>
      <c r="L63" s="1" t="s">
        <v>1073</v>
      </c>
      <c r="M63" s="317" t="s">
        <v>3113</v>
      </c>
    </row>
    <row r="64" spans="8:13" x14ac:dyDescent="0.25">
      <c r="H64" s="1" t="s">
        <v>3114</v>
      </c>
      <c r="I64" s="6">
        <v>526</v>
      </c>
      <c r="J64" s="6">
        <v>1</v>
      </c>
      <c r="K64" s="6">
        <v>0</v>
      </c>
      <c r="L64" s="1" t="s">
        <v>153</v>
      </c>
      <c r="M64" s="317" t="s">
        <v>3114</v>
      </c>
    </row>
    <row r="65" spans="8:13" x14ac:dyDescent="0.25">
      <c r="H65" s="1" t="s">
        <v>3108</v>
      </c>
      <c r="I65" s="6">
        <v>542</v>
      </c>
      <c r="J65" s="6">
        <v>1</v>
      </c>
      <c r="K65" s="6">
        <v>0</v>
      </c>
      <c r="L65" s="1"/>
      <c r="M65" s="317" t="s">
        <v>3108</v>
      </c>
    </row>
    <row r="66" spans="8:13" x14ac:dyDescent="0.25">
      <c r="H66" s="1" t="s">
        <v>3109</v>
      </c>
      <c r="I66" s="6">
        <v>543</v>
      </c>
      <c r="J66" s="6">
        <v>1</v>
      </c>
      <c r="K66" s="6">
        <v>0</v>
      </c>
      <c r="L66" s="1" t="s">
        <v>1073</v>
      </c>
      <c r="M66" s="317" t="s">
        <v>3109</v>
      </c>
    </row>
    <row r="67" spans="8:13" x14ac:dyDescent="0.25">
      <c r="H67" s="1" t="s">
        <v>3110</v>
      </c>
      <c r="I67" s="6">
        <v>544</v>
      </c>
      <c r="J67" s="6">
        <v>1</v>
      </c>
      <c r="K67" s="6">
        <v>0</v>
      </c>
      <c r="L67" s="1" t="s">
        <v>153</v>
      </c>
      <c r="M67" s="317" t="s">
        <v>3110</v>
      </c>
    </row>
    <row r="68" spans="8:13" x14ac:dyDescent="0.25">
      <c r="H68" s="6" t="s">
        <v>3635</v>
      </c>
      <c r="I68" s="6">
        <v>600</v>
      </c>
      <c r="J68" s="1">
        <v>1</v>
      </c>
      <c r="K68" s="1">
        <v>0</v>
      </c>
      <c r="L68" s="1" t="s">
        <v>93</v>
      </c>
      <c r="M68" s="6"/>
    </row>
    <row r="69" spans="8:13" x14ac:dyDescent="0.25">
      <c r="H69" s="6" t="s">
        <v>3636</v>
      </c>
      <c r="I69" s="6">
        <v>601</v>
      </c>
      <c r="J69" s="1">
        <v>1</v>
      </c>
      <c r="K69" s="1">
        <v>0</v>
      </c>
      <c r="L69" s="1" t="s">
        <v>2397</v>
      </c>
      <c r="M69" s="6"/>
    </row>
    <row r="70" spans="8:13" x14ac:dyDescent="0.25">
      <c r="H70" s="6" t="s">
        <v>3637</v>
      </c>
      <c r="I70" s="6">
        <v>602</v>
      </c>
      <c r="J70" s="1">
        <v>1</v>
      </c>
      <c r="K70" s="1">
        <v>0</v>
      </c>
      <c r="L70" s="1" t="s">
        <v>2396</v>
      </c>
      <c r="M70" s="6"/>
    </row>
    <row r="71" spans="8:13" x14ac:dyDescent="0.25">
      <c r="H71" s="6" t="s">
        <v>3638</v>
      </c>
      <c r="I71" s="6">
        <v>603</v>
      </c>
      <c r="J71" s="1">
        <v>0.01</v>
      </c>
      <c r="K71" s="1">
        <v>0</v>
      </c>
      <c r="L71" s="1" t="s">
        <v>3639</v>
      </c>
      <c r="M71" s="6"/>
    </row>
    <row r="72" spans="8:13" x14ac:dyDescent="0.25">
      <c r="H72" s="6" t="s">
        <v>3640</v>
      </c>
      <c r="I72" s="6">
        <v>604</v>
      </c>
      <c r="J72" s="1">
        <v>0.01</v>
      </c>
      <c r="K72" s="1">
        <v>0</v>
      </c>
      <c r="L72" s="1" t="s">
        <v>3639</v>
      </c>
      <c r="M72" s="6"/>
    </row>
    <row r="73" spans="8:13" x14ac:dyDescent="0.25">
      <c r="H73" s="6" t="s">
        <v>3641</v>
      </c>
      <c r="I73" s="6">
        <v>606</v>
      </c>
      <c r="J73" s="1">
        <v>1</v>
      </c>
      <c r="K73" s="1">
        <v>0</v>
      </c>
      <c r="L73" s="1"/>
      <c r="M73" s="6"/>
    </row>
    <row r="74" spans="8:13" x14ac:dyDescent="0.25">
      <c r="H74" s="6" t="s">
        <v>3634</v>
      </c>
      <c r="I74" s="6">
        <v>607</v>
      </c>
      <c r="J74" s="1">
        <v>1</v>
      </c>
      <c r="K74" s="1">
        <v>-40</v>
      </c>
      <c r="L74" s="1" t="s">
        <v>170</v>
      </c>
      <c r="M74" s="6"/>
    </row>
    <row r="75" spans="8:13" x14ac:dyDescent="0.25">
      <c r="H75" s="6" t="s">
        <v>3642</v>
      </c>
      <c r="I75" s="6">
        <v>612</v>
      </c>
      <c r="J75" s="1">
        <v>1</v>
      </c>
      <c r="K75" s="1">
        <v>-40</v>
      </c>
      <c r="L75" s="1" t="s">
        <v>170</v>
      </c>
      <c r="M75" s="6"/>
    </row>
    <row r="76" spans="8:13" x14ac:dyDescent="0.25">
      <c r="H76" s="6" t="s">
        <v>3643</v>
      </c>
      <c r="I76" s="6">
        <v>617</v>
      </c>
      <c r="J76" s="1">
        <v>1</v>
      </c>
      <c r="K76" s="1">
        <v>0</v>
      </c>
      <c r="L76" s="1"/>
      <c r="M76" s="6"/>
    </row>
    <row r="77" spans="8:13" x14ac:dyDescent="0.25">
      <c r="H77" s="6" t="s">
        <v>3644</v>
      </c>
      <c r="I77" s="6">
        <v>618</v>
      </c>
      <c r="J77" s="1">
        <v>1</v>
      </c>
      <c r="K77" s="1">
        <v>0</v>
      </c>
      <c r="L77" s="1"/>
      <c r="M77" s="6"/>
    </row>
    <row r="78" spans="8:13" x14ac:dyDescent="0.25">
      <c r="H78" s="6" t="s">
        <v>3645</v>
      </c>
      <c r="I78" s="6">
        <v>619</v>
      </c>
      <c r="J78" s="1">
        <v>1</v>
      </c>
      <c r="K78" s="1">
        <v>0</v>
      </c>
      <c r="L78" s="1"/>
      <c r="M78" s="6"/>
    </row>
    <row r="79" spans="8:13" x14ac:dyDescent="0.25">
      <c r="H79" s="6" t="s">
        <v>3646</v>
      </c>
      <c r="I79" s="6">
        <v>630</v>
      </c>
      <c r="J79" s="1">
        <v>1</v>
      </c>
      <c r="K79" s="1">
        <v>0</v>
      </c>
      <c r="L79" s="1" t="s">
        <v>147</v>
      </c>
      <c r="M79" s="6"/>
    </row>
    <row r="80" spans="8:13" x14ac:dyDescent="0.25">
      <c r="H80" s="318" t="s">
        <v>2490</v>
      </c>
      <c r="I80" s="6">
        <v>802</v>
      </c>
      <c r="J80" s="6">
        <v>1</v>
      </c>
      <c r="K80" s="6">
        <v>0</v>
      </c>
      <c r="L80" s="1"/>
      <c r="M80" s="318"/>
    </row>
    <row r="81" spans="8:13" x14ac:dyDescent="0.25">
      <c r="H81" s="318" t="s">
        <v>3501</v>
      </c>
      <c r="I81" s="6">
        <v>803</v>
      </c>
      <c r="J81" s="6">
        <v>1</v>
      </c>
      <c r="K81" s="6">
        <v>0</v>
      </c>
      <c r="L81" s="1"/>
      <c r="M81" s="318"/>
    </row>
    <row r="82" spans="8:13" x14ac:dyDescent="0.25">
      <c r="H82" s="1" t="s">
        <v>185</v>
      </c>
      <c r="I82" s="1">
        <v>2009</v>
      </c>
      <c r="J82" s="6">
        <v>1</v>
      </c>
      <c r="K82" s="6">
        <v>0</v>
      </c>
      <c r="L82" s="1"/>
      <c r="M82" s="317" t="s">
        <v>205</v>
      </c>
    </row>
    <row r="83" spans="8:13" x14ac:dyDescent="0.25">
      <c r="H83" s="1" t="s">
        <v>152</v>
      </c>
      <c r="I83" s="6">
        <v>2010</v>
      </c>
      <c r="J83" s="6">
        <v>1E-3</v>
      </c>
      <c r="K83" s="6">
        <v>0</v>
      </c>
      <c r="L83" s="1" t="s">
        <v>91</v>
      </c>
      <c r="M83" s="318" t="s">
        <v>154</v>
      </c>
    </row>
    <row r="84" spans="8:13" x14ac:dyDescent="0.25">
      <c r="H84" s="1" t="s">
        <v>2</v>
      </c>
      <c r="I84" s="1">
        <v>10028</v>
      </c>
      <c r="J84" s="1">
        <v>1</v>
      </c>
      <c r="K84" s="1">
        <v>0</v>
      </c>
      <c r="L84" s="1" t="s">
        <v>91</v>
      </c>
      <c r="M84" s="317" t="s">
        <v>113</v>
      </c>
    </row>
    <row r="85" spans="8:13" x14ac:dyDescent="0.25">
      <c r="H85" s="1" t="s">
        <v>5</v>
      </c>
      <c r="I85" s="1">
        <v>10029</v>
      </c>
      <c r="J85" s="1">
        <v>1</v>
      </c>
      <c r="K85" s="1">
        <v>0</v>
      </c>
      <c r="L85" s="1" t="s">
        <v>91</v>
      </c>
      <c r="M85" s="317" t="s">
        <v>114</v>
      </c>
    </row>
    <row r="86" spans="8:13" x14ac:dyDescent="0.25">
      <c r="H86" s="1" t="s">
        <v>2</v>
      </c>
      <c r="I86" s="1">
        <v>20045</v>
      </c>
      <c r="J86" s="6">
        <v>1E-3</v>
      </c>
      <c r="K86" s="1">
        <v>0</v>
      </c>
      <c r="L86" s="1" t="s">
        <v>91</v>
      </c>
      <c r="M86" s="317" t="s">
        <v>113</v>
      </c>
    </row>
    <row r="87" spans="8:13" x14ac:dyDescent="0.25">
      <c r="H87" s="1" t="s">
        <v>5</v>
      </c>
      <c r="I87" s="1">
        <v>20046</v>
      </c>
      <c r="J87" s="6">
        <v>1E-3</v>
      </c>
      <c r="K87" s="1">
        <v>0</v>
      </c>
      <c r="L87" s="1" t="s">
        <v>91</v>
      </c>
      <c r="M87" s="317" t="s">
        <v>114</v>
      </c>
    </row>
    <row r="88" spans="8:13" x14ac:dyDescent="0.25">
      <c r="H88" s="1" t="s">
        <v>3244</v>
      </c>
      <c r="I88" s="1">
        <v>19</v>
      </c>
      <c r="J88" s="6">
        <v>1E-3</v>
      </c>
      <c r="K88" s="1">
        <v>0</v>
      </c>
      <c r="L88" s="1" t="s">
        <v>91</v>
      </c>
      <c r="M88" s="1"/>
    </row>
    <row r="89" spans="8:13" x14ac:dyDescent="0.25">
      <c r="H89" s="1" t="s">
        <v>3223</v>
      </c>
      <c r="I89" s="6">
        <v>20089</v>
      </c>
      <c r="J89" s="6">
        <v>1</v>
      </c>
      <c r="K89" s="6">
        <v>0</v>
      </c>
      <c r="L89" s="1"/>
      <c r="M89" s="317" t="s">
        <v>3223</v>
      </c>
    </row>
    <row r="90" spans="8:13" x14ac:dyDescent="0.25">
      <c r="H90" s="1" t="s">
        <v>2399</v>
      </c>
      <c r="I90" s="1">
        <v>2011</v>
      </c>
      <c r="J90" s="6">
        <v>1</v>
      </c>
      <c r="K90" s="6">
        <v>0</v>
      </c>
      <c r="L90" s="1"/>
      <c r="M90" s="317" t="s">
        <v>2399</v>
      </c>
    </row>
    <row r="91" spans="8:13" x14ac:dyDescent="0.25">
      <c r="H91" s="1" t="s">
        <v>2400</v>
      </c>
      <c r="I91" s="1">
        <v>2019</v>
      </c>
      <c r="J91" s="6">
        <v>1</v>
      </c>
      <c r="K91" s="6">
        <v>0</v>
      </c>
      <c r="L91" s="1"/>
      <c r="M91" s="317" t="s">
        <v>2400</v>
      </c>
    </row>
    <row r="92" spans="8:13" x14ac:dyDescent="0.25">
      <c r="H92" s="1" t="s">
        <v>31</v>
      </c>
      <c r="I92" s="1">
        <v>4011</v>
      </c>
      <c r="J92" s="1">
        <v>1</v>
      </c>
      <c r="K92" s="1">
        <v>0</v>
      </c>
      <c r="L92" s="1"/>
      <c r="M92" s="317" t="s">
        <v>116</v>
      </c>
    </row>
    <row r="93" spans="8:13" x14ac:dyDescent="0.25">
      <c r="H93" s="1" t="s">
        <v>33</v>
      </c>
      <c r="I93" s="1">
        <v>4021</v>
      </c>
      <c r="J93" s="1">
        <v>1</v>
      </c>
      <c r="K93" s="1">
        <v>0</v>
      </c>
      <c r="L93" s="1"/>
      <c r="M93" s="317" t="s">
        <v>117</v>
      </c>
    </row>
    <row r="94" spans="8:13" x14ac:dyDescent="0.25">
      <c r="H94" s="1" t="s">
        <v>3662</v>
      </c>
      <c r="I94" s="1">
        <v>405</v>
      </c>
      <c r="J94" s="6">
        <v>1</v>
      </c>
      <c r="K94" s="6">
        <v>0</v>
      </c>
      <c r="L94" s="1"/>
      <c r="M94" s="317" t="s">
        <v>3661</v>
      </c>
    </row>
    <row r="95" spans="8:13" x14ac:dyDescent="0.25">
      <c r="H95" s="1" t="s">
        <v>197</v>
      </c>
      <c r="I95" s="1">
        <v>4051</v>
      </c>
      <c r="J95" s="6">
        <v>1</v>
      </c>
      <c r="K95" s="6">
        <v>0</v>
      </c>
      <c r="L95" s="1"/>
      <c r="M95" s="317" t="s">
        <v>206</v>
      </c>
    </row>
    <row r="96" spans="8:13" x14ac:dyDescent="0.25">
      <c r="H96" s="1" t="s">
        <v>8</v>
      </c>
      <c r="I96" s="1">
        <v>10010</v>
      </c>
      <c r="J96" s="1">
        <v>0.1</v>
      </c>
      <c r="K96" s="1">
        <v>0</v>
      </c>
      <c r="L96" s="1" t="s">
        <v>92</v>
      </c>
      <c r="M96" s="317" t="s">
        <v>97</v>
      </c>
    </row>
    <row r="97" spans="8:13" x14ac:dyDescent="0.25">
      <c r="H97" s="1" t="s">
        <v>11</v>
      </c>
      <c r="I97" s="1">
        <v>10011</v>
      </c>
      <c r="J97" s="1">
        <v>1</v>
      </c>
      <c r="K97" s="1">
        <v>0</v>
      </c>
      <c r="L97" s="1" t="s">
        <v>93</v>
      </c>
      <c r="M97" s="317" t="s">
        <v>98</v>
      </c>
    </row>
    <row r="98" spans="8:13" x14ac:dyDescent="0.25">
      <c r="H98" s="317" t="s">
        <v>99</v>
      </c>
      <c r="I98" s="1">
        <v>10014</v>
      </c>
      <c r="J98" s="1">
        <v>20</v>
      </c>
      <c r="K98" s="1">
        <v>0</v>
      </c>
      <c r="L98" s="1" t="s">
        <v>91</v>
      </c>
      <c r="M98" s="317" t="s">
        <v>99</v>
      </c>
    </row>
    <row r="99" spans="8:13" x14ac:dyDescent="0.25">
      <c r="H99" s="1" t="s">
        <v>22</v>
      </c>
      <c r="I99" s="1">
        <v>10015</v>
      </c>
      <c r="J99" s="1">
        <v>1</v>
      </c>
      <c r="K99" s="1">
        <v>0</v>
      </c>
      <c r="L99" s="1" t="s">
        <v>95</v>
      </c>
      <c r="M99" s="317" t="s">
        <v>100</v>
      </c>
    </row>
    <row r="100" spans="8:13" x14ac:dyDescent="0.25">
      <c r="H100" s="1" t="s">
        <v>122</v>
      </c>
      <c r="I100" s="1">
        <v>10025</v>
      </c>
      <c r="J100" s="1">
        <v>1</v>
      </c>
      <c r="K100" s="1">
        <v>0</v>
      </c>
      <c r="L100" s="1" t="s">
        <v>91</v>
      </c>
      <c r="M100" s="398" t="s">
        <v>2408</v>
      </c>
    </row>
    <row r="101" spans="8:13" x14ac:dyDescent="0.25">
      <c r="H101" s="1" t="s">
        <v>123</v>
      </c>
      <c r="I101" s="1">
        <v>10026</v>
      </c>
      <c r="J101" s="1">
        <v>1</v>
      </c>
      <c r="K101" s="1">
        <v>0</v>
      </c>
      <c r="L101" s="1" t="s">
        <v>132</v>
      </c>
      <c r="M101" s="398" t="s">
        <v>2409</v>
      </c>
    </row>
    <row r="102" spans="8:13" x14ac:dyDescent="0.25">
      <c r="H102" s="1" t="s">
        <v>124</v>
      </c>
      <c r="I102" s="1">
        <v>10027</v>
      </c>
      <c r="J102" s="1">
        <v>1</v>
      </c>
      <c r="K102" s="1">
        <v>0</v>
      </c>
      <c r="L102" s="1"/>
      <c r="M102" s="398" t="s">
        <v>2410</v>
      </c>
    </row>
    <row r="103" spans="8:13" x14ac:dyDescent="0.25">
      <c r="H103" s="1" t="s">
        <v>42</v>
      </c>
      <c r="I103" s="1">
        <v>10050</v>
      </c>
      <c r="J103" s="1">
        <v>1</v>
      </c>
      <c r="K103" s="1">
        <v>0</v>
      </c>
      <c r="L103" s="1"/>
      <c r="M103" s="398" t="s">
        <v>103</v>
      </c>
    </row>
    <row r="104" spans="8:13" x14ac:dyDescent="0.25">
      <c r="H104" s="1" t="s">
        <v>127</v>
      </c>
      <c r="I104" s="1">
        <v>11000</v>
      </c>
      <c r="J104" s="1">
        <v>1</v>
      </c>
      <c r="K104" s="1">
        <v>0</v>
      </c>
      <c r="L104" s="1"/>
      <c r="M104" s="398" t="s">
        <v>2412</v>
      </c>
    </row>
    <row r="105" spans="8:13" x14ac:dyDescent="0.25">
      <c r="H105" s="1" t="s">
        <v>128</v>
      </c>
      <c r="I105" s="1">
        <v>11001</v>
      </c>
      <c r="J105" s="1">
        <v>1</v>
      </c>
      <c r="K105" s="1">
        <v>0</v>
      </c>
      <c r="L105" s="1"/>
      <c r="M105" s="398" t="s">
        <v>2413</v>
      </c>
    </row>
    <row r="106" spans="8:13" x14ac:dyDescent="0.25">
      <c r="H106" s="1" t="s">
        <v>129</v>
      </c>
      <c r="I106" s="1">
        <v>11002</v>
      </c>
      <c r="J106" s="1">
        <v>1</v>
      </c>
      <c r="K106" s="1">
        <v>0</v>
      </c>
      <c r="L106" s="1"/>
      <c r="M106" s="398" t="s">
        <v>2414</v>
      </c>
    </row>
    <row r="107" spans="8:13" x14ac:dyDescent="0.25">
      <c r="H107" s="1" t="s">
        <v>130</v>
      </c>
      <c r="I107" s="1">
        <v>11003</v>
      </c>
      <c r="J107" s="1">
        <v>1</v>
      </c>
      <c r="K107" s="1">
        <v>0</v>
      </c>
      <c r="L107" s="1"/>
      <c r="M107" s="398" t="s">
        <v>2405</v>
      </c>
    </row>
    <row r="108" spans="8:13" x14ac:dyDescent="0.25">
      <c r="H108" s="1" t="s">
        <v>3204</v>
      </c>
      <c r="I108" s="6">
        <v>11004</v>
      </c>
      <c r="J108" s="6">
        <v>0.1</v>
      </c>
      <c r="K108" s="6">
        <v>0</v>
      </c>
      <c r="L108" s="1" t="s">
        <v>93</v>
      </c>
      <c r="M108" s="1" t="s">
        <v>3204</v>
      </c>
    </row>
    <row r="109" spans="8:13" x14ac:dyDescent="0.25">
      <c r="H109" s="1" t="s">
        <v>3205</v>
      </c>
      <c r="I109" s="6">
        <v>11005</v>
      </c>
      <c r="J109" s="6">
        <v>0.1</v>
      </c>
      <c r="K109" s="6">
        <v>0</v>
      </c>
      <c r="L109" s="1" t="s">
        <v>93</v>
      </c>
      <c r="M109" s="1" t="s">
        <v>3205</v>
      </c>
    </row>
    <row r="110" spans="8:13" x14ac:dyDescent="0.25">
      <c r="H110" s="1" t="s">
        <v>3206</v>
      </c>
      <c r="I110" s="6">
        <v>11006</v>
      </c>
      <c r="J110" s="6">
        <v>0.1</v>
      </c>
      <c r="K110" s="6">
        <v>0</v>
      </c>
      <c r="L110" s="1" t="s">
        <v>93</v>
      </c>
      <c r="M110" s="1" t="s">
        <v>3206</v>
      </c>
    </row>
    <row r="111" spans="8:13" x14ac:dyDescent="0.25">
      <c r="H111" s="318" t="s">
        <v>3194</v>
      </c>
      <c r="I111" s="6">
        <v>11007</v>
      </c>
      <c r="J111" s="6">
        <v>1</v>
      </c>
      <c r="K111" s="6">
        <v>0</v>
      </c>
      <c r="L111" s="1"/>
      <c r="M111" s="318" t="s">
        <v>3194</v>
      </c>
    </row>
    <row r="112" spans="8:13" x14ac:dyDescent="0.25">
      <c r="H112" s="1" t="s">
        <v>45</v>
      </c>
      <c r="I112" s="1">
        <v>20001</v>
      </c>
      <c r="J112" s="1">
        <v>0.1</v>
      </c>
      <c r="K112" s="1">
        <v>0</v>
      </c>
      <c r="L112" s="1" t="s">
        <v>96</v>
      </c>
      <c r="M112" s="317" t="s">
        <v>104</v>
      </c>
    </row>
    <row r="113" spans="8:13" x14ac:dyDescent="0.25">
      <c r="H113" s="1" t="s">
        <v>48</v>
      </c>
      <c r="I113" s="1">
        <v>20002</v>
      </c>
      <c r="J113" s="1">
        <v>0.1</v>
      </c>
      <c r="K113" s="1">
        <v>0</v>
      </c>
      <c r="L113" s="1" t="s">
        <v>96</v>
      </c>
      <c r="M113" s="317" t="s">
        <v>105</v>
      </c>
    </row>
    <row r="114" spans="8:13" x14ac:dyDescent="0.25">
      <c r="H114" s="1" t="s">
        <v>54</v>
      </c>
      <c r="I114" s="1">
        <v>20003</v>
      </c>
      <c r="J114" s="1">
        <v>0.1</v>
      </c>
      <c r="K114" s="1">
        <v>0</v>
      </c>
      <c r="L114" s="1" t="s">
        <v>96</v>
      </c>
      <c r="M114" s="317" t="s">
        <v>106</v>
      </c>
    </row>
    <row r="115" spans="8:13" x14ac:dyDescent="0.25">
      <c r="H115" s="1" t="s">
        <v>51</v>
      </c>
      <c r="I115" s="1">
        <v>20004</v>
      </c>
      <c r="J115" s="1">
        <v>0.1</v>
      </c>
      <c r="K115" s="1">
        <v>0</v>
      </c>
      <c r="L115" s="1" t="s">
        <v>96</v>
      </c>
      <c r="M115" s="317" t="s">
        <v>107</v>
      </c>
    </row>
    <row r="116" spans="8:13" x14ac:dyDescent="0.25">
      <c r="H116" s="1" t="s">
        <v>181</v>
      </c>
      <c r="I116" s="1">
        <v>20008</v>
      </c>
      <c r="J116" s="6">
        <v>1</v>
      </c>
      <c r="K116" s="6">
        <v>0</v>
      </c>
      <c r="L116" s="1" t="s">
        <v>2397</v>
      </c>
      <c r="M116" s="317" t="s">
        <v>181</v>
      </c>
    </row>
    <row r="117" spans="8:13" x14ac:dyDescent="0.25">
      <c r="H117" s="1" t="s">
        <v>171</v>
      </c>
      <c r="I117" s="6">
        <v>20009</v>
      </c>
      <c r="J117" s="6">
        <v>1</v>
      </c>
      <c r="K117" s="6">
        <v>-40</v>
      </c>
      <c r="L117" s="1" t="s">
        <v>170</v>
      </c>
      <c r="M117" s="318" t="s">
        <v>175</v>
      </c>
    </row>
    <row r="118" spans="8:13" x14ac:dyDescent="0.25">
      <c r="H118" s="6" t="s">
        <v>4626</v>
      </c>
      <c r="I118" s="6">
        <v>34</v>
      </c>
      <c r="J118" s="1">
        <v>1</v>
      </c>
      <c r="K118" s="1">
        <v>-40</v>
      </c>
      <c r="L118" s="1" t="s">
        <v>170</v>
      </c>
      <c r="M118" s="6"/>
    </row>
    <row r="119" spans="8:13" x14ac:dyDescent="0.25">
      <c r="H119" s="1" t="s">
        <v>182</v>
      </c>
      <c r="I119" s="1">
        <v>20010</v>
      </c>
      <c r="J119" s="6">
        <v>1</v>
      </c>
      <c r="K119" s="6">
        <v>0</v>
      </c>
      <c r="L119" s="1" t="s">
        <v>2396</v>
      </c>
      <c r="M119" s="317" t="s">
        <v>182</v>
      </c>
    </row>
    <row r="120" spans="8:13" x14ac:dyDescent="0.25">
      <c r="H120" s="1" t="s">
        <v>163</v>
      </c>
      <c r="I120" s="6">
        <v>20015</v>
      </c>
      <c r="J120" s="6">
        <v>0.56689342403628096</v>
      </c>
      <c r="K120" s="6">
        <v>0</v>
      </c>
      <c r="L120" s="1"/>
      <c r="M120" s="318" t="s">
        <v>168</v>
      </c>
    </row>
    <row r="121" spans="8:13" x14ac:dyDescent="0.25">
      <c r="H121" s="1" t="s">
        <v>164</v>
      </c>
      <c r="I121" s="6">
        <v>20016</v>
      </c>
      <c r="J121" s="6">
        <v>0.56689342403628096</v>
      </c>
      <c r="K121" s="6">
        <v>0</v>
      </c>
      <c r="L121" s="1"/>
      <c r="M121" s="318" t="s">
        <v>169</v>
      </c>
    </row>
    <row r="122" spans="8:13" x14ac:dyDescent="0.25">
      <c r="H122" s="1" t="s">
        <v>165</v>
      </c>
      <c r="I122" s="6">
        <v>20017</v>
      </c>
      <c r="J122" s="6">
        <v>1</v>
      </c>
      <c r="K122" s="6">
        <v>-40</v>
      </c>
      <c r="L122" s="1" t="s">
        <v>170</v>
      </c>
      <c r="M122" s="318" t="s">
        <v>174</v>
      </c>
    </row>
    <row r="123" spans="8:13" x14ac:dyDescent="0.25">
      <c r="H123" s="1" t="s">
        <v>166</v>
      </c>
      <c r="I123" s="6">
        <v>20018</v>
      </c>
      <c r="J123" s="6">
        <v>1</v>
      </c>
      <c r="K123" s="6">
        <v>-40</v>
      </c>
      <c r="L123" s="1" t="s">
        <v>170</v>
      </c>
      <c r="M123" s="318" t="s">
        <v>172</v>
      </c>
    </row>
    <row r="124" spans="8:13" x14ac:dyDescent="0.25">
      <c r="H124" s="1" t="s">
        <v>167</v>
      </c>
      <c r="I124" s="6">
        <v>20019</v>
      </c>
      <c r="J124" s="6">
        <v>1</v>
      </c>
      <c r="K124" s="6">
        <v>-40</v>
      </c>
      <c r="L124" s="1" t="s">
        <v>170</v>
      </c>
      <c r="M124" s="318" t="s">
        <v>173</v>
      </c>
    </row>
    <row r="125" spans="8:13" x14ac:dyDescent="0.25">
      <c r="H125" s="1" t="s">
        <v>14</v>
      </c>
      <c r="I125" s="1">
        <v>20030</v>
      </c>
      <c r="J125" s="6">
        <v>0.39</v>
      </c>
      <c r="K125" s="6">
        <v>0</v>
      </c>
      <c r="L125" s="1" t="s">
        <v>93</v>
      </c>
      <c r="M125" s="317" t="s">
        <v>2403</v>
      </c>
    </row>
    <row r="126" spans="8:13" x14ac:dyDescent="0.25">
      <c r="H126" s="1" t="s">
        <v>17</v>
      </c>
      <c r="I126" s="1">
        <v>20031</v>
      </c>
      <c r="J126" s="6">
        <v>0.39</v>
      </c>
      <c r="K126" s="6">
        <v>0</v>
      </c>
      <c r="L126" s="1" t="s">
        <v>93</v>
      </c>
      <c r="M126" s="317" t="s">
        <v>2404</v>
      </c>
    </row>
    <row r="127" spans="8:13" x14ac:dyDescent="0.25">
      <c r="H127" s="1" t="s">
        <v>155</v>
      </c>
      <c r="I127" s="6">
        <v>20032</v>
      </c>
      <c r="J127" s="1">
        <v>1</v>
      </c>
      <c r="K127" s="1">
        <v>0</v>
      </c>
      <c r="L127" s="1"/>
      <c r="M127" s="318" t="s">
        <v>158</v>
      </c>
    </row>
    <row r="128" spans="8:13" x14ac:dyDescent="0.25">
      <c r="H128" s="1" t="s">
        <v>156</v>
      </c>
      <c r="I128" s="6">
        <v>20033</v>
      </c>
      <c r="J128" s="1">
        <v>1</v>
      </c>
      <c r="K128" s="1">
        <v>0</v>
      </c>
      <c r="L128" s="1"/>
      <c r="M128" s="318" t="s">
        <v>159</v>
      </c>
    </row>
    <row r="129" spans="8:13" x14ac:dyDescent="0.25">
      <c r="H129" s="1" t="s">
        <v>157</v>
      </c>
      <c r="I129" s="6">
        <v>20034</v>
      </c>
      <c r="J129" s="1">
        <v>1</v>
      </c>
      <c r="K129" s="1">
        <v>0</v>
      </c>
      <c r="L129" s="1"/>
      <c r="M129" s="318" t="s">
        <v>160</v>
      </c>
    </row>
    <row r="130" spans="8:13" x14ac:dyDescent="0.25">
      <c r="H130" s="1" t="s">
        <v>2398</v>
      </c>
      <c r="I130" s="1">
        <v>20044</v>
      </c>
      <c r="J130" s="6">
        <v>1</v>
      </c>
      <c r="K130" s="6">
        <v>0</v>
      </c>
      <c r="L130" s="1"/>
      <c r="M130" s="317" t="s">
        <v>2402</v>
      </c>
    </row>
    <row r="131" spans="8:13" x14ac:dyDescent="0.25">
      <c r="H131" s="1" t="s">
        <v>14</v>
      </c>
      <c r="I131" s="6">
        <v>20051</v>
      </c>
      <c r="J131" s="6">
        <v>0.01</v>
      </c>
      <c r="K131" s="6">
        <v>0</v>
      </c>
      <c r="L131" s="1" t="s">
        <v>2552</v>
      </c>
      <c r="M131" s="317" t="s">
        <v>2553</v>
      </c>
    </row>
    <row r="132" spans="8:13" x14ac:dyDescent="0.25">
      <c r="H132" s="1" t="s">
        <v>17</v>
      </c>
      <c r="I132" s="6">
        <v>20052</v>
      </c>
      <c r="J132" s="6">
        <v>0.01</v>
      </c>
      <c r="K132" s="6">
        <v>0</v>
      </c>
      <c r="L132" s="1" t="s">
        <v>2552</v>
      </c>
      <c r="M132" s="317" t="s">
        <v>2554</v>
      </c>
    </row>
    <row r="133" spans="8:13" x14ac:dyDescent="0.25">
      <c r="H133" s="318" t="s">
        <v>3093</v>
      </c>
      <c r="I133" s="6">
        <v>20058</v>
      </c>
      <c r="J133" s="6">
        <v>1</v>
      </c>
      <c r="K133" s="6">
        <v>0</v>
      </c>
      <c r="L133" s="1" t="s">
        <v>1145</v>
      </c>
      <c r="M133" s="318" t="s">
        <v>3093</v>
      </c>
    </row>
    <row r="134" spans="8:13" x14ac:dyDescent="0.25">
      <c r="H134" s="1" t="s">
        <v>3137</v>
      </c>
      <c r="I134" s="6">
        <v>20059</v>
      </c>
      <c r="J134" s="6">
        <v>1</v>
      </c>
      <c r="K134" s="6">
        <v>0</v>
      </c>
      <c r="L134" s="1"/>
      <c r="M134" s="1" t="s">
        <v>3137</v>
      </c>
    </row>
    <row r="135" spans="8:13" x14ac:dyDescent="0.25">
      <c r="H135" s="1" t="s">
        <v>2572</v>
      </c>
      <c r="I135" s="6">
        <v>20065</v>
      </c>
      <c r="J135" s="6">
        <v>1</v>
      </c>
      <c r="K135" s="6">
        <v>0</v>
      </c>
      <c r="L135" s="1"/>
      <c r="M135" s="317" t="s">
        <v>2572</v>
      </c>
    </row>
    <row r="136" spans="8:13" x14ac:dyDescent="0.25">
      <c r="H136" s="1" t="s">
        <v>2573</v>
      </c>
      <c r="I136" s="6">
        <v>20066</v>
      </c>
      <c r="J136" s="6">
        <v>1</v>
      </c>
      <c r="K136" s="6">
        <v>0</v>
      </c>
      <c r="L136" s="1"/>
      <c r="M136" s="317" t="s">
        <v>2573</v>
      </c>
    </row>
    <row r="137" spans="8:13" x14ac:dyDescent="0.25">
      <c r="H137" s="318" t="s">
        <v>3092</v>
      </c>
      <c r="I137" s="6">
        <v>20067</v>
      </c>
      <c r="J137" s="6">
        <v>1</v>
      </c>
      <c r="K137" s="6">
        <v>0</v>
      </c>
      <c r="L137" s="1" t="s">
        <v>1145</v>
      </c>
      <c r="M137" s="318" t="s">
        <v>3092</v>
      </c>
    </row>
    <row r="138" spans="8:13" x14ac:dyDescent="0.25">
      <c r="H138" s="318" t="s">
        <v>3091</v>
      </c>
      <c r="I138" s="6">
        <v>20068</v>
      </c>
      <c r="J138" s="6">
        <v>1</v>
      </c>
      <c r="K138" s="6">
        <v>0</v>
      </c>
      <c r="L138" s="1" t="s">
        <v>3100</v>
      </c>
      <c r="M138" s="318" t="s">
        <v>3091</v>
      </c>
    </row>
    <row r="139" spans="8:13" x14ac:dyDescent="0.25">
      <c r="H139" s="318" t="s">
        <v>3487</v>
      </c>
      <c r="I139" s="6">
        <v>20129</v>
      </c>
      <c r="J139" s="6">
        <v>1</v>
      </c>
      <c r="K139" s="6">
        <v>0</v>
      </c>
      <c r="L139" s="1"/>
      <c r="M139" s="318"/>
    </row>
    <row r="140" spans="8:13" x14ac:dyDescent="0.25">
      <c r="H140" s="318" t="s">
        <v>2594</v>
      </c>
      <c r="I140" s="6">
        <v>20130</v>
      </c>
      <c r="J140" s="6">
        <v>1</v>
      </c>
      <c r="K140" s="6">
        <v>0</v>
      </c>
      <c r="L140" s="1" t="s">
        <v>3488</v>
      </c>
      <c r="M140" s="318"/>
    </row>
    <row r="141" spans="8:13" x14ac:dyDescent="0.25">
      <c r="H141" s="1" t="s">
        <v>3119</v>
      </c>
      <c r="I141" s="6">
        <v>20069</v>
      </c>
      <c r="J141" s="6">
        <v>1</v>
      </c>
      <c r="K141" s="6">
        <v>0</v>
      </c>
      <c r="L141" s="1"/>
      <c r="M141" s="1" t="s">
        <v>3119</v>
      </c>
    </row>
    <row r="142" spans="8:13" x14ac:dyDescent="0.25">
      <c r="H142" s="1" t="s">
        <v>3135</v>
      </c>
      <c r="I142" s="6">
        <v>20070</v>
      </c>
      <c r="J142" s="6">
        <v>1</v>
      </c>
      <c r="K142" s="6">
        <v>0</v>
      </c>
      <c r="L142" s="1" t="s">
        <v>1073</v>
      </c>
      <c r="M142" s="1" t="s">
        <v>3135</v>
      </c>
    </row>
    <row r="143" spans="8:13" x14ac:dyDescent="0.25">
      <c r="H143" s="1" t="s">
        <v>3136</v>
      </c>
      <c r="I143" s="6">
        <v>20071</v>
      </c>
      <c r="J143" s="6">
        <v>1</v>
      </c>
      <c r="K143" s="6">
        <v>0</v>
      </c>
      <c r="L143" s="1"/>
      <c r="M143" s="1" t="s">
        <v>3136</v>
      </c>
    </row>
    <row r="144" spans="8:13" x14ac:dyDescent="0.25">
      <c r="H144" s="1" t="s">
        <v>3140</v>
      </c>
      <c r="I144" s="6">
        <v>20072</v>
      </c>
      <c r="J144" s="6">
        <v>1</v>
      </c>
      <c r="K144" s="6">
        <v>0</v>
      </c>
      <c r="L144" s="1" t="s">
        <v>1145</v>
      </c>
      <c r="M144" s="317" t="s">
        <v>3140</v>
      </c>
    </row>
    <row r="145" spans="8:13" x14ac:dyDescent="0.25">
      <c r="H145" s="1" t="s">
        <v>3141</v>
      </c>
      <c r="I145" s="6">
        <v>20073</v>
      </c>
      <c r="J145" s="6">
        <v>1</v>
      </c>
      <c r="K145" s="6">
        <v>0</v>
      </c>
      <c r="L145" s="1" t="s">
        <v>1145</v>
      </c>
      <c r="M145" s="317" t="s">
        <v>3141</v>
      </c>
    </row>
    <row r="146" spans="8:13" x14ac:dyDescent="0.25">
      <c r="H146" s="1" t="s">
        <v>3142</v>
      </c>
      <c r="I146" s="6">
        <v>20074</v>
      </c>
      <c r="J146" s="6">
        <v>1</v>
      </c>
      <c r="K146" s="6">
        <v>0</v>
      </c>
      <c r="L146" s="1" t="s">
        <v>1145</v>
      </c>
      <c r="M146" s="317" t="s">
        <v>3142</v>
      </c>
    </row>
    <row r="147" spans="8:13" x14ac:dyDescent="0.25">
      <c r="H147" s="1" t="s">
        <v>3143</v>
      </c>
      <c r="I147" s="6">
        <v>20075</v>
      </c>
      <c r="J147" s="6">
        <v>1</v>
      </c>
      <c r="K147" s="6">
        <v>0</v>
      </c>
      <c r="L147" s="1" t="s">
        <v>153</v>
      </c>
      <c r="M147" s="317" t="s">
        <v>3143</v>
      </c>
    </row>
    <row r="148" spans="8:13" x14ac:dyDescent="0.25">
      <c r="H148" s="1" t="s">
        <v>3144</v>
      </c>
      <c r="I148" s="6">
        <v>20076</v>
      </c>
      <c r="J148" s="6">
        <v>1</v>
      </c>
      <c r="K148" s="6">
        <v>0</v>
      </c>
      <c r="L148" s="1" t="s">
        <v>153</v>
      </c>
      <c r="M148" s="317" t="s">
        <v>3144</v>
      </c>
    </row>
    <row r="149" spans="8:13" x14ac:dyDescent="0.25">
      <c r="H149" s="1" t="s">
        <v>3145</v>
      </c>
      <c r="I149" s="6">
        <v>20077</v>
      </c>
      <c r="J149" s="6">
        <v>1</v>
      </c>
      <c r="K149" s="6">
        <v>0</v>
      </c>
      <c r="L149" s="1" t="s">
        <v>153</v>
      </c>
      <c r="M149" s="317" t="s">
        <v>3145</v>
      </c>
    </row>
    <row r="150" spans="8:13" x14ac:dyDescent="0.25">
      <c r="H150" s="1" t="s">
        <v>3146</v>
      </c>
      <c r="I150" s="6">
        <v>20078</v>
      </c>
      <c r="J150" s="6">
        <v>1</v>
      </c>
      <c r="K150" s="6">
        <v>0</v>
      </c>
      <c r="L150" s="1" t="s">
        <v>93</v>
      </c>
      <c r="M150" s="317" t="s">
        <v>3146</v>
      </c>
    </row>
    <row r="151" spans="8:13" x14ac:dyDescent="0.25">
      <c r="H151" s="1" t="s">
        <v>3147</v>
      </c>
      <c r="I151" s="6">
        <v>20079</v>
      </c>
      <c r="J151" s="6">
        <v>1</v>
      </c>
      <c r="K151" s="6">
        <v>0</v>
      </c>
      <c r="L151" s="1" t="s">
        <v>93</v>
      </c>
      <c r="M151" s="317" t="s">
        <v>3147</v>
      </c>
    </row>
    <row r="152" spans="8:13" x14ac:dyDescent="0.25">
      <c r="H152" s="1" t="s">
        <v>3148</v>
      </c>
      <c r="I152" s="6">
        <v>20080</v>
      </c>
      <c r="J152" s="6">
        <v>1</v>
      </c>
      <c r="K152" s="6">
        <v>0</v>
      </c>
      <c r="L152" s="1" t="s">
        <v>93</v>
      </c>
      <c r="M152" s="317" t="s">
        <v>3148</v>
      </c>
    </row>
    <row r="153" spans="8:13" x14ac:dyDescent="0.25">
      <c r="H153" s="1" t="s">
        <v>3149</v>
      </c>
      <c r="I153" s="6">
        <v>20081</v>
      </c>
      <c r="J153" s="6">
        <v>1</v>
      </c>
      <c r="K153" s="6">
        <v>0</v>
      </c>
      <c r="L153" s="1" t="s">
        <v>1073</v>
      </c>
      <c r="M153" s="317" t="s">
        <v>3149</v>
      </c>
    </row>
    <row r="154" spans="8:13" x14ac:dyDescent="0.25">
      <c r="H154" s="1" t="s">
        <v>3150</v>
      </c>
      <c r="I154" s="6">
        <v>20082</v>
      </c>
      <c r="J154" s="6">
        <v>1</v>
      </c>
      <c r="K154" s="6">
        <v>0</v>
      </c>
      <c r="L154" s="1" t="s">
        <v>1073</v>
      </c>
      <c r="M154" s="317" t="s">
        <v>3150</v>
      </c>
    </row>
    <row r="155" spans="8:13" x14ac:dyDescent="0.25">
      <c r="H155" s="1" t="s">
        <v>3151</v>
      </c>
      <c r="I155" s="6">
        <v>20083</v>
      </c>
      <c r="J155" s="6">
        <v>1</v>
      </c>
      <c r="K155" s="6">
        <v>0</v>
      </c>
      <c r="L155" s="1" t="s">
        <v>1073</v>
      </c>
      <c r="M155" s="1" t="s">
        <v>3151</v>
      </c>
    </row>
    <row r="156" spans="8:13" x14ac:dyDescent="0.25">
      <c r="H156" s="1" t="s">
        <v>3207</v>
      </c>
      <c r="I156" s="6">
        <v>20084</v>
      </c>
      <c r="J156" s="6">
        <v>1</v>
      </c>
      <c r="K156" s="6">
        <v>0</v>
      </c>
      <c r="L156" s="1"/>
      <c r="M156" s="317" t="s">
        <v>3207</v>
      </c>
    </row>
    <row r="157" spans="8:13" x14ac:dyDescent="0.25">
      <c r="H157" s="1" t="s">
        <v>3210</v>
      </c>
      <c r="I157" s="6">
        <v>20085</v>
      </c>
      <c r="J157" s="6">
        <v>1</v>
      </c>
      <c r="K157" s="6">
        <v>0</v>
      </c>
      <c r="L157" s="1"/>
      <c r="M157" s="1" t="s">
        <v>3210</v>
      </c>
    </row>
    <row r="158" spans="8:13" x14ac:dyDescent="0.25">
      <c r="H158" s="1" t="s">
        <v>3211</v>
      </c>
      <c r="I158" s="6">
        <v>20086</v>
      </c>
      <c r="J158" s="6">
        <v>1</v>
      </c>
      <c r="K158" s="6">
        <v>0</v>
      </c>
      <c r="L158" s="1" t="s">
        <v>1145</v>
      </c>
      <c r="M158" s="1" t="s">
        <v>3211</v>
      </c>
    </row>
    <row r="159" spans="8:13" x14ac:dyDescent="0.25">
      <c r="H159" s="1" t="s">
        <v>3212</v>
      </c>
      <c r="I159" s="6">
        <v>20087</v>
      </c>
      <c r="J159" s="6">
        <v>1</v>
      </c>
      <c r="K159" s="6">
        <v>0</v>
      </c>
      <c r="L159" s="1" t="s">
        <v>1145</v>
      </c>
      <c r="M159" s="1" t="s">
        <v>3212</v>
      </c>
    </row>
    <row r="160" spans="8:13" x14ac:dyDescent="0.25">
      <c r="H160" s="1" t="s">
        <v>3213</v>
      </c>
      <c r="I160" s="6">
        <v>20088</v>
      </c>
      <c r="J160" s="6">
        <v>1</v>
      </c>
      <c r="K160" s="6">
        <v>0</v>
      </c>
      <c r="L160" s="1" t="s">
        <v>1145</v>
      </c>
      <c r="M160" s="1" t="s">
        <v>3213</v>
      </c>
    </row>
    <row r="161" spans="8:13" x14ac:dyDescent="0.25">
      <c r="H161" s="1" t="s">
        <v>3242</v>
      </c>
      <c r="I161" s="6">
        <v>20090</v>
      </c>
      <c r="J161" s="6">
        <v>1</v>
      </c>
      <c r="K161" s="6">
        <v>0</v>
      </c>
      <c r="L161" s="1"/>
      <c r="M161" s="317" t="s">
        <v>3242</v>
      </c>
    </row>
    <row r="162" spans="8:13" x14ac:dyDescent="0.25">
      <c r="H162" s="1" t="s">
        <v>3243</v>
      </c>
      <c r="I162" s="6">
        <v>20091</v>
      </c>
      <c r="J162" s="6">
        <v>1</v>
      </c>
      <c r="K162" s="6">
        <v>0</v>
      </c>
      <c r="L162" s="1"/>
      <c r="M162" s="317" t="s">
        <v>3243</v>
      </c>
    </row>
    <row r="163" spans="8:13" x14ac:dyDescent="0.25">
      <c r="H163" s="6" t="s">
        <v>3251</v>
      </c>
      <c r="I163" s="6">
        <v>20092</v>
      </c>
      <c r="J163" s="6">
        <v>1</v>
      </c>
      <c r="K163" s="6">
        <v>0</v>
      </c>
      <c r="L163" s="1"/>
      <c r="M163" s="6" t="s">
        <v>3251</v>
      </c>
    </row>
    <row r="164" spans="8:13" x14ac:dyDescent="0.25">
      <c r="H164" s="6" t="s">
        <v>3252</v>
      </c>
      <c r="I164" s="6">
        <v>20093</v>
      </c>
      <c r="J164" s="6">
        <v>1</v>
      </c>
      <c r="K164" s="6">
        <v>0</v>
      </c>
      <c r="L164" s="1"/>
      <c r="M164" s="6" t="s">
        <v>3252</v>
      </c>
    </row>
    <row r="165" spans="8:13" x14ac:dyDescent="0.25">
      <c r="H165" s="318" t="s">
        <v>3101</v>
      </c>
      <c r="I165" s="6">
        <v>30000</v>
      </c>
      <c r="J165" s="6">
        <v>1</v>
      </c>
      <c r="K165" s="6">
        <v>0</v>
      </c>
      <c r="L165" s="1"/>
      <c r="M165" s="318" t="s">
        <v>3101</v>
      </c>
    </row>
    <row r="166" spans="8:13" x14ac:dyDescent="0.25">
      <c r="H166" s="1" t="s">
        <v>3102</v>
      </c>
      <c r="I166" s="6">
        <v>30001</v>
      </c>
      <c r="J166" s="6">
        <v>1</v>
      </c>
      <c r="K166" s="6">
        <v>0</v>
      </c>
      <c r="L166" s="1"/>
      <c r="M166" s="1" t="s">
        <v>3102</v>
      </c>
    </row>
    <row r="167" spans="8:13" x14ac:dyDescent="0.25">
      <c r="H167" s="1" t="s">
        <v>3103</v>
      </c>
      <c r="I167" s="6">
        <v>30002</v>
      </c>
      <c r="J167" s="6">
        <v>1</v>
      </c>
      <c r="K167" s="6">
        <v>0</v>
      </c>
      <c r="L167" s="1"/>
      <c r="M167" s="1" t="s">
        <v>3103</v>
      </c>
    </row>
    <row r="168" spans="8:13" x14ac:dyDescent="0.25">
      <c r="H168" s="1" t="s">
        <v>3104</v>
      </c>
      <c r="I168" s="6">
        <v>30003</v>
      </c>
      <c r="J168" s="6">
        <v>1</v>
      </c>
      <c r="K168" s="6">
        <v>0</v>
      </c>
      <c r="L168" s="1"/>
      <c r="M168" s="1" t="s">
        <v>3104</v>
      </c>
    </row>
    <row r="169" spans="8:13" x14ac:dyDescent="0.25">
      <c r="H169" s="1" t="s">
        <v>3105</v>
      </c>
      <c r="I169" s="6">
        <v>30004</v>
      </c>
      <c r="J169" s="6">
        <v>1</v>
      </c>
      <c r="K169" s="6">
        <v>0</v>
      </c>
      <c r="L169" s="1"/>
      <c r="M169" s="1" t="s">
        <v>3105</v>
      </c>
    </row>
    <row r="170" spans="8:13" x14ac:dyDescent="0.25">
      <c r="H170" s="1" t="s">
        <v>3111</v>
      </c>
      <c r="I170" s="6">
        <v>30020</v>
      </c>
      <c r="J170" s="6">
        <v>1</v>
      </c>
      <c r="K170" s="6">
        <v>0</v>
      </c>
      <c r="L170" s="1"/>
      <c r="M170" s="1" t="s">
        <v>3111</v>
      </c>
    </row>
    <row r="171" spans="8:13" x14ac:dyDescent="0.25">
      <c r="H171" s="1" t="s">
        <v>3159</v>
      </c>
      <c r="I171" s="6">
        <v>32767</v>
      </c>
      <c r="J171" s="6">
        <v>1</v>
      </c>
      <c r="K171" s="6">
        <v>0</v>
      </c>
      <c r="L171" s="1"/>
      <c r="M171" s="1" t="s">
        <v>3159</v>
      </c>
    </row>
    <row r="172" spans="8:13" x14ac:dyDescent="0.25">
      <c r="H172" s="1" t="s">
        <v>3254</v>
      </c>
      <c r="I172" s="6">
        <v>57</v>
      </c>
      <c r="J172" s="6">
        <v>1</v>
      </c>
      <c r="K172" s="6">
        <v>0</v>
      </c>
      <c r="L172" s="1"/>
      <c r="M172" s="317" t="s">
        <v>3253</v>
      </c>
    </row>
    <row r="173" spans="8:13" x14ac:dyDescent="0.25">
      <c r="H173" s="1" t="s">
        <v>3160</v>
      </c>
      <c r="I173" s="1">
        <v>100</v>
      </c>
      <c r="J173" s="1">
        <v>1</v>
      </c>
      <c r="K173" s="1">
        <v>0</v>
      </c>
      <c r="L173" s="1"/>
      <c r="M173" s="1"/>
    </row>
    <row r="174" spans="8:13" x14ac:dyDescent="0.25">
      <c r="H174" s="1" t="s">
        <v>3163</v>
      </c>
      <c r="I174" s="1">
        <v>101</v>
      </c>
      <c r="J174" s="1">
        <v>1</v>
      </c>
      <c r="K174" s="1">
        <v>0</v>
      </c>
      <c r="L174" s="1"/>
      <c r="M174" s="1"/>
    </row>
    <row r="175" spans="8:13" x14ac:dyDescent="0.25">
      <c r="H175" s="1" t="s">
        <v>3164</v>
      </c>
      <c r="I175" s="6">
        <v>102</v>
      </c>
      <c r="J175" s="1">
        <v>1</v>
      </c>
      <c r="K175" s="1">
        <v>0</v>
      </c>
      <c r="L175" s="1"/>
      <c r="M175" s="1"/>
    </row>
    <row r="176" spans="8:13" x14ac:dyDescent="0.25">
      <c r="H176" s="1" t="s">
        <v>3166</v>
      </c>
      <c r="I176" s="6">
        <v>103</v>
      </c>
      <c r="J176" s="1">
        <v>1</v>
      </c>
      <c r="K176" s="1">
        <v>0</v>
      </c>
      <c r="L176" s="1"/>
      <c r="M176" s="1"/>
    </row>
    <row r="177" spans="8:13" x14ac:dyDescent="0.25">
      <c r="H177" s="1" t="s">
        <v>3165</v>
      </c>
      <c r="I177" s="6">
        <v>104</v>
      </c>
      <c r="J177" s="1">
        <v>1</v>
      </c>
      <c r="K177" s="1">
        <v>0</v>
      </c>
      <c r="L177" s="1"/>
      <c r="M177" s="1"/>
    </row>
    <row r="178" spans="8:13" x14ac:dyDescent="0.25">
      <c r="H178" s="1" t="s">
        <v>3167</v>
      </c>
      <c r="I178" s="6">
        <v>105</v>
      </c>
      <c r="J178" s="1">
        <v>1</v>
      </c>
      <c r="K178" s="1">
        <v>0</v>
      </c>
      <c r="L178" s="1" t="s">
        <v>153</v>
      </c>
      <c r="M178" s="1"/>
    </row>
    <row r="179" spans="8:13" x14ac:dyDescent="0.25">
      <c r="H179" s="1" t="s">
        <v>3618</v>
      </c>
      <c r="I179" s="6">
        <v>20139</v>
      </c>
      <c r="J179" s="1">
        <v>1</v>
      </c>
      <c r="K179" s="1">
        <v>0</v>
      </c>
      <c r="L179" s="1" t="s">
        <v>153</v>
      </c>
      <c r="M179" s="1"/>
    </row>
    <row r="180" spans="8:13" x14ac:dyDescent="0.25">
      <c r="H180" s="1" t="s">
        <v>3168</v>
      </c>
      <c r="I180" s="6">
        <v>106</v>
      </c>
      <c r="J180" s="1">
        <v>1.8520000000000001</v>
      </c>
      <c r="K180" s="1">
        <v>0</v>
      </c>
      <c r="L180" s="1" t="s">
        <v>2397</v>
      </c>
      <c r="M180" s="1"/>
    </row>
    <row r="181" spans="8:13" x14ac:dyDescent="0.25">
      <c r="H181" s="1" t="s">
        <v>3169</v>
      </c>
      <c r="I181" s="6">
        <v>107</v>
      </c>
      <c r="J181" s="1">
        <v>1</v>
      </c>
      <c r="K181" s="1">
        <v>0</v>
      </c>
      <c r="L181" s="1" t="s">
        <v>3245</v>
      </c>
      <c r="M181" s="1"/>
    </row>
    <row r="182" spans="8:13" x14ac:dyDescent="0.25">
      <c r="H182" s="1" t="s">
        <v>3161</v>
      </c>
      <c r="I182" s="1">
        <v>108</v>
      </c>
      <c r="J182" s="1"/>
      <c r="K182" s="1"/>
      <c r="L182" s="1"/>
      <c r="M182" s="1"/>
    </row>
    <row r="183" spans="8:13" x14ac:dyDescent="0.25">
      <c r="H183" s="1" t="s">
        <v>3162</v>
      </c>
      <c r="I183" s="1">
        <v>157</v>
      </c>
      <c r="J183" s="1">
        <v>1</v>
      </c>
      <c r="K183" s="1">
        <v>0</v>
      </c>
      <c r="L183" s="1"/>
      <c r="M183" s="317"/>
    </row>
    <row r="184" spans="8:13" x14ac:dyDescent="0.25">
      <c r="H184" s="1" t="s">
        <v>3269</v>
      </c>
      <c r="I184" s="1">
        <v>20094</v>
      </c>
      <c r="J184" s="1">
        <v>1</v>
      </c>
      <c r="K184" s="1">
        <v>0</v>
      </c>
      <c r="L184" s="1"/>
      <c r="M184" s="317"/>
    </row>
    <row r="185" spans="8:13" x14ac:dyDescent="0.25">
      <c r="H185" s="1" t="s">
        <v>3271</v>
      </c>
      <c r="I185" s="1">
        <v>20095</v>
      </c>
      <c r="J185" s="1">
        <v>1</v>
      </c>
      <c r="K185" s="1">
        <v>0</v>
      </c>
      <c r="L185" s="1"/>
      <c r="M185" s="317"/>
    </row>
    <row r="186" spans="8:13" x14ac:dyDescent="0.25">
      <c r="H186" s="317" t="s">
        <v>104</v>
      </c>
      <c r="I186" s="1">
        <v>2001</v>
      </c>
      <c r="J186" s="1">
        <v>1</v>
      </c>
      <c r="K186" s="1">
        <v>0</v>
      </c>
      <c r="L186" s="1" t="s">
        <v>3273</v>
      </c>
      <c r="M186" s="317"/>
    </row>
    <row r="187" spans="8:13" x14ac:dyDescent="0.25">
      <c r="H187" s="317" t="s">
        <v>105</v>
      </c>
      <c r="I187" s="1">
        <v>2002</v>
      </c>
      <c r="J187" s="1">
        <v>1</v>
      </c>
      <c r="K187" s="1">
        <v>0</v>
      </c>
      <c r="L187" s="1" t="s">
        <v>3273</v>
      </c>
      <c r="M187" s="317"/>
    </row>
    <row r="188" spans="8:13" x14ac:dyDescent="0.25">
      <c r="H188" s="317" t="s">
        <v>107</v>
      </c>
      <c r="I188" s="1">
        <v>2003</v>
      </c>
      <c r="J188" s="1">
        <v>1</v>
      </c>
      <c r="K188" s="1">
        <v>0</v>
      </c>
      <c r="L188" s="1" t="s">
        <v>3273</v>
      </c>
      <c r="M188" s="317"/>
    </row>
    <row r="189" spans="8:13" x14ac:dyDescent="0.25">
      <c r="H189" s="317" t="s">
        <v>106</v>
      </c>
      <c r="I189" s="1">
        <v>2004</v>
      </c>
      <c r="J189" s="1">
        <v>1</v>
      </c>
      <c r="K189" s="1">
        <v>0</v>
      </c>
      <c r="L189" s="1" t="s">
        <v>3273</v>
      </c>
      <c r="M189" s="317"/>
    </row>
    <row r="190" spans="8:13" x14ac:dyDescent="0.25">
      <c r="H190" s="1" t="s">
        <v>3274</v>
      </c>
      <c r="I190" s="1">
        <v>20096</v>
      </c>
      <c r="J190" s="1">
        <v>1</v>
      </c>
      <c r="K190" s="1">
        <v>0</v>
      </c>
      <c r="L190" s="1" t="s">
        <v>3273</v>
      </c>
      <c r="M190" s="1"/>
    </row>
    <row r="191" spans="8:13" x14ac:dyDescent="0.25">
      <c r="H191" s="1" t="s">
        <v>3275</v>
      </c>
      <c r="I191" s="1">
        <v>20097</v>
      </c>
      <c r="J191" s="1">
        <v>1</v>
      </c>
      <c r="K191" s="1">
        <v>0</v>
      </c>
      <c r="L191" s="1" t="s">
        <v>3273</v>
      </c>
      <c r="M191" s="1"/>
    </row>
    <row r="192" spans="8:13" x14ac:dyDescent="0.25">
      <c r="H192" s="1" t="s">
        <v>3284</v>
      </c>
      <c r="I192" s="1">
        <v>20098</v>
      </c>
      <c r="J192" s="1">
        <v>1</v>
      </c>
      <c r="K192" s="1">
        <v>0</v>
      </c>
      <c r="L192" s="1"/>
      <c r="M192" s="317"/>
    </row>
    <row r="193" spans="8:13" x14ac:dyDescent="0.25">
      <c r="H193" s="6" t="s">
        <v>3297</v>
      </c>
      <c r="I193" s="6">
        <v>20099</v>
      </c>
      <c r="J193" s="1">
        <v>1</v>
      </c>
      <c r="K193" s="1">
        <v>0</v>
      </c>
      <c r="L193" s="1"/>
      <c r="M193" s="317"/>
    </row>
    <row r="194" spans="8:13" x14ac:dyDescent="0.25">
      <c r="H194" s="6" t="s">
        <v>3425</v>
      </c>
      <c r="I194" s="6">
        <v>20101</v>
      </c>
      <c r="J194" s="1">
        <v>1</v>
      </c>
      <c r="K194" s="1">
        <v>0</v>
      </c>
      <c r="L194" s="1"/>
      <c r="M194" s="317"/>
    </row>
    <row r="195" spans="8:13" x14ac:dyDescent="0.25">
      <c r="H195" s="1" t="s">
        <v>3426</v>
      </c>
      <c r="I195" s="6">
        <v>20102</v>
      </c>
      <c r="J195" s="1">
        <v>1</v>
      </c>
      <c r="K195" s="1">
        <v>0</v>
      </c>
      <c r="L195" s="1"/>
      <c r="M195" s="317"/>
    </row>
    <row r="196" spans="8:13" x14ac:dyDescent="0.25">
      <c r="H196" s="1" t="s">
        <v>3438</v>
      </c>
      <c r="I196" s="6">
        <v>20103</v>
      </c>
      <c r="J196" s="1">
        <v>1</v>
      </c>
      <c r="K196" s="1">
        <v>0</v>
      </c>
      <c r="L196" s="1"/>
      <c r="M196" s="317"/>
    </row>
    <row r="197" spans="8:13" x14ac:dyDescent="0.25">
      <c r="H197" s="1" t="s">
        <v>3447</v>
      </c>
      <c r="I197" s="6">
        <v>20104</v>
      </c>
      <c r="J197" s="6"/>
      <c r="K197" s="6"/>
      <c r="L197" s="6" t="s">
        <v>1073</v>
      </c>
      <c r="M197" s="318"/>
    </row>
    <row r="198" spans="8:13" x14ac:dyDescent="0.25">
      <c r="H198" s="1" t="s">
        <v>3448</v>
      </c>
      <c r="I198" s="6">
        <v>20105</v>
      </c>
      <c r="J198" s="1"/>
      <c r="K198" s="1"/>
      <c r="L198" s="6" t="s">
        <v>1073</v>
      </c>
      <c r="M198" s="317"/>
    </row>
    <row r="199" spans="8:13" x14ac:dyDescent="0.25">
      <c r="H199" s="1" t="s">
        <v>3449</v>
      </c>
      <c r="I199" s="6">
        <v>20106</v>
      </c>
      <c r="J199" s="1"/>
      <c r="K199" s="1"/>
      <c r="L199" s="6" t="s">
        <v>153</v>
      </c>
      <c r="M199" s="317"/>
    </row>
    <row r="200" spans="8:13" x14ac:dyDescent="0.25">
      <c r="H200" s="1" t="s">
        <v>3450</v>
      </c>
      <c r="I200" s="6">
        <v>20107</v>
      </c>
      <c r="J200" s="1"/>
      <c r="K200" s="1"/>
      <c r="L200" s="6" t="s">
        <v>153</v>
      </c>
      <c r="M200" s="317"/>
    </row>
    <row r="201" spans="8:13" x14ac:dyDescent="0.25">
      <c r="H201" s="1" t="s">
        <v>3451</v>
      </c>
      <c r="I201" s="6">
        <v>20108</v>
      </c>
      <c r="J201" s="1"/>
      <c r="K201" s="1"/>
      <c r="L201" s="1" t="s">
        <v>2397</v>
      </c>
      <c r="M201" s="317"/>
    </row>
    <row r="202" spans="8:13" x14ac:dyDescent="0.25">
      <c r="H202" s="1" t="s">
        <v>3452</v>
      </c>
      <c r="I202" s="6">
        <v>20109</v>
      </c>
      <c r="J202" s="1"/>
      <c r="K202" s="1"/>
      <c r="L202" s="1" t="s">
        <v>2397</v>
      </c>
      <c r="M202" s="317"/>
    </row>
    <row r="203" spans="8:13" x14ac:dyDescent="0.25">
      <c r="H203" s="1" t="s">
        <v>3476</v>
      </c>
      <c r="I203" s="6">
        <v>20110</v>
      </c>
      <c r="J203" s="1">
        <v>1</v>
      </c>
      <c r="K203" s="1">
        <v>0</v>
      </c>
      <c r="L203" s="1" t="s">
        <v>93</v>
      </c>
      <c r="M203" s="317"/>
    </row>
    <row r="204" spans="8:13" x14ac:dyDescent="0.25">
      <c r="H204" s="1" t="s">
        <v>3477</v>
      </c>
      <c r="I204" s="6">
        <v>20111</v>
      </c>
      <c r="J204" s="1">
        <v>1</v>
      </c>
      <c r="K204" s="1">
        <v>0</v>
      </c>
      <c r="L204" s="1" t="s">
        <v>93</v>
      </c>
      <c r="M204" s="317"/>
    </row>
    <row r="205" spans="8:13" x14ac:dyDescent="0.25">
      <c r="H205" s="1" t="s">
        <v>3478</v>
      </c>
      <c r="I205" s="6">
        <v>20112</v>
      </c>
      <c r="J205" s="1">
        <v>1</v>
      </c>
      <c r="K205" s="1">
        <v>0</v>
      </c>
      <c r="L205" s="1" t="s">
        <v>93</v>
      </c>
      <c r="M205" s="317"/>
    </row>
    <row r="206" spans="8:13" x14ac:dyDescent="0.25">
      <c r="H206" s="1" t="s">
        <v>3479</v>
      </c>
      <c r="I206" s="6">
        <v>20113</v>
      </c>
      <c r="J206" s="1">
        <v>1</v>
      </c>
      <c r="K206" s="1">
        <v>0</v>
      </c>
      <c r="L206" s="1" t="s">
        <v>2475</v>
      </c>
      <c r="M206" s="317"/>
    </row>
    <row r="207" spans="8:13" x14ac:dyDescent="0.25">
      <c r="H207" s="1" t="s">
        <v>3480</v>
      </c>
      <c r="I207" s="6">
        <v>20114</v>
      </c>
      <c r="J207" s="1">
        <v>1</v>
      </c>
      <c r="K207" s="1">
        <v>0</v>
      </c>
      <c r="L207" s="1" t="s">
        <v>2475</v>
      </c>
      <c r="M207" s="317"/>
    </row>
    <row r="208" spans="8:13" x14ac:dyDescent="0.25">
      <c r="H208" s="318" t="s">
        <v>3481</v>
      </c>
      <c r="I208" s="6">
        <v>20115</v>
      </c>
      <c r="J208" s="6">
        <v>1</v>
      </c>
      <c r="K208" s="6">
        <v>0</v>
      </c>
      <c r="L208" s="1" t="s">
        <v>2475</v>
      </c>
      <c r="M208" s="318"/>
    </row>
    <row r="209" spans="8:13" x14ac:dyDescent="0.25">
      <c r="H209" s="1" t="s">
        <v>3482</v>
      </c>
      <c r="I209" s="6">
        <v>20116</v>
      </c>
      <c r="J209" s="6">
        <v>1</v>
      </c>
      <c r="K209" s="6">
        <v>0</v>
      </c>
      <c r="L209" s="1"/>
      <c r="M209" s="317"/>
    </row>
    <row r="210" spans="8:13" x14ac:dyDescent="0.25">
      <c r="H210" s="1" t="s">
        <v>3474</v>
      </c>
      <c r="I210" s="6">
        <v>20117</v>
      </c>
      <c r="J210" s="6">
        <v>1</v>
      </c>
      <c r="K210" s="6">
        <v>0</v>
      </c>
      <c r="L210" s="1"/>
      <c r="M210" s="317"/>
    </row>
    <row r="211" spans="8:13" x14ac:dyDescent="0.25">
      <c r="H211" s="318" t="s">
        <v>3475</v>
      </c>
      <c r="I211" s="6">
        <v>20118</v>
      </c>
      <c r="J211" s="6">
        <v>1</v>
      </c>
      <c r="K211" s="6">
        <v>0</v>
      </c>
      <c r="L211" s="1"/>
      <c r="M211" s="318"/>
    </row>
    <row r="212" spans="8:13" x14ac:dyDescent="0.25">
      <c r="H212" s="1" t="s">
        <v>14</v>
      </c>
      <c r="I212" s="1">
        <v>10012</v>
      </c>
      <c r="J212" s="1">
        <v>1</v>
      </c>
      <c r="K212" s="1">
        <v>0</v>
      </c>
      <c r="L212" s="1" t="s">
        <v>94</v>
      </c>
      <c r="M212" s="317" t="s">
        <v>2403</v>
      </c>
    </row>
    <row r="213" spans="8:13" x14ac:dyDescent="0.25">
      <c r="H213" s="1" t="s">
        <v>17</v>
      </c>
      <c r="I213" s="1">
        <v>10013</v>
      </c>
      <c r="J213" s="1">
        <v>1</v>
      </c>
      <c r="K213" s="1">
        <v>0</v>
      </c>
      <c r="L213" s="1" t="s">
        <v>94</v>
      </c>
      <c r="M213" s="317" t="s">
        <v>2404</v>
      </c>
    </row>
    <row r="214" spans="8:13" x14ac:dyDescent="0.25">
      <c r="H214" s="1" t="s">
        <v>28</v>
      </c>
      <c r="I214" s="1">
        <v>10016</v>
      </c>
      <c r="J214" s="1">
        <v>1E-3</v>
      </c>
      <c r="K214" s="1">
        <v>0</v>
      </c>
      <c r="L214" s="1" t="s">
        <v>92</v>
      </c>
      <c r="M214" s="317" t="s">
        <v>102</v>
      </c>
    </row>
    <row r="215" spans="8:13" x14ac:dyDescent="0.25">
      <c r="H215" s="1" t="s">
        <v>31</v>
      </c>
      <c r="I215" s="1">
        <v>10017</v>
      </c>
      <c r="J215" s="1">
        <v>1</v>
      </c>
      <c r="K215" s="1">
        <v>0</v>
      </c>
      <c r="L215" s="1"/>
      <c r="M215" s="317" t="s">
        <v>116</v>
      </c>
    </row>
    <row r="216" spans="8:13" x14ac:dyDescent="0.25">
      <c r="H216" s="1" t="s">
        <v>39</v>
      </c>
      <c r="I216" s="1">
        <v>10024</v>
      </c>
      <c r="J216" s="1">
        <v>1</v>
      </c>
      <c r="K216" s="1">
        <v>0</v>
      </c>
      <c r="L216" s="1"/>
      <c r="M216" s="317" t="s">
        <v>115</v>
      </c>
    </row>
    <row r="217" spans="8:13" x14ac:dyDescent="0.25">
      <c r="H217" s="318" t="s">
        <v>2557</v>
      </c>
      <c r="I217" s="6">
        <v>20057</v>
      </c>
      <c r="J217" s="6">
        <v>1</v>
      </c>
      <c r="K217" s="6">
        <v>0</v>
      </c>
      <c r="L217" s="1"/>
      <c r="M217" s="318" t="s">
        <v>2557</v>
      </c>
    </row>
    <row r="218" spans="8:13" x14ac:dyDescent="0.25">
      <c r="H218" s="1" t="s">
        <v>179</v>
      </c>
      <c r="I218" s="1">
        <v>20006</v>
      </c>
      <c r="J218" s="6">
        <v>1</v>
      </c>
      <c r="K218" s="6">
        <v>0</v>
      </c>
      <c r="L218" s="1"/>
      <c r="M218" s="317" t="s">
        <v>179</v>
      </c>
    </row>
    <row r="219" spans="8:13" x14ac:dyDescent="0.25">
      <c r="H219" s="1" t="s">
        <v>180</v>
      </c>
      <c r="I219" s="1">
        <v>20007</v>
      </c>
      <c r="J219" s="6">
        <v>1</v>
      </c>
      <c r="K219" s="6">
        <v>0</v>
      </c>
      <c r="L219" s="1"/>
      <c r="M219" s="317" t="s">
        <v>180</v>
      </c>
    </row>
    <row r="220" spans="8:13" x14ac:dyDescent="0.25">
      <c r="H220" s="318" t="s">
        <v>2567</v>
      </c>
      <c r="I220" s="6">
        <v>20060</v>
      </c>
      <c r="J220" s="6">
        <v>1</v>
      </c>
      <c r="K220" s="6">
        <v>0</v>
      </c>
      <c r="L220" s="1"/>
      <c r="M220" s="318" t="s">
        <v>2567</v>
      </c>
    </row>
    <row r="221" spans="8:13" x14ac:dyDescent="0.25">
      <c r="H221" s="318" t="s">
        <v>2568</v>
      </c>
      <c r="I221" s="6">
        <v>20061</v>
      </c>
      <c r="J221" s="6">
        <v>1</v>
      </c>
      <c r="K221" s="6">
        <v>0</v>
      </c>
      <c r="L221" s="1"/>
      <c r="M221" s="318" t="s">
        <v>2568</v>
      </c>
    </row>
    <row r="222" spans="8:13" x14ac:dyDescent="0.25">
      <c r="H222" s="318" t="s">
        <v>2570</v>
      </c>
      <c r="I222" s="6">
        <v>20062</v>
      </c>
      <c r="J222" s="6">
        <v>1</v>
      </c>
      <c r="K222" s="6">
        <v>0</v>
      </c>
      <c r="L222" s="1"/>
      <c r="M222" s="318" t="s">
        <v>2570</v>
      </c>
    </row>
    <row r="223" spans="8:13" x14ac:dyDescent="0.25">
      <c r="H223" s="318" t="s">
        <v>2571</v>
      </c>
      <c r="I223" s="6">
        <v>20063</v>
      </c>
      <c r="J223" s="6">
        <v>1</v>
      </c>
      <c r="K223" s="6">
        <v>0</v>
      </c>
      <c r="L223" s="1"/>
      <c r="M223" s="318" t="s">
        <v>2571</v>
      </c>
    </row>
    <row r="224" spans="8:13" x14ac:dyDescent="0.25">
      <c r="H224" s="318" t="s">
        <v>2569</v>
      </c>
      <c r="I224" s="6">
        <v>20064</v>
      </c>
      <c r="J224" s="6">
        <v>1</v>
      </c>
      <c r="K224" s="6">
        <v>0</v>
      </c>
      <c r="L224" s="1"/>
      <c r="M224" s="318" t="s">
        <v>2569</v>
      </c>
    </row>
    <row r="225" spans="8:13" x14ac:dyDescent="0.25">
      <c r="H225" s="1" t="s">
        <v>121</v>
      </c>
      <c r="I225" s="1">
        <v>10021</v>
      </c>
      <c r="J225" s="1">
        <v>1</v>
      </c>
      <c r="K225" s="1">
        <v>0</v>
      </c>
      <c r="L225" s="1"/>
      <c r="M225" s="317" t="s">
        <v>131</v>
      </c>
    </row>
    <row r="226" spans="8:13" x14ac:dyDescent="0.25">
      <c r="H226" s="1" t="s">
        <v>163</v>
      </c>
      <c r="I226" s="1">
        <v>20047</v>
      </c>
      <c r="J226" s="1">
        <v>1</v>
      </c>
      <c r="K226" s="1">
        <v>0</v>
      </c>
      <c r="L226" s="1"/>
      <c r="M226" s="318" t="s">
        <v>168</v>
      </c>
    </row>
    <row r="227" spans="8:13" x14ac:dyDescent="0.25">
      <c r="H227" s="1" t="s">
        <v>164</v>
      </c>
      <c r="I227" s="1">
        <v>20048</v>
      </c>
      <c r="J227" s="1">
        <v>1</v>
      </c>
      <c r="K227" s="1">
        <v>0</v>
      </c>
      <c r="L227" s="1"/>
      <c r="M227" s="318" t="s">
        <v>169</v>
      </c>
    </row>
    <row r="228" spans="8:13" x14ac:dyDescent="0.25">
      <c r="H228" s="1" t="s">
        <v>2</v>
      </c>
      <c r="I228" s="1">
        <v>208</v>
      </c>
      <c r="J228" s="1">
        <v>0.1</v>
      </c>
      <c r="K228" s="1">
        <v>0</v>
      </c>
      <c r="L228" s="1" t="s">
        <v>91</v>
      </c>
      <c r="M228" s="317" t="s">
        <v>113</v>
      </c>
    </row>
    <row r="229" spans="8:13" x14ac:dyDescent="0.25">
      <c r="H229" s="1" t="s">
        <v>5</v>
      </c>
      <c r="I229" s="1">
        <v>209</v>
      </c>
      <c r="J229" s="1">
        <v>0.1</v>
      </c>
      <c r="K229" s="1">
        <v>0</v>
      </c>
      <c r="L229" s="1" t="s">
        <v>91</v>
      </c>
      <c r="M229" s="317" t="s">
        <v>114</v>
      </c>
    </row>
    <row r="230" spans="8:13" x14ac:dyDescent="0.25">
      <c r="H230" s="1" t="s">
        <v>33</v>
      </c>
      <c r="I230" s="1">
        <v>10018</v>
      </c>
      <c r="J230" s="1">
        <v>1</v>
      </c>
      <c r="K230" s="1">
        <v>0</v>
      </c>
      <c r="L230" s="1"/>
      <c r="M230" s="317" t="s">
        <v>117</v>
      </c>
    </row>
    <row r="231" spans="8:13" x14ac:dyDescent="0.25">
      <c r="H231" s="1" t="s">
        <v>126</v>
      </c>
      <c r="I231" s="1">
        <v>10030</v>
      </c>
      <c r="J231" s="1">
        <v>1</v>
      </c>
      <c r="K231" s="1">
        <v>0</v>
      </c>
      <c r="L231" s="1"/>
      <c r="M231" s="317" t="s">
        <v>133</v>
      </c>
    </row>
    <row r="232" spans="8:13" x14ac:dyDescent="0.25">
      <c r="H232" s="1" t="s">
        <v>198</v>
      </c>
      <c r="I232" s="1">
        <v>20022</v>
      </c>
      <c r="J232" s="6">
        <v>1</v>
      </c>
      <c r="K232" s="6">
        <v>0</v>
      </c>
      <c r="L232" s="1"/>
      <c r="M232" s="317" t="s">
        <v>201</v>
      </c>
    </row>
    <row r="233" spans="8:13" x14ac:dyDescent="0.25">
      <c r="H233" s="1" t="s">
        <v>196</v>
      </c>
      <c r="I233" s="1">
        <v>20023</v>
      </c>
      <c r="J233" s="6">
        <v>1</v>
      </c>
      <c r="K233" s="6">
        <v>0</v>
      </c>
      <c r="L233" s="1"/>
      <c r="M233" s="317" t="s">
        <v>202</v>
      </c>
    </row>
    <row r="234" spans="8:13" x14ac:dyDescent="0.25">
      <c r="H234" s="1" t="s">
        <v>200</v>
      </c>
      <c r="I234" s="1">
        <v>20024</v>
      </c>
      <c r="J234" s="6">
        <v>1</v>
      </c>
      <c r="K234" s="6">
        <v>0</v>
      </c>
      <c r="L234" s="1"/>
      <c r="M234" s="317" t="s">
        <v>203</v>
      </c>
    </row>
    <row r="235" spans="8:13" x14ac:dyDescent="0.25">
      <c r="H235" s="1" t="s">
        <v>195</v>
      </c>
      <c r="I235" s="1">
        <v>20025</v>
      </c>
      <c r="J235" s="6">
        <v>1</v>
      </c>
      <c r="K235" s="6">
        <v>0</v>
      </c>
      <c r="L235" s="1"/>
      <c r="M235" s="317" t="s">
        <v>204</v>
      </c>
    </row>
    <row r="236" spans="8:13" x14ac:dyDescent="0.25">
      <c r="H236" s="1" t="s">
        <v>185</v>
      </c>
      <c r="I236" s="1">
        <v>20026</v>
      </c>
      <c r="J236" s="6">
        <v>1</v>
      </c>
      <c r="K236" s="6">
        <v>0</v>
      </c>
      <c r="L236" s="1"/>
      <c r="M236" s="317" t="s">
        <v>205</v>
      </c>
    </row>
    <row r="237" spans="8:13" x14ac:dyDescent="0.25">
      <c r="H237" s="1" t="s">
        <v>152</v>
      </c>
      <c r="I237" s="6">
        <v>20028</v>
      </c>
      <c r="J237" s="6">
        <v>1</v>
      </c>
      <c r="K237" s="6">
        <v>0</v>
      </c>
      <c r="L237" s="6" t="s">
        <v>153</v>
      </c>
      <c r="M237" s="318" t="s">
        <v>154</v>
      </c>
    </row>
    <row r="238" spans="8:13" x14ac:dyDescent="0.25">
      <c r="H238" s="1" t="s">
        <v>186</v>
      </c>
      <c r="I238" s="1">
        <v>20035</v>
      </c>
      <c r="J238" s="6">
        <v>1</v>
      </c>
      <c r="K238" s="6">
        <v>0</v>
      </c>
      <c r="L238" s="1"/>
      <c r="M238" s="317" t="s">
        <v>186</v>
      </c>
    </row>
    <row r="239" spans="8:13" x14ac:dyDescent="0.25">
      <c r="H239" s="1" t="s">
        <v>188</v>
      </c>
      <c r="I239" s="1">
        <v>20036</v>
      </c>
      <c r="J239" s="6">
        <v>1</v>
      </c>
      <c r="K239" s="6">
        <v>0</v>
      </c>
      <c r="L239" s="1"/>
      <c r="M239" s="317" t="s">
        <v>188</v>
      </c>
    </row>
    <row r="240" spans="8:13" x14ac:dyDescent="0.25">
      <c r="H240" s="1" t="s">
        <v>189</v>
      </c>
      <c r="I240" s="1">
        <v>20037</v>
      </c>
      <c r="J240" s="6">
        <v>1</v>
      </c>
      <c r="K240" s="6">
        <v>0</v>
      </c>
      <c r="L240" s="1"/>
      <c r="M240" s="317" t="s">
        <v>189</v>
      </c>
    </row>
    <row r="241" spans="8:13" x14ac:dyDescent="0.25">
      <c r="H241" s="1" t="s">
        <v>190</v>
      </c>
      <c r="I241" s="1">
        <v>20038</v>
      </c>
      <c r="J241" s="6">
        <v>1</v>
      </c>
      <c r="K241" s="6">
        <v>0</v>
      </c>
      <c r="L241" s="1"/>
      <c r="M241" s="317" t="s">
        <v>190</v>
      </c>
    </row>
    <row r="242" spans="8:13" x14ac:dyDescent="0.25">
      <c r="H242" s="1" t="s">
        <v>191</v>
      </c>
      <c r="I242" s="1">
        <v>20039</v>
      </c>
      <c r="J242" s="6">
        <v>1</v>
      </c>
      <c r="K242" s="6">
        <v>0</v>
      </c>
      <c r="L242" s="1"/>
      <c r="M242" s="317" t="s">
        <v>191</v>
      </c>
    </row>
    <row r="243" spans="8:13" x14ac:dyDescent="0.25">
      <c r="H243" s="1" t="s">
        <v>192</v>
      </c>
      <c r="I243" s="1">
        <v>20040</v>
      </c>
      <c r="J243" s="6">
        <v>1</v>
      </c>
      <c r="K243" s="6">
        <v>0</v>
      </c>
      <c r="L243" s="1"/>
      <c r="M243" s="317" t="s">
        <v>192</v>
      </c>
    </row>
    <row r="244" spans="8:13" x14ac:dyDescent="0.25">
      <c r="H244" s="1" t="s">
        <v>194</v>
      </c>
      <c r="I244" s="1">
        <v>20041</v>
      </c>
      <c r="J244" s="6">
        <v>1</v>
      </c>
      <c r="K244" s="6">
        <v>0</v>
      </c>
      <c r="L244" s="1"/>
      <c r="M244" s="317" t="s">
        <v>194</v>
      </c>
    </row>
    <row r="245" spans="8:13" x14ac:dyDescent="0.25">
      <c r="H245" s="1" t="s">
        <v>193</v>
      </c>
      <c r="I245" s="1">
        <v>20042</v>
      </c>
      <c r="J245" s="6">
        <v>1</v>
      </c>
      <c r="K245" s="6">
        <v>0</v>
      </c>
      <c r="L245" s="1"/>
      <c r="M245" s="317" t="s">
        <v>193</v>
      </c>
    </row>
    <row r="246" spans="8:13" x14ac:dyDescent="0.25">
      <c r="H246" s="1" t="s">
        <v>187</v>
      </c>
      <c r="I246" s="1">
        <v>20043</v>
      </c>
      <c r="J246" s="6">
        <v>1</v>
      </c>
      <c r="K246" s="6">
        <v>0</v>
      </c>
      <c r="L246" s="1"/>
      <c r="M246" s="317" t="s">
        <v>187</v>
      </c>
    </row>
    <row r="247" spans="8:13" x14ac:dyDescent="0.25">
      <c r="H247" s="1" t="s">
        <v>2550</v>
      </c>
      <c r="I247" s="1">
        <v>20049</v>
      </c>
      <c r="J247" s="1">
        <v>0.1</v>
      </c>
      <c r="K247" s="1">
        <v>0</v>
      </c>
      <c r="L247" s="1"/>
      <c r="M247" s="317" t="s">
        <v>113</v>
      </c>
    </row>
    <row r="248" spans="8:13" x14ac:dyDescent="0.25">
      <c r="H248" s="1" t="s">
        <v>2551</v>
      </c>
      <c r="I248" s="1">
        <v>20050</v>
      </c>
      <c r="J248" s="1">
        <v>0.1</v>
      </c>
      <c r="K248" s="1">
        <v>0</v>
      </c>
      <c r="L248" s="1"/>
      <c r="M248" s="317" t="s">
        <v>114</v>
      </c>
    </row>
    <row r="249" spans="8:13" x14ac:dyDescent="0.25">
      <c r="H249" s="1" t="s">
        <v>45</v>
      </c>
      <c r="I249" s="1">
        <v>20</v>
      </c>
      <c r="J249" s="1">
        <v>1.38E-2</v>
      </c>
      <c r="K249" s="1">
        <v>0</v>
      </c>
      <c r="L249" s="1" t="s">
        <v>96</v>
      </c>
      <c r="M249" s="317" t="s">
        <v>104</v>
      </c>
    </row>
    <row r="250" spans="8:13" x14ac:dyDescent="0.25">
      <c r="H250" s="1" t="s">
        <v>48</v>
      </c>
      <c r="I250" s="1">
        <v>21</v>
      </c>
      <c r="J250" s="1">
        <v>1.38E-2</v>
      </c>
      <c r="K250" s="1">
        <v>0</v>
      </c>
      <c r="L250" s="1" t="s">
        <v>96</v>
      </c>
      <c r="M250" s="317" t="s">
        <v>105</v>
      </c>
    </row>
    <row r="251" spans="8:13" x14ac:dyDescent="0.25">
      <c r="H251" s="1" t="s">
        <v>51</v>
      </c>
      <c r="I251" s="1">
        <v>22</v>
      </c>
      <c r="J251" s="1">
        <v>1.38E-2</v>
      </c>
      <c r="K251" s="1">
        <v>0</v>
      </c>
      <c r="L251" s="1" t="s">
        <v>96</v>
      </c>
      <c r="M251" s="317" t="s">
        <v>106</v>
      </c>
    </row>
    <row r="252" spans="8:13" x14ac:dyDescent="0.25">
      <c r="H252" s="1" t="s">
        <v>54</v>
      </c>
      <c r="I252" s="1">
        <v>23</v>
      </c>
      <c r="J252" s="1">
        <v>1.38E-2</v>
      </c>
      <c r="K252" s="1">
        <v>0</v>
      </c>
      <c r="L252" s="1" t="s">
        <v>96</v>
      </c>
      <c r="M252" s="317" t="s">
        <v>107</v>
      </c>
    </row>
    <row r="253" spans="8:13" x14ac:dyDescent="0.25">
      <c r="H253" s="1" t="s">
        <v>3298</v>
      </c>
      <c r="I253" s="6">
        <v>20100</v>
      </c>
      <c r="J253" s="6">
        <v>1</v>
      </c>
      <c r="K253" s="6">
        <v>0</v>
      </c>
      <c r="L253" s="6" t="s">
        <v>93</v>
      </c>
      <c r="M253" s="318" t="s">
        <v>3299</v>
      </c>
    </row>
    <row r="254" spans="8:13" x14ac:dyDescent="0.25">
      <c r="H254" s="1" t="s">
        <v>3483</v>
      </c>
      <c r="I254" s="6">
        <v>182</v>
      </c>
      <c r="J254" s="6">
        <v>1</v>
      </c>
      <c r="K254" s="6">
        <v>0</v>
      </c>
      <c r="L254" s="6" t="s">
        <v>3484</v>
      </c>
      <c r="M254" s="318" t="s">
        <v>3485</v>
      </c>
    </row>
    <row r="255" spans="8:13" x14ac:dyDescent="0.25">
      <c r="H255" s="1" t="s">
        <v>3498</v>
      </c>
      <c r="I255" s="6">
        <v>20131</v>
      </c>
      <c r="J255" s="6">
        <v>1</v>
      </c>
      <c r="K255" s="6">
        <v>0</v>
      </c>
      <c r="L255" s="6"/>
      <c r="M255" s="317"/>
    </row>
    <row r="256" spans="8:13" x14ac:dyDescent="0.25">
      <c r="H256" s="1" t="s">
        <v>3499</v>
      </c>
      <c r="I256" s="6">
        <v>167</v>
      </c>
      <c r="J256" s="6">
        <v>1</v>
      </c>
      <c r="K256" s="6">
        <v>0</v>
      </c>
      <c r="L256" s="6"/>
      <c r="M256" s="317"/>
    </row>
    <row r="257" spans="8:13" x14ac:dyDescent="0.25">
      <c r="H257" s="1" t="s">
        <v>3497</v>
      </c>
      <c r="I257" s="6">
        <v>20132</v>
      </c>
      <c r="J257" s="6">
        <v>1</v>
      </c>
      <c r="K257" s="6">
        <v>0</v>
      </c>
      <c r="L257" s="6"/>
      <c r="M257" s="317"/>
    </row>
    <row r="258" spans="8:13" x14ac:dyDescent="0.25">
      <c r="H258" s="1" t="s">
        <v>3500</v>
      </c>
      <c r="I258" s="6">
        <v>20133</v>
      </c>
      <c r="J258" s="6">
        <v>1</v>
      </c>
      <c r="K258" s="6">
        <v>0</v>
      </c>
      <c r="L258" s="6"/>
      <c r="M258" s="317"/>
    </row>
    <row r="259" spans="8:13" x14ac:dyDescent="0.25">
      <c r="H259" s="1" t="s">
        <v>888</v>
      </c>
      <c r="I259" s="6">
        <v>8</v>
      </c>
      <c r="J259" s="6">
        <v>1</v>
      </c>
      <c r="K259" s="6">
        <v>0</v>
      </c>
      <c r="L259" s="1"/>
      <c r="M259" s="317"/>
    </row>
    <row r="260" spans="8:13" x14ac:dyDescent="0.25">
      <c r="H260" s="1" t="s">
        <v>3502</v>
      </c>
      <c r="I260" s="6">
        <v>14</v>
      </c>
      <c r="J260" s="6">
        <v>1</v>
      </c>
      <c r="K260" s="6">
        <v>0</v>
      </c>
      <c r="L260" s="1"/>
      <c r="M260" s="317"/>
    </row>
    <row r="261" spans="8:13" x14ac:dyDescent="0.25">
      <c r="H261" s="1" t="s">
        <v>3503</v>
      </c>
      <c r="I261" s="6">
        <v>18</v>
      </c>
      <c r="J261" s="6">
        <v>1</v>
      </c>
      <c r="K261" s="6">
        <v>0</v>
      </c>
      <c r="L261" s="1"/>
      <c r="M261" s="317"/>
    </row>
    <row r="262" spans="8:13" x14ac:dyDescent="0.25">
      <c r="H262" s="1" t="s">
        <v>3504</v>
      </c>
      <c r="I262" s="6">
        <v>20119</v>
      </c>
      <c r="J262" s="6">
        <v>1</v>
      </c>
      <c r="K262" s="6">
        <v>0</v>
      </c>
      <c r="L262" s="1"/>
      <c r="M262" s="317"/>
    </row>
    <row r="263" spans="8:13" x14ac:dyDescent="0.25">
      <c r="H263" s="1" t="s">
        <v>3505</v>
      </c>
      <c r="I263" s="6">
        <v>20120</v>
      </c>
      <c r="J263" s="6">
        <v>1</v>
      </c>
      <c r="K263" s="6">
        <v>0</v>
      </c>
      <c r="L263" s="1"/>
      <c r="M263" s="317"/>
    </row>
    <row r="264" spans="8:13" x14ac:dyDescent="0.25">
      <c r="H264" s="1" t="s">
        <v>3506</v>
      </c>
      <c r="I264" s="6">
        <v>20121</v>
      </c>
      <c r="J264" s="6">
        <v>1</v>
      </c>
      <c r="K264" s="6">
        <v>0</v>
      </c>
      <c r="L264" s="1"/>
      <c r="M264" s="317"/>
    </row>
    <row r="265" spans="8:13" x14ac:dyDescent="0.25">
      <c r="H265" s="1" t="s">
        <v>3507</v>
      </c>
      <c r="I265" s="6">
        <v>20122</v>
      </c>
      <c r="J265" s="6">
        <v>1</v>
      </c>
      <c r="K265" s="6">
        <v>0</v>
      </c>
      <c r="L265" s="1"/>
      <c r="M265" s="317"/>
    </row>
    <row r="266" spans="8:13" x14ac:dyDescent="0.25">
      <c r="H266" s="1" t="s">
        <v>3508</v>
      </c>
      <c r="I266" s="6">
        <v>20123</v>
      </c>
      <c r="J266" s="6">
        <v>1</v>
      </c>
      <c r="K266" s="6">
        <v>0</v>
      </c>
      <c r="L266" s="1"/>
      <c r="M266" s="317"/>
    </row>
    <row r="267" spans="8:13" x14ac:dyDescent="0.25">
      <c r="H267" s="1" t="s">
        <v>3509</v>
      </c>
      <c r="I267" s="6">
        <v>20124</v>
      </c>
      <c r="J267" s="6">
        <v>1</v>
      </c>
      <c r="K267" s="6">
        <v>0</v>
      </c>
      <c r="L267" s="1"/>
      <c r="M267" s="317"/>
    </row>
    <row r="268" spans="8:13" x14ac:dyDescent="0.25">
      <c r="H268" s="1" t="s">
        <v>3510</v>
      </c>
      <c r="I268" s="6">
        <v>20125</v>
      </c>
      <c r="J268" s="6">
        <v>1</v>
      </c>
      <c r="K268" s="6">
        <v>0</v>
      </c>
      <c r="L268" s="1"/>
      <c r="M268" s="317"/>
    </row>
    <row r="269" spans="8:13" x14ac:dyDescent="0.25">
      <c r="H269" s="1" t="s">
        <v>3511</v>
      </c>
      <c r="I269" s="6">
        <v>20126</v>
      </c>
      <c r="J269" s="6">
        <v>1</v>
      </c>
      <c r="K269" s="6">
        <v>0</v>
      </c>
      <c r="L269" s="1"/>
      <c r="M269" s="317"/>
    </row>
    <row r="270" spans="8:13" x14ac:dyDescent="0.25">
      <c r="H270" s="1" t="s">
        <v>3512</v>
      </c>
      <c r="I270" s="6">
        <v>20127</v>
      </c>
      <c r="J270" s="6">
        <v>1</v>
      </c>
      <c r="K270" s="6">
        <v>0</v>
      </c>
      <c r="L270" s="1"/>
      <c r="M270" s="317"/>
    </row>
    <row r="271" spans="8:13" x14ac:dyDescent="0.25">
      <c r="H271" s="1" t="s">
        <v>3513</v>
      </c>
      <c r="I271" s="6">
        <v>20128</v>
      </c>
      <c r="J271" s="6">
        <v>1</v>
      </c>
      <c r="K271" s="6">
        <v>0</v>
      </c>
      <c r="L271" s="1"/>
      <c r="M271" s="317"/>
    </row>
    <row r="272" spans="8:13" x14ac:dyDescent="0.25">
      <c r="H272" s="1" t="s">
        <v>3575</v>
      </c>
      <c r="I272" s="6">
        <v>20134</v>
      </c>
      <c r="J272" s="6">
        <v>100</v>
      </c>
      <c r="K272" s="6">
        <v>0</v>
      </c>
      <c r="L272" s="1" t="s">
        <v>93</v>
      </c>
      <c r="M272" s="317"/>
    </row>
    <row r="273" spans="8:13" x14ac:dyDescent="0.25">
      <c r="H273" s="1" t="s">
        <v>3576</v>
      </c>
      <c r="I273" s="6">
        <v>20135</v>
      </c>
      <c r="J273" s="6">
        <v>100</v>
      </c>
      <c r="K273" s="6">
        <v>0</v>
      </c>
      <c r="L273" s="1" t="s">
        <v>93</v>
      </c>
      <c r="M273" s="317"/>
    </row>
    <row r="274" spans="8:13" x14ac:dyDescent="0.25">
      <c r="H274" s="1" t="s">
        <v>3577</v>
      </c>
      <c r="I274" s="6">
        <v>20136</v>
      </c>
      <c r="J274" s="6">
        <v>100</v>
      </c>
      <c r="K274" s="6">
        <v>0</v>
      </c>
      <c r="L274" s="1" t="s">
        <v>93</v>
      </c>
      <c r="M274" s="317"/>
    </row>
    <row r="275" spans="8:13" x14ac:dyDescent="0.25">
      <c r="H275" s="1" t="s">
        <v>3578</v>
      </c>
      <c r="I275" s="6">
        <v>20137</v>
      </c>
      <c r="J275" s="6">
        <v>100</v>
      </c>
      <c r="K275" s="6">
        <v>0</v>
      </c>
      <c r="L275" s="1" t="s">
        <v>93</v>
      </c>
      <c r="M275" s="317"/>
    </row>
    <row r="276" spans="8:13" x14ac:dyDescent="0.25">
      <c r="H276" s="1" t="s">
        <v>3579</v>
      </c>
      <c r="I276" s="6">
        <v>20138</v>
      </c>
      <c r="J276" s="6">
        <v>1</v>
      </c>
      <c r="K276" s="6">
        <v>0</v>
      </c>
      <c r="L276" s="1" t="s">
        <v>3245</v>
      </c>
      <c r="M276" s="317"/>
    </row>
    <row r="277" spans="8:13" x14ac:dyDescent="0.25">
      <c r="H277" s="1" t="s">
        <v>3632</v>
      </c>
      <c r="I277" s="6">
        <v>20140</v>
      </c>
      <c r="J277" s="6">
        <v>1</v>
      </c>
      <c r="K277" s="6">
        <v>0</v>
      </c>
      <c r="L277" s="1"/>
      <c r="M277" s="317"/>
    </row>
    <row r="278" spans="8:13" x14ac:dyDescent="0.25">
      <c r="H278" s="1" t="s">
        <v>3652</v>
      </c>
      <c r="I278" s="6">
        <v>20141</v>
      </c>
      <c r="J278" s="6">
        <v>1</v>
      </c>
      <c r="K278" s="6">
        <v>0</v>
      </c>
      <c r="L278" s="1" t="s">
        <v>3273</v>
      </c>
      <c r="M278" s="317"/>
    </row>
    <row r="279" spans="8:13" x14ac:dyDescent="0.25">
      <c r="H279" s="1" t="s">
        <v>3653</v>
      </c>
      <c r="I279" s="6">
        <v>20142</v>
      </c>
      <c r="J279" s="6">
        <v>1</v>
      </c>
      <c r="K279" s="6">
        <v>0</v>
      </c>
      <c r="L279" s="1" t="s">
        <v>3273</v>
      </c>
      <c r="M279" s="317"/>
    </row>
    <row r="280" spans="8:13" x14ac:dyDescent="0.25">
      <c r="H280" s="1" t="s">
        <v>3654</v>
      </c>
      <c r="I280" s="6">
        <v>20143</v>
      </c>
      <c r="J280" s="6">
        <v>1</v>
      </c>
      <c r="K280" s="6">
        <v>0</v>
      </c>
      <c r="L280" s="1" t="s">
        <v>3273</v>
      </c>
      <c r="M280" s="317"/>
    </row>
    <row r="281" spans="8:13" x14ac:dyDescent="0.25">
      <c r="H281" s="1" t="s">
        <v>3655</v>
      </c>
      <c r="I281" s="6">
        <v>20144</v>
      </c>
      <c r="J281" s="6">
        <v>1</v>
      </c>
      <c r="K281" s="6">
        <v>0</v>
      </c>
      <c r="L281" s="1" t="s">
        <v>3273</v>
      </c>
      <c r="M281" s="317"/>
    </row>
    <row r="282" spans="8:13" x14ac:dyDescent="0.25">
      <c r="H282" s="1" t="s">
        <v>3656</v>
      </c>
      <c r="I282" s="6">
        <v>20145</v>
      </c>
      <c r="J282" s="6">
        <v>1</v>
      </c>
      <c r="K282" s="6">
        <v>0</v>
      </c>
      <c r="L282" s="1"/>
      <c r="M282" s="317"/>
    </row>
    <row r="283" spans="8:13" x14ac:dyDescent="0.25">
      <c r="H283" s="1" t="s">
        <v>3657</v>
      </c>
      <c r="I283" s="6">
        <v>20146</v>
      </c>
      <c r="J283" s="6">
        <v>1</v>
      </c>
      <c r="K283" s="6">
        <v>0</v>
      </c>
      <c r="L283" s="1"/>
      <c r="M283" s="317"/>
    </row>
    <row r="284" spans="8:13" x14ac:dyDescent="0.25">
      <c r="H284" s="1" t="s">
        <v>3648</v>
      </c>
      <c r="I284" s="6">
        <v>20147</v>
      </c>
      <c r="J284" s="6">
        <v>100</v>
      </c>
      <c r="K284" s="6">
        <v>0</v>
      </c>
      <c r="L284" s="1" t="s">
        <v>93</v>
      </c>
      <c r="M284" s="317"/>
    </row>
    <row r="285" spans="8:13" x14ac:dyDescent="0.25">
      <c r="H285" s="1" t="s">
        <v>3650</v>
      </c>
      <c r="I285" s="6">
        <v>20148</v>
      </c>
      <c r="J285" s="6">
        <v>100</v>
      </c>
      <c r="K285" s="6">
        <v>0</v>
      </c>
      <c r="L285" s="1" t="s">
        <v>93</v>
      </c>
      <c r="M285" s="317"/>
    </row>
    <row r="286" spans="8:13" x14ac:dyDescent="0.25">
      <c r="H286" s="1" t="s">
        <v>3651</v>
      </c>
      <c r="I286" s="6">
        <v>20149</v>
      </c>
      <c r="J286" s="6">
        <v>100</v>
      </c>
      <c r="K286" s="6">
        <v>0</v>
      </c>
      <c r="L286" s="1" t="s">
        <v>93</v>
      </c>
      <c r="M286" s="317"/>
    </row>
    <row r="287" spans="8:13" x14ac:dyDescent="0.25">
      <c r="H287" s="1" t="s">
        <v>3649</v>
      </c>
      <c r="I287" s="6">
        <v>20150</v>
      </c>
      <c r="J287" s="6">
        <v>100</v>
      </c>
      <c r="K287" s="6">
        <v>0</v>
      </c>
      <c r="L287" s="1" t="s">
        <v>93</v>
      </c>
      <c r="M287" s="317"/>
    </row>
    <row r="288" spans="8:13" x14ac:dyDescent="0.25">
      <c r="H288" s="1" t="s">
        <v>3647</v>
      </c>
      <c r="I288" s="6">
        <v>20151</v>
      </c>
      <c r="J288" s="6">
        <v>1</v>
      </c>
      <c r="K288" s="6">
        <v>0</v>
      </c>
      <c r="L288" s="1" t="s">
        <v>93</v>
      </c>
      <c r="M288" s="317"/>
    </row>
    <row r="289" spans="8:13" x14ac:dyDescent="0.25">
      <c r="H289" s="1" t="s">
        <v>2471</v>
      </c>
      <c r="I289" s="6">
        <v>10</v>
      </c>
      <c r="J289" s="6">
        <v>1</v>
      </c>
      <c r="K289" s="6">
        <v>0</v>
      </c>
      <c r="L289" s="1" t="s">
        <v>2396</v>
      </c>
      <c r="M289" s="317"/>
    </row>
    <row r="290" spans="8:13" x14ac:dyDescent="0.25">
      <c r="H290" s="1" t="s">
        <v>3669</v>
      </c>
      <c r="I290" s="6">
        <v>20152</v>
      </c>
      <c r="J290" s="6">
        <v>1</v>
      </c>
      <c r="K290" s="6">
        <v>0</v>
      </c>
      <c r="L290" s="1"/>
      <c r="M290" s="317"/>
    </row>
    <row r="291" spans="8:13" x14ac:dyDescent="0.25">
      <c r="H291" s="1" t="s">
        <v>3872</v>
      </c>
      <c r="I291" s="6">
        <v>20153</v>
      </c>
      <c r="J291" s="6">
        <v>1</v>
      </c>
      <c r="K291" s="6">
        <v>0</v>
      </c>
      <c r="L291" s="1" t="s">
        <v>1145</v>
      </c>
      <c r="M291" s="317"/>
    </row>
    <row r="292" spans="8:13" x14ac:dyDescent="0.25">
      <c r="H292" s="1" t="s">
        <v>3873</v>
      </c>
      <c r="I292" s="6">
        <v>20154</v>
      </c>
      <c r="J292" s="6">
        <v>1</v>
      </c>
      <c r="K292" s="6">
        <v>0</v>
      </c>
      <c r="L292" s="1" t="s">
        <v>1145</v>
      </c>
      <c r="M292" s="317"/>
    </row>
    <row r="293" spans="8:13" x14ac:dyDescent="0.25">
      <c r="H293" s="1" t="s">
        <v>3874</v>
      </c>
      <c r="I293" s="6">
        <v>20155</v>
      </c>
      <c r="J293" s="6">
        <v>1</v>
      </c>
      <c r="K293" s="6">
        <v>0</v>
      </c>
      <c r="L293" s="1" t="s">
        <v>1073</v>
      </c>
      <c r="M293" s="317"/>
    </row>
    <row r="294" spans="8:13" x14ac:dyDescent="0.25">
      <c r="H294" s="1" t="s">
        <v>3875</v>
      </c>
      <c r="I294" s="6">
        <v>20156</v>
      </c>
      <c r="J294" s="6">
        <v>1</v>
      </c>
      <c r="K294" s="6">
        <v>0</v>
      </c>
      <c r="L294" s="1" t="s">
        <v>1073</v>
      </c>
      <c r="M294" s="317"/>
    </row>
    <row r="295" spans="8:13" x14ac:dyDescent="0.25">
      <c r="H295" s="1" t="s">
        <v>3876</v>
      </c>
      <c r="I295" s="6">
        <v>20157</v>
      </c>
      <c r="J295" s="6">
        <v>1</v>
      </c>
      <c r="K295" s="6">
        <v>0</v>
      </c>
      <c r="L295" s="1" t="s">
        <v>2396</v>
      </c>
      <c r="M295" s="317"/>
    </row>
    <row r="296" spans="8:13" x14ac:dyDescent="0.25">
      <c r="H296" s="1" t="s">
        <v>3877</v>
      </c>
      <c r="I296" s="6">
        <v>20158</v>
      </c>
      <c r="J296" s="6">
        <v>1</v>
      </c>
      <c r="K296" s="6">
        <v>0</v>
      </c>
      <c r="L296" s="1" t="s">
        <v>2396</v>
      </c>
      <c r="M296" s="317"/>
    </row>
    <row r="297" spans="8:13" x14ac:dyDescent="0.25">
      <c r="H297" s="1" t="s">
        <v>3878</v>
      </c>
      <c r="I297" s="6">
        <v>20159</v>
      </c>
      <c r="J297" s="6">
        <v>1</v>
      </c>
      <c r="K297" s="6">
        <v>0</v>
      </c>
      <c r="L297" s="1" t="s">
        <v>153</v>
      </c>
      <c r="M297" s="317"/>
    </row>
    <row r="298" spans="8:13" x14ac:dyDescent="0.25">
      <c r="H298" s="1" t="s">
        <v>3879</v>
      </c>
      <c r="I298" s="6">
        <v>20160</v>
      </c>
      <c r="J298" s="6">
        <v>1</v>
      </c>
      <c r="K298" s="6">
        <v>0</v>
      </c>
      <c r="L298" s="1" t="s">
        <v>1073</v>
      </c>
      <c r="M298" s="317"/>
    </row>
    <row r="299" spans="8:13" x14ac:dyDescent="0.25">
      <c r="H299" s="1" t="s">
        <v>3880</v>
      </c>
      <c r="I299" s="6">
        <v>20161</v>
      </c>
      <c r="J299" s="6">
        <v>1</v>
      </c>
      <c r="K299" s="6">
        <v>0</v>
      </c>
      <c r="L299" s="1" t="s">
        <v>153</v>
      </c>
      <c r="M299" s="317"/>
    </row>
    <row r="300" spans="8:13" x14ac:dyDescent="0.25">
      <c r="H300" s="1" t="s">
        <v>3881</v>
      </c>
      <c r="I300" s="6">
        <v>20162</v>
      </c>
      <c r="J300" s="6">
        <v>1</v>
      </c>
      <c r="K300" s="6">
        <v>0</v>
      </c>
      <c r="L300" s="1" t="s">
        <v>1145</v>
      </c>
      <c r="M300" s="317"/>
    </row>
    <row r="301" spans="8:13" x14ac:dyDescent="0.25">
      <c r="H301" s="1" t="s">
        <v>3882</v>
      </c>
      <c r="I301" s="6">
        <v>20163</v>
      </c>
      <c r="J301" s="6">
        <v>1</v>
      </c>
      <c r="K301" s="6">
        <v>0</v>
      </c>
      <c r="L301" s="1" t="s">
        <v>153</v>
      </c>
      <c r="M301" s="317"/>
    </row>
    <row r="302" spans="8:13" x14ac:dyDescent="0.25">
      <c r="H302" s="1" t="s">
        <v>3883</v>
      </c>
      <c r="I302" s="6">
        <v>20164</v>
      </c>
      <c r="J302" s="6">
        <v>1</v>
      </c>
      <c r="K302" s="6">
        <v>0</v>
      </c>
      <c r="L302" s="1" t="s">
        <v>1073</v>
      </c>
      <c r="M302" s="317"/>
    </row>
    <row r="303" spans="8:13" x14ac:dyDescent="0.25">
      <c r="H303" s="1" t="s">
        <v>3884</v>
      </c>
      <c r="I303" s="6">
        <v>20165</v>
      </c>
      <c r="J303" s="6">
        <v>1</v>
      </c>
      <c r="K303" s="6">
        <v>0</v>
      </c>
      <c r="L303" s="1" t="s">
        <v>153</v>
      </c>
      <c r="M303" s="317"/>
    </row>
    <row r="304" spans="8:13" x14ac:dyDescent="0.25">
      <c r="H304" s="1" t="s">
        <v>3885</v>
      </c>
      <c r="I304" s="6">
        <v>20166</v>
      </c>
      <c r="J304" s="6">
        <v>1</v>
      </c>
      <c r="K304" s="6">
        <v>0</v>
      </c>
      <c r="L304" s="1" t="s">
        <v>1073</v>
      </c>
      <c r="M304" s="317"/>
    </row>
    <row r="305" spans="8:13" x14ac:dyDescent="0.25">
      <c r="H305" s="1" t="s">
        <v>3886</v>
      </c>
      <c r="I305" s="6">
        <v>273</v>
      </c>
      <c r="J305" s="6">
        <v>1</v>
      </c>
      <c r="K305" s="6">
        <v>0</v>
      </c>
      <c r="L305" s="1" t="s">
        <v>153</v>
      </c>
      <c r="M305" s="317"/>
    </row>
    <row r="306" spans="8:13" x14ac:dyDescent="0.25">
      <c r="H306" s="1" t="s">
        <v>3887</v>
      </c>
      <c r="I306" s="6">
        <v>272</v>
      </c>
      <c r="J306" s="6">
        <v>1</v>
      </c>
      <c r="K306" s="6">
        <v>0</v>
      </c>
      <c r="L306" s="1" t="s">
        <v>1073</v>
      </c>
      <c r="M306" s="317"/>
    </row>
    <row r="307" spans="8:13" x14ac:dyDescent="0.25">
      <c r="H307" s="1" t="s">
        <v>3888</v>
      </c>
      <c r="I307" s="6">
        <v>221</v>
      </c>
      <c r="J307" s="6">
        <v>1</v>
      </c>
      <c r="K307" s="6">
        <v>0</v>
      </c>
      <c r="L307" s="1"/>
      <c r="M307" s="317"/>
    </row>
    <row r="308" spans="8:13" x14ac:dyDescent="0.25">
      <c r="H308" s="1" t="s">
        <v>3889</v>
      </c>
      <c r="I308" s="6">
        <v>223</v>
      </c>
      <c r="J308" s="6">
        <v>1</v>
      </c>
      <c r="K308" s="6">
        <v>0</v>
      </c>
      <c r="L308" s="1" t="s">
        <v>153</v>
      </c>
      <c r="M308" s="317"/>
    </row>
    <row r="309" spans="8:13" x14ac:dyDescent="0.25">
      <c r="H309" s="1" t="s">
        <v>3890</v>
      </c>
      <c r="I309" s="6">
        <v>222</v>
      </c>
      <c r="J309" s="6">
        <v>1</v>
      </c>
      <c r="K309" s="6">
        <v>0</v>
      </c>
      <c r="L309" s="1" t="s">
        <v>1073</v>
      </c>
      <c r="M309" s="317"/>
    </row>
    <row r="310" spans="8:13" x14ac:dyDescent="0.25">
      <c r="H310" s="1" t="s">
        <v>3891</v>
      </c>
      <c r="I310" s="6">
        <v>20172</v>
      </c>
      <c r="J310" s="6">
        <v>1</v>
      </c>
      <c r="K310" s="6">
        <v>0</v>
      </c>
      <c r="L310" s="1" t="s">
        <v>153</v>
      </c>
      <c r="M310" s="317"/>
    </row>
    <row r="311" spans="8:13" x14ac:dyDescent="0.25">
      <c r="H311" s="1" t="s">
        <v>3892</v>
      </c>
      <c r="I311" s="6">
        <v>20173</v>
      </c>
      <c r="J311" s="6">
        <v>1</v>
      </c>
      <c r="K311" s="6">
        <v>0</v>
      </c>
      <c r="L311" s="1" t="s">
        <v>1073</v>
      </c>
      <c r="M311" s="317"/>
    </row>
    <row r="312" spans="8:13" x14ac:dyDescent="0.25">
      <c r="H312" s="1" t="s">
        <v>3893</v>
      </c>
      <c r="I312" s="6">
        <v>20174</v>
      </c>
      <c r="J312" s="6">
        <v>1</v>
      </c>
      <c r="K312" s="6">
        <v>0</v>
      </c>
      <c r="L312" s="1" t="s">
        <v>153</v>
      </c>
      <c r="M312" s="317"/>
    </row>
    <row r="313" spans="8:13" x14ac:dyDescent="0.25">
      <c r="H313" s="1" t="s">
        <v>3894</v>
      </c>
      <c r="I313" s="6">
        <v>20175</v>
      </c>
      <c r="J313" s="6">
        <v>1</v>
      </c>
      <c r="K313" s="6">
        <v>0</v>
      </c>
      <c r="L313" s="1" t="s">
        <v>1073</v>
      </c>
      <c r="M313" s="317"/>
    </row>
    <row r="314" spans="8:13" x14ac:dyDescent="0.25">
      <c r="H314" s="1" t="s">
        <v>3895</v>
      </c>
      <c r="I314" s="6">
        <v>20176</v>
      </c>
      <c r="J314" s="6">
        <v>1</v>
      </c>
      <c r="K314" s="6">
        <v>0</v>
      </c>
      <c r="L314" s="1" t="s">
        <v>2397</v>
      </c>
      <c r="M314" s="317"/>
    </row>
    <row r="315" spans="8:13" x14ac:dyDescent="0.25">
      <c r="H315" s="1" t="s">
        <v>3871</v>
      </c>
      <c r="I315" s="6">
        <v>20177</v>
      </c>
      <c r="J315" s="6">
        <v>1</v>
      </c>
      <c r="K315" s="6">
        <v>-40</v>
      </c>
      <c r="L315" s="1" t="s">
        <v>170</v>
      </c>
      <c r="M315" s="317"/>
    </row>
    <row r="316" spans="8:13" x14ac:dyDescent="0.25">
      <c r="H316" s="1" t="s">
        <v>3896</v>
      </c>
      <c r="I316" s="6">
        <v>20178</v>
      </c>
      <c r="J316" s="6">
        <v>1</v>
      </c>
      <c r="K316" s="6">
        <v>0</v>
      </c>
      <c r="L316" s="1"/>
      <c r="M316" s="317"/>
    </row>
    <row r="317" spans="8:13" x14ac:dyDescent="0.25">
      <c r="H317" s="1" t="s">
        <v>3897</v>
      </c>
      <c r="I317" s="6">
        <v>20179</v>
      </c>
      <c r="J317" s="6">
        <v>1</v>
      </c>
      <c r="K317" s="6">
        <v>0</v>
      </c>
      <c r="L317" s="1" t="s">
        <v>2396</v>
      </c>
      <c r="M317" s="317"/>
    </row>
    <row r="318" spans="8:13" x14ac:dyDescent="0.25">
      <c r="H318" s="1" t="s">
        <v>3898</v>
      </c>
      <c r="I318" s="6">
        <v>20180</v>
      </c>
      <c r="J318" s="6">
        <v>1</v>
      </c>
      <c r="K318" s="6">
        <v>0</v>
      </c>
      <c r="L318" s="1" t="s">
        <v>1073</v>
      </c>
      <c r="M318" s="317"/>
    </row>
    <row r="319" spans="8:13" x14ac:dyDescent="0.25">
      <c r="H319" s="1" t="s">
        <v>3912</v>
      </c>
      <c r="I319" s="6">
        <v>20181</v>
      </c>
      <c r="J319" s="6">
        <v>1</v>
      </c>
      <c r="K319" s="6">
        <v>0</v>
      </c>
      <c r="L319" s="1" t="s">
        <v>1073</v>
      </c>
      <c r="M319" s="317"/>
    </row>
    <row r="320" spans="8:13" x14ac:dyDescent="0.25">
      <c r="H320" s="1" t="s">
        <v>3913</v>
      </c>
      <c r="I320" s="6">
        <v>20182</v>
      </c>
      <c r="J320" s="6">
        <v>1</v>
      </c>
      <c r="K320" s="6">
        <v>0</v>
      </c>
      <c r="L320" s="1" t="s">
        <v>1073</v>
      </c>
      <c r="M320" s="317"/>
    </row>
    <row r="321" spans="8:13" x14ac:dyDescent="0.25">
      <c r="H321" s="1" t="s">
        <v>3914</v>
      </c>
      <c r="I321" s="6">
        <v>20183</v>
      </c>
      <c r="J321" s="6">
        <v>1</v>
      </c>
      <c r="K321" s="6">
        <v>0</v>
      </c>
      <c r="L321" s="1" t="s">
        <v>1073</v>
      </c>
      <c r="M321" s="317"/>
    </row>
    <row r="322" spans="8:13" x14ac:dyDescent="0.25">
      <c r="H322" s="1" t="s">
        <v>3915</v>
      </c>
      <c r="I322" s="6">
        <v>20184</v>
      </c>
      <c r="J322" s="6">
        <v>1</v>
      </c>
      <c r="K322" s="6">
        <v>0</v>
      </c>
      <c r="L322" s="1" t="s">
        <v>1073</v>
      </c>
      <c r="M322" s="317"/>
    </row>
    <row r="323" spans="8:13" x14ac:dyDescent="0.25">
      <c r="H323" s="1" t="s">
        <v>3920</v>
      </c>
      <c r="I323" s="6">
        <v>20185</v>
      </c>
      <c r="J323" s="6">
        <v>1</v>
      </c>
      <c r="K323" s="6">
        <v>0</v>
      </c>
      <c r="L323" s="1"/>
      <c r="M323" s="317"/>
    </row>
    <row r="324" spans="8:13" x14ac:dyDescent="0.25">
      <c r="H324" s="6" t="s">
        <v>4546</v>
      </c>
      <c r="I324" s="6">
        <v>20186</v>
      </c>
      <c r="J324" s="6">
        <v>1</v>
      </c>
      <c r="K324" s="6">
        <v>0</v>
      </c>
      <c r="L324" s="1" t="s">
        <v>1073</v>
      </c>
      <c r="M324" s="317"/>
    </row>
    <row r="325" spans="8:13" x14ac:dyDescent="0.25">
      <c r="H325" s="6" t="s">
        <v>4547</v>
      </c>
      <c r="I325" s="6">
        <v>20187</v>
      </c>
      <c r="J325" s="6">
        <v>1</v>
      </c>
      <c r="K325" s="6">
        <v>0</v>
      </c>
      <c r="L325" s="1" t="s">
        <v>1073</v>
      </c>
      <c r="M325" s="317"/>
    </row>
    <row r="326" spans="8:13" x14ac:dyDescent="0.25">
      <c r="H326" s="6" t="s">
        <v>4549</v>
      </c>
      <c r="I326" s="6">
        <v>20188</v>
      </c>
      <c r="J326" s="6">
        <v>0.1</v>
      </c>
      <c r="K326" s="1">
        <v>0</v>
      </c>
      <c r="L326" s="6" t="s">
        <v>2552</v>
      </c>
      <c r="M326" s="317"/>
    </row>
    <row r="327" spans="8:13" x14ac:dyDescent="0.25">
      <c r="H327" s="1" t="s">
        <v>4550</v>
      </c>
      <c r="I327" s="6">
        <v>20189</v>
      </c>
      <c r="J327" s="1">
        <v>1</v>
      </c>
      <c r="K327" s="1">
        <v>0</v>
      </c>
      <c r="L327" s="1"/>
      <c r="M327" s="317"/>
    </row>
    <row r="328" spans="8:13" x14ac:dyDescent="0.25">
      <c r="H328" s="1" t="s">
        <v>4551</v>
      </c>
      <c r="I328" s="6">
        <v>20190</v>
      </c>
      <c r="J328" s="1">
        <v>1</v>
      </c>
      <c r="K328" s="1">
        <v>0</v>
      </c>
      <c r="L328" s="1"/>
      <c r="M328" s="317"/>
    </row>
    <row r="329" spans="8:13" x14ac:dyDescent="0.25">
      <c r="H329" s="1" t="s">
        <v>4552</v>
      </c>
      <c r="I329" s="6">
        <v>20191</v>
      </c>
      <c r="J329" s="1">
        <v>1.8520000000000001</v>
      </c>
      <c r="K329" s="1">
        <v>0</v>
      </c>
      <c r="L329" s="1" t="s">
        <v>2397</v>
      </c>
      <c r="M329" s="317"/>
    </row>
    <row r="330" spans="8:13" x14ac:dyDescent="0.25">
      <c r="H330" s="6" t="s">
        <v>4550</v>
      </c>
      <c r="I330" s="6">
        <v>20189</v>
      </c>
      <c r="J330" s="1">
        <v>1</v>
      </c>
      <c r="K330" s="1">
        <v>0</v>
      </c>
      <c r="L330" s="1"/>
      <c r="M330" s="317"/>
    </row>
    <row r="331" spans="8:13" x14ac:dyDescent="0.25">
      <c r="H331" s="6" t="s">
        <v>4551</v>
      </c>
      <c r="I331" s="6">
        <v>20190</v>
      </c>
      <c r="J331" s="1">
        <v>1</v>
      </c>
      <c r="K331" s="1">
        <v>0</v>
      </c>
      <c r="L331" s="1"/>
      <c r="M331" s="317"/>
    </row>
    <row r="332" spans="8:13" x14ac:dyDescent="0.25">
      <c r="H332" s="6" t="s">
        <v>4552</v>
      </c>
      <c r="I332" s="6">
        <v>20191</v>
      </c>
      <c r="J332" s="1">
        <v>1.8520000000000001</v>
      </c>
      <c r="K332" s="1">
        <v>0</v>
      </c>
      <c r="L332" s="1" t="s">
        <v>2397</v>
      </c>
      <c r="M332" s="317"/>
    </row>
    <row r="333" spans="8:13" x14ac:dyDescent="0.25">
      <c r="H333" s="6" t="s">
        <v>4567</v>
      </c>
      <c r="I333" s="6">
        <v>20192</v>
      </c>
      <c r="J333" s="1">
        <v>1</v>
      </c>
      <c r="K333" s="1">
        <v>0</v>
      </c>
      <c r="L333" s="1" t="s">
        <v>2475</v>
      </c>
      <c r="M333" s="317"/>
    </row>
    <row r="334" spans="8:13" x14ac:dyDescent="0.25">
      <c r="H334" s="1" t="s">
        <v>4568</v>
      </c>
      <c r="I334" s="6">
        <v>20193</v>
      </c>
      <c r="J334" s="1">
        <v>1</v>
      </c>
      <c r="K334" s="1">
        <v>0</v>
      </c>
      <c r="L334" s="1" t="s">
        <v>4569</v>
      </c>
      <c r="M334" s="317"/>
    </row>
    <row r="335" spans="8:13" x14ac:dyDescent="0.25">
      <c r="H335" s="1" t="s">
        <v>4570</v>
      </c>
      <c r="I335" s="6">
        <v>20194</v>
      </c>
      <c r="J335" s="1">
        <v>1</v>
      </c>
      <c r="K335" s="1">
        <v>0</v>
      </c>
      <c r="L335" s="1" t="s">
        <v>2475</v>
      </c>
      <c r="M335" s="317"/>
    </row>
    <row r="336" spans="8:13" x14ac:dyDescent="0.25">
      <c r="H336" s="1" t="s">
        <v>4571</v>
      </c>
      <c r="I336" s="6">
        <v>20195</v>
      </c>
      <c r="J336" s="1">
        <v>1</v>
      </c>
      <c r="K336" s="1">
        <v>0</v>
      </c>
      <c r="L336" s="1" t="s">
        <v>4569</v>
      </c>
      <c r="M336" s="317"/>
    </row>
    <row r="337" spans="8:13" x14ac:dyDescent="0.25">
      <c r="H337" s="1" t="s">
        <v>4563</v>
      </c>
      <c r="I337" s="6">
        <v>20196</v>
      </c>
      <c r="J337" s="1">
        <v>1</v>
      </c>
      <c r="K337" s="1">
        <v>0</v>
      </c>
      <c r="L337" s="1"/>
      <c r="M337" s="317"/>
    </row>
    <row r="338" spans="8:13" x14ac:dyDescent="0.25">
      <c r="H338" s="1" t="s">
        <v>4564</v>
      </c>
      <c r="I338" s="1">
        <v>556</v>
      </c>
      <c r="J338" s="1">
        <v>0.01</v>
      </c>
      <c r="K338" s="1">
        <v>0</v>
      </c>
      <c r="L338" s="1" t="s">
        <v>3639</v>
      </c>
      <c r="M338" s="317"/>
    </row>
    <row r="339" spans="8:13" x14ac:dyDescent="0.25">
      <c r="H339" s="1" t="s">
        <v>4565</v>
      </c>
      <c r="I339" s="1">
        <v>605</v>
      </c>
      <c r="J339" s="1">
        <v>0.01</v>
      </c>
      <c r="K339" s="1">
        <v>0</v>
      </c>
      <c r="L339" s="1" t="s">
        <v>3639</v>
      </c>
      <c r="M339" s="317"/>
    </row>
    <row r="340" spans="8:13" x14ac:dyDescent="0.25">
      <c r="H340" s="1" t="s">
        <v>4566</v>
      </c>
      <c r="I340" s="1">
        <v>622</v>
      </c>
      <c r="J340" s="1">
        <v>1</v>
      </c>
      <c r="K340" s="1">
        <v>0</v>
      </c>
      <c r="L340" s="1" t="s">
        <v>1073</v>
      </c>
      <c r="M340" s="317"/>
    </row>
    <row r="341" spans="8:13" x14ac:dyDescent="0.25">
      <c r="H341" s="1" t="s">
        <v>4572</v>
      </c>
      <c r="I341" s="6">
        <v>20197</v>
      </c>
      <c r="J341" s="6">
        <v>1</v>
      </c>
      <c r="K341" s="6">
        <v>0</v>
      </c>
      <c r="L341" s="1"/>
      <c r="M341" s="317"/>
    </row>
    <row r="342" spans="8:13" x14ac:dyDescent="0.25">
      <c r="H342" s="1" t="s">
        <v>4573</v>
      </c>
      <c r="I342" s="6">
        <v>20198</v>
      </c>
      <c r="J342" s="6">
        <v>1</v>
      </c>
      <c r="K342" s="6">
        <v>0</v>
      </c>
      <c r="L342" s="1"/>
      <c r="M342" s="317"/>
    </row>
    <row r="343" spans="8:13" x14ac:dyDescent="0.25">
      <c r="H343" t="s">
        <v>4639</v>
      </c>
      <c r="I343" s="352">
        <v>20199</v>
      </c>
      <c r="J343" s="6">
        <v>1</v>
      </c>
      <c r="K343" s="6">
        <v>0</v>
      </c>
      <c r="L343" s="352" t="s">
        <v>4636</v>
      </c>
    </row>
    <row r="344" spans="8:13" x14ac:dyDescent="0.25">
      <c r="H344" t="s">
        <v>4638</v>
      </c>
      <c r="I344" s="6">
        <v>20200</v>
      </c>
      <c r="J344" s="6">
        <v>1</v>
      </c>
      <c r="K344" s="6">
        <v>0</v>
      </c>
      <c r="L344" t="s">
        <v>4636</v>
      </c>
    </row>
    <row r="345" spans="8:13" x14ac:dyDescent="0.25">
      <c r="H345" t="s">
        <v>4637</v>
      </c>
      <c r="I345" s="6">
        <v>20201</v>
      </c>
      <c r="J345" s="6">
        <v>1</v>
      </c>
      <c r="K345" s="6">
        <v>0</v>
      </c>
      <c r="L345" t="s">
        <v>4636</v>
      </c>
    </row>
    <row r="346" spans="8:13" x14ac:dyDescent="0.25">
      <c r="H346" t="s">
        <v>4635</v>
      </c>
      <c r="I346" s="352">
        <v>20202</v>
      </c>
      <c r="J346" s="6">
        <v>1</v>
      </c>
      <c r="K346" s="6">
        <v>0</v>
      </c>
      <c r="L346" t="s">
        <v>4636</v>
      </c>
    </row>
    <row r="347" spans="8:13" x14ac:dyDescent="0.25">
      <c r="H347" t="s">
        <v>4634</v>
      </c>
      <c r="I347" s="6">
        <v>20203</v>
      </c>
      <c r="J347" s="6">
        <v>1</v>
      </c>
      <c r="K347" s="6">
        <v>0</v>
      </c>
    </row>
    <row r="348" spans="8:13" x14ac:dyDescent="0.25">
      <c r="H348" t="s">
        <v>4633</v>
      </c>
      <c r="I348" s="6">
        <v>20204</v>
      </c>
      <c r="J348" s="6">
        <v>1</v>
      </c>
      <c r="K348" s="6">
        <v>0</v>
      </c>
      <c r="L348" t="s">
        <v>93</v>
      </c>
    </row>
    <row r="349" spans="8:13" x14ac:dyDescent="0.25">
      <c r="H349" t="s">
        <v>4632</v>
      </c>
      <c r="I349" s="352">
        <v>20205</v>
      </c>
      <c r="J349" s="6">
        <v>1</v>
      </c>
      <c r="K349" s="6">
        <v>0</v>
      </c>
    </row>
    <row r="350" spans="8:13" x14ac:dyDescent="0.25">
      <c r="H350" t="s">
        <v>4631</v>
      </c>
      <c r="I350" s="6">
        <v>20206</v>
      </c>
      <c r="J350" s="6">
        <v>1</v>
      </c>
      <c r="K350" s="6">
        <v>0</v>
      </c>
      <c r="L350" t="s">
        <v>2475</v>
      </c>
    </row>
    <row r="351" spans="8:13" x14ac:dyDescent="0.25">
      <c r="H351" t="s">
        <v>4630</v>
      </c>
      <c r="I351" s="6">
        <v>20207</v>
      </c>
      <c r="J351" s="6">
        <v>1</v>
      </c>
      <c r="K351" s="6">
        <v>0</v>
      </c>
    </row>
    <row r="352" spans="8:13" x14ac:dyDescent="0.25">
      <c r="H352" t="s">
        <v>4629</v>
      </c>
      <c r="I352" s="352">
        <v>20208</v>
      </c>
      <c r="J352" s="6">
        <v>1</v>
      </c>
      <c r="K352" s="6">
        <v>0</v>
      </c>
      <c r="L352" t="s">
        <v>93</v>
      </c>
    </row>
    <row r="353" spans="8:12" x14ac:dyDescent="0.25">
      <c r="H353" t="s">
        <v>4627</v>
      </c>
      <c r="I353" s="6">
        <v>20209</v>
      </c>
      <c r="J353" s="6">
        <v>1</v>
      </c>
      <c r="K353" s="6">
        <v>0</v>
      </c>
    </row>
    <row r="354" spans="8:12" x14ac:dyDescent="0.25">
      <c r="H354" t="s">
        <v>4640</v>
      </c>
      <c r="I354" s="6">
        <v>20210</v>
      </c>
      <c r="J354" s="6">
        <v>1</v>
      </c>
      <c r="K354" s="6">
        <v>0</v>
      </c>
    </row>
    <row r="355" spans="8:12" x14ac:dyDescent="0.25">
      <c r="H355" t="s">
        <v>4628</v>
      </c>
      <c r="I355" s="352">
        <v>20211</v>
      </c>
      <c r="J355" s="6">
        <v>1</v>
      </c>
      <c r="K355" s="6">
        <v>0</v>
      </c>
      <c r="L355" t="s">
        <v>1073</v>
      </c>
    </row>
    <row r="356" spans="8:12" x14ac:dyDescent="0.25">
      <c r="H356" t="s">
        <v>4641</v>
      </c>
      <c r="I356" s="352">
        <v>20212</v>
      </c>
      <c r="J356" s="6">
        <v>1</v>
      </c>
      <c r="K356" s="6">
        <v>0</v>
      </c>
    </row>
    <row r="357" spans="8:12" x14ac:dyDescent="0.25">
      <c r="H357" t="s">
        <v>4550</v>
      </c>
      <c r="I357" s="6">
        <v>20213</v>
      </c>
      <c r="J357" s="6">
        <v>1</v>
      </c>
      <c r="K357" s="6">
        <v>0</v>
      </c>
      <c r="L357" t="s">
        <v>3245</v>
      </c>
    </row>
    <row r="358" spans="8:12" x14ac:dyDescent="0.25">
      <c r="H358" t="s">
        <v>4551</v>
      </c>
      <c r="I358" s="6">
        <v>20214</v>
      </c>
      <c r="J358" s="6">
        <v>1</v>
      </c>
      <c r="K358" s="6">
        <v>0</v>
      </c>
      <c r="L358" t="s">
        <v>3245</v>
      </c>
    </row>
    <row r="359" spans="8:12" x14ac:dyDescent="0.25">
      <c r="H359" t="s">
        <v>4552</v>
      </c>
      <c r="I359" s="352">
        <v>20215</v>
      </c>
      <c r="J359" s="1">
        <v>1.8520000000000001</v>
      </c>
      <c r="K359" s="1">
        <v>0</v>
      </c>
      <c r="L359" s="1" t="s">
        <v>2397</v>
      </c>
    </row>
    <row r="360" spans="8:12" x14ac:dyDescent="0.25">
      <c r="H360" t="s">
        <v>4644</v>
      </c>
      <c r="I360" s="352">
        <v>20218</v>
      </c>
      <c r="J360" s="352">
        <v>1</v>
      </c>
      <c r="K360" s="352">
        <v>0</v>
      </c>
    </row>
    <row r="361" spans="8:12" x14ac:dyDescent="0.25">
      <c r="H361" t="s">
        <v>4650</v>
      </c>
      <c r="I361" s="352">
        <v>20219</v>
      </c>
      <c r="J361" s="352">
        <v>1</v>
      </c>
      <c r="K361" s="352">
        <v>0</v>
      </c>
    </row>
    <row r="362" spans="8:12" x14ac:dyDescent="0.25">
      <c r="H362" t="s">
        <v>4657</v>
      </c>
      <c r="I362" s="352">
        <v>20220</v>
      </c>
      <c r="J362" s="352">
        <v>1</v>
      </c>
      <c r="K362" s="352">
        <v>0</v>
      </c>
    </row>
    <row r="363" spans="8:12" x14ac:dyDescent="0.25">
      <c r="H363" t="s">
        <v>4651</v>
      </c>
      <c r="I363" s="352">
        <v>20221</v>
      </c>
      <c r="J363" s="352">
        <v>1</v>
      </c>
      <c r="K363" s="352">
        <v>0</v>
      </c>
    </row>
    <row r="364" spans="8:12" x14ac:dyDescent="0.25">
      <c r="H364" t="s">
        <v>4652</v>
      </c>
      <c r="I364" s="352">
        <v>20222</v>
      </c>
      <c r="J364" s="352">
        <v>1</v>
      </c>
      <c r="K364" s="352">
        <v>0</v>
      </c>
    </row>
    <row r="365" spans="8:12" x14ac:dyDescent="0.25">
      <c r="H365" t="s">
        <v>4653</v>
      </c>
      <c r="I365" s="352">
        <v>20223</v>
      </c>
      <c r="J365" s="352">
        <v>1</v>
      </c>
      <c r="K365" s="352">
        <v>0</v>
      </c>
    </row>
    <row r="366" spans="8:12" x14ac:dyDescent="0.25">
      <c r="H366" t="s">
        <v>4654</v>
      </c>
      <c r="I366" s="352">
        <v>20224</v>
      </c>
      <c r="J366" s="352">
        <v>1</v>
      </c>
      <c r="K366" s="352">
        <v>0</v>
      </c>
    </row>
    <row r="367" spans="8:12" x14ac:dyDescent="0.25">
      <c r="H367" t="s">
        <v>4655</v>
      </c>
      <c r="I367" s="352">
        <v>20225</v>
      </c>
      <c r="J367" s="352">
        <v>1</v>
      </c>
      <c r="K367" s="352">
        <v>0</v>
      </c>
    </row>
    <row r="368" spans="8:12" x14ac:dyDescent="0.25">
      <c r="H368" t="s">
        <v>4656</v>
      </c>
      <c r="I368" s="352">
        <v>20226</v>
      </c>
      <c r="J368" s="352">
        <v>1</v>
      </c>
      <c r="K368" s="352">
        <v>0</v>
      </c>
    </row>
    <row r="369" spans="8:12" x14ac:dyDescent="0.25">
      <c r="H369" t="s">
        <v>4658</v>
      </c>
      <c r="I369" s="352">
        <v>20227</v>
      </c>
      <c r="J369" s="352">
        <v>1</v>
      </c>
      <c r="K369" s="352">
        <v>0</v>
      </c>
    </row>
    <row r="370" spans="8:12" x14ac:dyDescent="0.25">
      <c r="H370" t="s">
        <v>4685</v>
      </c>
      <c r="I370" s="352">
        <v>20228</v>
      </c>
      <c r="J370" s="352">
        <v>1</v>
      </c>
      <c r="K370" s="352">
        <v>0</v>
      </c>
    </row>
    <row r="371" spans="8:12" x14ac:dyDescent="0.25">
      <c r="H371" t="s">
        <v>4686</v>
      </c>
      <c r="I371" s="352">
        <v>20229</v>
      </c>
      <c r="J371" s="352">
        <v>1</v>
      </c>
      <c r="K371" s="352">
        <v>0</v>
      </c>
    </row>
    <row r="372" spans="8:12" x14ac:dyDescent="0.25">
      <c r="H372" t="s">
        <v>4687</v>
      </c>
      <c r="I372" s="352">
        <v>20230</v>
      </c>
      <c r="J372" s="352">
        <v>1</v>
      </c>
      <c r="K372" s="352">
        <v>0</v>
      </c>
    </row>
    <row r="373" spans="8:12" x14ac:dyDescent="0.25">
      <c r="H373" t="s">
        <v>4690</v>
      </c>
      <c r="I373" s="352">
        <v>20231</v>
      </c>
      <c r="J373" s="352">
        <v>1</v>
      </c>
      <c r="K373" s="352">
        <v>0</v>
      </c>
    </row>
    <row r="374" spans="8:12" x14ac:dyDescent="0.25">
      <c r="H374" t="s">
        <v>4691</v>
      </c>
      <c r="I374" s="352">
        <v>20232</v>
      </c>
      <c r="J374" s="352">
        <v>1</v>
      </c>
      <c r="K374" s="352">
        <v>0</v>
      </c>
    </row>
    <row r="375" spans="8:12" x14ac:dyDescent="0.25">
      <c r="H375" t="s">
        <v>4692</v>
      </c>
      <c r="I375" s="352">
        <v>20233</v>
      </c>
      <c r="J375" s="352">
        <v>1</v>
      </c>
      <c r="K375" s="352">
        <v>0</v>
      </c>
    </row>
    <row r="376" spans="8:12" x14ac:dyDescent="0.25">
      <c r="H376" t="s">
        <v>4693</v>
      </c>
      <c r="I376" s="352">
        <v>20234</v>
      </c>
      <c r="J376" s="1">
        <v>1.8520000000000001</v>
      </c>
      <c r="K376" s="1">
        <v>0</v>
      </c>
      <c r="L376" s="1" t="s">
        <v>2397</v>
      </c>
    </row>
    <row r="377" spans="8:12" x14ac:dyDescent="0.25">
      <c r="H377" t="s">
        <v>4694</v>
      </c>
      <c r="I377" s="352">
        <v>20235</v>
      </c>
      <c r="J377" s="352">
        <v>1</v>
      </c>
      <c r="K377" s="352">
        <v>0</v>
      </c>
    </row>
    <row r="378" spans="8:12" x14ac:dyDescent="0.25">
      <c r="H378" t="s">
        <v>4695</v>
      </c>
      <c r="I378" s="352">
        <v>20236</v>
      </c>
      <c r="J378" s="352">
        <v>1</v>
      </c>
      <c r="K378" s="352">
        <v>0</v>
      </c>
    </row>
    <row r="379" spans="8:12" x14ac:dyDescent="0.25">
      <c r="H379" t="s">
        <v>4707</v>
      </c>
      <c r="I379" s="352">
        <v>20237</v>
      </c>
      <c r="J379" s="352">
        <v>1</v>
      </c>
      <c r="K379" s="352">
        <v>0</v>
      </c>
    </row>
    <row r="380" spans="8:12" x14ac:dyDescent="0.25">
      <c r="H380" t="s">
        <v>4708</v>
      </c>
      <c r="I380" s="352">
        <v>20238</v>
      </c>
      <c r="J380" s="352">
        <v>1</v>
      </c>
      <c r="K380" s="352">
        <v>0</v>
      </c>
    </row>
    <row r="381" spans="8:12" x14ac:dyDescent="0.25">
      <c r="H381" t="s">
        <v>4712</v>
      </c>
      <c r="I381" s="352">
        <v>20239</v>
      </c>
      <c r="J381" s="352">
        <v>1</v>
      </c>
      <c r="K381" s="352">
        <v>0</v>
      </c>
    </row>
    <row r="382" spans="8:12" x14ac:dyDescent="0.25">
      <c r="H382" t="s">
        <v>4713</v>
      </c>
      <c r="I382" s="352">
        <v>20240</v>
      </c>
      <c r="J382" s="352">
        <v>1</v>
      </c>
      <c r="K382" s="352">
        <v>0</v>
      </c>
    </row>
    <row r="383" spans="8:12" x14ac:dyDescent="0.25">
      <c r="H383" t="s">
        <v>4714</v>
      </c>
      <c r="I383" s="352">
        <v>20241</v>
      </c>
      <c r="J383" s="352">
        <v>1</v>
      </c>
      <c r="K383" s="352">
        <v>0</v>
      </c>
      <c r="L383" t="s">
        <v>93</v>
      </c>
    </row>
    <row r="384" spans="8:12" x14ac:dyDescent="0.25">
      <c r="H384" t="s">
        <v>4715</v>
      </c>
      <c r="I384" s="352">
        <v>20242</v>
      </c>
      <c r="J384" s="352">
        <v>1</v>
      </c>
      <c r="K384" s="352">
        <v>0</v>
      </c>
      <c r="L384" t="s">
        <v>93</v>
      </c>
    </row>
    <row r="385" spans="8:12" x14ac:dyDescent="0.25">
      <c r="H385" t="s">
        <v>4716</v>
      </c>
      <c r="I385" s="352">
        <v>20243</v>
      </c>
      <c r="J385" s="352">
        <v>1</v>
      </c>
      <c r="K385" s="352">
        <v>0</v>
      </c>
      <c r="L385" t="s">
        <v>93</v>
      </c>
    </row>
    <row r="386" spans="8:12" x14ac:dyDescent="0.25">
      <c r="H386" t="s">
        <v>4717</v>
      </c>
      <c r="I386" s="352">
        <v>20244</v>
      </c>
      <c r="J386" s="352">
        <v>1</v>
      </c>
      <c r="K386" s="352">
        <v>0</v>
      </c>
    </row>
    <row r="1048555" spans="8:8" x14ac:dyDescent="0.25">
      <c r="H1048555" s="352"/>
    </row>
  </sheetData>
  <autoFilter ref="H12:M92">
    <sortState ref="H13:N176">
      <sortCondition ref="I12:I98"/>
    </sortState>
  </autoFilter>
  <sortState ref="H13:N90">
    <sortCondition ref="I13:I90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ecture_trace_Ican">
                <anchor moveWithCells="1" sizeWithCells="1">
                  <from>
                    <xdr:col>5</xdr:col>
                    <xdr:colOff>1188720</xdr:colOff>
                    <xdr:row>3</xdr:row>
                    <xdr:rowOff>0</xdr:rowOff>
                  </from>
                  <to>
                    <xdr:col>5</xdr:col>
                    <xdr:colOff>3185160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uvrir_dossier_logs_Ican">
                <anchor moveWithCells="1" sizeWithCells="1">
                  <from>
                    <xdr:col>2</xdr:col>
                    <xdr:colOff>426720</xdr:colOff>
                    <xdr:row>2</xdr:row>
                    <xdr:rowOff>160020</xdr:rowOff>
                  </from>
                  <to>
                    <xdr:col>5</xdr:col>
                    <xdr:colOff>594360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ion_CRV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365760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inDownload_JSON_Files">
                <anchor moveWithCells="1" sizeWithCells="1">
                  <from>
                    <xdr:col>10</xdr:col>
                    <xdr:colOff>15240</xdr:colOff>
                    <xdr:row>3</xdr:row>
                    <xdr:rowOff>15240</xdr:rowOff>
                  </from>
                  <to>
                    <xdr:col>12</xdr:col>
                    <xdr:colOff>960120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FFFF00"/>
  </sheetPr>
  <dimension ref="A2:A60"/>
  <sheetViews>
    <sheetView zoomScale="85" zoomScaleNormal="85" workbookViewId="0">
      <selection activeCell="BL11" sqref="BL11"/>
    </sheetView>
  </sheetViews>
  <sheetFormatPr baseColWidth="10" defaultColWidth="11.44140625" defaultRowHeight="13.2" x14ac:dyDescent="0.25"/>
  <cols>
    <col min="1" max="1" width="13" style="3" customWidth="1"/>
    <col min="2" max="16384" width="11.44140625" style="3"/>
  </cols>
  <sheetData>
    <row r="2" spans="1:1" x14ac:dyDescent="0.25">
      <c r="A2" s="3" t="s">
        <v>74</v>
      </c>
    </row>
    <row r="3" spans="1:1" x14ac:dyDescent="0.25">
      <c r="A3" s="3" t="s">
        <v>73</v>
      </c>
    </row>
    <row r="4" spans="1:1" x14ac:dyDescent="0.25">
      <c r="A4" s="3" t="s">
        <v>75</v>
      </c>
    </row>
    <row r="5" spans="1:1" x14ac:dyDescent="0.25">
      <c r="A5" s="3" t="s">
        <v>76</v>
      </c>
    </row>
    <row r="6" spans="1:1" x14ac:dyDescent="0.25">
      <c r="A6" s="3" t="s">
        <v>77</v>
      </c>
    </row>
    <row r="7" spans="1:1" x14ac:dyDescent="0.25">
      <c r="A7" s="3" t="s">
        <v>78</v>
      </c>
    </row>
    <row r="8" spans="1:1" s="2" customFormat="1" ht="75" customHeight="1" x14ac:dyDescent="0.25"/>
    <row r="9" spans="1:1" s="2" customFormat="1" ht="75" customHeight="1" x14ac:dyDescent="0.25"/>
    <row r="10" spans="1:1" s="2" customFormat="1" ht="75" customHeight="1" x14ac:dyDescent="0.25"/>
    <row r="11" spans="1:1" s="2" customFormat="1" ht="75" customHeight="1" x14ac:dyDescent="0.25"/>
    <row r="12" spans="1:1" s="2" customFormat="1" ht="75" customHeight="1" x14ac:dyDescent="0.25"/>
    <row r="13" spans="1:1" s="2" customFormat="1" ht="75" customHeight="1" x14ac:dyDescent="0.25"/>
    <row r="14" spans="1:1" s="2" customFormat="1" ht="75" customHeight="1" x14ac:dyDescent="0.25"/>
    <row r="15" spans="1:1" s="2" customFormat="1" ht="75" customHeight="1" x14ac:dyDescent="0.25"/>
    <row r="16" spans="1:1" s="2" customFormat="1" ht="75" customHeight="1" x14ac:dyDescent="0.25"/>
    <row r="17" s="2" customFormat="1" ht="75" customHeight="1" x14ac:dyDescent="0.25"/>
    <row r="18" s="2" customFormat="1" ht="75" customHeight="1" x14ac:dyDescent="0.25"/>
    <row r="19" s="2" customFormat="1" ht="75" customHeight="1" x14ac:dyDescent="0.25"/>
    <row r="20" s="2" customFormat="1" ht="75" customHeight="1" x14ac:dyDescent="0.25"/>
    <row r="21" s="2" customFormat="1" ht="75" customHeight="1" x14ac:dyDescent="0.25"/>
    <row r="22" s="2" customFormat="1" ht="75" customHeight="1" x14ac:dyDescent="0.25"/>
    <row r="23" s="2" customFormat="1" ht="75" customHeight="1" x14ac:dyDescent="0.25"/>
    <row r="24" s="2" customFormat="1" ht="75" customHeight="1" x14ac:dyDescent="0.25"/>
    <row r="25" s="2" customFormat="1" ht="75" customHeight="1" x14ac:dyDescent="0.25"/>
    <row r="26" s="2" customFormat="1" ht="75" customHeight="1" x14ac:dyDescent="0.25"/>
    <row r="27" s="2" customFormat="1" ht="75" customHeight="1" x14ac:dyDescent="0.25"/>
    <row r="28" s="2" customFormat="1" ht="75" customHeight="1" x14ac:dyDescent="0.25"/>
    <row r="29" s="2" customFormat="1" ht="75" customHeight="1" x14ac:dyDescent="0.25"/>
    <row r="30" s="2" customFormat="1" ht="75" customHeight="1" x14ac:dyDescent="0.25"/>
    <row r="31" s="2" customFormat="1" ht="75" customHeight="1" x14ac:dyDescent="0.25"/>
    <row r="32" s="2" customFormat="1" ht="75" customHeight="1" x14ac:dyDescent="0.25"/>
    <row r="33" s="2" customFormat="1" ht="75" customHeight="1" x14ac:dyDescent="0.25"/>
    <row r="34" s="2" customFormat="1" ht="75" customHeight="1" x14ac:dyDescent="0.25"/>
    <row r="35" s="2" customFormat="1" ht="75" customHeight="1" x14ac:dyDescent="0.25"/>
    <row r="36" s="2" customFormat="1" ht="75" customHeight="1" x14ac:dyDescent="0.25"/>
    <row r="37" s="2" customFormat="1" ht="75" customHeight="1" x14ac:dyDescent="0.25"/>
    <row r="38" s="2" customFormat="1" ht="75" customHeight="1" x14ac:dyDescent="0.25"/>
    <row r="39" s="2" customFormat="1" ht="75" customHeight="1" x14ac:dyDescent="0.25"/>
    <row r="40" s="2" customFormat="1" ht="75" customHeight="1" x14ac:dyDescent="0.25"/>
    <row r="41" s="2" customFormat="1" ht="75" customHeight="1" x14ac:dyDescent="0.25"/>
    <row r="42" s="2" customFormat="1" ht="75" customHeight="1" x14ac:dyDescent="0.25"/>
    <row r="43" s="2" customFormat="1" ht="75" customHeight="1" x14ac:dyDescent="0.25"/>
    <row r="44" s="2" customFormat="1" ht="75" customHeight="1" x14ac:dyDescent="0.25"/>
    <row r="45" s="2" customFormat="1" ht="75" customHeight="1" x14ac:dyDescent="0.25"/>
    <row r="46" s="2" customFormat="1" ht="75" customHeight="1" x14ac:dyDescent="0.25"/>
    <row r="47" s="2" customFormat="1" ht="75" customHeight="1" x14ac:dyDescent="0.25"/>
    <row r="48" s="2" customFormat="1" ht="75" customHeight="1" x14ac:dyDescent="0.25"/>
    <row r="49" s="2" customFormat="1" ht="75" customHeight="1" x14ac:dyDescent="0.25"/>
    <row r="50" ht="75" customHeight="1" x14ac:dyDescent="0.25"/>
    <row r="51" ht="75" customHeight="1" x14ac:dyDescent="0.25"/>
    <row r="52" ht="75" customHeight="1" x14ac:dyDescent="0.25"/>
    <row r="53" ht="75" customHeight="1" x14ac:dyDescent="0.25"/>
    <row r="54" ht="75" customHeight="1" x14ac:dyDescent="0.25"/>
    <row r="55" ht="75" customHeight="1" x14ac:dyDescent="0.25"/>
    <row r="56" ht="75" customHeight="1" x14ac:dyDescent="0.25"/>
    <row r="57" ht="75" customHeight="1" x14ac:dyDescent="0.25"/>
    <row r="58" ht="75" customHeight="1" x14ac:dyDescent="0.25"/>
    <row r="59" ht="75" customHeight="1" x14ac:dyDescent="0.25"/>
    <row r="60" ht="75" customHeight="1" x14ac:dyDescent="0.25"/>
  </sheetData>
  <autoFilter ref="A2:A60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FFFF00"/>
  </sheetPr>
  <dimension ref="B2:NO3"/>
  <sheetViews>
    <sheetView zoomScaleNormal="100" workbookViewId="0">
      <pane xSplit="2" ySplit="3" topLeftCell="DH4" activePane="bottomRight" state="frozen"/>
      <selection activeCell="F45" sqref="F45"/>
      <selection pane="topRight" activeCell="F45" sqref="F45"/>
      <selection pane="bottomLeft" activeCell="F45" sqref="F45"/>
      <selection pane="bottomRight" activeCell="DL12" sqref="DL12"/>
    </sheetView>
  </sheetViews>
  <sheetFormatPr baseColWidth="10" defaultRowHeight="13.2" x14ac:dyDescent="0.25"/>
  <cols>
    <col min="1" max="1" width="5.109375" customWidth="1"/>
    <col min="2" max="2" width="71.33203125" customWidth="1"/>
    <col min="3" max="3" width="28.77734375" customWidth="1"/>
    <col min="4" max="4" width="18.88671875" customWidth="1"/>
    <col min="5" max="5" width="18.44140625" customWidth="1"/>
    <col min="6" max="6" width="23.33203125" customWidth="1"/>
    <col min="7" max="7" width="16.109375" bestFit="1" customWidth="1"/>
    <col min="8" max="8" width="22.44140625" customWidth="1"/>
    <col min="9" max="9" width="15.6640625" customWidth="1"/>
    <col min="10" max="14" width="11.5546875" customWidth="1"/>
    <col min="15" max="15" width="18.44140625" customWidth="1"/>
    <col min="16" max="17" width="11.5546875" customWidth="1"/>
    <col min="18" max="19" width="11.44140625" customWidth="1"/>
    <col min="20" max="20" width="18.44140625" customWidth="1"/>
    <col min="21" max="22" width="11.44140625" customWidth="1"/>
    <col min="23" max="24" width="11.5546875" customWidth="1"/>
    <col min="25" max="70" width="11.44140625" customWidth="1"/>
    <col min="71" max="71" width="31.44140625" customWidth="1"/>
    <col min="72" max="76" width="11.44140625" customWidth="1"/>
    <col min="77" max="77" width="20.33203125" customWidth="1"/>
    <col min="78" max="78" width="11.44140625" customWidth="1"/>
    <col min="79" max="79" width="16.33203125" customWidth="1"/>
    <col min="80" max="85" width="11.44140625" customWidth="1"/>
    <col min="86" max="86" width="17.33203125" customWidth="1"/>
    <col min="87" max="147" width="11.44140625" customWidth="1"/>
    <col min="148" max="149" width="11.5546875" customWidth="1"/>
    <col min="150" max="164" width="11.44140625" customWidth="1"/>
    <col min="165" max="165" width="19.33203125" customWidth="1"/>
    <col min="166" max="185" width="11.44140625" customWidth="1"/>
    <col min="186" max="186" width="24.88671875" customWidth="1"/>
    <col min="187" max="188" width="11.44140625" customWidth="1"/>
    <col min="189" max="189" width="15.5546875" customWidth="1"/>
    <col min="190" max="243" width="11.44140625" customWidth="1"/>
    <col min="244" max="246" width="11.5546875" customWidth="1"/>
    <col min="247" max="247" width="17.109375" customWidth="1"/>
    <col min="248" max="363" width="11.5546875" customWidth="1"/>
    <col min="366" max="371" width="11.5546875" customWidth="1"/>
  </cols>
  <sheetData>
    <row r="2" spans="2:379" s="2" customFormat="1" ht="63" customHeight="1" x14ac:dyDescent="0.25">
      <c r="B2" s="533" t="s">
        <v>120</v>
      </c>
      <c r="C2" s="533" t="s">
        <v>4700</v>
      </c>
      <c r="D2" s="534" t="s">
        <v>3246</v>
      </c>
      <c r="E2" s="534" t="s">
        <v>3247</v>
      </c>
      <c r="F2" s="435" t="s">
        <v>101</v>
      </c>
      <c r="G2" s="2" t="s">
        <v>108</v>
      </c>
      <c r="H2" s="2" t="s">
        <v>2589</v>
      </c>
      <c r="I2" s="2" t="s">
        <v>3138</v>
      </c>
      <c r="J2" s="2" t="s">
        <v>3170</v>
      </c>
      <c r="K2" s="2" t="s">
        <v>3171</v>
      </c>
      <c r="L2" s="2" t="s">
        <v>109</v>
      </c>
      <c r="M2" s="2" t="s">
        <v>110</v>
      </c>
      <c r="N2" s="2" t="s">
        <v>3172</v>
      </c>
      <c r="O2" s="435" t="s">
        <v>3173</v>
      </c>
      <c r="P2" s="2" t="s">
        <v>111</v>
      </c>
      <c r="Q2" s="2" t="s">
        <v>112</v>
      </c>
      <c r="R2" s="2" t="s">
        <v>162</v>
      </c>
      <c r="S2" s="2" t="s">
        <v>178</v>
      </c>
      <c r="T2" s="435" t="s">
        <v>2533</v>
      </c>
      <c r="U2" s="2" t="s">
        <v>2534</v>
      </c>
      <c r="V2" s="2" t="s">
        <v>148</v>
      </c>
      <c r="W2" s="2" t="s">
        <v>149</v>
      </c>
      <c r="X2" s="2" t="s">
        <v>150</v>
      </c>
      <c r="Y2" s="2" t="s">
        <v>151</v>
      </c>
      <c r="Z2" s="2" t="s">
        <v>3178</v>
      </c>
      <c r="AA2" s="2" t="s">
        <v>3179</v>
      </c>
      <c r="AB2" s="2" t="s">
        <v>3176</v>
      </c>
      <c r="AC2" s="2" t="s">
        <v>3177</v>
      </c>
      <c r="AD2" s="2" t="s">
        <v>3174</v>
      </c>
      <c r="AE2" s="2" t="s">
        <v>3175</v>
      </c>
      <c r="AF2" s="2" t="s">
        <v>3152</v>
      </c>
      <c r="AG2" s="2" t="s">
        <v>3153</v>
      </c>
      <c r="AH2" s="2" t="s">
        <v>2411</v>
      </c>
      <c r="AI2" s="2" t="s">
        <v>118</v>
      </c>
      <c r="AJ2" s="2" t="s">
        <v>202</v>
      </c>
      <c r="AK2" s="2" t="s">
        <v>203</v>
      </c>
      <c r="AL2" s="2" t="s">
        <v>204</v>
      </c>
      <c r="AM2" s="2" t="s">
        <v>1331</v>
      </c>
      <c r="AN2" s="2" t="s">
        <v>1332</v>
      </c>
      <c r="AO2" s="2" t="s">
        <v>3572</v>
      </c>
      <c r="AP2" s="2" t="s">
        <v>1334</v>
      </c>
      <c r="AQ2" s="2" t="s">
        <v>1335</v>
      </c>
      <c r="AR2" s="2" t="s">
        <v>3573</v>
      </c>
      <c r="AS2" s="2" t="s">
        <v>4643</v>
      </c>
      <c r="AT2" s="2" t="s">
        <v>1337</v>
      </c>
      <c r="AU2" s="2" t="s">
        <v>1338</v>
      </c>
      <c r="AV2" s="2" t="s">
        <v>3574</v>
      </c>
      <c r="AW2" s="2" t="s">
        <v>4642</v>
      </c>
      <c r="AX2" s="2" t="s">
        <v>1343</v>
      </c>
      <c r="AY2" s="2" t="s">
        <v>1344</v>
      </c>
      <c r="AZ2" s="2" t="s">
        <v>2586</v>
      </c>
      <c r="BA2" s="2" t="s">
        <v>2587</v>
      </c>
      <c r="BB2" s="2" t="s">
        <v>2588</v>
      </c>
      <c r="BC2" s="2" t="s">
        <v>3112</v>
      </c>
      <c r="BD2" s="2" t="s">
        <v>3113</v>
      </c>
      <c r="BE2" s="2" t="s">
        <v>3114</v>
      </c>
      <c r="BF2" s="2" t="s">
        <v>3108</v>
      </c>
      <c r="BG2" s="2" t="s">
        <v>3109</v>
      </c>
      <c r="BH2" s="2" t="s">
        <v>3110</v>
      </c>
      <c r="BI2" s="2" t="s">
        <v>3635</v>
      </c>
      <c r="BJ2" s="2" t="s">
        <v>3636</v>
      </c>
      <c r="BK2" s="2" t="s">
        <v>3637</v>
      </c>
      <c r="BL2" s="2" t="s">
        <v>3638</v>
      </c>
      <c r="BM2" s="2" t="s">
        <v>3640</v>
      </c>
      <c r="BN2" s="2" t="s">
        <v>3641</v>
      </c>
      <c r="BO2" s="2" t="s">
        <v>3634</v>
      </c>
      <c r="BP2" s="2" t="s">
        <v>3642</v>
      </c>
      <c r="BQ2" s="2" t="s">
        <v>3643</v>
      </c>
      <c r="BR2" s="2" t="s">
        <v>3644</v>
      </c>
      <c r="BS2" s="2" t="s">
        <v>3645</v>
      </c>
      <c r="BT2" s="2" t="s">
        <v>3646</v>
      </c>
      <c r="BU2" s="2" t="s">
        <v>2490</v>
      </c>
      <c r="BV2" s="2" t="s">
        <v>3501</v>
      </c>
      <c r="BW2" s="2" t="s">
        <v>205</v>
      </c>
      <c r="BX2" s="2" t="s">
        <v>154</v>
      </c>
      <c r="BY2" s="2" t="s">
        <v>113</v>
      </c>
      <c r="BZ2" s="2" t="s">
        <v>114</v>
      </c>
      <c r="CA2" s="2" t="s">
        <v>113</v>
      </c>
      <c r="CB2" s="2" t="s">
        <v>114</v>
      </c>
      <c r="CC2" s="2" t="s">
        <v>3244</v>
      </c>
      <c r="CD2" s="2" t="s">
        <v>3223</v>
      </c>
      <c r="CE2" s="2" t="s">
        <v>2399</v>
      </c>
      <c r="CF2" s="2" t="s">
        <v>2400</v>
      </c>
      <c r="CG2" s="2" t="s">
        <v>116</v>
      </c>
      <c r="CH2" s="2" t="s">
        <v>117</v>
      </c>
      <c r="CI2" s="2" t="s">
        <v>3661</v>
      </c>
      <c r="CJ2" s="2" t="s">
        <v>206</v>
      </c>
      <c r="CK2" s="2" t="s">
        <v>97</v>
      </c>
      <c r="CL2" s="2" t="s">
        <v>98</v>
      </c>
      <c r="CM2" s="2" t="s">
        <v>99</v>
      </c>
      <c r="CN2" s="2" t="s">
        <v>100</v>
      </c>
      <c r="CO2" s="2" t="s">
        <v>2408</v>
      </c>
      <c r="CP2" s="2" t="s">
        <v>2409</v>
      </c>
      <c r="CQ2" s="2" t="s">
        <v>2410</v>
      </c>
      <c r="CR2" s="2" t="s">
        <v>103</v>
      </c>
      <c r="CS2" s="2" t="s">
        <v>2412</v>
      </c>
      <c r="CT2" s="2" t="s">
        <v>2413</v>
      </c>
      <c r="CU2" s="2" t="s">
        <v>2414</v>
      </c>
      <c r="CV2" s="2" t="s">
        <v>2405</v>
      </c>
      <c r="CW2" s="2" t="s">
        <v>3204</v>
      </c>
      <c r="CX2" s="2" t="s">
        <v>3205</v>
      </c>
      <c r="CY2" s="2" t="s">
        <v>3206</v>
      </c>
      <c r="CZ2" s="2" t="s">
        <v>3194</v>
      </c>
      <c r="DA2" s="2" t="s">
        <v>104</v>
      </c>
      <c r="DB2" s="2" t="s">
        <v>105</v>
      </c>
      <c r="DC2" s="2" t="s">
        <v>106</v>
      </c>
      <c r="DD2" s="2" t="s">
        <v>107</v>
      </c>
      <c r="DE2" s="2" t="s">
        <v>181</v>
      </c>
      <c r="DF2" s="2" t="s">
        <v>175</v>
      </c>
      <c r="DG2" s="2" t="s">
        <v>4626</v>
      </c>
      <c r="DH2" s="2" t="s">
        <v>182</v>
      </c>
      <c r="DI2" s="2" t="s">
        <v>168</v>
      </c>
      <c r="DJ2" s="2" t="s">
        <v>169</v>
      </c>
      <c r="DK2" s="2" t="s">
        <v>174</v>
      </c>
      <c r="DL2" s="2" t="s">
        <v>172</v>
      </c>
      <c r="DM2" s="2" t="s">
        <v>173</v>
      </c>
      <c r="DN2" s="2" t="s">
        <v>2403</v>
      </c>
      <c r="DO2" s="2" t="s">
        <v>2404</v>
      </c>
      <c r="DP2" s="2" t="s">
        <v>158</v>
      </c>
      <c r="DQ2" s="2" t="s">
        <v>159</v>
      </c>
      <c r="DR2" s="2" t="s">
        <v>160</v>
      </c>
      <c r="DS2" s="2" t="s">
        <v>2402</v>
      </c>
      <c r="DT2" s="2" t="s">
        <v>2553</v>
      </c>
      <c r="DU2" s="2" t="s">
        <v>2554</v>
      </c>
      <c r="DV2" s="2" t="s">
        <v>3093</v>
      </c>
      <c r="DW2" s="2" t="s">
        <v>3137</v>
      </c>
      <c r="DX2" s="2" t="s">
        <v>2572</v>
      </c>
      <c r="DY2" s="2" t="s">
        <v>2573</v>
      </c>
      <c r="DZ2" s="2" t="s">
        <v>3092</v>
      </c>
      <c r="EA2" s="2" t="s">
        <v>3091</v>
      </c>
      <c r="EB2" s="2" t="s">
        <v>3487</v>
      </c>
      <c r="EC2" s="2" t="s">
        <v>2594</v>
      </c>
      <c r="ED2" s="2" t="s">
        <v>3119</v>
      </c>
      <c r="EE2" s="2" t="s">
        <v>3135</v>
      </c>
      <c r="EF2" s="2" t="s">
        <v>3136</v>
      </c>
      <c r="EG2" s="2" t="s">
        <v>3140</v>
      </c>
      <c r="EH2" s="2" t="s">
        <v>3141</v>
      </c>
      <c r="EI2" s="2" t="s">
        <v>3142</v>
      </c>
      <c r="EJ2" s="2" t="s">
        <v>3143</v>
      </c>
      <c r="EK2" s="2" t="s">
        <v>3144</v>
      </c>
      <c r="EL2" s="2" t="s">
        <v>3145</v>
      </c>
      <c r="EM2" s="2" t="s">
        <v>3146</v>
      </c>
      <c r="EN2" s="2" t="s">
        <v>3147</v>
      </c>
      <c r="EO2" s="2" t="s">
        <v>3148</v>
      </c>
      <c r="EP2" s="2" t="s">
        <v>3149</v>
      </c>
      <c r="EQ2" s="2" t="s">
        <v>3150</v>
      </c>
      <c r="ER2" s="2" t="s">
        <v>3151</v>
      </c>
      <c r="ES2" s="2" t="s">
        <v>3207</v>
      </c>
      <c r="ET2" s="2" t="s">
        <v>3210</v>
      </c>
      <c r="EU2" s="2" t="s">
        <v>3211</v>
      </c>
      <c r="EV2" s="2" t="s">
        <v>3212</v>
      </c>
      <c r="EW2" s="2" t="s">
        <v>3213</v>
      </c>
      <c r="EX2" s="2" t="s">
        <v>3242</v>
      </c>
      <c r="EY2" s="2" t="s">
        <v>3243</v>
      </c>
      <c r="EZ2" s="2" t="s">
        <v>3251</v>
      </c>
      <c r="FA2" s="2" t="s">
        <v>3252</v>
      </c>
      <c r="FB2" s="2" t="s">
        <v>3101</v>
      </c>
      <c r="FC2" s="2" t="s">
        <v>3102</v>
      </c>
      <c r="FD2" s="2" t="s">
        <v>3103</v>
      </c>
      <c r="FE2" s="2" t="s">
        <v>3104</v>
      </c>
      <c r="FF2" s="2" t="s">
        <v>3105</v>
      </c>
      <c r="FG2" s="2" t="s">
        <v>3111</v>
      </c>
      <c r="FH2" s="2" t="s">
        <v>3159</v>
      </c>
      <c r="FI2" s="2" t="s">
        <v>3253</v>
      </c>
      <c r="FJ2" s="2" t="s">
        <v>3160</v>
      </c>
      <c r="FK2" s="2" t="s">
        <v>3163</v>
      </c>
      <c r="FL2" s="2" t="s">
        <v>3164</v>
      </c>
      <c r="FM2" s="2" t="s">
        <v>3166</v>
      </c>
      <c r="FN2" s="2" t="s">
        <v>3165</v>
      </c>
      <c r="FO2" s="2" t="s">
        <v>3167</v>
      </c>
      <c r="FP2" s="2" t="s">
        <v>3618</v>
      </c>
      <c r="FQ2" s="2" t="s">
        <v>3168</v>
      </c>
      <c r="FR2" s="2" t="s">
        <v>3169</v>
      </c>
      <c r="FS2" s="2" t="s">
        <v>3161</v>
      </c>
      <c r="FT2" s="2" t="s">
        <v>3162</v>
      </c>
      <c r="FU2" s="2" t="s">
        <v>3269</v>
      </c>
      <c r="FV2" s="2" t="s">
        <v>3271</v>
      </c>
      <c r="FW2" s="2" t="s">
        <v>104</v>
      </c>
      <c r="FX2" s="2" t="s">
        <v>105</v>
      </c>
      <c r="FY2" s="2" t="s">
        <v>107</v>
      </c>
      <c r="FZ2" s="2" t="s">
        <v>106</v>
      </c>
      <c r="GA2" s="2" t="s">
        <v>3274</v>
      </c>
      <c r="GB2" s="2" t="s">
        <v>3275</v>
      </c>
      <c r="GC2" s="2" t="s">
        <v>3284</v>
      </c>
      <c r="GD2" s="2" t="s">
        <v>3297</v>
      </c>
      <c r="GE2" s="2" t="s">
        <v>3425</v>
      </c>
      <c r="GF2" s="2" t="s">
        <v>3426</v>
      </c>
      <c r="GG2" s="2" t="s">
        <v>3438</v>
      </c>
      <c r="GH2" s="2" t="s">
        <v>3447</v>
      </c>
      <c r="GI2" s="2" t="s">
        <v>3448</v>
      </c>
      <c r="GJ2" s="2" t="s">
        <v>3449</v>
      </c>
      <c r="GK2" s="2" t="s">
        <v>3450</v>
      </c>
      <c r="GL2" s="2" t="s">
        <v>3451</v>
      </c>
      <c r="GM2" s="2" t="s">
        <v>3452</v>
      </c>
      <c r="GN2" s="2" t="s">
        <v>3476</v>
      </c>
      <c r="GO2" s="2" t="s">
        <v>3477</v>
      </c>
      <c r="GP2" s="2" t="s">
        <v>3478</v>
      </c>
      <c r="GQ2" s="2" t="s">
        <v>3479</v>
      </c>
      <c r="GR2" s="2" t="s">
        <v>3480</v>
      </c>
      <c r="GS2" s="2" t="s">
        <v>3481</v>
      </c>
      <c r="GT2" s="2" t="s">
        <v>3482</v>
      </c>
      <c r="GU2" s="2" t="s">
        <v>3474</v>
      </c>
      <c r="GV2" s="2" t="s">
        <v>3475</v>
      </c>
      <c r="GW2" s="2" t="s">
        <v>2403</v>
      </c>
      <c r="GX2" s="2" t="s">
        <v>2404</v>
      </c>
      <c r="GY2" s="2" t="s">
        <v>102</v>
      </c>
      <c r="GZ2" s="2" t="s">
        <v>116</v>
      </c>
      <c r="HA2" s="2" t="s">
        <v>115</v>
      </c>
      <c r="HB2" s="2" t="s">
        <v>2557</v>
      </c>
      <c r="HC2" s="2" t="s">
        <v>179</v>
      </c>
      <c r="HD2" s="2" t="s">
        <v>180</v>
      </c>
      <c r="HE2" s="2" t="s">
        <v>2567</v>
      </c>
      <c r="HF2" s="2" t="s">
        <v>2568</v>
      </c>
      <c r="HG2" s="2" t="s">
        <v>2570</v>
      </c>
      <c r="HH2" s="2" t="s">
        <v>2571</v>
      </c>
      <c r="HI2" s="2" t="s">
        <v>2569</v>
      </c>
      <c r="HJ2" s="2" t="s">
        <v>131</v>
      </c>
      <c r="HK2" s="2" t="s">
        <v>168</v>
      </c>
      <c r="HL2" s="2" t="s">
        <v>169</v>
      </c>
      <c r="HM2" s="2" t="s">
        <v>113</v>
      </c>
      <c r="HN2" s="2" t="s">
        <v>114</v>
      </c>
      <c r="HO2" s="2" t="s">
        <v>117</v>
      </c>
      <c r="HP2" s="2" t="s">
        <v>133</v>
      </c>
      <c r="HQ2" s="2" t="s">
        <v>201</v>
      </c>
      <c r="HR2" s="2" t="s">
        <v>202</v>
      </c>
      <c r="HS2" s="2" t="s">
        <v>203</v>
      </c>
      <c r="HT2" s="2" t="s">
        <v>204</v>
      </c>
      <c r="HU2" s="2" t="s">
        <v>205</v>
      </c>
      <c r="HV2" s="2" t="s">
        <v>154</v>
      </c>
      <c r="HW2" s="2" t="s">
        <v>186</v>
      </c>
      <c r="HX2" s="2" t="s">
        <v>188</v>
      </c>
      <c r="HY2" s="2" t="s">
        <v>189</v>
      </c>
      <c r="HZ2" s="2" t="s">
        <v>190</v>
      </c>
      <c r="IA2" s="2" t="s">
        <v>191</v>
      </c>
      <c r="IB2" s="2" t="s">
        <v>192</v>
      </c>
      <c r="IC2" s="2" t="s">
        <v>194</v>
      </c>
      <c r="ID2" s="2" t="s">
        <v>193</v>
      </c>
      <c r="IE2" s="2" t="s">
        <v>187</v>
      </c>
      <c r="IF2" s="2" t="s">
        <v>113</v>
      </c>
      <c r="IG2" s="2" t="s">
        <v>114</v>
      </c>
      <c r="IH2" s="2" t="s">
        <v>104</v>
      </c>
      <c r="II2" s="2" t="s">
        <v>105</v>
      </c>
      <c r="IJ2" s="2" t="s">
        <v>106</v>
      </c>
      <c r="IK2" s="2" t="s">
        <v>107</v>
      </c>
      <c r="IL2" s="2" t="s">
        <v>3299</v>
      </c>
      <c r="IM2" s="2" t="s">
        <v>3485</v>
      </c>
      <c r="IN2" s="2" t="s">
        <v>3498</v>
      </c>
      <c r="IO2" s="2" t="s">
        <v>3499</v>
      </c>
      <c r="IP2" s="2" t="s">
        <v>3497</v>
      </c>
      <c r="IQ2" s="2" t="s">
        <v>3500</v>
      </c>
      <c r="IR2" s="2" t="s">
        <v>888</v>
      </c>
      <c r="IS2" s="2" t="s">
        <v>3502</v>
      </c>
      <c r="IT2" s="2" t="s">
        <v>3503</v>
      </c>
      <c r="IU2" s="2" t="s">
        <v>3504</v>
      </c>
      <c r="IV2" s="2" t="s">
        <v>3505</v>
      </c>
      <c r="IW2" s="2" t="s">
        <v>3506</v>
      </c>
      <c r="IX2" s="2" t="s">
        <v>3507</v>
      </c>
      <c r="IY2" s="2" t="s">
        <v>3508</v>
      </c>
      <c r="IZ2" s="2" t="s">
        <v>3509</v>
      </c>
      <c r="JA2" s="2" t="s">
        <v>3510</v>
      </c>
      <c r="JB2" s="2" t="s">
        <v>3511</v>
      </c>
      <c r="JC2" s="2" t="s">
        <v>3512</v>
      </c>
      <c r="JD2" s="2" t="s">
        <v>3513</v>
      </c>
      <c r="JE2" s="2" t="s">
        <v>3575</v>
      </c>
      <c r="JF2" s="2" t="s">
        <v>3576</v>
      </c>
      <c r="JG2" s="2" t="s">
        <v>3577</v>
      </c>
      <c r="JH2" s="2" t="s">
        <v>3578</v>
      </c>
      <c r="JI2" s="2" t="s">
        <v>3579</v>
      </c>
      <c r="JJ2" s="2" t="s">
        <v>3632</v>
      </c>
      <c r="JK2" s="2" t="s">
        <v>3652</v>
      </c>
      <c r="JL2" s="2" t="s">
        <v>3653</v>
      </c>
      <c r="JM2" s="2" t="s">
        <v>3654</v>
      </c>
      <c r="JN2" s="2" t="s">
        <v>3655</v>
      </c>
      <c r="JO2" s="2" t="s">
        <v>3656</v>
      </c>
      <c r="JP2" s="2" t="s">
        <v>3657</v>
      </c>
      <c r="JQ2" s="2" t="s">
        <v>3648</v>
      </c>
      <c r="JR2" s="2" t="s">
        <v>3650</v>
      </c>
      <c r="JS2" s="2" t="s">
        <v>3651</v>
      </c>
      <c r="JT2" s="2" t="s">
        <v>3649</v>
      </c>
      <c r="JU2" s="2" t="s">
        <v>3647</v>
      </c>
      <c r="JV2" s="2" t="s">
        <v>2471</v>
      </c>
      <c r="JW2" s="2" t="s">
        <v>3669</v>
      </c>
      <c r="JX2" s="2" t="s">
        <v>3872</v>
      </c>
      <c r="JY2" s="2" t="s">
        <v>3873</v>
      </c>
      <c r="JZ2" s="2" t="s">
        <v>3874</v>
      </c>
      <c r="KA2" s="2" t="s">
        <v>3875</v>
      </c>
      <c r="KB2" s="2" t="s">
        <v>3876</v>
      </c>
      <c r="KC2" s="2" t="s">
        <v>3877</v>
      </c>
      <c r="KD2" s="2" t="s">
        <v>3878</v>
      </c>
      <c r="KE2" s="2" t="s">
        <v>3879</v>
      </c>
      <c r="KF2" s="2" t="s">
        <v>3880</v>
      </c>
      <c r="KG2" s="2" t="s">
        <v>3881</v>
      </c>
      <c r="KH2" s="2" t="s">
        <v>3882</v>
      </c>
      <c r="KI2" s="2" t="s">
        <v>3883</v>
      </c>
      <c r="KJ2" s="2" t="s">
        <v>3884</v>
      </c>
      <c r="KK2" s="2" t="s">
        <v>3885</v>
      </c>
      <c r="KL2" s="2" t="s">
        <v>3886</v>
      </c>
      <c r="KM2" s="2" t="s">
        <v>3887</v>
      </c>
      <c r="KN2" s="2" t="s">
        <v>3888</v>
      </c>
      <c r="KO2" s="2" t="s">
        <v>3889</v>
      </c>
      <c r="KP2" s="2" t="s">
        <v>3890</v>
      </c>
      <c r="KQ2" s="2" t="s">
        <v>3891</v>
      </c>
      <c r="KR2" s="2" t="s">
        <v>3892</v>
      </c>
      <c r="KS2" s="2" t="s">
        <v>3893</v>
      </c>
      <c r="KT2" s="2" t="s">
        <v>3894</v>
      </c>
      <c r="KU2" s="2" t="s">
        <v>3895</v>
      </c>
      <c r="KV2" s="2" t="s">
        <v>3871</v>
      </c>
      <c r="KW2" s="2" t="s">
        <v>3896</v>
      </c>
      <c r="KX2" s="2" t="s">
        <v>3897</v>
      </c>
      <c r="KY2" s="2" t="s">
        <v>3898</v>
      </c>
      <c r="KZ2" s="2" t="s">
        <v>3912</v>
      </c>
      <c r="LA2" s="2" t="s">
        <v>3913</v>
      </c>
      <c r="LB2" s="2" t="s">
        <v>3914</v>
      </c>
      <c r="LC2" s="2" t="s">
        <v>3915</v>
      </c>
      <c r="LD2" s="2" t="s">
        <v>3920</v>
      </c>
      <c r="LE2" s="2" t="s">
        <v>4546</v>
      </c>
      <c r="LF2" s="2" t="s">
        <v>4547</v>
      </c>
      <c r="LG2" s="2" t="s">
        <v>4549</v>
      </c>
      <c r="LH2" s="2" t="s">
        <v>4550</v>
      </c>
      <c r="LI2" s="2" t="s">
        <v>4551</v>
      </c>
      <c r="LJ2" s="2" t="s">
        <v>4552</v>
      </c>
      <c r="LK2" s="2" t="s">
        <v>4550</v>
      </c>
      <c r="LL2" s="2" t="s">
        <v>4551</v>
      </c>
      <c r="LM2" s="2" t="s">
        <v>4552</v>
      </c>
      <c r="LN2" s="2" t="s">
        <v>4567</v>
      </c>
      <c r="LO2" s="2" t="s">
        <v>4568</v>
      </c>
      <c r="LP2" s="2" t="s">
        <v>4570</v>
      </c>
      <c r="LQ2" s="2" t="s">
        <v>4571</v>
      </c>
      <c r="LR2" s="2" t="s">
        <v>4563</v>
      </c>
      <c r="LS2" s="2" t="s">
        <v>4564</v>
      </c>
      <c r="LT2" s="2" t="s">
        <v>4565</v>
      </c>
      <c r="LU2" s="2" t="s">
        <v>4566</v>
      </c>
      <c r="LV2" s="2" t="s">
        <v>4572</v>
      </c>
      <c r="LW2" s="2" t="s">
        <v>4573</v>
      </c>
      <c r="LX2" s="2" t="s">
        <v>4639</v>
      </c>
      <c r="LY2" s="2" t="s">
        <v>4638</v>
      </c>
      <c r="LZ2" s="2" t="s">
        <v>4637</v>
      </c>
      <c r="MA2" s="2" t="s">
        <v>4635</v>
      </c>
      <c r="MB2" s="2" t="s">
        <v>4634</v>
      </c>
      <c r="MC2" s="2" t="s">
        <v>4633</v>
      </c>
      <c r="MD2" s="2" t="s">
        <v>4632</v>
      </c>
      <c r="ME2" s="2" t="s">
        <v>4631</v>
      </c>
      <c r="MF2" s="2" t="s">
        <v>4630</v>
      </c>
      <c r="MG2" s="2" t="s">
        <v>4629</v>
      </c>
      <c r="MH2" s="2" t="s">
        <v>4627</v>
      </c>
      <c r="MI2" s="2" t="s">
        <v>4640</v>
      </c>
      <c r="MJ2" s="2" t="s">
        <v>4628</v>
      </c>
      <c r="MK2" s="2" t="s">
        <v>4641</v>
      </c>
      <c r="ML2" s="2" t="s">
        <v>4550</v>
      </c>
      <c r="MM2" s="2" t="s">
        <v>4551</v>
      </c>
      <c r="MN2" s="2" t="s">
        <v>4552</v>
      </c>
      <c r="MO2" s="2" t="s">
        <v>4644</v>
      </c>
      <c r="MP2" s="2" t="s">
        <v>4650</v>
      </c>
      <c r="MQ2" s="2" t="s">
        <v>4657</v>
      </c>
      <c r="MR2" s="2" t="s">
        <v>4651</v>
      </c>
      <c r="MS2" s="2" t="s">
        <v>4652</v>
      </c>
      <c r="MT2" s="2" t="s">
        <v>4653</v>
      </c>
      <c r="MU2" s="2" t="s">
        <v>4654</v>
      </c>
      <c r="MV2" s="2" t="s">
        <v>4655</v>
      </c>
      <c r="MW2" s="2" t="s">
        <v>4656</v>
      </c>
      <c r="MX2" s="2" t="s">
        <v>4658</v>
      </c>
      <c r="MY2" s="2" t="s">
        <v>4685</v>
      </c>
      <c r="MZ2" s="2" t="s">
        <v>4686</v>
      </c>
      <c r="NA2" s="2" t="s">
        <v>4687</v>
      </c>
      <c r="NB2" s="2" t="s">
        <v>4690</v>
      </c>
      <c r="NC2" s="2" t="s">
        <v>4691</v>
      </c>
      <c r="ND2" s="2" t="s">
        <v>4692</v>
      </c>
      <c r="NE2" s="2" t="s">
        <v>4693</v>
      </c>
      <c r="NF2" s="2" t="s">
        <v>4694</v>
      </c>
      <c r="NG2" s="2" t="s">
        <v>4695</v>
      </c>
      <c r="NH2" s="2" t="s">
        <v>4707</v>
      </c>
      <c r="NI2" s="2" t="s">
        <v>4708</v>
      </c>
      <c r="NJ2" s="2" t="s">
        <v>4712</v>
      </c>
      <c r="NK2" s="2" t="s">
        <v>4713</v>
      </c>
      <c r="NL2" s="2" t="s">
        <v>4714</v>
      </c>
      <c r="NM2" s="2" t="s">
        <v>4715</v>
      </c>
      <c r="NN2" s="2" t="s">
        <v>4716</v>
      </c>
      <c r="NO2" s="2" t="s">
        <v>4717</v>
      </c>
    </row>
    <row r="3" spans="2:379" s="351" customFormat="1" x14ac:dyDescent="0.25">
      <c r="B3" s="533"/>
      <c r="C3" s="533"/>
      <c r="D3" s="534"/>
      <c r="E3" s="534"/>
      <c r="F3" s="431">
        <v>15</v>
      </c>
      <c r="G3" s="351">
        <v>153</v>
      </c>
      <c r="H3" s="351">
        <v>159</v>
      </c>
      <c r="I3" s="351">
        <v>160</v>
      </c>
      <c r="J3" s="351">
        <v>200</v>
      </c>
      <c r="K3" s="351">
        <v>201</v>
      </c>
      <c r="L3" s="351">
        <v>202</v>
      </c>
      <c r="M3" s="351">
        <v>203</v>
      </c>
      <c r="N3" s="351">
        <v>204</v>
      </c>
      <c r="O3" s="431">
        <v>205</v>
      </c>
      <c r="P3" s="351">
        <v>206</v>
      </c>
      <c r="Q3" s="351">
        <v>207</v>
      </c>
      <c r="R3" s="351">
        <v>212</v>
      </c>
      <c r="S3" s="351">
        <v>216</v>
      </c>
      <c r="T3" s="431">
        <v>243</v>
      </c>
      <c r="U3" s="351">
        <v>244</v>
      </c>
      <c r="V3" s="351">
        <v>245</v>
      </c>
      <c r="W3" s="351">
        <v>246</v>
      </c>
      <c r="X3" s="351">
        <v>267</v>
      </c>
      <c r="Y3" s="351">
        <v>268</v>
      </c>
      <c r="Z3" s="351">
        <v>287</v>
      </c>
      <c r="AA3" s="351">
        <v>288</v>
      </c>
      <c r="AB3" s="351">
        <v>289</v>
      </c>
      <c r="AC3" s="351">
        <v>290</v>
      </c>
      <c r="AD3" s="351">
        <v>291</v>
      </c>
      <c r="AE3" s="351">
        <v>292</v>
      </c>
      <c r="AF3" s="351">
        <v>336</v>
      </c>
      <c r="AG3" s="351">
        <v>337</v>
      </c>
      <c r="AH3" s="351">
        <v>400</v>
      </c>
      <c r="AI3" s="351">
        <v>460</v>
      </c>
      <c r="AJ3" s="351">
        <v>461</v>
      </c>
      <c r="AK3" s="351">
        <v>462</v>
      </c>
      <c r="AL3" s="351">
        <v>480</v>
      </c>
      <c r="AM3" s="351">
        <v>500</v>
      </c>
      <c r="AN3" s="351">
        <v>501</v>
      </c>
      <c r="AO3" s="351">
        <v>502</v>
      </c>
      <c r="AP3" s="351">
        <v>503</v>
      </c>
      <c r="AQ3" s="351">
        <v>504</v>
      </c>
      <c r="AR3" s="351">
        <v>505</v>
      </c>
      <c r="AS3" s="351">
        <v>552</v>
      </c>
      <c r="AT3" s="351">
        <v>506</v>
      </c>
      <c r="AU3" s="351">
        <v>507</v>
      </c>
      <c r="AV3" s="351">
        <v>508</v>
      </c>
      <c r="AW3" s="351">
        <v>553</v>
      </c>
      <c r="AX3" s="351">
        <v>512</v>
      </c>
      <c r="AY3" s="351">
        <v>513</v>
      </c>
      <c r="AZ3" s="351">
        <v>516</v>
      </c>
      <c r="BA3" s="351">
        <v>517</v>
      </c>
      <c r="BB3" s="351">
        <v>518</v>
      </c>
      <c r="BC3" s="351">
        <v>524</v>
      </c>
      <c r="BD3" s="351">
        <v>525</v>
      </c>
      <c r="BE3" s="351">
        <v>526</v>
      </c>
      <c r="BF3" s="351">
        <v>542</v>
      </c>
      <c r="BG3" s="351">
        <v>543</v>
      </c>
      <c r="BH3" s="351">
        <v>544</v>
      </c>
      <c r="BI3" s="351">
        <v>600</v>
      </c>
      <c r="BJ3" s="351">
        <v>601</v>
      </c>
      <c r="BK3" s="351">
        <v>602</v>
      </c>
      <c r="BL3" s="351">
        <v>603</v>
      </c>
      <c r="BM3" s="351">
        <v>604</v>
      </c>
      <c r="BN3" s="351">
        <v>606</v>
      </c>
      <c r="BO3" s="351">
        <v>607</v>
      </c>
      <c r="BP3" s="351">
        <v>612</v>
      </c>
      <c r="BQ3" s="351">
        <v>617</v>
      </c>
      <c r="BR3" s="351">
        <v>618</v>
      </c>
      <c r="BS3" s="351">
        <v>619</v>
      </c>
      <c r="BT3" s="351">
        <v>630</v>
      </c>
      <c r="BU3" s="351">
        <v>802</v>
      </c>
      <c r="BV3" s="351">
        <v>803</v>
      </c>
      <c r="BW3" s="351">
        <v>2009</v>
      </c>
      <c r="BX3" s="351">
        <v>2010</v>
      </c>
      <c r="BY3" s="351">
        <v>10028</v>
      </c>
      <c r="BZ3" s="351">
        <v>10029</v>
      </c>
      <c r="CA3" s="351">
        <v>20045</v>
      </c>
      <c r="CB3" s="351">
        <v>20046</v>
      </c>
      <c r="CC3" s="351">
        <v>19</v>
      </c>
      <c r="CD3" s="351">
        <v>20089</v>
      </c>
      <c r="CE3" s="351">
        <v>2011</v>
      </c>
      <c r="CF3" s="351">
        <v>2019</v>
      </c>
      <c r="CG3" s="351">
        <v>4011</v>
      </c>
      <c r="CH3" s="351">
        <v>4021</v>
      </c>
      <c r="CI3" s="351">
        <v>405</v>
      </c>
      <c r="CJ3" s="351">
        <v>4051</v>
      </c>
      <c r="CK3" s="351">
        <v>10010</v>
      </c>
      <c r="CL3" s="351">
        <v>10011</v>
      </c>
      <c r="CM3" s="351">
        <v>10014</v>
      </c>
      <c r="CN3" s="351">
        <v>10015</v>
      </c>
      <c r="CO3" s="351">
        <v>10025</v>
      </c>
      <c r="CP3" s="351">
        <v>10026</v>
      </c>
      <c r="CQ3" s="351">
        <v>10027</v>
      </c>
      <c r="CR3" s="351">
        <v>10050</v>
      </c>
      <c r="CS3" s="351">
        <v>11000</v>
      </c>
      <c r="CT3" s="351">
        <v>11001</v>
      </c>
      <c r="CU3" s="351">
        <v>11002</v>
      </c>
      <c r="CV3" s="351">
        <v>11003</v>
      </c>
      <c r="CW3" s="351">
        <v>11004</v>
      </c>
      <c r="CX3" s="351">
        <v>11005</v>
      </c>
      <c r="CY3" s="351">
        <v>11006</v>
      </c>
      <c r="CZ3" s="351">
        <v>11007</v>
      </c>
      <c r="DA3" s="351">
        <v>20001</v>
      </c>
      <c r="DB3" s="351">
        <v>20002</v>
      </c>
      <c r="DC3" s="351">
        <v>20003</v>
      </c>
      <c r="DD3" s="351">
        <v>20004</v>
      </c>
      <c r="DE3" s="351">
        <v>20008</v>
      </c>
      <c r="DF3" s="351">
        <v>20009</v>
      </c>
      <c r="DG3" s="351">
        <v>34</v>
      </c>
      <c r="DH3" s="351">
        <v>20010</v>
      </c>
      <c r="DI3" s="351">
        <v>20015</v>
      </c>
      <c r="DJ3" s="351">
        <v>20016</v>
      </c>
      <c r="DK3" s="351">
        <v>20017</v>
      </c>
      <c r="DL3" s="351">
        <v>20018</v>
      </c>
      <c r="DM3" s="351">
        <v>20019</v>
      </c>
      <c r="DN3" s="351">
        <v>20030</v>
      </c>
      <c r="DO3" s="351">
        <v>20031</v>
      </c>
      <c r="DP3" s="351">
        <v>20032</v>
      </c>
      <c r="DQ3" s="351">
        <v>20033</v>
      </c>
      <c r="DR3" s="351">
        <v>20034</v>
      </c>
      <c r="DS3" s="351">
        <v>20044</v>
      </c>
      <c r="DT3" s="351">
        <v>20051</v>
      </c>
      <c r="DU3" s="351">
        <v>20052</v>
      </c>
      <c r="DV3" s="351">
        <v>20058</v>
      </c>
      <c r="DW3" s="351">
        <v>20059</v>
      </c>
      <c r="DX3" s="351">
        <v>20065</v>
      </c>
      <c r="DY3" s="351">
        <v>20066</v>
      </c>
      <c r="DZ3" s="351">
        <v>20067</v>
      </c>
      <c r="EA3" s="351">
        <v>20068</v>
      </c>
      <c r="EB3" s="351">
        <v>20129</v>
      </c>
      <c r="EC3" s="351">
        <v>20130</v>
      </c>
      <c r="ED3" s="351">
        <v>20069</v>
      </c>
      <c r="EE3" s="351">
        <v>20070</v>
      </c>
      <c r="EF3" s="351">
        <v>20071</v>
      </c>
      <c r="EG3" s="351">
        <v>20072</v>
      </c>
      <c r="EH3" s="351">
        <v>20073</v>
      </c>
      <c r="EI3" s="351">
        <v>20074</v>
      </c>
      <c r="EJ3" s="351">
        <v>20075</v>
      </c>
      <c r="EK3" s="351">
        <v>20076</v>
      </c>
      <c r="EL3" s="351">
        <v>20077</v>
      </c>
      <c r="EM3" s="351">
        <v>20078</v>
      </c>
      <c r="EN3" s="351">
        <v>20079</v>
      </c>
      <c r="EO3" s="351">
        <v>20080</v>
      </c>
      <c r="EP3" s="351">
        <v>20081</v>
      </c>
      <c r="EQ3" s="351">
        <v>20082</v>
      </c>
      <c r="ER3" s="351">
        <v>20083</v>
      </c>
      <c r="ES3" s="351">
        <v>20084</v>
      </c>
      <c r="ET3" s="351">
        <v>20085</v>
      </c>
      <c r="EU3" s="351">
        <v>20086</v>
      </c>
      <c r="EV3" s="351">
        <v>20087</v>
      </c>
      <c r="EW3" s="351">
        <v>20088</v>
      </c>
      <c r="EX3" s="351">
        <v>20090</v>
      </c>
      <c r="EY3" s="351">
        <v>20091</v>
      </c>
      <c r="EZ3" s="351">
        <v>20092</v>
      </c>
      <c r="FA3" s="351">
        <v>20093</v>
      </c>
      <c r="FB3" s="351">
        <v>30000</v>
      </c>
      <c r="FC3" s="351">
        <v>30001</v>
      </c>
      <c r="FD3" s="351">
        <v>30002</v>
      </c>
      <c r="FE3" s="351">
        <v>30003</v>
      </c>
      <c r="FF3" s="351">
        <v>30004</v>
      </c>
      <c r="FG3" s="351">
        <v>30020</v>
      </c>
      <c r="FH3" s="351">
        <v>32767</v>
      </c>
      <c r="FI3" s="351">
        <v>57</v>
      </c>
      <c r="FJ3" s="351">
        <v>100</v>
      </c>
      <c r="FK3" s="351">
        <v>101</v>
      </c>
      <c r="FL3" s="351">
        <v>102</v>
      </c>
      <c r="FM3" s="351">
        <v>103</v>
      </c>
      <c r="FN3" s="351">
        <v>104</v>
      </c>
      <c r="FO3" s="351">
        <v>105</v>
      </c>
      <c r="FP3" s="351">
        <v>20139</v>
      </c>
      <c r="FQ3" s="351">
        <v>106</v>
      </c>
      <c r="FR3" s="351">
        <v>107</v>
      </c>
      <c r="FS3" s="351">
        <v>108</v>
      </c>
      <c r="FT3" s="351">
        <v>157</v>
      </c>
      <c r="FU3" s="351">
        <v>20094</v>
      </c>
      <c r="FV3" s="351">
        <v>20095</v>
      </c>
      <c r="FW3" s="351">
        <v>2001</v>
      </c>
      <c r="FX3" s="351">
        <v>2002</v>
      </c>
      <c r="FY3" s="351">
        <v>2003</v>
      </c>
      <c r="FZ3" s="351">
        <v>2004</v>
      </c>
      <c r="GA3" s="351">
        <v>20096</v>
      </c>
      <c r="GB3" s="351">
        <v>20097</v>
      </c>
      <c r="GC3" s="351">
        <v>20098</v>
      </c>
      <c r="GD3" s="351">
        <v>20099</v>
      </c>
      <c r="GE3" s="351">
        <v>20101</v>
      </c>
      <c r="GF3" s="351">
        <v>20102</v>
      </c>
      <c r="GG3" s="351">
        <v>20103</v>
      </c>
      <c r="GH3" s="351">
        <v>20104</v>
      </c>
      <c r="GI3" s="351">
        <v>20105</v>
      </c>
      <c r="GJ3" s="351">
        <v>20106</v>
      </c>
      <c r="GK3" s="351">
        <v>20107</v>
      </c>
      <c r="GL3" s="351">
        <v>20108</v>
      </c>
      <c r="GM3" s="351">
        <v>20109</v>
      </c>
      <c r="GN3" s="351">
        <v>20110</v>
      </c>
      <c r="GO3" s="351">
        <v>20111</v>
      </c>
      <c r="GP3" s="351">
        <v>20112</v>
      </c>
      <c r="GQ3" s="351">
        <v>20113</v>
      </c>
      <c r="GR3" s="351">
        <v>20114</v>
      </c>
      <c r="GS3" s="351">
        <v>20115</v>
      </c>
      <c r="GT3" s="351">
        <v>20116</v>
      </c>
      <c r="GU3" s="351">
        <v>20117</v>
      </c>
      <c r="GV3" s="351">
        <v>20118</v>
      </c>
      <c r="GW3" s="351">
        <v>10012</v>
      </c>
      <c r="GX3" s="351">
        <v>10013</v>
      </c>
      <c r="GY3" s="351">
        <v>10016</v>
      </c>
      <c r="GZ3" s="351">
        <v>10017</v>
      </c>
      <c r="HA3" s="351">
        <v>10024</v>
      </c>
      <c r="HB3" s="351">
        <v>20057</v>
      </c>
      <c r="HC3" s="351">
        <v>20006</v>
      </c>
      <c r="HD3" s="351">
        <v>20007</v>
      </c>
      <c r="HE3" s="351">
        <v>20060</v>
      </c>
      <c r="HF3" s="351">
        <v>20061</v>
      </c>
      <c r="HG3" s="351">
        <v>20062</v>
      </c>
      <c r="HH3" s="351">
        <v>20063</v>
      </c>
      <c r="HI3" s="351">
        <v>20064</v>
      </c>
      <c r="HJ3" s="351">
        <v>10021</v>
      </c>
      <c r="HK3" s="351">
        <v>20047</v>
      </c>
      <c r="HL3" s="351">
        <v>20048</v>
      </c>
      <c r="HM3" s="351">
        <v>208</v>
      </c>
      <c r="HN3" s="351">
        <v>209</v>
      </c>
      <c r="HO3" s="351">
        <v>10018</v>
      </c>
      <c r="HP3" s="351">
        <v>10030</v>
      </c>
      <c r="HQ3" s="351">
        <v>20022</v>
      </c>
      <c r="HR3" s="351">
        <v>20023</v>
      </c>
      <c r="HS3" s="351">
        <v>20024</v>
      </c>
      <c r="HT3" s="351">
        <v>20025</v>
      </c>
      <c r="HU3" s="351">
        <v>20026</v>
      </c>
      <c r="HV3" s="351">
        <v>20028</v>
      </c>
      <c r="HW3" s="351">
        <v>20035</v>
      </c>
      <c r="HX3" s="351">
        <v>20036</v>
      </c>
      <c r="HY3" s="351">
        <v>20037</v>
      </c>
      <c r="HZ3" s="351">
        <v>20038</v>
      </c>
      <c r="IA3" s="351">
        <v>20039</v>
      </c>
      <c r="IB3" s="351">
        <v>20040</v>
      </c>
      <c r="IC3" s="351">
        <v>20041</v>
      </c>
      <c r="ID3" s="351">
        <v>20042</v>
      </c>
      <c r="IE3" s="351">
        <v>20043</v>
      </c>
      <c r="IF3" s="351">
        <v>20049</v>
      </c>
      <c r="IG3" s="351">
        <v>20050</v>
      </c>
      <c r="IH3" s="351">
        <v>20</v>
      </c>
      <c r="II3" s="351">
        <v>21</v>
      </c>
      <c r="IJ3" s="351">
        <v>22</v>
      </c>
      <c r="IK3" s="351">
        <v>23</v>
      </c>
      <c r="IL3" s="351">
        <v>20100</v>
      </c>
      <c r="IM3" s="351">
        <v>182</v>
      </c>
      <c r="IN3" s="351">
        <v>20131</v>
      </c>
      <c r="IO3" s="351">
        <v>167</v>
      </c>
      <c r="IP3" s="351">
        <v>20132</v>
      </c>
      <c r="IQ3" s="351">
        <v>20133</v>
      </c>
      <c r="IR3" s="351">
        <v>8</v>
      </c>
      <c r="IS3" s="351">
        <v>14</v>
      </c>
      <c r="IT3" s="351">
        <v>18</v>
      </c>
      <c r="IU3" s="351">
        <v>20119</v>
      </c>
      <c r="IV3" s="351">
        <v>20120</v>
      </c>
      <c r="IW3" s="351">
        <v>20121</v>
      </c>
      <c r="IX3" s="351">
        <v>20122</v>
      </c>
      <c r="IY3" s="351">
        <v>20123</v>
      </c>
      <c r="IZ3" s="351">
        <v>20124</v>
      </c>
      <c r="JA3" s="351">
        <v>20125</v>
      </c>
      <c r="JB3" s="351">
        <v>20126</v>
      </c>
      <c r="JC3" s="351">
        <v>20127</v>
      </c>
      <c r="JD3" s="351">
        <v>20128</v>
      </c>
      <c r="JE3" s="351">
        <v>20134</v>
      </c>
      <c r="JF3" s="351">
        <v>20135</v>
      </c>
      <c r="JG3" s="351">
        <v>20136</v>
      </c>
      <c r="JH3" s="351">
        <v>20137</v>
      </c>
      <c r="JI3" s="351">
        <v>20138</v>
      </c>
      <c r="JJ3" s="351">
        <v>20140</v>
      </c>
      <c r="JK3" s="351">
        <v>20141</v>
      </c>
      <c r="JL3" s="351">
        <v>20142</v>
      </c>
      <c r="JM3" s="351">
        <v>20143</v>
      </c>
      <c r="JN3" s="351">
        <v>20144</v>
      </c>
      <c r="JO3" s="351">
        <v>20145</v>
      </c>
      <c r="JP3" s="351">
        <v>20146</v>
      </c>
      <c r="JQ3" s="351">
        <v>20147</v>
      </c>
      <c r="JR3" s="351">
        <v>20148</v>
      </c>
      <c r="JS3" s="351">
        <v>20149</v>
      </c>
      <c r="JT3" s="351">
        <v>20150</v>
      </c>
      <c r="JU3" s="351">
        <v>20151</v>
      </c>
      <c r="JV3" s="351">
        <v>10</v>
      </c>
      <c r="JW3" s="351">
        <v>20152</v>
      </c>
      <c r="JX3" s="351">
        <v>20153</v>
      </c>
      <c r="JY3" s="351">
        <v>20154</v>
      </c>
      <c r="JZ3" s="351">
        <v>20155</v>
      </c>
      <c r="KA3" s="351">
        <v>20156</v>
      </c>
      <c r="KB3" s="351">
        <v>20157</v>
      </c>
      <c r="KC3" s="351">
        <v>20158</v>
      </c>
      <c r="KD3" s="351">
        <v>20159</v>
      </c>
      <c r="KE3" s="351">
        <v>20160</v>
      </c>
      <c r="KF3" s="351">
        <v>20161</v>
      </c>
      <c r="KG3" s="351">
        <v>20162</v>
      </c>
      <c r="KH3" s="351">
        <v>20163</v>
      </c>
      <c r="KI3" s="351">
        <v>20164</v>
      </c>
      <c r="KJ3" s="351">
        <v>20165</v>
      </c>
      <c r="KK3" s="351">
        <v>20166</v>
      </c>
      <c r="KL3" s="351">
        <v>273</v>
      </c>
      <c r="KM3" s="351">
        <v>272</v>
      </c>
      <c r="KN3" s="351">
        <v>221</v>
      </c>
      <c r="KO3" s="351">
        <v>223</v>
      </c>
      <c r="KP3" s="351">
        <v>222</v>
      </c>
      <c r="KQ3" s="351">
        <v>20172</v>
      </c>
      <c r="KR3" s="351">
        <v>20173</v>
      </c>
      <c r="KS3" s="351">
        <v>20174</v>
      </c>
      <c r="KT3" s="351">
        <v>20175</v>
      </c>
      <c r="KU3" s="351">
        <v>20176</v>
      </c>
      <c r="KV3" s="351">
        <v>20177</v>
      </c>
      <c r="KW3" s="351">
        <v>20178</v>
      </c>
      <c r="KX3" s="351">
        <v>20179</v>
      </c>
      <c r="KY3" s="351">
        <v>20180</v>
      </c>
      <c r="KZ3" s="351">
        <v>20181</v>
      </c>
      <c r="LA3" s="351">
        <v>20182</v>
      </c>
      <c r="LB3" s="351">
        <v>20183</v>
      </c>
      <c r="LC3" s="351">
        <v>20184</v>
      </c>
      <c r="LD3" s="351">
        <v>20185</v>
      </c>
      <c r="LE3" s="351">
        <v>20186</v>
      </c>
      <c r="LF3" s="351">
        <v>20187</v>
      </c>
      <c r="LG3" s="351">
        <v>20188</v>
      </c>
      <c r="LH3" s="351">
        <v>20189</v>
      </c>
      <c r="LI3" s="351">
        <v>20190</v>
      </c>
      <c r="LJ3" s="351">
        <v>20191</v>
      </c>
      <c r="LK3" s="351">
        <v>20189</v>
      </c>
      <c r="LL3" s="351">
        <v>20190</v>
      </c>
      <c r="LM3" s="351">
        <v>20191</v>
      </c>
      <c r="LN3" s="351">
        <v>20192</v>
      </c>
      <c r="LO3" s="351">
        <v>20193</v>
      </c>
      <c r="LP3" s="351">
        <v>20194</v>
      </c>
      <c r="LQ3" s="351">
        <v>20195</v>
      </c>
      <c r="LR3" s="351">
        <v>20196</v>
      </c>
      <c r="LS3" s="351">
        <v>556</v>
      </c>
      <c r="LT3" s="351">
        <v>605</v>
      </c>
      <c r="LU3" s="351">
        <v>622</v>
      </c>
      <c r="LV3" s="351">
        <v>20197</v>
      </c>
      <c r="LW3" s="351">
        <v>20198</v>
      </c>
      <c r="LX3" s="351">
        <v>20199</v>
      </c>
      <c r="LY3" s="351">
        <v>20200</v>
      </c>
      <c r="LZ3" s="351">
        <v>20201</v>
      </c>
      <c r="MA3" s="351">
        <v>20202</v>
      </c>
      <c r="MB3" s="351">
        <v>20203</v>
      </c>
      <c r="MC3" s="351">
        <v>20204</v>
      </c>
      <c r="MD3" s="351">
        <v>20205</v>
      </c>
      <c r="ME3" s="351">
        <v>20206</v>
      </c>
      <c r="MF3" s="351">
        <v>20207</v>
      </c>
      <c r="MG3" s="351">
        <v>20208</v>
      </c>
      <c r="MH3" s="351">
        <v>20209</v>
      </c>
      <c r="MI3" s="351">
        <v>20210</v>
      </c>
      <c r="MJ3" s="351">
        <v>20211</v>
      </c>
      <c r="MK3" s="351">
        <v>20212</v>
      </c>
      <c r="ML3" s="351">
        <v>20213</v>
      </c>
      <c r="MM3" s="351">
        <v>20214</v>
      </c>
      <c r="MN3" s="351">
        <v>20215</v>
      </c>
      <c r="MO3" s="351">
        <v>20218</v>
      </c>
      <c r="MP3" s="351">
        <v>20219</v>
      </c>
      <c r="MQ3" s="351">
        <v>20220</v>
      </c>
      <c r="MR3" s="351">
        <v>20221</v>
      </c>
      <c r="MS3" s="351">
        <v>20222</v>
      </c>
      <c r="MT3" s="351">
        <v>20223</v>
      </c>
      <c r="MU3" s="351">
        <v>20224</v>
      </c>
      <c r="MV3" s="351">
        <v>20225</v>
      </c>
      <c r="MW3" s="351">
        <v>20226</v>
      </c>
      <c r="MX3" s="351">
        <v>20227</v>
      </c>
      <c r="MY3" s="351">
        <v>20228</v>
      </c>
      <c r="MZ3" s="351">
        <v>20229</v>
      </c>
      <c r="NA3" s="351">
        <v>20230</v>
      </c>
      <c r="NB3" s="351">
        <v>20231</v>
      </c>
      <c r="NC3" s="351">
        <v>20232</v>
      </c>
      <c r="ND3" s="351">
        <v>20233</v>
      </c>
      <c r="NE3" s="351">
        <v>20234</v>
      </c>
      <c r="NF3" s="351">
        <v>20235</v>
      </c>
      <c r="NG3" s="351">
        <v>20236</v>
      </c>
      <c r="NH3" s="351">
        <v>20237</v>
      </c>
      <c r="NI3" s="351">
        <v>20238</v>
      </c>
      <c r="NJ3" s="351">
        <v>20239</v>
      </c>
      <c r="NK3" s="351">
        <v>20240</v>
      </c>
      <c r="NL3" s="351">
        <v>20241</v>
      </c>
      <c r="NM3" s="351">
        <v>20242</v>
      </c>
      <c r="NN3" s="351">
        <v>20243</v>
      </c>
      <c r="NO3" s="351">
        <v>20244</v>
      </c>
    </row>
  </sheetData>
  <autoFilter ref="B3:LT3"/>
  <mergeCells count="4">
    <mergeCell ref="B2:B3"/>
    <mergeCell ref="E2:E3"/>
    <mergeCell ref="D2:D3"/>
    <mergeCell ref="C2:C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lecture_trace_Ican">
                <anchor moveWithCells="1" sizeWithCells="1">
                  <from>
                    <xdr:col>0</xdr:col>
                    <xdr:colOff>45720</xdr:colOff>
                    <xdr:row>0</xdr:row>
                    <xdr:rowOff>106680</xdr:rowOff>
                  </from>
                  <to>
                    <xdr:col>2</xdr:col>
                    <xdr:colOff>0</xdr:colOff>
                    <xdr:row>1</xdr:row>
                    <xdr:rowOff>647700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3">
    <tabColor rgb="FF00B0F0"/>
  </sheetPr>
  <dimension ref="A1:AK105"/>
  <sheetViews>
    <sheetView topLeftCell="A5" workbookViewId="0">
      <selection activeCell="G24" sqref="G24"/>
    </sheetView>
  </sheetViews>
  <sheetFormatPr baseColWidth="10" defaultColWidth="11.5546875" defaultRowHeight="13.2" x14ac:dyDescent="0.25"/>
  <cols>
    <col min="1" max="1" width="11.5546875" style="378"/>
    <col min="2" max="2" width="37.88671875" style="378" bestFit="1" customWidth="1"/>
    <col min="3" max="3" width="10.88671875" style="378" customWidth="1"/>
    <col min="4" max="4" width="1.6640625" style="378" customWidth="1"/>
    <col min="5" max="5" width="14.44140625" style="387" customWidth="1"/>
    <col min="6" max="8" width="11.5546875" style="378"/>
    <col min="9" max="9" width="1.6640625" style="378" customWidth="1"/>
    <col min="10" max="10" width="21.88671875" style="378" bestFit="1" customWidth="1"/>
    <col min="11" max="11" width="11.5546875" style="378"/>
    <col min="12" max="12" width="20.33203125" style="378" bestFit="1" customWidth="1"/>
    <col min="13" max="13" width="1.6640625" style="378" customWidth="1"/>
    <col min="14" max="16" width="11.5546875" style="378"/>
    <col min="17" max="17" width="1.6640625" style="378" customWidth="1"/>
    <col min="18" max="20" width="11.5546875" style="378"/>
    <col min="21" max="21" width="1.6640625" style="378" customWidth="1"/>
    <col min="22" max="24" width="11.5546875" style="378"/>
    <col min="25" max="25" width="1.6640625" style="378" customWidth="1"/>
    <col min="26" max="28" width="11.5546875" style="378"/>
    <col min="29" max="29" width="1.6640625" style="378" customWidth="1"/>
    <col min="30" max="32" width="11.5546875" style="378"/>
    <col min="33" max="33" width="1.6640625" style="378" customWidth="1"/>
    <col min="34" max="36" width="11.5546875" style="378"/>
    <col min="37" max="37" width="1.6640625" style="378" customWidth="1"/>
    <col min="38" max="16384" width="11.5546875" style="378"/>
  </cols>
  <sheetData>
    <row r="1" spans="1:37" ht="45.75" customHeight="1" x14ac:dyDescent="0.25">
      <c r="A1" s="378">
        <v>0</v>
      </c>
      <c r="B1" s="378" t="s">
        <v>2592</v>
      </c>
      <c r="C1" s="378" t="s">
        <v>3240</v>
      </c>
      <c r="D1" s="385" t="s">
        <v>142</v>
      </c>
      <c r="E1" s="386"/>
      <c r="F1" s="371"/>
      <c r="G1" s="372"/>
      <c r="H1" s="373"/>
      <c r="I1" s="374" t="s">
        <v>142</v>
      </c>
      <c r="J1" s="371"/>
      <c r="K1" s="371"/>
      <c r="L1" s="371"/>
      <c r="M1" s="374" t="s">
        <v>142</v>
      </c>
      <c r="N1" s="371"/>
      <c r="O1" s="371"/>
      <c r="P1" s="371"/>
      <c r="Q1" s="374" t="s">
        <v>142</v>
      </c>
      <c r="R1" s="371"/>
      <c r="S1" s="371"/>
      <c r="T1" s="371"/>
      <c r="U1" s="374" t="s">
        <v>142</v>
      </c>
      <c r="V1" s="371"/>
      <c r="W1" s="371"/>
      <c r="X1" s="371"/>
      <c r="Y1" s="374" t="s">
        <v>142</v>
      </c>
      <c r="Z1" s="536"/>
      <c r="AA1" s="537"/>
      <c r="AB1" s="538"/>
      <c r="AC1" s="374" t="s">
        <v>142</v>
      </c>
      <c r="AD1" s="536"/>
      <c r="AE1" s="537"/>
      <c r="AF1" s="538"/>
      <c r="AG1" s="374" t="s">
        <v>142</v>
      </c>
      <c r="AH1" s="536"/>
      <c r="AI1" s="537"/>
      <c r="AJ1" s="538"/>
      <c r="AK1" s="374" t="s">
        <v>142</v>
      </c>
    </row>
    <row r="2" spans="1:37" x14ac:dyDescent="0.25">
      <c r="A2" s="378">
        <v>1</v>
      </c>
      <c r="B2" s="378" t="s">
        <v>290</v>
      </c>
      <c r="C2" s="378" t="s">
        <v>3240</v>
      </c>
      <c r="D2" s="385" t="s">
        <v>142</v>
      </c>
      <c r="E2" s="386"/>
      <c r="F2" s="375"/>
      <c r="G2" s="375"/>
      <c r="H2" s="376"/>
      <c r="I2" s="374" t="s">
        <v>142</v>
      </c>
      <c r="J2" s="375"/>
      <c r="K2" s="375"/>
      <c r="L2" s="375"/>
      <c r="M2" s="374" t="s">
        <v>142</v>
      </c>
      <c r="N2" s="375"/>
      <c r="O2" s="375"/>
      <c r="P2" s="375"/>
      <c r="Q2" s="374" t="s">
        <v>142</v>
      </c>
      <c r="R2" s="375"/>
      <c r="S2" s="375"/>
      <c r="T2" s="375"/>
      <c r="U2" s="374" t="s">
        <v>142</v>
      </c>
      <c r="V2" s="375"/>
      <c r="W2" s="375"/>
      <c r="X2" s="375"/>
      <c r="Y2" s="374" t="s">
        <v>142</v>
      </c>
      <c r="Z2" s="375"/>
      <c r="AA2" s="375"/>
      <c r="AB2" s="375"/>
      <c r="AC2" s="374" t="s">
        <v>142</v>
      </c>
      <c r="AD2" s="375"/>
      <c r="AE2" s="375"/>
      <c r="AF2" s="375"/>
      <c r="AG2" s="374" t="s">
        <v>142</v>
      </c>
      <c r="AH2" s="375"/>
      <c r="AI2" s="375"/>
      <c r="AJ2" s="375"/>
      <c r="AK2" s="374" t="s">
        <v>142</v>
      </c>
    </row>
    <row r="3" spans="1:37" x14ac:dyDescent="0.25">
      <c r="A3" s="378">
        <v>2</v>
      </c>
      <c r="B3" s="378" t="s">
        <v>2594</v>
      </c>
      <c r="C3" s="378" t="s">
        <v>3240</v>
      </c>
      <c r="D3" s="385" t="s">
        <v>142</v>
      </c>
      <c r="E3" s="386"/>
      <c r="F3" s="375"/>
      <c r="G3" s="375"/>
      <c r="H3" s="376"/>
      <c r="I3" s="374" t="s">
        <v>142</v>
      </c>
      <c r="J3" s="375"/>
      <c r="K3" s="375"/>
      <c r="L3" s="375"/>
      <c r="M3" s="374" t="s">
        <v>142</v>
      </c>
      <c r="N3" s="375"/>
      <c r="O3" s="375"/>
      <c r="P3" s="375"/>
      <c r="Q3" s="374" t="s">
        <v>142</v>
      </c>
      <c r="R3" s="375"/>
      <c r="S3" s="375"/>
      <c r="T3" s="375"/>
      <c r="U3" s="374" t="s">
        <v>142</v>
      </c>
      <c r="V3" s="375"/>
      <c r="W3" s="375"/>
      <c r="X3" s="375"/>
      <c r="Y3" s="374" t="s">
        <v>142</v>
      </c>
      <c r="Z3" s="375"/>
      <c r="AA3" s="375"/>
      <c r="AB3" s="375"/>
      <c r="AC3" s="374" t="s">
        <v>142</v>
      </c>
      <c r="AD3" s="375"/>
      <c r="AE3" s="375"/>
      <c r="AF3" s="375"/>
      <c r="AG3" s="374" t="s">
        <v>142</v>
      </c>
      <c r="AH3" s="375"/>
      <c r="AI3" s="375"/>
      <c r="AJ3" s="375"/>
      <c r="AK3" s="374" t="s">
        <v>142</v>
      </c>
    </row>
    <row r="4" spans="1:37" x14ac:dyDescent="0.25">
      <c r="A4" s="378">
        <v>3</v>
      </c>
      <c r="B4" s="378" t="s">
        <v>2595</v>
      </c>
      <c r="C4" s="378" t="s">
        <v>3240</v>
      </c>
      <c r="D4" s="385" t="s">
        <v>142</v>
      </c>
      <c r="E4" s="386"/>
      <c r="F4" s="375"/>
      <c r="G4" s="375"/>
      <c r="H4" s="376"/>
      <c r="I4" s="374" t="s">
        <v>142</v>
      </c>
      <c r="J4" s="375"/>
      <c r="K4" s="375"/>
      <c r="L4" s="375"/>
      <c r="M4" s="374" t="s">
        <v>142</v>
      </c>
      <c r="N4" s="375"/>
      <c r="O4" s="375"/>
      <c r="P4" s="375"/>
      <c r="Q4" s="374" t="s">
        <v>142</v>
      </c>
      <c r="R4" s="375"/>
      <c r="S4" s="375"/>
      <c r="T4" s="375"/>
      <c r="U4" s="374" t="s">
        <v>142</v>
      </c>
      <c r="V4" s="375"/>
      <c r="W4" s="375"/>
      <c r="X4" s="375"/>
      <c r="Y4" s="374" t="s">
        <v>142</v>
      </c>
      <c r="Z4" s="375"/>
      <c r="AA4" s="375"/>
      <c r="AB4" s="375"/>
      <c r="AC4" s="374" t="s">
        <v>142</v>
      </c>
      <c r="AD4" s="375"/>
      <c r="AE4" s="375"/>
      <c r="AF4" s="375"/>
      <c r="AG4" s="374" t="s">
        <v>142</v>
      </c>
      <c r="AH4" s="375"/>
      <c r="AI4" s="375"/>
      <c r="AJ4" s="375"/>
      <c r="AK4" s="374" t="s">
        <v>142</v>
      </c>
    </row>
    <row r="5" spans="1:37" ht="26.4" x14ac:dyDescent="0.25">
      <c r="A5" s="378">
        <v>4</v>
      </c>
      <c r="B5" s="378" t="s">
        <v>2596</v>
      </c>
      <c r="C5" s="378" t="s">
        <v>3239</v>
      </c>
      <c r="D5" s="385" t="s">
        <v>142</v>
      </c>
      <c r="E5" s="386" t="s">
        <v>2593</v>
      </c>
      <c r="F5" s="367" t="s">
        <v>3633</v>
      </c>
      <c r="G5" s="368"/>
      <c r="H5" s="369"/>
      <c r="I5" s="370" t="s">
        <v>142</v>
      </c>
      <c r="J5" s="367" t="s">
        <v>3627</v>
      </c>
      <c r="K5" s="368"/>
      <c r="L5" s="368"/>
      <c r="M5" s="370" t="s">
        <v>142</v>
      </c>
      <c r="N5" s="367" t="s">
        <v>3626</v>
      </c>
      <c r="O5" s="368"/>
      <c r="P5" s="368"/>
      <c r="Q5" s="370" t="s">
        <v>142</v>
      </c>
      <c r="R5" s="367" t="s">
        <v>3255</v>
      </c>
      <c r="S5" s="368"/>
      <c r="T5" s="368"/>
      <c r="U5" s="370" t="s">
        <v>142</v>
      </c>
      <c r="V5" s="367" t="s">
        <v>3560</v>
      </c>
      <c r="W5" s="368"/>
      <c r="X5" s="368"/>
      <c r="Y5" s="370" t="s">
        <v>142</v>
      </c>
      <c r="Z5" s="367" t="s">
        <v>3561</v>
      </c>
      <c r="AA5" s="368"/>
      <c r="AB5" s="368"/>
      <c r="AC5" s="370" t="s">
        <v>142</v>
      </c>
      <c r="AD5" s="368"/>
      <c r="AE5" s="368"/>
      <c r="AF5" s="368"/>
      <c r="AG5" s="370" t="s">
        <v>142</v>
      </c>
      <c r="AH5" s="368"/>
      <c r="AI5" s="368"/>
      <c r="AJ5" s="368"/>
      <c r="AK5" s="370" t="s">
        <v>142</v>
      </c>
    </row>
    <row r="6" spans="1:37" ht="37.5" customHeight="1" x14ac:dyDescent="0.25">
      <c r="A6" s="378">
        <v>5</v>
      </c>
      <c r="B6" s="378" t="s">
        <v>4589</v>
      </c>
      <c r="C6" s="378" t="s">
        <v>3240</v>
      </c>
      <c r="D6" s="385" t="s">
        <v>142</v>
      </c>
      <c r="E6" s="386" t="s">
        <v>2597</v>
      </c>
      <c r="F6" s="377" t="s">
        <v>4702</v>
      </c>
      <c r="G6" s="372"/>
      <c r="H6" s="373"/>
      <c r="I6" s="374" t="s">
        <v>142</v>
      </c>
      <c r="J6" s="375" t="s">
        <v>3628</v>
      </c>
      <c r="K6" s="371"/>
      <c r="L6" s="371"/>
      <c r="M6" s="374" t="s">
        <v>142</v>
      </c>
      <c r="N6" s="371"/>
      <c r="O6" s="371"/>
      <c r="P6" s="371"/>
      <c r="Q6" s="374" t="s">
        <v>142</v>
      </c>
      <c r="R6" s="397" t="s">
        <v>3255</v>
      </c>
      <c r="S6" s="371"/>
      <c r="T6" s="371"/>
      <c r="U6" s="374" t="s">
        <v>142</v>
      </c>
      <c r="V6" s="375" t="s">
        <v>3542</v>
      </c>
      <c r="W6" s="371"/>
      <c r="X6" s="371"/>
      <c r="Y6" s="374" t="s">
        <v>142</v>
      </c>
      <c r="Z6" s="536" t="s">
        <v>3556</v>
      </c>
      <c r="AA6" s="537"/>
      <c r="AB6" s="538"/>
      <c r="AC6" s="374" t="s">
        <v>142</v>
      </c>
      <c r="AD6" s="536"/>
      <c r="AE6" s="537"/>
      <c r="AF6" s="538"/>
      <c r="AG6" s="374" t="s">
        <v>142</v>
      </c>
      <c r="AH6" s="536"/>
      <c r="AI6" s="537"/>
      <c r="AJ6" s="538"/>
      <c r="AK6" s="374" t="s">
        <v>142</v>
      </c>
    </row>
    <row r="7" spans="1:37" ht="52.8" x14ac:dyDescent="0.25">
      <c r="A7" s="378">
        <v>6</v>
      </c>
      <c r="B7" s="378" t="s">
        <v>2598</v>
      </c>
      <c r="C7" s="378" t="s">
        <v>3240</v>
      </c>
      <c r="D7" s="385" t="s">
        <v>142</v>
      </c>
      <c r="E7" s="386" t="s">
        <v>2599</v>
      </c>
      <c r="F7" s="375" t="s">
        <v>2600</v>
      </c>
      <c r="G7" s="375">
        <v>9</v>
      </c>
      <c r="H7" s="376"/>
      <c r="I7" s="374" t="s">
        <v>142</v>
      </c>
      <c r="J7" s="375" t="s">
        <v>2600</v>
      </c>
      <c r="K7" s="375">
        <v>14</v>
      </c>
      <c r="L7" s="375"/>
      <c r="M7" s="374" t="s">
        <v>142</v>
      </c>
      <c r="N7" s="375" t="s">
        <v>2600</v>
      </c>
      <c r="O7" s="375">
        <v>12</v>
      </c>
      <c r="P7" s="375"/>
      <c r="Q7" s="374" t="s">
        <v>142</v>
      </c>
      <c r="R7" s="375" t="s">
        <v>2600</v>
      </c>
      <c r="S7" s="375">
        <v>11</v>
      </c>
      <c r="T7" s="375"/>
      <c r="U7" s="374" t="s">
        <v>142</v>
      </c>
      <c r="V7" s="375" t="s">
        <v>2600</v>
      </c>
      <c r="W7" s="375">
        <v>30</v>
      </c>
      <c r="X7" s="375"/>
      <c r="Y7" s="374" t="s">
        <v>142</v>
      </c>
      <c r="Z7" s="375" t="s">
        <v>2600</v>
      </c>
      <c r="AA7" s="375">
        <v>7</v>
      </c>
      <c r="AB7" s="375"/>
      <c r="AC7" s="374" t="s">
        <v>142</v>
      </c>
      <c r="AD7" s="375"/>
      <c r="AE7" s="375"/>
      <c r="AF7" s="375"/>
      <c r="AG7" s="374" t="s">
        <v>142</v>
      </c>
      <c r="AH7" s="375"/>
      <c r="AI7" s="375"/>
      <c r="AJ7" s="375"/>
      <c r="AK7" s="374" t="s">
        <v>142</v>
      </c>
    </row>
    <row r="8" spans="1:37" x14ac:dyDescent="0.25">
      <c r="A8" s="378">
        <v>7</v>
      </c>
      <c r="B8" s="378" t="s">
        <v>2601</v>
      </c>
      <c r="C8" s="378" t="s">
        <v>3240</v>
      </c>
      <c r="D8" s="385" t="s">
        <v>142</v>
      </c>
      <c r="E8" s="535" t="s">
        <v>2602</v>
      </c>
      <c r="F8" s="377" t="s">
        <v>2592</v>
      </c>
      <c r="G8" s="377">
        <v>1</v>
      </c>
      <c r="H8" s="377" t="s">
        <v>2401</v>
      </c>
      <c r="I8" s="374" t="s">
        <v>142</v>
      </c>
      <c r="J8" s="377" t="s">
        <v>2592</v>
      </c>
      <c r="K8" s="377">
        <v>1</v>
      </c>
      <c r="L8" s="377" t="s">
        <v>2401</v>
      </c>
      <c r="M8" s="374" t="s">
        <v>142</v>
      </c>
      <c r="N8" s="377" t="s">
        <v>2592</v>
      </c>
      <c r="O8" s="377">
        <v>1</v>
      </c>
      <c r="P8" s="377" t="s">
        <v>2401</v>
      </c>
      <c r="Q8" s="374" t="s">
        <v>142</v>
      </c>
      <c r="R8" s="378" t="s">
        <v>2592</v>
      </c>
      <c r="S8" s="377">
        <v>1</v>
      </c>
      <c r="T8" s="377" t="s">
        <v>2401</v>
      </c>
      <c r="U8" s="374" t="s">
        <v>142</v>
      </c>
      <c r="V8" s="377" t="s">
        <v>2592</v>
      </c>
      <c r="W8" s="377">
        <v>1</v>
      </c>
      <c r="X8" s="377" t="s">
        <v>2401</v>
      </c>
      <c r="Y8" s="374" t="s">
        <v>142</v>
      </c>
      <c r="Z8" s="375" t="s">
        <v>2592</v>
      </c>
      <c r="AA8" s="375">
        <v>1</v>
      </c>
      <c r="AB8" s="377" t="s">
        <v>3534</v>
      </c>
      <c r="AC8" s="374" t="s">
        <v>142</v>
      </c>
      <c r="AD8" s="375"/>
      <c r="AE8" s="375"/>
      <c r="AF8" s="375"/>
      <c r="AG8" s="374" t="s">
        <v>142</v>
      </c>
      <c r="AH8" s="375"/>
      <c r="AI8" s="375"/>
      <c r="AJ8" s="375"/>
      <c r="AK8" s="374" t="s">
        <v>142</v>
      </c>
    </row>
    <row r="9" spans="1:37" ht="39.6" x14ac:dyDescent="0.25">
      <c r="A9" s="378">
        <v>8</v>
      </c>
      <c r="B9" s="378" t="s">
        <v>3091</v>
      </c>
      <c r="C9" s="378" t="s">
        <v>3240</v>
      </c>
      <c r="D9" s="385" t="s">
        <v>142</v>
      </c>
      <c r="E9" s="535"/>
      <c r="F9" s="375" t="s">
        <v>4598</v>
      </c>
      <c r="G9" s="377">
        <v>4</v>
      </c>
      <c r="H9" s="377" t="s">
        <v>2401</v>
      </c>
      <c r="I9" s="374" t="s">
        <v>142</v>
      </c>
      <c r="J9" s="379" t="s">
        <v>3486</v>
      </c>
      <c r="K9" s="377">
        <v>2</v>
      </c>
      <c r="L9" s="380" t="s">
        <v>1949</v>
      </c>
      <c r="M9" s="374" t="s">
        <v>142</v>
      </c>
      <c r="N9" s="379" t="s">
        <v>3486</v>
      </c>
      <c r="O9" s="377">
        <v>2</v>
      </c>
      <c r="P9" s="380" t="s">
        <v>1949</v>
      </c>
      <c r="Q9" s="374" t="s">
        <v>142</v>
      </c>
      <c r="R9" s="378" t="s">
        <v>2595</v>
      </c>
      <c r="S9" s="377">
        <v>4</v>
      </c>
      <c r="T9" s="377" t="s">
        <v>3439</v>
      </c>
      <c r="U9" s="374" t="s">
        <v>142</v>
      </c>
      <c r="V9" s="379" t="s">
        <v>290</v>
      </c>
      <c r="W9" s="377">
        <v>1</v>
      </c>
      <c r="X9" s="380" t="s">
        <v>1542</v>
      </c>
      <c r="Y9" s="374" t="s">
        <v>142</v>
      </c>
      <c r="Z9" s="377" t="s">
        <v>2595</v>
      </c>
      <c r="AA9" s="377">
        <v>4</v>
      </c>
      <c r="AB9" s="377" t="s">
        <v>3536</v>
      </c>
      <c r="AC9" s="374" t="s">
        <v>142</v>
      </c>
      <c r="AD9" s="375"/>
      <c r="AE9" s="375"/>
      <c r="AF9" s="375"/>
      <c r="AG9" s="374" t="s">
        <v>142</v>
      </c>
      <c r="AH9" s="375"/>
      <c r="AI9" s="375"/>
      <c r="AJ9" s="375"/>
      <c r="AK9" s="374" t="s">
        <v>142</v>
      </c>
    </row>
    <row r="10" spans="1:37" x14ac:dyDescent="0.25">
      <c r="A10" s="378">
        <v>9</v>
      </c>
      <c r="B10" s="378" t="s">
        <v>101</v>
      </c>
      <c r="C10" s="378" t="s">
        <v>3239</v>
      </c>
      <c r="D10" s="385" t="s">
        <v>142</v>
      </c>
      <c r="E10" s="535"/>
      <c r="F10" s="377" t="s">
        <v>3218</v>
      </c>
      <c r="G10" s="377">
        <v>2</v>
      </c>
      <c r="H10" s="377" t="s">
        <v>4684</v>
      </c>
      <c r="I10" s="374" t="s">
        <v>142</v>
      </c>
      <c r="J10" s="377" t="s">
        <v>101</v>
      </c>
      <c r="K10" s="377">
        <v>17</v>
      </c>
      <c r="L10" s="377" t="s">
        <v>3620</v>
      </c>
      <c r="M10" s="374" t="s">
        <v>142</v>
      </c>
      <c r="N10" s="377" t="s">
        <v>101</v>
      </c>
      <c r="O10" s="377">
        <v>17</v>
      </c>
      <c r="P10" s="380" t="s">
        <v>3620</v>
      </c>
      <c r="Q10" s="374" t="s">
        <v>142</v>
      </c>
      <c r="R10" s="377" t="s">
        <v>101</v>
      </c>
      <c r="S10" s="377">
        <v>17</v>
      </c>
      <c r="T10" s="377" t="s">
        <v>728</v>
      </c>
      <c r="U10" s="374" t="s">
        <v>142</v>
      </c>
      <c r="V10" s="377" t="s">
        <v>2594</v>
      </c>
      <c r="W10" s="377">
        <v>2</v>
      </c>
      <c r="X10" s="380" t="s">
        <v>3283</v>
      </c>
      <c r="Y10" s="374" t="s">
        <v>142</v>
      </c>
      <c r="Z10" s="378" t="s">
        <v>101</v>
      </c>
      <c r="AA10" s="377">
        <v>17</v>
      </c>
      <c r="AB10" s="377" t="s">
        <v>3537</v>
      </c>
      <c r="AC10" s="374" t="s">
        <v>142</v>
      </c>
      <c r="AD10" s="375"/>
      <c r="AE10" s="375"/>
      <c r="AF10" s="375"/>
      <c r="AG10" s="374" t="s">
        <v>142</v>
      </c>
      <c r="AH10" s="375"/>
      <c r="AI10" s="375"/>
      <c r="AJ10" s="375"/>
      <c r="AK10" s="374" t="s">
        <v>142</v>
      </c>
    </row>
    <row r="11" spans="1:37" x14ac:dyDescent="0.25">
      <c r="A11" s="378">
        <v>10</v>
      </c>
      <c r="B11" s="378" t="s">
        <v>3138</v>
      </c>
      <c r="C11" s="378" t="s">
        <v>3239</v>
      </c>
      <c r="D11" s="385" t="s">
        <v>142</v>
      </c>
      <c r="E11" s="535"/>
      <c r="F11" s="378" t="s">
        <v>101</v>
      </c>
      <c r="G11" s="377">
        <v>17</v>
      </c>
      <c r="H11" s="377" t="s">
        <v>3620</v>
      </c>
      <c r="I11" s="374" t="s">
        <v>142</v>
      </c>
      <c r="J11" s="378" t="s">
        <v>3219</v>
      </c>
      <c r="K11" s="377">
        <v>2</v>
      </c>
      <c r="L11" s="381" t="s">
        <v>176</v>
      </c>
      <c r="M11" s="374" t="s">
        <v>142</v>
      </c>
      <c r="N11" s="377" t="s">
        <v>3219</v>
      </c>
      <c r="O11" s="377">
        <v>2</v>
      </c>
      <c r="P11" s="377" t="s">
        <v>176</v>
      </c>
      <c r="Q11" s="374" t="s">
        <v>142</v>
      </c>
      <c r="R11" s="377" t="s">
        <v>290</v>
      </c>
      <c r="S11" s="377">
        <v>1</v>
      </c>
      <c r="T11" s="377" t="s">
        <v>1542</v>
      </c>
      <c r="U11" s="374" t="s">
        <v>142</v>
      </c>
      <c r="V11" s="378" t="s">
        <v>2596</v>
      </c>
      <c r="W11" s="377">
        <v>4</v>
      </c>
      <c r="X11" s="377" t="s">
        <v>3189</v>
      </c>
      <c r="Y11" s="374" t="s">
        <v>142</v>
      </c>
      <c r="Z11" s="378" t="s">
        <v>108</v>
      </c>
      <c r="AA11" s="377">
        <v>15</v>
      </c>
      <c r="AB11" s="383" t="s">
        <v>3533</v>
      </c>
      <c r="AC11" s="374" t="s">
        <v>142</v>
      </c>
      <c r="AD11" s="375"/>
      <c r="AE11" s="375"/>
      <c r="AF11" s="375"/>
      <c r="AG11" s="374" t="s">
        <v>142</v>
      </c>
      <c r="AH11" s="375"/>
      <c r="AI11" s="375"/>
      <c r="AJ11" s="375"/>
      <c r="AK11" s="374" t="s">
        <v>142</v>
      </c>
    </row>
    <row r="12" spans="1:37" x14ac:dyDescent="0.25">
      <c r="A12" s="378">
        <v>11</v>
      </c>
      <c r="B12" s="378" t="s">
        <v>3154</v>
      </c>
      <c r="C12" s="378" t="s">
        <v>3240</v>
      </c>
      <c r="D12" s="385" t="s">
        <v>142</v>
      </c>
      <c r="E12" s="535"/>
      <c r="F12" s="377" t="s">
        <v>108</v>
      </c>
      <c r="G12" s="377">
        <v>15</v>
      </c>
      <c r="H12" s="377" t="s">
        <v>4703</v>
      </c>
      <c r="I12" s="374" t="s">
        <v>142</v>
      </c>
      <c r="J12" s="377" t="s">
        <v>3220</v>
      </c>
      <c r="K12" s="377">
        <v>2</v>
      </c>
      <c r="L12" s="382" t="s">
        <v>176</v>
      </c>
      <c r="M12" s="374" t="s">
        <v>142</v>
      </c>
      <c r="N12" s="378" t="s">
        <v>3220</v>
      </c>
      <c r="O12" s="377">
        <v>2</v>
      </c>
      <c r="P12" s="377" t="s">
        <v>176</v>
      </c>
      <c r="Q12" s="374" t="s">
        <v>142</v>
      </c>
      <c r="R12" s="377" t="s">
        <v>2594</v>
      </c>
      <c r="S12" s="377">
        <v>2</v>
      </c>
      <c r="T12" s="377" t="s">
        <v>3440</v>
      </c>
      <c r="U12" s="374" t="s">
        <v>142</v>
      </c>
      <c r="V12" s="378" t="s">
        <v>4589</v>
      </c>
      <c r="W12" s="377">
        <v>1</v>
      </c>
      <c r="X12" s="383" t="s">
        <v>2401</v>
      </c>
      <c r="Y12" s="374" t="s">
        <v>142</v>
      </c>
      <c r="Z12" s="378" t="s">
        <v>3202</v>
      </c>
      <c r="AA12" s="377">
        <v>8</v>
      </c>
      <c r="AB12" s="383" t="s">
        <v>3557</v>
      </c>
      <c r="AC12" s="374" t="s">
        <v>142</v>
      </c>
      <c r="AD12" s="375"/>
      <c r="AE12" s="375"/>
      <c r="AF12" s="375"/>
      <c r="AG12" s="374" t="s">
        <v>142</v>
      </c>
      <c r="AH12" s="375"/>
      <c r="AI12" s="375"/>
      <c r="AJ12" s="375"/>
      <c r="AK12" s="374" t="s">
        <v>142</v>
      </c>
    </row>
    <row r="13" spans="1:37" x14ac:dyDescent="0.25">
      <c r="A13" s="378">
        <v>12</v>
      </c>
      <c r="B13" s="378" t="s">
        <v>3156</v>
      </c>
      <c r="C13" s="378" t="s">
        <v>3240</v>
      </c>
      <c r="D13" s="385" t="s">
        <v>142</v>
      </c>
      <c r="E13" s="535"/>
      <c r="F13" s="375">
        <v>92</v>
      </c>
      <c r="G13" s="377">
        <v>1</v>
      </c>
      <c r="H13" s="383" t="s">
        <v>2401</v>
      </c>
      <c r="I13" s="374" t="s">
        <v>142</v>
      </c>
      <c r="J13" s="377" t="s">
        <v>3221</v>
      </c>
      <c r="K13" s="377">
        <v>1</v>
      </c>
      <c r="L13" s="382" t="s">
        <v>471</v>
      </c>
      <c r="M13" s="374" t="s">
        <v>142</v>
      </c>
      <c r="N13" s="377" t="s">
        <v>3221</v>
      </c>
      <c r="O13" s="377">
        <v>1</v>
      </c>
      <c r="P13" s="377" t="s">
        <v>471</v>
      </c>
      <c r="Q13" s="374" t="s">
        <v>142</v>
      </c>
      <c r="R13" s="377" t="s">
        <v>3091</v>
      </c>
      <c r="S13" s="377">
        <v>2</v>
      </c>
      <c r="T13" s="377" t="s">
        <v>558</v>
      </c>
      <c r="U13" s="374" t="s">
        <v>142</v>
      </c>
      <c r="V13" s="378" t="s">
        <v>2598</v>
      </c>
      <c r="W13" s="377">
        <v>1</v>
      </c>
      <c r="X13" s="383" t="s">
        <v>1542</v>
      </c>
      <c r="Y13" s="374" t="s">
        <v>142</v>
      </c>
      <c r="Z13" s="375" t="s">
        <v>3201</v>
      </c>
      <c r="AA13" s="375">
        <v>8</v>
      </c>
      <c r="AB13" s="377" t="s">
        <v>3558</v>
      </c>
      <c r="AC13" s="374" t="s">
        <v>142</v>
      </c>
      <c r="AD13" s="375"/>
      <c r="AE13" s="375"/>
      <c r="AF13" s="375"/>
      <c r="AG13" s="374" t="s">
        <v>142</v>
      </c>
      <c r="AH13" s="375"/>
      <c r="AI13" s="375"/>
      <c r="AJ13" s="375"/>
      <c r="AK13" s="374" t="s">
        <v>142</v>
      </c>
    </row>
    <row r="14" spans="1:37" x14ac:dyDescent="0.25">
      <c r="A14" s="378">
        <v>13</v>
      </c>
      <c r="B14" s="378" t="s">
        <v>3155</v>
      </c>
      <c r="C14" s="378" t="s">
        <v>3240</v>
      </c>
      <c r="D14" s="385" t="s">
        <v>142</v>
      </c>
      <c r="E14" s="535"/>
      <c r="F14" s="375" t="s">
        <v>3202</v>
      </c>
      <c r="G14" s="377">
        <v>8</v>
      </c>
      <c r="H14" s="383" t="s">
        <v>4704</v>
      </c>
      <c r="I14" s="374" t="s">
        <v>142</v>
      </c>
      <c r="J14" s="377" t="s">
        <v>2595</v>
      </c>
      <c r="K14" s="377">
        <v>4</v>
      </c>
      <c r="L14" s="383" t="s">
        <v>2401</v>
      </c>
      <c r="M14" s="374" t="s">
        <v>142</v>
      </c>
      <c r="N14" s="377" t="s">
        <v>2595</v>
      </c>
      <c r="O14" s="377">
        <v>4</v>
      </c>
      <c r="P14" s="377" t="s">
        <v>2401</v>
      </c>
      <c r="Q14" s="374" t="s">
        <v>142</v>
      </c>
      <c r="R14" s="377" t="s">
        <v>2596</v>
      </c>
      <c r="S14" s="377">
        <v>5</v>
      </c>
      <c r="T14" s="377" t="s">
        <v>3441</v>
      </c>
      <c r="U14" s="374" t="s">
        <v>142</v>
      </c>
      <c r="V14" s="377" t="s">
        <v>3091</v>
      </c>
      <c r="W14" s="377">
        <v>2</v>
      </c>
      <c r="X14" s="377" t="s">
        <v>567</v>
      </c>
      <c r="Y14" s="374" t="s">
        <v>142</v>
      </c>
      <c r="Z14" s="375" t="s">
        <v>3200</v>
      </c>
      <c r="AA14" s="375">
        <v>8</v>
      </c>
      <c r="AB14" s="377" t="s">
        <v>3559</v>
      </c>
      <c r="AC14" s="374" t="s">
        <v>142</v>
      </c>
      <c r="AD14" s="375"/>
      <c r="AE14" s="375"/>
      <c r="AF14" s="375"/>
      <c r="AG14" s="374" t="s">
        <v>142</v>
      </c>
      <c r="AH14" s="375"/>
      <c r="AI14" s="375"/>
      <c r="AJ14" s="375"/>
      <c r="AK14" s="374" t="s">
        <v>142</v>
      </c>
    </row>
    <row r="15" spans="1:37" x14ac:dyDescent="0.25">
      <c r="A15" s="378">
        <v>14</v>
      </c>
      <c r="B15" s="378" t="s">
        <v>3203</v>
      </c>
      <c r="C15" s="378" t="s">
        <v>3240</v>
      </c>
      <c r="D15" s="385" t="s">
        <v>142</v>
      </c>
      <c r="E15" s="535"/>
      <c r="F15" s="375" t="s">
        <v>3201</v>
      </c>
      <c r="G15" s="377">
        <v>8</v>
      </c>
      <c r="H15" s="383" t="s">
        <v>4705</v>
      </c>
      <c r="I15" s="374" t="s">
        <v>142</v>
      </c>
      <c r="J15" s="377" t="s">
        <v>3218</v>
      </c>
      <c r="K15" s="377">
        <v>2</v>
      </c>
      <c r="L15" s="377" t="s">
        <v>3622</v>
      </c>
      <c r="M15" s="374" t="s">
        <v>142</v>
      </c>
      <c r="N15" s="378" t="s">
        <v>3218</v>
      </c>
      <c r="O15" s="377">
        <v>2</v>
      </c>
      <c r="P15" s="377" t="s">
        <v>3622</v>
      </c>
      <c r="Q15" s="374" t="s">
        <v>142</v>
      </c>
      <c r="R15" s="378" t="s">
        <v>4589</v>
      </c>
      <c r="S15" s="377">
        <v>1</v>
      </c>
      <c r="T15" s="377" t="s">
        <v>119</v>
      </c>
      <c r="U15" s="374" t="s">
        <v>142</v>
      </c>
      <c r="V15" s="378" t="s">
        <v>101</v>
      </c>
      <c r="W15" s="377">
        <v>17</v>
      </c>
      <c r="X15" s="377" t="s">
        <v>716</v>
      </c>
      <c r="Y15" s="374" t="s">
        <v>142</v>
      </c>
      <c r="Z15" s="375"/>
      <c r="AA15" s="375"/>
      <c r="AB15" s="375"/>
      <c r="AC15" s="374" t="s">
        <v>142</v>
      </c>
      <c r="AD15" s="375"/>
      <c r="AE15" s="375"/>
      <c r="AF15" s="375"/>
      <c r="AG15" s="374" t="s">
        <v>142</v>
      </c>
      <c r="AH15" s="375"/>
      <c r="AI15" s="375"/>
      <c r="AJ15" s="375"/>
      <c r="AK15" s="374" t="s">
        <v>142</v>
      </c>
    </row>
    <row r="16" spans="1:37" x14ac:dyDescent="0.25">
      <c r="A16" s="378">
        <v>15</v>
      </c>
      <c r="B16" s="378" t="s">
        <v>3202</v>
      </c>
      <c r="C16" s="378" t="s">
        <v>3241</v>
      </c>
      <c r="D16" s="385" t="s">
        <v>142</v>
      </c>
      <c r="E16" s="535"/>
      <c r="F16" s="377" t="s">
        <v>3200</v>
      </c>
      <c r="G16" s="377">
        <v>8</v>
      </c>
      <c r="H16" s="377" t="s">
        <v>4706</v>
      </c>
      <c r="I16" s="374" t="s">
        <v>142</v>
      </c>
      <c r="J16" s="377" t="s">
        <v>108</v>
      </c>
      <c r="K16" s="377">
        <v>15</v>
      </c>
      <c r="L16" s="377" t="s">
        <v>3533</v>
      </c>
      <c r="M16" s="374" t="s">
        <v>142</v>
      </c>
      <c r="N16" s="378" t="s">
        <v>108</v>
      </c>
      <c r="O16" s="377">
        <v>15</v>
      </c>
      <c r="P16" s="383" t="s">
        <v>3533</v>
      </c>
      <c r="Q16" s="374" t="s">
        <v>142</v>
      </c>
      <c r="R16" s="377" t="s">
        <v>3219</v>
      </c>
      <c r="S16" s="377">
        <v>2</v>
      </c>
      <c r="T16" s="377" t="s">
        <v>482</v>
      </c>
      <c r="U16" s="374" t="s">
        <v>142</v>
      </c>
      <c r="V16" s="377" t="s">
        <v>3138</v>
      </c>
      <c r="W16" s="377">
        <v>1</v>
      </c>
      <c r="X16" s="377" t="s">
        <v>2401</v>
      </c>
      <c r="Y16" s="374" t="s">
        <v>142</v>
      </c>
      <c r="Z16" s="375"/>
      <c r="AA16" s="375"/>
      <c r="AB16" s="375"/>
      <c r="AC16" s="374" t="s">
        <v>142</v>
      </c>
      <c r="AD16" s="375"/>
      <c r="AE16" s="375"/>
      <c r="AF16" s="375"/>
      <c r="AG16" s="374" t="s">
        <v>142</v>
      </c>
      <c r="AH16" s="375"/>
      <c r="AI16" s="375"/>
      <c r="AJ16" s="375"/>
      <c r="AK16" s="374" t="s">
        <v>142</v>
      </c>
    </row>
    <row r="17" spans="1:37" x14ac:dyDescent="0.25">
      <c r="A17" s="378">
        <v>16</v>
      </c>
      <c r="B17" s="378" t="s">
        <v>3201</v>
      </c>
      <c r="C17" s="378" t="s">
        <v>3241</v>
      </c>
      <c r="D17" s="385" t="s">
        <v>142</v>
      </c>
      <c r="E17" s="535"/>
      <c r="F17" s="377"/>
      <c r="G17" s="377"/>
      <c r="H17" s="377"/>
      <c r="I17" s="374" t="s">
        <v>142</v>
      </c>
      <c r="J17" s="377" t="s">
        <v>3226</v>
      </c>
      <c r="K17" s="377">
        <v>1</v>
      </c>
      <c r="L17" s="381" t="s">
        <v>119</v>
      </c>
      <c r="M17" s="374" t="s">
        <v>142</v>
      </c>
      <c r="N17" s="378" t="s">
        <v>3202</v>
      </c>
      <c r="O17" s="377">
        <v>8</v>
      </c>
      <c r="P17" s="383" t="s">
        <v>3623</v>
      </c>
      <c r="Q17" s="374" t="s">
        <v>142</v>
      </c>
      <c r="R17" s="378" t="s">
        <v>3220</v>
      </c>
      <c r="S17" s="377">
        <v>2</v>
      </c>
      <c r="T17" s="377" t="s">
        <v>2304</v>
      </c>
      <c r="U17" s="374" t="s">
        <v>142</v>
      </c>
      <c r="V17" s="377" t="s">
        <v>3214</v>
      </c>
      <c r="W17" s="377">
        <v>1</v>
      </c>
      <c r="X17" s="377" t="s">
        <v>1949</v>
      </c>
      <c r="Y17" s="374" t="s">
        <v>142</v>
      </c>
      <c r="Z17" s="375"/>
      <c r="AA17" s="375"/>
      <c r="AB17" s="375"/>
      <c r="AC17" s="374" t="s">
        <v>142</v>
      </c>
      <c r="AD17" s="375"/>
      <c r="AE17" s="375"/>
      <c r="AF17" s="375"/>
      <c r="AG17" s="374" t="s">
        <v>142</v>
      </c>
      <c r="AH17" s="375"/>
      <c r="AI17" s="375"/>
      <c r="AJ17" s="375"/>
      <c r="AK17" s="374" t="s">
        <v>142</v>
      </c>
    </row>
    <row r="18" spans="1:37" x14ac:dyDescent="0.25">
      <c r="A18" s="378">
        <v>17</v>
      </c>
      <c r="B18" s="378" t="s">
        <v>3200</v>
      </c>
      <c r="C18" s="378" t="s">
        <v>3241</v>
      </c>
      <c r="D18" s="385" t="s">
        <v>142</v>
      </c>
      <c r="E18" s="535"/>
      <c r="F18" s="377"/>
      <c r="G18" s="377"/>
      <c r="H18" s="377"/>
      <c r="I18" s="374" t="s">
        <v>142</v>
      </c>
      <c r="J18" s="377" t="s">
        <v>3621</v>
      </c>
      <c r="K18" s="377">
        <v>1</v>
      </c>
      <c r="L18" s="377" t="s">
        <v>2401</v>
      </c>
      <c r="M18" s="374" t="s">
        <v>142</v>
      </c>
      <c r="N18" s="378" t="s">
        <v>3201</v>
      </c>
      <c r="O18" s="377">
        <v>8</v>
      </c>
      <c r="P18" s="384" t="s">
        <v>3624</v>
      </c>
      <c r="Q18" s="374" t="s">
        <v>142</v>
      </c>
      <c r="R18" s="377" t="s">
        <v>3221</v>
      </c>
      <c r="S18" s="377">
        <v>1</v>
      </c>
      <c r="T18" s="383" t="s">
        <v>471</v>
      </c>
      <c r="U18" s="374" t="s">
        <v>142</v>
      </c>
      <c r="V18" s="377" t="s">
        <v>3219</v>
      </c>
      <c r="W18" s="377">
        <v>2</v>
      </c>
      <c r="X18" s="377" t="s">
        <v>482</v>
      </c>
      <c r="Y18" s="374" t="s">
        <v>142</v>
      </c>
      <c r="Z18" s="375"/>
      <c r="AA18" s="375"/>
      <c r="AB18" s="375"/>
      <c r="AC18" s="374" t="s">
        <v>142</v>
      </c>
      <c r="AD18" s="375"/>
      <c r="AE18" s="375"/>
      <c r="AF18" s="375"/>
      <c r="AG18" s="374" t="s">
        <v>142</v>
      </c>
      <c r="AH18" s="375"/>
      <c r="AI18" s="375"/>
      <c r="AJ18" s="375"/>
      <c r="AK18" s="374" t="s">
        <v>142</v>
      </c>
    </row>
    <row r="19" spans="1:37" x14ac:dyDescent="0.25">
      <c r="A19" s="378">
        <v>18</v>
      </c>
      <c r="B19" s="378" t="s">
        <v>3214</v>
      </c>
      <c r="C19" s="378" t="s">
        <v>3240</v>
      </c>
      <c r="D19" s="385" t="s">
        <v>142</v>
      </c>
      <c r="E19" s="535"/>
      <c r="G19" s="377"/>
      <c r="H19" s="377"/>
      <c r="I19" s="374" t="s">
        <v>142</v>
      </c>
      <c r="J19" s="377" t="s">
        <v>3202</v>
      </c>
      <c r="K19" s="377">
        <v>8</v>
      </c>
      <c r="L19" s="377" t="s">
        <v>3629</v>
      </c>
      <c r="M19" s="374" t="s">
        <v>142</v>
      </c>
      <c r="N19" s="378" t="s">
        <v>3200</v>
      </c>
      <c r="O19" s="377">
        <v>8</v>
      </c>
      <c r="P19" s="384" t="s">
        <v>3625</v>
      </c>
      <c r="Q19" s="374" t="s">
        <v>142</v>
      </c>
      <c r="R19" s="377"/>
      <c r="S19" s="377"/>
      <c r="T19" s="383"/>
      <c r="U19" s="374" t="s">
        <v>142</v>
      </c>
      <c r="V19" s="377" t="s">
        <v>3220</v>
      </c>
      <c r="W19" s="377">
        <v>2</v>
      </c>
      <c r="X19" s="377" t="s">
        <v>482</v>
      </c>
      <c r="Y19" s="374" t="s">
        <v>142</v>
      </c>
      <c r="Z19" s="375"/>
      <c r="AA19" s="375"/>
      <c r="AB19" s="375"/>
      <c r="AC19" s="374" t="s">
        <v>142</v>
      </c>
      <c r="AD19" s="375"/>
      <c r="AE19" s="375"/>
      <c r="AF19" s="375"/>
      <c r="AG19" s="374" t="s">
        <v>142</v>
      </c>
      <c r="AH19" s="375"/>
      <c r="AI19" s="375"/>
      <c r="AJ19" s="375"/>
      <c r="AK19" s="374" t="s">
        <v>142</v>
      </c>
    </row>
    <row r="20" spans="1:37" x14ac:dyDescent="0.25">
      <c r="A20" s="378">
        <v>19</v>
      </c>
      <c r="B20" s="378" t="s">
        <v>3218</v>
      </c>
      <c r="C20" s="378" t="s">
        <v>3240</v>
      </c>
      <c r="D20" s="385" t="s">
        <v>142</v>
      </c>
      <c r="E20" s="535"/>
      <c r="F20" s="377"/>
      <c r="G20" s="377"/>
      <c r="H20" s="377"/>
      <c r="I20" s="374" t="s">
        <v>142</v>
      </c>
      <c r="J20" s="377" t="s">
        <v>3201</v>
      </c>
      <c r="K20" s="377">
        <v>8</v>
      </c>
      <c r="L20" s="377" t="s">
        <v>3630</v>
      </c>
      <c r="M20" s="374" t="s">
        <v>142</v>
      </c>
      <c r="N20" s="387"/>
      <c r="O20" s="377"/>
      <c r="P20" s="375"/>
      <c r="Q20" s="374" t="s">
        <v>142</v>
      </c>
      <c r="R20" s="377"/>
      <c r="S20" s="377"/>
      <c r="T20" s="377"/>
      <c r="U20" s="374" t="s">
        <v>142</v>
      </c>
      <c r="V20" s="377" t="s">
        <v>3221</v>
      </c>
      <c r="W20" s="377">
        <v>1</v>
      </c>
      <c r="X20" s="377" t="s">
        <v>471</v>
      </c>
      <c r="Y20" s="374" t="s">
        <v>142</v>
      </c>
      <c r="Z20" s="375"/>
      <c r="AA20" s="375"/>
      <c r="AB20" s="375"/>
      <c r="AC20" s="374" t="s">
        <v>142</v>
      </c>
      <c r="AD20" s="375"/>
      <c r="AE20" s="375"/>
      <c r="AF20" s="375"/>
      <c r="AG20" s="374" t="s">
        <v>142</v>
      </c>
      <c r="AH20" s="375"/>
      <c r="AI20" s="375"/>
      <c r="AJ20" s="375"/>
      <c r="AK20" s="374" t="s">
        <v>142</v>
      </c>
    </row>
    <row r="21" spans="1:37" x14ac:dyDescent="0.25">
      <c r="A21" s="378">
        <v>20</v>
      </c>
      <c r="B21" s="378" t="s">
        <v>3219</v>
      </c>
      <c r="C21" s="378" t="s">
        <v>3240</v>
      </c>
      <c r="D21" s="385" t="s">
        <v>142</v>
      </c>
      <c r="E21" s="535"/>
      <c r="F21" s="375"/>
      <c r="G21" s="377"/>
      <c r="H21" s="377"/>
      <c r="I21" s="374" t="s">
        <v>142</v>
      </c>
      <c r="J21" s="377" t="s">
        <v>3200</v>
      </c>
      <c r="K21" s="377">
        <v>8</v>
      </c>
      <c r="L21" s="377" t="s">
        <v>3631</v>
      </c>
      <c r="M21" s="374" t="s">
        <v>142</v>
      </c>
      <c r="O21" s="377"/>
      <c r="P21" s="375"/>
      <c r="Q21" s="374" t="s">
        <v>142</v>
      </c>
      <c r="R21" s="377"/>
      <c r="S21" s="377"/>
      <c r="T21" s="377"/>
      <c r="U21" s="374" t="s">
        <v>142</v>
      </c>
      <c r="V21" s="377" t="s">
        <v>3226</v>
      </c>
      <c r="W21" s="377">
        <v>1</v>
      </c>
      <c r="X21" s="377" t="s">
        <v>119</v>
      </c>
      <c r="Y21" s="374" t="s">
        <v>142</v>
      </c>
      <c r="Z21" s="375"/>
      <c r="AA21" s="375"/>
      <c r="AB21" s="375"/>
      <c r="AC21" s="374" t="s">
        <v>142</v>
      </c>
      <c r="AD21" s="375"/>
      <c r="AE21" s="375"/>
      <c r="AF21" s="375"/>
      <c r="AG21" s="374" t="s">
        <v>142</v>
      </c>
      <c r="AH21" s="375"/>
      <c r="AI21" s="375"/>
      <c r="AJ21" s="375"/>
      <c r="AK21" s="374" t="s">
        <v>142</v>
      </c>
    </row>
    <row r="22" spans="1:37" x14ac:dyDescent="0.25">
      <c r="A22" s="378">
        <v>21</v>
      </c>
      <c r="B22" s="378" t="s">
        <v>3220</v>
      </c>
      <c r="C22" s="378" t="s">
        <v>3240</v>
      </c>
      <c r="D22" s="385" t="s">
        <v>142</v>
      </c>
      <c r="E22" s="535"/>
      <c r="F22" s="377"/>
      <c r="G22" s="377"/>
      <c r="H22" s="377"/>
      <c r="I22" s="374" t="s">
        <v>142</v>
      </c>
      <c r="K22" s="377"/>
      <c r="L22" s="377"/>
      <c r="M22" s="374" t="s">
        <v>142</v>
      </c>
      <c r="O22" s="377"/>
      <c r="P22" s="375"/>
      <c r="Q22" s="374" t="s">
        <v>142</v>
      </c>
      <c r="R22" s="377"/>
      <c r="S22" s="377"/>
      <c r="T22" s="377"/>
      <c r="U22" s="374" t="s">
        <v>142</v>
      </c>
      <c r="V22" s="377" t="s">
        <v>3486</v>
      </c>
      <c r="W22" s="377">
        <v>2</v>
      </c>
      <c r="X22" s="377" t="s">
        <v>525</v>
      </c>
      <c r="Y22" s="374" t="s">
        <v>142</v>
      </c>
      <c r="Z22" s="375"/>
      <c r="AA22" s="375"/>
      <c r="AB22" s="375"/>
      <c r="AC22" s="374" t="s">
        <v>142</v>
      </c>
      <c r="AD22" s="375"/>
      <c r="AE22" s="375"/>
      <c r="AF22" s="375"/>
      <c r="AG22" s="374" t="s">
        <v>142</v>
      </c>
      <c r="AH22" s="375"/>
      <c r="AI22" s="375"/>
      <c r="AJ22" s="375"/>
      <c r="AK22" s="374" t="s">
        <v>142</v>
      </c>
    </row>
    <row r="23" spans="1:37" x14ac:dyDescent="0.25">
      <c r="A23" s="378">
        <v>22</v>
      </c>
      <c r="B23" s="378" t="s">
        <v>3221</v>
      </c>
      <c r="C23" s="378" t="s">
        <v>3240</v>
      </c>
      <c r="D23" s="385" t="s">
        <v>142</v>
      </c>
      <c r="E23" s="535"/>
      <c r="F23" s="377"/>
      <c r="G23" s="377"/>
      <c r="H23" s="377"/>
      <c r="I23" s="374" t="s">
        <v>142</v>
      </c>
      <c r="J23" s="377"/>
      <c r="K23" s="377"/>
      <c r="L23" s="377"/>
      <c r="M23" s="374" t="s">
        <v>142</v>
      </c>
      <c r="O23" s="377"/>
      <c r="P23" s="375"/>
      <c r="Q23" s="374" t="s">
        <v>142</v>
      </c>
      <c r="R23" s="377"/>
      <c r="S23" s="377"/>
      <c r="T23" s="377"/>
      <c r="U23" s="374" t="s">
        <v>142</v>
      </c>
      <c r="V23" s="377" t="s">
        <v>3233</v>
      </c>
      <c r="W23" s="377">
        <v>23</v>
      </c>
      <c r="X23" s="377" t="s">
        <v>3543</v>
      </c>
      <c r="Y23" s="374" t="s">
        <v>142</v>
      </c>
      <c r="Z23" s="375"/>
      <c r="AA23" s="375"/>
      <c r="AB23" s="375"/>
      <c r="AC23" s="374" t="s">
        <v>142</v>
      </c>
      <c r="AD23" s="375"/>
      <c r="AE23" s="375"/>
      <c r="AF23" s="375"/>
      <c r="AG23" s="374" t="s">
        <v>142</v>
      </c>
      <c r="AH23" s="375"/>
      <c r="AI23" s="375"/>
      <c r="AJ23" s="375"/>
      <c r="AK23" s="374" t="s">
        <v>142</v>
      </c>
    </row>
    <row r="24" spans="1:37" x14ac:dyDescent="0.25">
      <c r="A24" s="378">
        <v>23</v>
      </c>
      <c r="B24" s="387" t="s">
        <v>3226</v>
      </c>
      <c r="C24" s="378" t="s">
        <v>3240</v>
      </c>
      <c r="D24" s="385" t="s">
        <v>142</v>
      </c>
      <c r="E24" s="535"/>
      <c r="F24" s="377"/>
      <c r="G24" s="377"/>
      <c r="H24" s="377"/>
      <c r="I24" s="374" t="s">
        <v>142</v>
      </c>
      <c r="J24" s="377"/>
      <c r="K24" s="377"/>
      <c r="L24" s="377"/>
      <c r="M24" s="374" t="s">
        <v>142</v>
      </c>
      <c r="O24" s="377"/>
      <c r="P24" s="375"/>
      <c r="Q24" s="374" t="s">
        <v>142</v>
      </c>
      <c r="R24" s="377"/>
      <c r="S24" s="377"/>
      <c r="T24" s="377"/>
      <c r="U24" s="374" t="s">
        <v>142</v>
      </c>
      <c r="V24" s="377" t="s">
        <v>3234</v>
      </c>
      <c r="W24" s="377">
        <v>4</v>
      </c>
      <c r="X24" s="377" t="s">
        <v>3544</v>
      </c>
      <c r="Y24" s="374" t="s">
        <v>142</v>
      </c>
      <c r="Z24" s="375"/>
      <c r="AA24" s="375"/>
      <c r="AB24" s="375"/>
      <c r="AC24" s="374" t="s">
        <v>142</v>
      </c>
      <c r="AD24" s="375"/>
      <c r="AE24" s="375"/>
      <c r="AF24" s="375"/>
      <c r="AG24" s="374" t="s">
        <v>142</v>
      </c>
      <c r="AH24" s="375"/>
      <c r="AI24" s="375"/>
      <c r="AJ24" s="375"/>
      <c r="AK24" s="374" t="s">
        <v>142</v>
      </c>
    </row>
    <row r="25" spans="1:37" x14ac:dyDescent="0.25">
      <c r="A25" s="378">
        <v>24</v>
      </c>
      <c r="B25" s="378" t="s">
        <v>3227</v>
      </c>
      <c r="C25" s="378" t="s">
        <v>3240</v>
      </c>
      <c r="D25" s="385" t="s">
        <v>142</v>
      </c>
      <c r="E25" s="535"/>
      <c r="F25" s="377"/>
      <c r="G25" s="377"/>
      <c r="H25" s="377"/>
      <c r="I25" s="374" t="s">
        <v>142</v>
      </c>
      <c r="J25" s="377"/>
      <c r="K25" s="377"/>
      <c r="L25" s="377"/>
      <c r="M25" s="374" t="s">
        <v>142</v>
      </c>
      <c r="N25" s="377"/>
      <c r="O25" s="377"/>
      <c r="P25" s="375"/>
      <c r="Q25" s="374" t="s">
        <v>142</v>
      </c>
      <c r="R25" s="377"/>
      <c r="S25" s="377"/>
      <c r="T25" s="377"/>
      <c r="U25" s="374" t="s">
        <v>142</v>
      </c>
      <c r="V25" s="377" t="s">
        <v>3235</v>
      </c>
      <c r="W25" s="377">
        <v>9</v>
      </c>
      <c r="X25" s="377" t="s">
        <v>3545</v>
      </c>
      <c r="Y25" s="374" t="s">
        <v>142</v>
      </c>
      <c r="Z25" s="375"/>
      <c r="AA25" s="375"/>
      <c r="AB25" s="375"/>
      <c r="AC25" s="374" t="s">
        <v>142</v>
      </c>
      <c r="AD25" s="375"/>
      <c r="AE25" s="375"/>
      <c r="AF25" s="375"/>
      <c r="AG25" s="374" t="s">
        <v>142</v>
      </c>
      <c r="AH25" s="375"/>
      <c r="AI25" s="375"/>
      <c r="AJ25" s="375"/>
      <c r="AK25" s="374" t="s">
        <v>142</v>
      </c>
    </row>
    <row r="26" spans="1:37" x14ac:dyDescent="0.25">
      <c r="A26" s="378">
        <v>25</v>
      </c>
      <c r="B26" s="378" t="s">
        <v>3228</v>
      </c>
      <c r="C26" s="378" t="s">
        <v>3240</v>
      </c>
      <c r="D26" s="385" t="s">
        <v>142</v>
      </c>
      <c r="E26" s="535"/>
      <c r="F26" s="377"/>
      <c r="G26" s="377"/>
      <c r="H26" s="377"/>
      <c r="I26" s="374" t="s">
        <v>142</v>
      </c>
      <c r="J26" s="377"/>
      <c r="K26" s="377"/>
      <c r="L26" s="377"/>
      <c r="M26" s="374" t="s">
        <v>142</v>
      </c>
      <c r="N26" s="377"/>
      <c r="O26" s="377"/>
      <c r="P26" s="375"/>
      <c r="Q26" s="374" t="s">
        <v>142</v>
      </c>
      <c r="R26" s="377"/>
      <c r="S26" s="377"/>
      <c r="T26" s="377"/>
      <c r="U26" s="374" t="s">
        <v>142</v>
      </c>
      <c r="V26" s="377" t="s">
        <v>3236</v>
      </c>
      <c r="W26" s="377">
        <v>4</v>
      </c>
      <c r="X26" s="377" t="s">
        <v>3546</v>
      </c>
      <c r="Y26" s="374" t="s">
        <v>142</v>
      </c>
      <c r="Z26" s="375"/>
      <c r="AA26" s="375"/>
      <c r="AB26" s="375"/>
      <c r="AC26" s="374" t="s">
        <v>142</v>
      </c>
      <c r="AD26" s="375"/>
      <c r="AE26" s="375"/>
      <c r="AF26" s="375"/>
      <c r="AG26" s="374" t="s">
        <v>142</v>
      </c>
      <c r="AH26" s="375"/>
      <c r="AI26" s="375"/>
      <c r="AJ26" s="375"/>
      <c r="AK26" s="374" t="s">
        <v>142</v>
      </c>
    </row>
    <row r="27" spans="1:37" x14ac:dyDescent="0.25">
      <c r="A27" s="378">
        <v>26</v>
      </c>
      <c r="B27" s="378" t="s">
        <v>3229</v>
      </c>
      <c r="C27" s="378" t="s">
        <v>3240</v>
      </c>
      <c r="D27" s="385" t="s">
        <v>142</v>
      </c>
      <c r="E27" s="535"/>
      <c r="F27" s="377"/>
      <c r="G27" s="377"/>
      <c r="H27" s="377"/>
      <c r="I27" s="374" t="s">
        <v>142</v>
      </c>
      <c r="J27" s="377"/>
      <c r="K27" s="377"/>
      <c r="L27" s="377"/>
      <c r="M27" s="374" t="s">
        <v>142</v>
      </c>
      <c r="N27" s="377"/>
      <c r="O27" s="377"/>
      <c r="P27" s="375"/>
      <c r="Q27" s="374" t="s">
        <v>142</v>
      </c>
      <c r="R27" s="377"/>
      <c r="S27" s="377"/>
      <c r="T27" s="377"/>
      <c r="U27" s="374" t="s">
        <v>142</v>
      </c>
      <c r="V27" s="377" t="s">
        <v>3237</v>
      </c>
      <c r="W27" s="377">
        <v>12</v>
      </c>
      <c r="X27" s="377" t="s">
        <v>3547</v>
      </c>
      <c r="Y27" s="374" t="s">
        <v>142</v>
      </c>
      <c r="Z27" s="375"/>
      <c r="AA27" s="375"/>
      <c r="AB27" s="375"/>
      <c r="AC27" s="374" t="s">
        <v>142</v>
      </c>
      <c r="AD27" s="375"/>
      <c r="AE27" s="375"/>
      <c r="AF27" s="375"/>
      <c r="AG27" s="374" t="s">
        <v>142</v>
      </c>
      <c r="AH27" s="375"/>
      <c r="AI27" s="375"/>
      <c r="AJ27" s="375"/>
      <c r="AK27" s="374" t="s">
        <v>142</v>
      </c>
    </row>
    <row r="28" spans="1:37" x14ac:dyDescent="0.25">
      <c r="A28" s="378">
        <v>27</v>
      </c>
      <c r="B28" s="378" t="s">
        <v>3230</v>
      </c>
      <c r="C28" s="378" t="s">
        <v>3240</v>
      </c>
      <c r="D28" s="385" t="s">
        <v>142</v>
      </c>
      <c r="E28" s="535"/>
      <c r="F28" s="377"/>
      <c r="G28" s="377"/>
      <c r="H28" s="377"/>
      <c r="I28" s="374" t="s">
        <v>142</v>
      </c>
      <c r="J28" s="377"/>
      <c r="K28" s="377"/>
      <c r="L28" s="377"/>
      <c r="M28" s="374" t="s">
        <v>142</v>
      </c>
      <c r="N28" s="377"/>
      <c r="O28" s="377"/>
      <c r="P28" s="375"/>
      <c r="Q28" s="374" t="s">
        <v>142</v>
      </c>
      <c r="R28" s="377"/>
      <c r="S28" s="377"/>
      <c r="T28" s="377"/>
      <c r="U28" s="374" t="s">
        <v>142</v>
      </c>
      <c r="V28" s="377" t="s">
        <v>3445</v>
      </c>
      <c r="W28" s="377">
        <v>13</v>
      </c>
      <c r="X28" s="377" t="s">
        <v>3548</v>
      </c>
      <c r="Y28" s="374" t="s">
        <v>142</v>
      </c>
      <c r="Z28" s="375"/>
      <c r="AA28" s="375"/>
      <c r="AB28" s="375"/>
      <c r="AC28" s="374" t="s">
        <v>142</v>
      </c>
      <c r="AD28" s="375"/>
      <c r="AE28" s="375"/>
      <c r="AF28" s="375"/>
      <c r="AG28" s="374" t="s">
        <v>142</v>
      </c>
      <c r="AH28" s="375"/>
      <c r="AI28" s="375"/>
      <c r="AJ28" s="375"/>
      <c r="AK28" s="374" t="s">
        <v>142</v>
      </c>
    </row>
    <row r="29" spans="1:37" x14ac:dyDescent="0.25">
      <c r="A29" s="378">
        <v>28</v>
      </c>
      <c r="B29" s="378" t="s">
        <v>3231</v>
      </c>
      <c r="C29" s="378" t="s">
        <v>3240</v>
      </c>
      <c r="D29" s="385" t="s">
        <v>142</v>
      </c>
      <c r="E29" s="535"/>
      <c r="F29" s="377"/>
      <c r="G29" s="377"/>
      <c r="H29" s="377"/>
      <c r="I29" s="374" t="s">
        <v>142</v>
      </c>
      <c r="J29" s="377"/>
      <c r="K29" s="377"/>
      <c r="L29" s="377"/>
      <c r="M29" s="374" t="s">
        <v>142</v>
      </c>
      <c r="N29" s="377"/>
      <c r="O29" s="377"/>
      <c r="P29" s="375"/>
      <c r="Q29" s="374" t="s">
        <v>142</v>
      </c>
      <c r="R29" s="377"/>
      <c r="S29" s="377"/>
      <c r="T29" s="377"/>
      <c r="U29" s="374" t="s">
        <v>142</v>
      </c>
      <c r="V29" s="377" t="s">
        <v>3436</v>
      </c>
      <c r="W29" s="377">
        <v>13</v>
      </c>
      <c r="X29" s="377" t="s">
        <v>3549</v>
      </c>
      <c r="Y29" s="374" t="s">
        <v>142</v>
      </c>
      <c r="Z29" s="375"/>
      <c r="AA29" s="375"/>
      <c r="AB29" s="375"/>
      <c r="AC29" s="374" t="s">
        <v>142</v>
      </c>
      <c r="AD29" s="375"/>
      <c r="AE29" s="375"/>
      <c r="AF29" s="375"/>
      <c r="AG29" s="374" t="s">
        <v>142</v>
      </c>
      <c r="AH29" s="375"/>
      <c r="AI29" s="375"/>
      <c r="AJ29" s="375"/>
      <c r="AK29" s="374" t="s">
        <v>142</v>
      </c>
    </row>
    <row r="30" spans="1:37" x14ac:dyDescent="0.25">
      <c r="A30" s="378">
        <v>29</v>
      </c>
      <c r="B30" s="378" t="s">
        <v>3232</v>
      </c>
      <c r="C30" s="378" t="s">
        <v>3240</v>
      </c>
      <c r="D30" s="385" t="s">
        <v>142</v>
      </c>
      <c r="E30" s="535"/>
      <c r="F30" s="377"/>
      <c r="G30" s="377"/>
      <c r="H30" s="377"/>
      <c r="I30" s="374" t="s">
        <v>142</v>
      </c>
      <c r="J30" s="377"/>
      <c r="K30" s="377"/>
      <c r="L30" s="377"/>
      <c r="M30" s="374" t="s">
        <v>142</v>
      </c>
      <c r="N30" s="377"/>
      <c r="O30" s="377"/>
      <c r="P30" s="375"/>
      <c r="Q30" s="374" t="s">
        <v>142</v>
      </c>
      <c r="R30" s="377"/>
      <c r="S30" s="377"/>
      <c r="T30" s="377"/>
      <c r="U30" s="374" t="s">
        <v>142</v>
      </c>
      <c r="V30" s="377" t="s">
        <v>3437</v>
      </c>
      <c r="W30" s="377">
        <v>12</v>
      </c>
      <c r="X30" s="377" t="s">
        <v>3550</v>
      </c>
      <c r="Y30" s="374" t="s">
        <v>142</v>
      </c>
      <c r="Z30" s="375"/>
      <c r="AA30" s="375"/>
      <c r="AB30" s="375"/>
      <c r="AC30" s="374" t="s">
        <v>142</v>
      </c>
      <c r="AD30" s="375"/>
      <c r="AE30" s="375"/>
      <c r="AF30" s="375"/>
      <c r="AG30" s="374" t="s">
        <v>142</v>
      </c>
      <c r="AH30" s="375"/>
      <c r="AI30" s="375"/>
      <c r="AJ30" s="375"/>
      <c r="AK30" s="374" t="s">
        <v>142</v>
      </c>
    </row>
    <row r="31" spans="1:37" x14ac:dyDescent="0.25">
      <c r="A31" s="378">
        <v>30</v>
      </c>
      <c r="B31" s="378" t="s">
        <v>3225</v>
      </c>
      <c r="C31" s="378" t="s">
        <v>3240</v>
      </c>
      <c r="D31" s="385" t="s">
        <v>142</v>
      </c>
      <c r="E31" s="535"/>
      <c r="F31" s="377"/>
      <c r="G31" s="377"/>
      <c r="H31" s="377"/>
      <c r="I31" s="374" t="s">
        <v>142</v>
      </c>
      <c r="J31" s="377"/>
      <c r="K31" s="377"/>
      <c r="L31" s="377"/>
      <c r="M31" s="374" t="s">
        <v>142</v>
      </c>
      <c r="N31" s="377"/>
      <c r="O31" s="377"/>
      <c r="P31" s="375"/>
      <c r="Q31" s="374" t="s">
        <v>142</v>
      </c>
      <c r="R31" s="377"/>
      <c r="S31" s="377"/>
      <c r="T31" s="377"/>
      <c r="U31" s="374" t="s">
        <v>142</v>
      </c>
      <c r="V31" s="377" t="s">
        <v>3238</v>
      </c>
      <c r="W31" s="377">
        <v>2</v>
      </c>
      <c r="X31" s="377" t="s">
        <v>1949</v>
      </c>
      <c r="Y31" s="374" t="s">
        <v>142</v>
      </c>
      <c r="Z31" s="375"/>
      <c r="AA31" s="375"/>
      <c r="AB31" s="375"/>
      <c r="AC31" s="374" t="s">
        <v>142</v>
      </c>
      <c r="AD31" s="375"/>
      <c r="AE31" s="375"/>
      <c r="AF31" s="375"/>
      <c r="AG31" s="374" t="s">
        <v>142</v>
      </c>
      <c r="AH31" s="375"/>
      <c r="AI31" s="375"/>
      <c r="AJ31" s="375"/>
      <c r="AK31" s="374" t="s">
        <v>142</v>
      </c>
    </row>
    <row r="32" spans="1:37" x14ac:dyDescent="0.25">
      <c r="A32" s="378">
        <v>31</v>
      </c>
      <c r="B32" s="378" t="s">
        <v>3224</v>
      </c>
      <c r="C32" s="378" t="s">
        <v>3240</v>
      </c>
      <c r="D32" s="385" t="s">
        <v>142</v>
      </c>
      <c r="E32" s="535"/>
      <c r="F32" s="377"/>
      <c r="G32" s="377"/>
      <c r="H32" s="377"/>
      <c r="I32" s="374" t="s">
        <v>142</v>
      </c>
      <c r="J32" s="377"/>
      <c r="K32" s="377"/>
      <c r="L32" s="377"/>
      <c r="M32" s="374" t="s">
        <v>142</v>
      </c>
      <c r="N32" s="377"/>
      <c r="O32" s="377"/>
      <c r="P32" s="375"/>
      <c r="Q32" s="374" t="s">
        <v>142</v>
      </c>
      <c r="R32" s="377"/>
      <c r="S32" s="377"/>
      <c r="T32" s="377"/>
      <c r="U32" s="374" t="s">
        <v>142</v>
      </c>
      <c r="V32" s="375" t="s">
        <v>2595</v>
      </c>
      <c r="W32" s="375">
        <v>4</v>
      </c>
      <c r="X32" s="377" t="s">
        <v>3551</v>
      </c>
      <c r="Y32" s="374" t="s">
        <v>142</v>
      </c>
      <c r="Z32" s="375"/>
      <c r="AA32" s="375"/>
      <c r="AB32" s="375"/>
      <c r="AC32" s="374" t="s">
        <v>142</v>
      </c>
      <c r="AD32" s="375"/>
      <c r="AE32" s="375"/>
      <c r="AF32" s="375"/>
      <c r="AG32" s="374" t="s">
        <v>142</v>
      </c>
      <c r="AH32" s="375"/>
      <c r="AI32" s="375"/>
      <c r="AJ32" s="375"/>
      <c r="AK32" s="374" t="s">
        <v>142</v>
      </c>
    </row>
    <row r="33" spans="1:37" x14ac:dyDescent="0.25">
      <c r="A33" s="378">
        <v>32</v>
      </c>
      <c r="B33" s="378" t="s">
        <v>108</v>
      </c>
      <c r="C33" s="378" t="s">
        <v>3239</v>
      </c>
      <c r="D33" s="385" t="s">
        <v>142</v>
      </c>
      <c r="E33" s="535"/>
      <c r="F33" s="377"/>
      <c r="G33" s="377"/>
      <c r="H33" s="375"/>
      <c r="I33" s="374" t="s">
        <v>142</v>
      </c>
      <c r="J33" s="377"/>
      <c r="K33" s="377"/>
      <c r="L33" s="377"/>
      <c r="M33" s="374" t="s">
        <v>142</v>
      </c>
      <c r="N33" s="375"/>
      <c r="O33" s="375"/>
      <c r="P33" s="375"/>
      <c r="Q33" s="374" t="s">
        <v>142</v>
      </c>
      <c r="R33" s="375"/>
      <c r="S33" s="375"/>
      <c r="T33" s="377"/>
      <c r="U33" s="374" t="s">
        <v>142</v>
      </c>
      <c r="V33" s="375" t="s">
        <v>3218</v>
      </c>
      <c r="W33" s="375">
        <v>2</v>
      </c>
      <c r="X33" s="377" t="s">
        <v>3552</v>
      </c>
      <c r="Y33" s="374" t="s">
        <v>142</v>
      </c>
      <c r="Z33" s="375"/>
      <c r="AA33" s="375"/>
      <c r="AB33" s="375"/>
      <c r="AC33" s="374" t="s">
        <v>142</v>
      </c>
      <c r="AD33" s="375"/>
      <c r="AE33" s="375"/>
      <c r="AF33" s="375"/>
      <c r="AG33" s="374" t="s">
        <v>142</v>
      </c>
      <c r="AH33" s="375"/>
      <c r="AI33" s="375"/>
      <c r="AJ33" s="375"/>
      <c r="AK33" s="374" t="s">
        <v>142</v>
      </c>
    </row>
    <row r="34" spans="1:37" x14ac:dyDescent="0.25">
      <c r="A34" s="378">
        <v>33</v>
      </c>
      <c r="B34" s="378" t="s">
        <v>3270</v>
      </c>
      <c r="C34" s="378" t="s">
        <v>3240</v>
      </c>
      <c r="D34" s="385" t="s">
        <v>142</v>
      </c>
      <c r="E34" s="535"/>
      <c r="F34" s="377"/>
      <c r="G34" s="377"/>
      <c r="H34" s="375"/>
      <c r="I34" s="374" t="s">
        <v>142</v>
      </c>
      <c r="J34" s="377"/>
      <c r="K34" s="377"/>
      <c r="L34" s="377"/>
      <c r="M34" s="374" t="s">
        <v>142</v>
      </c>
      <c r="N34" s="375"/>
      <c r="O34" s="375"/>
      <c r="P34" s="375"/>
      <c r="Q34" s="374" t="s">
        <v>142</v>
      </c>
      <c r="R34" s="375"/>
      <c r="S34" s="375"/>
      <c r="T34" s="377"/>
      <c r="U34" s="374" t="s">
        <v>142</v>
      </c>
      <c r="V34" s="375" t="s">
        <v>108</v>
      </c>
      <c r="W34" s="375">
        <v>15</v>
      </c>
      <c r="X34" s="377" t="s">
        <v>3535</v>
      </c>
      <c r="Y34" s="374" t="s">
        <v>142</v>
      </c>
      <c r="Z34" s="375"/>
      <c r="AA34" s="375"/>
      <c r="AB34" s="375"/>
      <c r="AC34" s="374" t="s">
        <v>142</v>
      </c>
      <c r="AD34" s="375"/>
      <c r="AE34" s="375"/>
      <c r="AF34" s="375"/>
      <c r="AG34" s="374" t="s">
        <v>142</v>
      </c>
      <c r="AH34" s="375"/>
      <c r="AI34" s="375"/>
      <c r="AJ34" s="375"/>
      <c r="AK34" s="374" t="s">
        <v>142</v>
      </c>
    </row>
    <row r="35" spans="1:37" x14ac:dyDescent="0.25">
      <c r="A35" s="378">
        <v>34</v>
      </c>
      <c r="B35" s="378" t="s">
        <v>3276</v>
      </c>
      <c r="C35" s="378" t="s">
        <v>3240</v>
      </c>
      <c r="D35" s="385" t="s">
        <v>142</v>
      </c>
      <c r="E35" s="535"/>
      <c r="F35" s="377"/>
      <c r="G35" s="377"/>
      <c r="H35" s="375"/>
      <c r="I35" s="374" t="s">
        <v>142</v>
      </c>
      <c r="J35" s="377"/>
      <c r="K35" s="377"/>
      <c r="L35" s="377"/>
      <c r="M35" s="374" t="s">
        <v>142</v>
      </c>
      <c r="N35" s="375"/>
      <c r="O35" s="375"/>
      <c r="P35" s="375"/>
      <c r="Q35" s="374" t="s">
        <v>142</v>
      </c>
      <c r="R35" s="375"/>
      <c r="S35" s="375"/>
      <c r="T35" s="377"/>
      <c r="U35" s="374" t="s">
        <v>142</v>
      </c>
      <c r="V35" s="375" t="s">
        <v>3202</v>
      </c>
      <c r="W35" s="375">
        <v>8</v>
      </c>
      <c r="X35" s="377" t="s">
        <v>3553</v>
      </c>
      <c r="Y35" s="374" t="s">
        <v>142</v>
      </c>
      <c r="Z35" s="375"/>
      <c r="AA35" s="375"/>
      <c r="AB35" s="375"/>
      <c r="AC35" s="374" t="s">
        <v>142</v>
      </c>
      <c r="AD35" s="375"/>
      <c r="AE35" s="375"/>
      <c r="AF35" s="375"/>
      <c r="AG35" s="374" t="s">
        <v>142</v>
      </c>
      <c r="AH35" s="375"/>
      <c r="AI35" s="375"/>
      <c r="AJ35" s="375"/>
      <c r="AK35" s="374" t="s">
        <v>142</v>
      </c>
    </row>
    <row r="36" spans="1:37" x14ac:dyDescent="0.25">
      <c r="A36" s="378">
        <v>35</v>
      </c>
      <c r="B36" s="378" t="s">
        <v>3277</v>
      </c>
      <c r="C36" s="378" t="s">
        <v>3240</v>
      </c>
      <c r="D36" s="385" t="s">
        <v>142</v>
      </c>
      <c r="E36" s="535"/>
      <c r="F36" s="377"/>
      <c r="G36" s="377"/>
      <c r="H36" s="375"/>
      <c r="I36" s="374" t="s">
        <v>142</v>
      </c>
      <c r="J36" s="377"/>
      <c r="K36" s="377"/>
      <c r="L36" s="377"/>
      <c r="M36" s="374" t="s">
        <v>142</v>
      </c>
      <c r="N36" s="375"/>
      <c r="O36" s="375"/>
      <c r="P36" s="375"/>
      <c r="Q36" s="374" t="s">
        <v>142</v>
      </c>
      <c r="R36" s="375"/>
      <c r="S36" s="375"/>
      <c r="T36" s="377"/>
      <c r="U36" s="374" t="s">
        <v>142</v>
      </c>
      <c r="V36" s="375" t="s">
        <v>3201</v>
      </c>
      <c r="W36" s="375">
        <v>8</v>
      </c>
      <c r="X36" s="377" t="s">
        <v>3554</v>
      </c>
      <c r="Y36" s="374" t="s">
        <v>142</v>
      </c>
      <c r="Z36" s="375"/>
      <c r="AA36" s="375"/>
      <c r="AB36" s="375"/>
      <c r="AC36" s="374" t="s">
        <v>142</v>
      </c>
      <c r="AD36" s="375"/>
      <c r="AE36" s="375"/>
      <c r="AF36" s="375"/>
      <c r="AG36" s="374" t="s">
        <v>142</v>
      </c>
      <c r="AH36" s="375"/>
      <c r="AI36" s="375"/>
      <c r="AJ36" s="375"/>
      <c r="AK36" s="374" t="s">
        <v>142</v>
      </c>
    </row>
    <row r="37" spans="1:37" x14ac:dyDescent="0.25">
      <c r="A37" s="378">
        <v>36</v>
      </c>
      <c r="B37" s="378" t="s">
        <v>3278</v>
      </c>
      <c r="C37" s="378" t="s">
        <v>3240</v>
      </c>
      <c r="D37" s="385" t="s">
        <v>142</v>
      </c>
      <c r="E37" s="535"/>
      <c r="F37" s="377"/>
      <c r="G37" s="377"/>
      <c r="H37" s="375"/>
      <c r="I37" s="374" t="s">
        <v>142</v>
      </c>
      <c r="J37" s="375"/>
      <c r="K37" s="375"/>
      <c r="L37" s="377"/>
      <c r="M37" s="374" t="s">
        <v>142</v>
      </c>
      <c r="N37" s="375"/>
      <c r="O37" s="375"/>
      <c r="P37" s="375"/>
      <c r="Q37" s="374" t="s">
        <v>142</v>
      </c>
      <c r="R37" s="375"/>
      <c r="S37" s="375"/>
      <c r="T37" s="377"/>
      <c r="U37" s="374" t="s">
        <v>142</v>
      </c>
      <c r="V37" s="375" t="s">
        <v>3200</v>
      </c>
      <c r="W37" s="375">
        <v>8</v>
      </c>
      <c r="X37" s="377" t="s">
        <v>3555</v>
      </c>
      <c r="Y37" s="374" t="s">
        <v>142</v>
      </c>
      <c r="Z37" s="375"/>
      <c r="AA37" s="375"/>
      <c r="AB37" s="375"/>
      <c r="AC37" s="374" t="s">
        <v>142</v>
      </c>
      <c r="AD37" s="375"/>
      <c r="AE37" s="375"/>
      <c r="AF37" s="375"/>
      <c r="AG37" s="374" t="s">
        <v>142</v>
      </c>
      <c r="AH37" s="375"/>
      <c r="AI37" s="375"/>
      <c r="AJ37" s="375"/>
      <c r="AK37" s="374" t="s">
        <v>142</v>
      </c>
    </row>
    <row r="38" spans="1:37" x14ac:dyDescent="0.25">
      <c r="A38" s="378">
        <v>37</v>
      </c>
      <c r="B38" s="378" t="s">
        <v>3279</v>
      </c>
      <c r="C38" s="378" t="s">
        <v>3240</v>
      </c>
      <c r="D38" s="385" t="s">
        <v>142</v>
      </c>
      <c r="E38" s="535"/>
      <c r="F38" s="377"/>
      <c r="G38" s="377"/>
      <c r="H38" s="375"/>
      <c r="I38" s="374" t="s">
        <v>142</v>
      </c>
      <c r="J38" s="375"/>
      <c r="K38" s="375"/>
      <c r="L38" s="375"/>
      <c r="M38" s="374" t="s">
        <v>142</v>
      </c>
      <c r="N38" s="375"/>
      <c r="O38" s="375"/>
      <c r="P38" s="375"/>
      <c r="Q38" s="374" t="s">
        <v>142</v>
      </c>
      <c r="R38" s="375"/>
      <c r="S38" s="375"/>
      <c r="T38" s="375"/>
      <c r="U38" s="374" t="s">
        <v>142</v>
      </c>
      <c r="V38" s="375"/>
      <c r="W38" s="375"/>
      <c r="X38" s="375"/>
      <c r="Y38" s="374" t="s">
        <v>142</v>
      </c>
      <c r="Z38" s="375"/>
      <c r="AA38" s="375"/>
      <c r="AB38" s="375"/>
      <c r="AC38" s="374" t="s">
        <v>142</v>
      </c>
      <c r="AD38" s="375"/>
      <c r="AE38" s="375"/>
      <c r="AF38" s="375"/>
      <c r="AG38" s="374" t="s">
        <v>142</v>
      </c>
      <c r="AH38" s="375"/>
      <c r="AI38" s="375"/>
      <c r="AJ38" s="375"/>
      <c r="AK38" s="374" t="s">
        <v>142</v>
      </c>
    </row>
    <row r="39" spans="1:37" x14ac:dyDescent="0.25">
      <c r="A39" s="378">
        <v>38</v>
      </c>
      <c r="B39" s="378" t="s">
        <v>3280</v>
      </c>
      <c r="C39" s="378" t="s">
        <v>3240</v>
      </c>
      <c r="D39" s="385" t="s">
        <v>142</v>
      </c>
      <c r="E39" s="535"/>
      <c r="F39" s="377"/>
      <c r="G39" s="377"/>
      <c r="H39" s="375"/>
      <c r="I39" s="374" t="s">
        <v>142</v>
      </c>
      <c r="J39" s="375"/>
      <c r="K39" s="375"/>
      <c r="L39" s="375"/>
      <c r="M39" s="374" t="s">
        <v>142</v>
      </c>
      <c r="N39" s="375"/>
      <c r="O39" s="375"/>
      <c r="P39" s="375"/>
      <c r="Q39" s="374" t="s">
        <v>142</v>
      </c>
      <c r="R39" s="375"/>
      <c r="S39" s="375"/>
      <c r="T39" s="375"/>
      <c r="U39" s="374" t="s">
        <v>142</v>
      </c>
      <c r="V39" s="375"/>
      <c r="W39" s="375"/>
      <c r="X39" s="375"/>
      <c r="Y39" s="374" t="s">
        <v>142</v>
      </c>
      <c r="Z39" s="375"/>
      <c r="AA39" s="375"/>
      <c r="AB39" s="375"/>
      <c r="AC39" s="374" t="s">
        <v>142</v>
      </c>
      <c r="AD39" s="375"/>
      <c r="AE39" s="375"/>
      <c r="AF39" s="375"/>
      <c r="AG39" s="374" t="s">
        <v>142</v>
      </c>
      <c r="AH39" s="375"/>
      <c r="AI39" s="375"/>
      <c r="AJ39" s="375"/>
      <c r="AK39" s="374" t="s">
        <v>142</v>
      </c>
    </row>
    <row r="40" spans="1:37" x14ac:dyDescent="0.25">
      <c r="A40" s="378">
        <v>39</v>
      </c>
      <c r="B40" s="378" t="s">
        <v>3281</v>
      </c>
      <c r="C40" s="378" t="s">
        <v>3240</v>
      </c>
      <c r="D40" s="385" t="s">
        <v>142</v>
      </c>
      <c r="E40" s="535"/>
      <c r="F40" s="375"/>
      <c r="G40" s="375"/>
      <c r="H40" s="375"/>
      <c r="I40" s="374" t="s">
        <v>142</v>
      </c>
      <c r="J40" s="375"/>
      <c r="K40" s="375"/>
      <c r="L40" s="375"/>
      <c r="M40" s="374" t="s">
        <v>142</v>
      </c>
      <c r="N40" s="375"/>
      <c r="O40" s="375"/>
      <c r="P40" s="375"/>
      <c r="Q40" s="374" t="s">
        <v>142</v>
      </c>
      <c r="R40" s="375"/>
      <c r="S40" s="375"/>
      <c r="T40" s="375"/>
      <c r="U40" s="374" t="s">
        <v>142</v>
      </c>
      <c r="V40" s="375"/>
      <c r="W40" s="375"/>
      <c r="X40" s="375"/>
      <c r="Y40" s="374" t="s">
        <v>142</v>
      </c>
      <c r="Z40" s="375"/>
      <c r="AA40" s="375"/>
      <c r="AB40" s="375"/>
      <c r="AC40" s="374" t="s">
        <v>142</v>
      </c>
      <c r="AD40" s="375"/>
      <c r="AE40" s="375"/>
      <c r="AF40" s="375"/>
      <c r="AG40" s="374" t="s">
        <v>142</v>
      </c>
      <c r="AH40" s="375"/>
      <c r="AI40" s="375"/>
      <c r="AJ40" s="375"/>
      <c r="AK40" s="374" t="s">
        <v>142</v>
      </c>
    </row>
    <row r="41" spans="1:37" x14ac:dyDescent="0.25">
      <c r="A41" s="378">
        <v>40</v>
      </c>
      <c r="B41" s="378" t="s">
        <v>3443</v>
      </c>
      <c r="C41" s="378" t="s">
        <v>3240</v>
      </c>
      <c r="D41" s="385" t="s">
        <v>142</v>
      </c>
      <c r="E41" s="535"/>
      <c r="F41" s="375"/>
      <c r="G41" s="375"/>
      <c r="H41" s="375"/>
      <c r="I41" s="374" t="s">
        <v>142</v>
      </c>
      <c r="J41" s="375"/>
      <c r="K41" s="375"/>
      <c r="L41" s="375"/>
      <c r="M41" s="374" t="s">
        <v>142</v>
      </c>
      <c r="N41" s="375"/>
      <c r="O41" s="375"/>
      <c r="P41" s="375"/>
      <c r="Q41" s="374" t="s">
        <v>142</v>
      </c>
      <c r="R41" s="375"/>
      <c r="S41" s="375"/>
      <c r="T41" s="375"/>
      <c r="U41" s="374" t="s">
        <v>142</v>
      </c>
      <c r="V41" s="375"/>
      <c r="W41" s="375"/>
      <c r="X41" s="375"/>
      <c r="Y41" s="374" t="s">
        <v>142</v>
      </c>
      <c r="Z41" s="375"/>
      <c r="AA41" s="375"/>
      <c r="AB41" s="375"/>
      <c r="AC41" s="374" t="s">
        <v>142</v>
      </c>
      <c r="AD41" s="375"/>
      <c r="AE41" s="375"/>
      <c r="AF41" s="375"/>
      <c r="AG41" s="374" t="s">
        <v>142</v>
      </c>
      <c r="AH41" s="375"/>
      <c r="AI41" s="375"/>
      <c r="AJ41" s="375"/>
      <c r="AK41" s="374" t="s">
        <v>142</v>
      </c>
    </row>
    <row r="42" spans="1:37" x14ac:dyDescent="0.25">
      <c r="A42" s="378">
        <v>41</v>
      </c>
      <c r="B42" s="378" t="s">
        <v>3444</v>
      </c>
      <c r="C42" s="378" t="s">
        <v>3240</v>
      </c>
      <c r="D42" s="385" t="s">
        <v>142</v>
      </c>
      <c r="E42" s="535"/>
      <c r="F42" s="375"/>
      <c r="G42" s="375"/>
      <c r="H42" s="375"/>
      <c r="I42" s="374" t="s">
        <v>142</v>
      </c>
      <c r="J42" s="375"/>
      <c r="K42" s="375"/>
      <c r="L42" s="375"/>
      <c r="M42" s="374" t="s">
        <v>142</v>
      </c>
      <c r="N42" s="375"/>
      <c r="O42" s="375"/>
      <c r="P42" s="375"/>
      <c r="Q42" s="374" t="s">
        <v>142</v>
      </c>
      <c r="R42" s="375"/>
      <c r="S42" s="375"/>
      <c r="T42" s="375"/>
      <c r="U42" s="374" t="s">
        <v>142</v>
      </c>
      <c r="V42" s="375"/>
      <c r="W42" s="375"/>
      <c r="X42" s="375"/>
      <c r="Y42" s="374" t="s">
        <v>142</v>
      </c>
      <c r="Z42" s="375"/>
      <c r="AA42" s="375"/>
      <c r="AB42" s="375"/>
      <c r="AC42" s="374" t="s">
        <v>142</v>
      </c>
      <c r="AD42" s="375"/>
      <c r="AE42" s="375"/>
      <c r="AF42" s="375"/>
      <c r="AG42" s="374" t="s">
        <v>142</v>
      </c>
      <c r="AH42" s="375"/>
      <c r="AI42" s="375"/>
      <c r="AJ42" s="375"/>
      <c r="AK42" s="374" t="s">
        <v>142</v>
      </c>
    </row>
    <row r="43" spans="1:37" x14ac:dyDescent="0.25">
      <c r="A43" s="378">
        <v>42</v>
      </c>
      <c r="B43" s="378" t="s">
        <v>3446</v>
      </c>
      <c r="C43" s="378" t="s">
        <v>3240</v>
      </c>
      <c r="D43" s="385" t="s">
        <v>142</v>
      </c>
      <c r="E43" s="535"/>
      <c r="F43" s="375"/>
      <c r="G43" s="375"/>
      <c r="H43" s="375"/>
      <c r="I43" s="374" t="s">
        <v>142</v>
      </c>
      <c r="J43" s="375"/>
      <c r="K43" s="375"/>
      <c r="L43" s="375"/>
      <c r="M43" s="374" t="s">
        <v>142</v>
      </c>
      <c r="N43" s="375"/>
      <c r="O43" s="375"/>
      <c r="P43" s="375"/>
      <c r="Q43" s="374" t="s">
        <v>142</v>
      </c>
      <c r="R43" s="375"/>
      <c r="S43" s="375"/>
      <c r="T43" s="375"/>
      <c r="U43" s="374" t="s">
        <v>142</v>
      </c>
      <c r="V43" s="375"/>
      <c r="W43" s="375"/>
      <c r="X43" s="375"/>
      <c r="Y43" s="374" t="s">
        <v>142</v>
      </c>
      <c r="Z43" s="375"/>
      <c r="AA43" s="375"/>
      <c r="AB43" s="375"/>
      <c r="AC43" s="374" t="s">
        <v>142</v>
      </c>
      <c r="AD43" s="375"/>
      <c r="AE43" s="375"/>
      <c r="AF43" s="375"/>
      <c r="AG43" s="374" t="s">
        <v>142</v>
      </c>
      <c r="AH43" s="375"/>
      <c r="AI43" s="375"/>
      <c r="AJ43" s="375"/>
      <c r="AK43" s="374" t="s">
        <v>142</v>
      </c>
    </row>
    <row r="44" spans="1:37" x14ac:dyDescent="0.25">
      <c r="A44" s="378">
        <v>43</v>
      </c>
      <c r="B44" s="378" t="s">
        <v>3486</v>
      </c>
      <c r="C44" s="378" t="s">
        <v>3240</v>
      </c>
      <c r="D44" s="385" t="s">
        <v>142</v>
      </c>
      <c r="E44" s="535"/>
      <c r="F44" s="375"/>
      <c r="G44" s="375"/>
      <c r="H44" s="375"/>
      <c r="I44" s="374" t="s">
        <v>142</v>
      </c>
      <c r="J44" s="375"/>
      <c r="K44" s="375"/>
      <c r="L44" s="375"/>
      <c r="M44" s="374" t="s">
        <v>142</v>
      </c>
      <c r="N44" s="375"/>
      <c r="O44" s="375"/>
      <c r="P44" s="375"/>
      <c r="Q44" s="374" t="s">
        <v>142</v>
      </c>
      <c r="R44" s="375"/>
      <c r="S44" s="375"/>
      <c r="T44" s="375"/>
      <c r="U44" s="374" t="s">
        <v>142</v>
      </c>
      <c r="V44" s="375"/>
      <c r="W44" s="375"/>
      <c r="X44" s="375"/>
      <c r="Y44" s="374" t="s">
        <v>142</v>
      </c>
      <c r="Z44" s="375"/>
      <c r="AA44" s="375"/>
      <c r="AB44" s="375"/>
      <c r="AC44" s="374" t="s">
        <v>142</v>
      </c>
      <c r="AD44" s="375"/>
      <c r="AE44" s="375"/>
      <c r="AF44" s="375"/>
      <c r="AG44" s="374" t="s">
        <v>142</v>
      </c>
      <c r="AH44" s="375"/>
      <c r="AI44" s="375"/>
      <c r="AJ44" s="375"/>
      <c r="AK44" s="374" t="s">
        <v>142</v>
      </c>
    </row>
    <row r="45" spans="1:37" x14ac:dyDescent="0.25">
      <c r="A45" s="378">
        <v>44</v>
      </c>
      <c r="B45" s="378" t="s">
        <v>3621</v>
      </c>
      <c r="C45" s="378" t="s">
        <v>3240</v>
      </c>
      <c r="D45" s="385" t="s">
        <v>142</v>
      </c>
      <c r="E45" s="535"/>
      <c r="F45" s="375"/>
      <c r="G45" s="375"/>
      <c r="H45" s="375"/>
      <c r="I45" s="374" t="s">
        <v>142</v>
      </c>
      <c r="J45" s="375"/>
      <c r="K45" s="375"/>
      <c r="L45" s="375"/>
      <c r="M45" s="374" t="s">
        <v>142</v>
      </c>
      <c r="N45" s="375"/>
      <c r="O45" s="375"/>
      <c r="P45" s="375"/>
      <c r="Q45" s="374" t="s">
        <v>142</v>
      </c>
      <c r="R45" s="375"/>
      <c r="S45" s="375"/>
      <c r="T45" s="375"/>
      <c r="U45" s="374" t="s">
        <v>142</v>
      </c>
      <c r="V45" s="375"/>
      <c r="W45" s="375"/>
      <c r="X45" s="375"/>
      <c r="Y45" s="374" t="s">
        <v>142</v>
      </c>
      <c r="Z45" s="375"/>
      <c r="AA45" s="375"/>
      <c r="AB45" s="375"/>
      <c r="AC45" s="374" t="s">
        <v>142</v>
      </c>
      <c r="AD45" s="375"/>
      <c r="AE45" s="375"/>
      <c r="AF45" s="375"/>
      <c r="AG45" s="374" t="s">
        <v>142</v>
      </c>
      <c r="AH45" s="375"/>
      <c r="AI45" s="375"/>
      <c r="AJ45" s="375"/>
      <c r="AK45" s="374" t="s">
        <v>142</v>
      </c>
    </row>
    <row r="46" spans="1:37" x14ac:dyDescent="0.25">
      <c r="A46" s="378">
        <v>45</v>
      </c>
      <c r="B46" s="378" t="s">
        <v>3632</v>
      </c>
      <c r="C46" s="378" t="s">
        <v>3239</v>
      </c>
      <c r="D46" s="385" t="s">
        <v>142</v>
      </c>
      <c r="E46" s="535"/>
      <c r="F46" s="375"/>
      <c r="G46" s="375"/>
      <c r="H46" s="375"/>
      <c r="I46" s="374" t="s">
        <v>142</v>
      </c>
      <c r="J46" s="375"/>
      <c r="K46" s="375"/>
      <c r="L46" s="375"/>
      <c r="M46" s="374" t="s">
        <v>142</v>
      </c>
      <c r="N46" s="375"/>
      <c r="O46" s="375"/>
      <c r="P46" s="375"/>
      <c r="Q46" s="374" t="s">
        <v>142</v>
      </c>
      <c r="R46" s="375"/>
      <c r="S46" s="375"/>
      <c r="T46" s="375"/>
      <c r="U46" s="374" t="s">
        <v>142</v>
      </c>
      <c r="V46" s="375"/>
      <c r="W46" s="375"/>
      <c r="X46" s="375"/>
      <c r="Y46" s="374" t="s">
        <v>142</v>
      </c>
      <c r="Z46" s="375"/>
      <c r="AA46" s="375"/>
      <c r="AB46" s="375"/>
      <c r="AC46" s="374" t="s">
        <v>142</v>
      </c>
      <c r="AD46" s="375"/>
      <c r="AE46" s="375"/>
      <c r="AF46" s="375"/>
      <c r="AG46" s="374" t="s">
        <v>142</v>
      </c>
      <c r="AH46" s="375"/>
      <c r="AI46" s="375"/>
      <c r="AJ46" s="375"/>
      <c r="AK46" s="374" t="s">
        <v>142</v>
      </c>
    </row>
    <row r="47" spans="1:37" x14ac:dyDescent="0.25">
      <c r="A47" s="378">
        <v>46</v>
      </c>
      <c r="B47" s="378" t="s">
        <v>4590</v>
      </c>
      <c r="C47" s="378" t="s">
        <v>3240</v>
      </c>
      <c r="D47" s="385" t="s">
        <v>142</v>
      </c>
      <c r="E47" s="535"/>
      <c r="F47" s="375"/>
      <c r="G47" s="375"/>
      <c r="H47" s="375"/>
      <c r="I47" s="374" t="s">
        <v>142</v>
      </c>
      <c r="J47" s="375"/>
      <c r="K47" s="375"/>
      <c r="L47" s="375"/>
      <c r="M47" s="374" t="s">
        <v>142</v>
      </c>
      <c r="N47" s="375"/>
      <c r="O47" s="375"/>
      <c r="P47" s="375"/>
      <c r="Q47" s="374" t="s">
        <v>142</v>
      </c>
      <c r="R47" s="375"/>
      <c r="S47" s="375"/>
      <c r="T47" s="375"/>
      <c r="U47" s="374" t="s">
        <v>142</v>
      </c>
      <c r="V47" s="375"/>
      <c r="W47" s="375"/>
      <c r="X47" s="375"/>
      <c r="Y47" s="374" t="s">
        <v>142</v>
      </c>
      <c r="Z47" s="375"/>
      <c r="AA47" s="375"/>
      <c r="AB47" s="375"/>
      <c r="AC47" s="374" t="s">
        <v>142</v>
      </c>
      <c r="AD47" s="375"/>
      <c r="AE47" s="375"/>
      <c r="AF47" s="375"/>
      <c r="AG47" s="374" t="s">
        <v>142</v>
      </c>
      <c r="AH47" s="375"/>
      <c r="AI47" s="375"/>
      <c r="AJ47" s="375"/>
      <c r="AK47" s="374" t="s">
        <v>142</v>
      </c>
    </row>
    <row r="48" spans="1:37" x14ac:dyDescent="0.25">
      <c r="A48" s="378">
        <v>47</v>
      </c>
      <c r="B48" s="378">
        <v>47</v>
      </c>
      <c r="C48" s="378" t="s">
        <v>3240</v>
      </c>
      <c r="D48" s="385" t="s">
        <v>142</v>
      </c>
      <c r="E48" s="535"/>
      <c r="F48" s="375"/>
      <c r="G48" s="375"/>
      <c r="H48" s="375"/>
      <c r="I48" s="374" t="s">
        <v>142</v>
      </c>
      <c r="J48" s="375"/>
      <c r="K48" s="375"/>
      <c r="L48" s="375"/>
      <c r="M48" s="374" t="s">
        <v>142</v>
      </c>
      <c r="N48" s="375"/>
      <c r="O48" s="375"/>
      <c r="P48" s="375"/>
      <c r="Q48" s="374" t="s">
        <v>142</v>
      </c>
      <c r="R48" s="375"/>
      <c r="S48" s="375"/>
      <c r="T48" s="375"/>
      <c r="U48" s="374" t="s">
        <v>142</v>
      </c>
      <c r="V48" s="375"/>
      <c r="W48" s="375"/>
      <c r="X48" s="375"/>
      <c r="Y48" s="374" t="s">
        <v>142</v>
      </c>
      <c r="Z48" s="375"/>
      <c r="AA48" s="375"/>
      <c r="AB48" s="375"/>
      <c r="AC48" s="374" t="s">
        <v>142</v>
      </c>
      <c r="AD48" s="375"/>
      <c r="AE48" s="375"/>
      <c r="AF48" s="375"/>
      <c r="AG48" s="374" t="s">
        <v>142</v>
      </c>
      <c r="AH48" s="375"/>
      <c r="AI48" s="375"/>
      <c r="AJ48" s="375"/>
      <c r="AK48" s="374" t="s">
        <v>142</v>
      </c>
    </row>
    <row r="49" spans="1:37" x14ac:dyDescent="0.25">
      <c r="A49" s="378">
        <v>48</v>
      </c>
      <c r="B49" s="378" t="s">
        <v>3233</v>
      </c>
      <c r="C49" s="378" t="s">
        <v>3239</v>
      </c>
      <c r="D49" s="385" t="s">
        <v>142</v>
      </c>
      <c r="E49" s="535"/>
      <c r="F49" s="375"/>
      <c r="G49" s="375"/>
      <c r="H49" s="375"/>
      <c r="I49" s="374" t="s">
        <v>142</v>
      </c>
      <c r="J49" s="375"/>
      <c r="K49" s="375"/>
      <c r="L49" s="375"/>
      <c r="M49" s="374" t="s">
        <v>142</v>
      </c>
      <c r="N49" s="375"/>
      <c r="O49" s="375"/>
      <c r="P49" s="375"/>
      <c r="Q49" s="374" t="s">
        <v>142</v>
      </c>
      <c r="R49" s="375"/>
      <c r="S49" s="375"/>
      <c r="T49" s="375"/>
      <c r="U49" s="374" t="s">
        <v>142</v>
      </c>
      <c r="V49" s="375"/>
      <c r="W49" s="375"/>
      <c r="X49" s="375"/>
      <c r="Y49" s="374" t="s">
        <v>142</v>
      </c>
      <c r="Z49" s="375"/>
      <c r="AA49" s="375"/>
      <c r="AB49" s="375"/>
      <c r="AC49" s="374" t="s">
        <v>142</v>
      </c>
      <c r="AD49" s="375"/>
      <c r="AE49" s="375"/>
      <c r="AF49" s="375"/>
      <c r="AG49" s="374" t="s">
        <v>142</v>
      </c>
      <c r="AH49" s="375"/>
      <c r="AI49" s="375"/>
      <c r="AJ49" s="375"/>
      <c r="AK49" s="374" t="s">
        <v>142</v>
      </c>
    </row>
    <row r="50" spans="1:37" x14ac:dyDescent="0.25">
      <c r="A50" s="378">
        <v>49</v>
      </c>
      <c r="B50" s="378" t="s">
        <v>3234</v>
      </c>
      <c r="C50" s="378" t="s">
        <v>3239</v>
      </c>
      <c r="D50" s="385" t="s">
        <v>142</v>
      </c>
      <c r="E50" s="535"/>
      <c r="F50" s="375"/>
      <c r="G50" s="375"/>
      <c r="H50" s="375"/>
      <c r="I50" s="374" t="s">
        <v>142</v>
      </c>
      <c r="J50" s="375"/>
      <c r="K50" s="375"/>
      <c r="L50" s="375"/>
      <c r="M50" s="374" t="s">
        <v>142</v>
      </c>
      <c r="N50" s="375"/>
      <c r="O50" s="375"/>
      <c r="P50" s="375"/>
      <c r="Q50" s="374" t="s">
        <v>142</v>
      </c>
      <c r="R50" s="375"/>
      <c r="S50" s="375"/>
      <c r="T50" s="375"/>
      <c r="U50" s="374" t="s">
        <v>142</v>
      </c>
      <c r="V50" s="375"/>
      <c r="W50" s="375"/>
      <c r="X50" s="375"/>
      <c r="Y50" s="374" t="s">
        <v>142</v>
      </c>
      <c r="Z50" s="375"/>
      <c r="AA50" s="375"/>
      <c r="AB50" s="375"/>
      <c r="AC50" s="374" t="s">
        <v>142</v>
      </c>
      <c r="AD50" s="375"/>
      <c r="AE50" s="375"/>
      <c r="AF50" s="375"/>
      <c r="AG50" s="374" t="s">
        <v>142</v>
      </c>
      <c r="AH50" s="375"/>
      <c r="AI50" s="375"/>
      <c r="AJ50" s="375"/>
      <c r="AK50" s="374" t="s">
        <v>142</v>
      </c>
    </row>
    <row r="51" spans="1:37" x14ac:dyDescent="0.25">
      <c r="A51" s="378">
        <v>50</v>
      </c>
      <c r="B51" s="378" t="s">
        <v>3235</v>
      </c>
      <c r="C51" s="378" t="s">
        <v>3239</v>
      </c>
      <c r="D51" s="385" t="s">
        <v>142</v>
      </c>
      <c r="E51" s="535"/>
      <c r="F51" s="375"/>
      <c r="G51" s="375"/>
      <c r="H51" s="375"/>
      <c r="I51" s="374" t="s">
        <v>142</v>
      </c>
      <c r="J51" s="375"/>
      <c r="K51" s="375"/>
      <c r="L51" s="375"/>
      <c r="M51" s="374" t="s">
        <v>142</v>
      </c>
      <c r="N51" s="375"/>
      <c r="O51" s="375"/>
      <c r="P51" s="375"/>
      <c r="Q51" s="374" t="s">
        <v>142</v>
      </c>
      <c r="R51" s="375"/>
      <c r="S51" s="375"/>
      <c r="T51" s="375"/>
      <c r="U51" s="374" t="s">
        <v>142</v>
      </c>
      <c r="V51" s="375"/>
      <c r="W51" s="375"/>
      <c r="X51" s="375"/>
      <c r="Y51" s="374" t="s">
        <v>142</v>
      </c>
      <c r="Z51" s="375"/>
      <c r="AA51" s="375"/>
      <c r="AB51" s="375"/>
      <c r="AC51" s="374" t="s">
        <v>142</v>
      </c>
      <c r="AD51" s="375"/>
      <c r="AE51" s="375"/>
      <c r="AF51" s="375"/>
      <c r="AG51" s="374" t="s">
        <v>142</v>
      </c>
      <c r="AH51" s="375"/>
      <c r="AI51" s="375"/>
      <c r="AJ51" s="375"/>
      <c r="AK51" s="374" t="s">
        <v>142</v>
      </c>
    </row>
    <row r="52" spans="1:37" x14ac:dyDescent="0.25">
      <c r="A52" s="378">
        <v>51</v>
      </c>
      <c r="B52" s="378" t="s">
        <v>3445</v>
      </c>
      <c r="C52" s="378" t="s">
        <v>3239</v>
      </c>
      <c r="D52" s="385" t="s">
        <v>142</v>
      </c>
      <c r="E52" s="535"/>
      <c r="F52" s="375"/>
      <c r="G52" s="375"/>
      <c r="H52" s="375"/>
      <c r="I52" s="374" t="s">
        <v>142</v>
      </c>
      <c r="J52" s="375"/>
      <c r="K52" s="375"/>
      <c r="L52" s="375"/>
      <c r="M52" s="374" t="s">
        <v>142</v>
      </c>
      <c r="N52" s="375"/>
      <c r="O52" s="375"/>
      <c r="P52" s="375"/>
      <c r="Q52" s="374" t="s">
        <v>142</v>
      </c>
      <c r="R52" s="375"/>
      <c r="S52" s="375"/>
      <c r="T52" s="375"/>
      <c r="U52" s="374" t="s">
        <v>142</v>
      </c>
      <c r="V52" s="375"/>
      <c r="W52" s="375"/>
      <c r="X52" s="375"/>
      <c r="Y52" s="374" t="s">
        <v>142</v>
      </c>
      <c r="Z52" s="375"/>
      <c r="AA52" s="375"/>
      <c r="AB52" s="375"/>
      <c r="AC52" s="374" t="s">
        <v>142</v>
      </c>
      <c r="AD52" s="375"/>
      <c r="AE52" s="375"/>
      <c r="AF52" s="375"/>
      <c r="AG52" s="374" t="s">
        <v>142</v>
      </c>
      <c r="AH52" s="375"/>
      <c r="AI52" s="375"/>
      <c r="AJ52" s="375"/>
      <c r="AK52" s="374" t="s">
        <v>142</v>
      </c>
    </row>
    <row r="53" spans="1:37" x14ac:dyDescent="0.25">
      <c r="A53" s="378">
        <v>52</v>
      </c>
      <c r="B53" s="378" t="s">
        <v>3236</v>
      </c>
      <c r="C53" s="378" t="s">
        <v>3239</v>
      </c>
      <c r="D53" s="385" t="s">
        <v>142</v>
      </c>
      <c r="E53" s="535"/>
      <c r="F53" s="375"/>
      <c r="G53" s="375"/>
      <c r="H53" s="375"/>
      <c r="I53" s="374" t="s">
        <v>142</v>
      </c>
      <c r="J53" s="375"/>
      <c r="K53" s="375"/>
      <c r="L53" s="375"/>
      <c r="M53" s="374" t="s">
        <v>142</v>
      </c>
      <c r="N53" s="375"/>
      <c r="O53" s="375"/>
      <c r="P53" s="375"/>
      <c r="Q53" s="374" t="s">
        <v>142</v>
      </c>
      <c r="R53" s="375"/>
      <c r="S53" s="375"/>
      <c r="T53" s="375"/>
      <c r="U53" s="374" t="s">
        <v>142</v>
      </c>
      <c r="V53" s="375"/>
      <c r="W53" s="375"/>
      <c r="X53" s="375"/>
      <c r="Y53" s="374" t="s">
        <v>142</v>
      </c>
      <c r="Z53" s="375"/>
      <c r="AA53" s="375"/>
      <c r="AB53" s="375"/>
      <c r="AC53" s="374" t="s">
        <v>142</v>
      </c>
      <c r="AD53" s="375"/>
      <c r="AE53" s="375"/>
      <c r="AF53" s="375"/>
      <c r="AG53" s="374" t="s">
        <v>142</v>
      </c>
      <c r="AH53" s="375"/>
      <c r="AI53" s="375"/>
      <c r="AJ53" s="375"/>
      <c r="AK53" s="374" t="s">
        <v>142</v>
      </c>
    </row>
    <row r="54" spans="1:37" x14ac:dyDescent="0.25">
      <c r="A54" s="378">
        <v>53</v>
      </c>
      <c r="B54" s="378" t="s">
        <v>3237</v>
      </c>
      <c r="C54" s="378" t="s">
        <v>3239</v>
      </c>
      <c r="D54" s="385" t="s">
        <v>142</v>
      </c>
      <c r="E54" s="535"/>
      <c r="F54" s="375"/>
      <c r="G54" s="375"/>
      <c r="H54" s="375"/>
      <c r="I54" s="374" t="s">
        <v>142</v>
      </c>
      <c r="J54" s="375"/>
      <c r="K54" s="375"/>
      <c r="L54" s="375"/>
      <c r="M54" s="374" t="s">
        <v>142</v>
      </c>
      <c r="N54" s="375"/>
      <c r="O54" s="375"/>
      <c r="P54" s="375"/>
      <c r="Q54" s="374" t="s">
        <v>142</v>
      </c>
      <c r="R54" s="375"/>
      <c r="S54" s="375"/>
      <c r="T54" s="375"/>
      <c r="U54" s="374" t="s">
        <v>142</v>
      </c>
      <c r="V54" s="375"/>
      <c r="W54" s="375"/>
      <c r="X54" s="375"/>
      <c r="Y54" s="374" t="s">
        <v>142</v>
      </c>
      <c r="Z54" s="375"/>
      <c r="AA54" s="375"/>
      <c r="AB54" s="375"/>
      <c r="AC54" s="374" t="s">
        <v>142</v>
      </c>
      <c r="AD54" s="375"/>
      <c r="AE54" s="375"/>
      <c r="AF54" s="375"/>
      <c r="AG54" s="374" t="s">
        <v>142</v>
      </c>
      <c r="AH54" s="375"/>
      <c r="AI54" s="375"/>
      <c r="AJ54" s="375"/>
      <c r="AK54" s="374" t="s">
        <v>142</v>
      </c>
    </row>
    <row r="55" spans="1:37" x14ac:dyDescent="0.25">
      <c r="A55" s="378">
        <v>54</v>
      </c>
      <c r="B55" s="378" t="s">
        <v>3238</v>
      </c>
      <c r="C55" s="378" t="s">
        <v>3240</v>
      </c>
      <c r="D55" s="385" t="s">
        <v>142</v>
      </c>
      <c r="E55" s="535"/>
      <c r="F55" s="375"/>
      <c r="G55" s="375"/>
      <c r="H55" s="375"/>
      <c r="I55" s="374" t="s">
        <v>142</v>
      </c>
      <c r="J55" s="375"/>
      <c r="K55" s="375"/>
      <c r="L55" s="375"/>
      <c r="M55" s="374" t="s">
        <v>142</v>
      </c>
      <c r="N55" s="375"/>
      <c r="O55" s="375"/>
      <c r="P55" s="375"/>
      <c r="Q55" s="374" t="s">
        <v>142</v>
      </c>
      <c r="R55" s="375"/>
      <c r="S55" s="375"/>
      <c r="T55" s="375"/>
      <c r="U55" s="374" t="s">
        <v>142</v>
      </c>
      <c r="V55" s="375"/>
      <c r="W55" s="375"/>
      <c r="X55" s="375"/>
      <c r="Y55" s="374" t="s">
        <v>142</v>
      </c>
      <c r="Z55" s="375"/>
      <c r="AA55" s="375"/>
      <c r="AB55" s="375"/>
      <c r="AC55" s="374" t="s">
        <v>142</v>
      </c>
      <c r="AD55" s="375"/>
      <c r="AE55" s="375"/>
      <c r="AF55" s="375"/>
      <c r="AG55" s="374" t="s">
        <v>142</v>
      </c>
      <c r="AH55" s="375"/>
      <c r="AI55" s="375"/>
      <c r="AJ55" s="375"/>
      <c r="AK55" s="374" t="s">
        <v>142</v>
      </c>
    </row>
    <row r="56" spans="1:37" x14ac:dyDescent="0.25">
      <c r="A56" s="378">
        <v>55</v>
      </c>
      <c r="B56" s="378" t="s">
        <v>3436</v>
      </c>
      <c r="C56" s="378" t="s">
        <v>3239</v>
      </c>
      <c r="D56" s="385" t="s">
        <v>142</v>
      </c>
      <c r="E56" s="535"/>
      <c r="F56" s="375"/>
      <c r="G56" s="375"/>
      <c r="H56" s="375"/>
      <c r="I56" s="374" t="s">
        <v>142</v>
      </c>
      <c r="J56" s="375"/>
      <c r="K56" s="375"/>
      <c r="L56" s="375"/>
      <c r="M56" s="374" t="s">
        <v>142</v>
      </c>
      <c r="N56" s="375"/>
      <c r="O56" s="375"/>
      <c r="P56" s="375"/>
      <c r="Q56" s="374" t="s">
        <v>142</v>
      </c>
      <c r="R56" s="375"/>
      <c r="S56" s="375"/>
      <c r="T56" s="375"/>
      <c r="U56" s="374" t="s">
        <v>142</v>
      </c>
      <c r="V56" s="375"/>
      <c r="W56" s="375"/>
      <c r="X56" s="375"/>
      <c r="Y56" s="374" t="s">
        <v>142</v>
      </c>
      <c r="Z56" s="375"/>
      <c r="AA56" s="375"/>
      <c r="AB56" s="375"/>
      <c r="AC56" s="374" t="s">
        <v>142</v>
      </c>
      <c r="AD56" s="375"/>
      <c r="AE56" s="375"/>
      <c r="AF56" s="375"/>
      <c r="AG56" s="374" t="s">
        <v>142</v>
      </c>
      <c r="AH56" s="375"/>
      <c r="AI56" s="375"/>
      <c r="AJ56" s="375"/>
      <c r="AK56" s="374" t="s">
        <v>142</v>
      </c>
    </row>
    <row r="57" spans="1:37" x14ac:dyDescent="0.25">
      <c r="A57" s="378">
        <v>56</v>
      </c>
      <c r="B57" s="378" t="s">
        <v>3437</v>
      </c>
      <c r="C57" s="378" t="s">
        <v>3239</v>
      </c>
      <c r="D57" s="385" t="s">
        <v>142</v>
      </c>
      <c r="E57" s="535"/>
      <c r="F57" s="375"/>
      <c r="G57" s="375"/>
      <c r="H57" s="375"/>
      <c r="I57" s="374" t="s">
        <v>142</v>
      </c>
      <c r="J57" s="375"/>
      <c r="K57" s="375"/>
      <c r="L57" s="375"/>
      <c r="M57" s="374" t="s">
        <v>142</v>
      </c>
      <c r="N57" s="375"/>
      <c r="O57" s="375"/>
      <c r="P57" s="375"/>
      <c r="Q57" s="374" t="s">
        <v>142</v>
      </c>
      <c r="R57" s="375"/>
      <c r="S57" s="375"/>
      <c r="T57" s="375"/>
      <c r="U57" s="374" t="s">
        <v>142</v>
      </c>
      <c r="V57" s="375"/>
      <c r="W57" s="375"/>
      <c r="X57" s="375"/>
      <c r="Y57" s="374" t="s">
        <v>142</v>
      </c>
      <c r="Z57" s="375"/>
      <c r="AA57" s="375"/>
      <c r="AB57" s="375"/>
      <c r="AC57" s="374" t="s">
        <v>142</v>
      </c>
      <c r="AD57" s="375"/>
      <c r="AE57" s="375"/>
      <c r="AF57" s="375"/>
      <c r="AG57" s="374" t="s">
        <v>142</v>
      </c>
      <c r="AH57" s="375"/>
      <c r="AI57" s="375"/>
      <c r="AJ57" s="375"/>
      <c r="AK57" s="374" t="s">
        <v>142</v>
      </c>
    </row>
    <row r="58" spans="1:37" x14ac:dyDescent="0.25">
      <c r="A58" s="378">
        <v>57</v>
      </c>
      <c r="B58" s="378" t="s">
        <v>4591</v>
      </c>
      <c r="C58" s="378" t="s">
        <v>3239</v>
      </c>
      <c r="D58" s="385" t="s">
        <v>142</v>
      </c>
      <c r="E58" s="535"/>
      <c r="F58" s="375"/>
      <c r="G58" s="375"/>
      <c r="H58" s="375"/>
      <c r="I58" s="374" t="s">
        <v>142</v>
      </c>
      <c r="J58" s="375"/>
      <c r="K58" s="375"/>
      <c r="L58" s="375"/>
      <c r="M58" s="374" t="s">
        <v>142</v>
      </c>
      <c r="N58" s="375"/>
      <c r="O58" s="375"/>
      <c r="P58" s="375"/>
      <c r="Q58" s="374" t="s">
        <v>142</v>
      </c>
      <c r="R58" s="375"/>
      <c r="S58" s="375"/>
      <c r="T58" s="375"/>
      <c r="U58" s="374" t="s">
        <v>142</v>
      </c>
      <c r="V58" s="375"/>
      <c r="W58" s="375"/>
      <c r="X58" s="375"/>
      <c r="Y58" s="374" t="s">
        <v>142</v>
      </c>
      <c r="Z58" s="375"/>
      <c r="AA58" s="375"/>
      <c r="AB58" s="375"/>
      <c r="AC58" s="374" t="s">
        <v>142</v>
      </c>
      <c r="AD58" s="375"/>
      <c r="AE58" s="375"/>
      <c r="AF58" s="375"/>
      <c r="AG58" s="374" t="s">
        <v>142</v>
      </c>
      <c r="AH58" s="375"/>
      <c r="AI58" s="375"/>
      <c r="AJ58" s="375"/>
      <c r="AK58" s="374" t="s">
        <v>142</v>
      </c>
    </row>
    <row r="59" spans="1:37" x14ac:dyDescent="0.25">
      <c r="A59" s="378">
        <v>58</v>
      </c>
      <c r="B59" s="378" t="s">
        <v>4592</v>
      </c>
      <c r="C59" s="378" t="s">
        <v>3239</v>
      </c>
      <c r="D59" s="385" t="s">
        <v>142</v>
      </c>
      <c r="E59" s="535"/>
      <c r="F59" s="375"/>
      <c r="G59" s="375"/>
      <c r="H59" s="375"/>
      <c r="I59" s="374" t="s">
        <v>142</v>
      </c>
      <c r="J59" s="375"/>
      <c r="K59" s="375"/>
      <c r="L59" s="375"/>
      <c r="M59" s="374" t="s">
        <v>142</v>
      </c>
      <c r="N59" s="375"/>
      <c r="O59" s="375"/>
      <c r="P59" s="375"/>
      <c r="Q59" s="374" t="s">
        <v>142</v>
      </c>
      <c r="R59" s="375"/>
      <c r="S59" s="375"/>
      <c r="T59" s="375"/>
      <c r="U59" s="374" t="s">
        <v>142</v>
      </c>
      <c r="V59" s="375"/>
      <c r="W59" s="375"/>
      <c r="X59" s="375"/>
      <c r="Y59" s="374" t="s">
        <v>142</v>
      </c>
      <c r="Z59" s="375"/>
      <c r="AA59" s="375"/>
      <c r="AB59" s="375"/>
      <c r="AC59" s="374" t="s">
        <v>142</v>
      </c>
      <c r="AD59" s="375"/>
      <c r="AE59" s="375"/>
      <c r="AF59" s="375"/>
      <c r="AG59" s="374" t="s">
        <v>142</v>
      </c>
      <c r="AH59" s="375"/>
      <c r="AI59" s="375"/>
      <c r="AJ59" s="375"/>
      <c r="AK59" s="374" t="s">
        <v>142</v>
      </c>
    </row>
    <row r="60" spans="1:37" x14ac:dyDescent="0.25">
      <c r="A60" s="378">
        <v>59</v>
      </c>
      <c r="B60" s="378" t="s">
        <v>4593</v>
      </c>
      <c r="C60" s="378" t="s">
        <v>3239</v>
      </c>
      <c r="D60" s="385" t="s">
        <v>142</v>
      </c>
      <c r="E60" s="535"/>
      <c r="F60" s="375"/>
      <c r="G60" s="375"/>
      <c r="H60" s="375"/>
      <c r="I60" s="374" t="s">
        <v>142</v>
      </c>
      <c r="J60" s="375"/>
      <c r="K60" s="375"/>
      <c r="L60" s="375"/>
      <c r="M60" s="374" t="s">
        <v>142</v>
      </c>
      <c r="N60" s="375"/>
      <c r="O60" s="375"/>
      <c r="P60" s="375"/>
      <c r="Q60" s="374" t="s">
        <v>142</v>
      </c>
      <c r="R60" s="375"/>
      <c r="S60" s="375"/>
      <c r="T60" s="375"/>
      <c r="U60" s="374" t="s">
        <v>142</v>
      </c>
      <c r="V60" s="375"/>
      <c r="W60" s="375"/>
      <c r="X60" s="375"/>
      <c r="Y60" s="374" t="s">
        <v>142</v>
      </c>
      <c r="Z60" s="375"/>
      <c r="AA60" s="375"/>
      <c r="AB60" s="375"/>
      <c r="AC60" s="374" t="s">
        <v>142</v>
      </c>
      <c r="AD60" s="375"/>
      <c r="AE60" s="375"/>
      <c r="AF60" s="375"/>
      <c r="AG60" s="374" t="s">
        <v>142</v>
      </c>
      <c r="AH60" s="375"/>
      <c r="AI60" s="375"/>
      <c r="AJ60" s="375"/>
      <c r="AK60" s="374" t="s">
        <v>142</v>
      </c>
    </row>
    <row r="61" spans="1:37" x14ac:dyDescent="0.25">
      <c r="A61" s="378">
        <v>60</v>
      </c>
      <c r="B61" s="378" t="s">
        <v>4594</v>
      </c>
      <c r="C61" s="378" t="s">
        <v>3240</v>
      </c>
      <c r="D61" s="385" t="s">
        <v>142</v>
      </c>
      <c r="E61" s="535"/>
      <c r="F61" s="375"/>
      <c r="G61" s="375"/>
      <c r="H61" s="375"/>
      <c r="I61" s="374" t="s">
        <v>142</v>
      </c>
      <c r="J61" s="375"/>
      <c r="K61" s="375"/>
      <c r="L61" s="375"/>
      <c r="M61" s="374" t="s">
        <v>142</v>
      </c>
      <c r="N61" s="375"/>
      <c r="O61" s="375"/>
      <c r="P61" s="375"/>
      <c r="Q61" s="374" t="s">
        <v>142</v>
      </c>
      <c r="R61" s="375"/>
      <c r="S61" s="375"/>
      <c r="T61" s="375"/>
      <c r="U61" s="374" t="s">
        <v>142</v>
      </c>
      <c r="V61" s="375"/>
      <c r="W61" s="375"/>
      <c r="X61" s="375"/>
      <c r="Y61" s="374" t="s">
        <v>142</v>
      </c>
      <c r="Z61" s="375"/>
      <c r="AA61" s="375"/>
      <c r="AB61" s="375"/>
      <c r="AC61" s="374" t="s">
        <v>142</v>
      </c>
      <c r="AD61" s="375"/>
      <c r="AE61" s="375"/>
      <c r="AF61" s="375"/>
      <c r="AG61" s="374" t="s">
        <v>142</v>
      </c>
      <c r="AH61" s="375"/>
      <c r="AI61" s="375"/>
      <c r="AJ61" s="375"/>
      <c r="AK61" s="374" t="s">
        <v>142</v>
      </c>
    </row>
    <row r="62" spans="1:37" x14ac:dyDescent="0.25">
      <c r="A62" s="378">
        <v>61</v>
      </c>
      <c r="B62" s="378">
        <v>61</v>
      </c>
      <c r="D62" s="385" t="s">
        <v>142</v>
      </c>
      <c r="E62" s="535"/>
      <c r="F62" s="375"/>
      <c r="G62" s="375"/>
      <c r="H62" s="375"/>
      <c r="I62" s="374" t="s">
        <v>142</v>
      </c>
      <c r="J62" s="375"/>
      <c r="K62" s="375"/>
      <c r="L62" s="375"/>
      <c r="M62" s="374" t="s">
        <v>142</v>
      </c>
      <c r="N62" s="375"/>
      <c r="O62" s="375"/>
      <c r="P62" s="375"/>
      <c r="Q62" s="374" t="s">
        <v>142</v>
      </c>
      <c r="R62" s="375"/>
      <c r="S62" s="375"/>
      <c r="T62" s="375"/>
      <c r="U62" s="374" t="s">
        <v>142</v>
      </c>
      <c r="V62" s="375"/>
      <c r="W62" s="375"/>
      <c r="X62" s="375"/>
      <c r="Y62" s="374" t="s">
        <v>142</v>
      </c>
      <c r="Z62" s="375"/>
      <c r="AA62" s="375"/>
      <c r="AB62" s="375"/>
      <c r="AC62" s="374" t="s">
        <v>142</v>
      </c>
      <c r="AD62" s="375"/>
      <c r="AE62" s="375"/>
      <c r="AF62" s="375"/>
      <c r="AG62" s="374" t="s">
        <v>142</v>
      </c>
      <c r="AH62" s="375"/>
      <c r="AI62" s="375"/>
      <c r="AJ62" s="375"/>
      <c r="AK62" s="374" t="s">
        <v>142</v>
      </c>
    </row>
    <row r="63" spans="1:37" x14ac:dyDescent="0.25">
      <c r="A63" s="378">
        <v>62</v>
      </c>
      <c r="B63" s="378">
        <v>62</v>
      </c>
      <c r="D63" s="385" t="s">
        <v>142</v>
      </c>
      <c r="E63" s="535"/>
      <c r="F63" s="375"/>
      <c r="G63" s="375"/>
      <c r="H63" s="375"/>
      <c r="I63" s="374" t="s">
        <v>142</v>
      </c>
      <c r="M63" s="374" t="s">
        <v>142</v>
      </c>
      <c r="N63" s="375"/>
      <c r="O63" s="375"/>
      <c r="P63" s="375"/>
      <c r="Q63" s="374" t="s">
        <v>142</v>
      </c>
      <c r="R63" s="375"/>
      <c r="S63" s="375"/>
      <c r="T63" s="375"/>
      <c r="U63" s="374" t="s">
        <v>142</v>
      </c>
      <c r="V63" s="375"/>
      <c r="W63" s="375"/>
      <c r="X63" s="375"/>
      <c r="Y63" s="374" t="s">
        <v>142</v>
      </c>
      <c r="Z63" s="375"/>
      <c r="AA63" s="375"/>
      <c r="AB63" s="375"/>
      <c r="AC63" s="374" t="s">
        <v>142</v>
      </c>
      <c r="AD63" s="375"/>
      <c r="AE63" s="375"/>
      <c r="AF63" s="375"/>
      <c r="AG63" s="374" t="s">
        <v>142</v>
      </c>
      <c r="AH63" s="375"/>
      <c r="AI63" s="375"/>
      <c r="AJ63" s="375"/>
      <c r="AK63" s="374" t="s">
        <v>142</v>
      </c>
    </row>
    <row r="64" spans="1:37" x14ac:dyDescent="0.25">
      <c r="A64" s="378">
        <v>63</v>
      </c>
      <c r="B64" s="378">
        <v>63</v>
      </c>
      <c r="D64" s="385" t="s">
        <v>142</v>
      </c>
      <c r="E64" s="535"/>
      <c r="F64" s="375"/>
      <c r="G64" s="375"/>
      <c r="H64" s="375"/>
      <c r="I64" s="374" t="s">
        <v>142</v>
      </c>
      <c r="M64" s="374" t="s">
        <v>142</v>
      </c>
      <c r="N64" s="375"/>
      <c r="O64" s="375"/>
      <c r="P64" s="375"/>
      <c r="Q64" s="374" t="s">
        <v>142</v>
      </c>
      <c r="R64" s="375"/>
      <c r="S64" s="375"/>
      <c r="T64" s="375"/>
      <c r="U64" s="374" t="s">
        <v>142</v>
      </c>
      <c r="V64" s="375"/>
      <c r="W64" s="375"/>
      <c r="X64" s="375"/>
      <c r="Y64" s="374" t="s">
        <v>142</v>
      </c>
      <c r="Z64" s="375"/>
      <c r="AA64" s="375"/>
      <c r="AB64" s="375"/>
      <c r="AC64" s="374" t="s">
        <v>142</v>
      </c>
      <c r="AD64" s="375"/>
      <c r="AE64" s="375"/>
      <c r="AF64" s="375"/>
      <c r="AG64" s="374" t="s">
        <v>142</v>
      </c>
      <c r="AH64" s="375"/>
      <c r="AI64" s="375"/>
      <c r="AJ64" s="375"/>
      <c r="AK64" s="374" t="s">
        <v>142</v>
      </c>
    </row>
    <row r="65" spans="1:37" x14ac:dyDescent="0.25">
      <c r="A65" s="378">
        <v>64</v>
      </c>
      <c r="B65" s="378">
        <v>64</v>
      </c>
      <c r="D65" s="385" t="s">
        <v>142</v>
      </c>
      <c r="E65" s="535"/>
      <c r="F65" s="375"/>
      <c r="G65" s="375"/>
      <c r="H65" s="375"/>
      <c r="I65" s="374" t="s">
        <v>142</v>
      </c>
      <c r="M65" s="374" t="s">
        <v>142</v>
      </c>
      <c r="N65" s="375"/>
      <c r="O65" s="375"/>
      <c r="P65" s="375"/>
      <c r="Q65" s="374" t="s">
        <v>142</v>
      </c>
      <c r="R65" s="375"/>
      <c r="S65" s="375"/>
      <c r="T65" s="375"/>
      <c r="U65" s="374" t="s">
        <v>142</v>
      </c>
      <c r="V65" s="375"/>
      <c r="W65" s="375"/>
      <c r="X65" s="375"/>
      <c r="Y65" s="374" t="s">
        <v>142</v>
      </c>
      <c r="Z65" s="375"/>
      <c r="AA65" s="375"/>
      <c r="AB65" s="375"/>
      <c r="AC65" s="374" t="s">
        <v>142</v>
      </c>
      <c r="AD65" s="375"/>
      <c r="AE65" s="375"/>
      <c r="AF65" s="375"/>
      <c r="AG65" s="374" t="s">
        <v>142</v>
      </c>
      <c r="AH65" s="375"/>
      <c r="AI65" s="375"/>
      <c r="AJ65" s="375"/>
      <c r="AK65" s="374" t="s">
        <v>142</v>
      </c>
    </row>
    <row r="66" spans="1:37" x14ac:dyDescent="0.25">
      <c r="A66" s="378">
        <v>65</v>
      </c>
      <c r="B66" s="378">
        <v>65</v>
      </c>
    </row>
    <row r="67" spans="1:37" x14ac:dyDescent="0.25">
      <c r="A67" s="378">
        <v>66</v>
      </c>
      <c r="B67" s="378">
        <v>66</v>
      </c>
    </row>
    <row r="68" spans="1:37" x14ac:dyDescent="0.25">
      <c r="A68" s="378">
        <v>67</v>
      </c>
      <c r="B68" s="378">
        <v>67</v>
      </c>
    </row>
    <row r="69" spans="1:37" x14ac:dyDescent="0.25">
      <c r="A69" s="378">
        <v>68</v>
      </c>
      <c r="B69" s="378">
        <v>68</v>
      </c>
    </row>
    <row r="70" spans="1:37" x14ac:dyDescent="0.25">
      <c r="A70" s="378">
        <v>69</v>
      </c>
      <c r="B70" s="378">
        <v>69</v>
      </c>
    </row>
    <row r="71" spans="1:37" x14ac:dyDescent="0.25">
      <c r="A71" s="378">
        <v>70</v>
      </c>
      <c r="B71" s="378" t="s">
        <v>4595</v>
      </c>
      <c r="C71" s="378" t="s">
        <v>3240</v>
      </c>
    </row>
    <row r="72" spans="1:37" x14ac:dyDescent="0.25">
      <c r="A72" s="378">
        <v>71</v>
      </c>
      <c r="B72" s="378" t="s">
        <v>4596</v>
      </c>
      <c r="C72" s="378" t="s">
        <v>3239</v>
      </c>
    </row>
    <row r="73" spans="1:37" x14ac:dyDescent="0.25">
      <c r="A73" s="378">
        <v>72</v>
      </c>
      <c r="B73" s="378" t="s">
        <v>4597</v>
      </c>
      <c r="C73" s="378" t="s">
        <v>3240</v>
      </c>
    </row>
    <row r="74" spans="1:37" x14ac:dyDescent="0.25">
      <c r="A74" s="378">
        <v>73</v>
      </c>
      <c r="B74" s="378" t="s">
        <v>4598</v>
      </c>
      <c r="C74" s="378" t="s">
        <v>3240</v>
      </c>
    </row>
    <row r="75" spans="1:37" x14ac:dyDescent="0.25">
      <c r="A75" s="378">
        <v>74</v>
      </c>
      <c r="B75" s="378" t="s">
        <v>4599</v>
      </c>
      <c r="C75" s="378" t="s">
        <v>3240</v>
      </c>
    </row>
    <row r="76" spans="1:37" x14ac:dyDescent="0.25">
      <c r="A76" s="378">
        <v>75</v>
      </c>
      <c r="B76" s="378">
        <v>75</v>
      </c>
    </row>
    <row r="77" spans="1:37" x14ac:dyDescent="0.25">
      <c r="A77" s="378">
        <v>76</v>
      </c>
      <c r="B77" s="378">
        <v>76</v>
      </c>
    </row>
    <row r="78" spans="1:37" x14ac:dyDescent="0.25">
      <c r="A78" s="378">
        <v>77</v>
      </c>
      <c r="B78" s="378">
        <v>77</v>
      </c>
    </row>
    <row r="79" spans="1:37" x14ac:dyDescent="0.25">
      <c r="A79" s="378">
        <v>78</v>
      </c>
      <c r="B79" s="378">
        <v>78</v>
      </c>
    </row>
    <row r="80" spans="1:37" x14ac:dyDescent="0.25">
      <c r="A80" s="378">
        <v>79</v>
      </c>
      <c r="B80" s="378">
        <v>79</v>
      </c>
    </row>
    <row r="81" spans="1:3" x14ac:dyDescent="0.25">
      <c r="A81" s="378">
        <v>80</v>
      </c>
      <c r="B81" s="378" t="s">
        <v>4600</v>
      </c>
      <c r="C81" s="378" t="s">
        <v>3240</v>
      </c>
    </row>
    <row r="82" spans="1:3" x14ac:dyDescent="0.25">
      <c r="A82" s="378">
        <v>81</v>
      </c>
      <c r="B82" s="378">
        <v>81</v>
      </c>
    </row>
    <row r="83" spans="1:3" x14ac:dyDescent="0.25">
      <c r="A83" s="378">
        <v>82</v>
      </c>
      <c r="B83" s="378">
        <v>82</v>
      </c>
    </row>
    <row r="84" spans="1:3" x14ac:dyDescent="0.25">
      <c r="A84" s="378">
        <v>83</v>
      </c>
      <c r="B84" s="378">
        <v>83</v>
      </c>
    </row>
    <row r="85" spans="1:3" x14ac:dyDescent="0.25">
      <c r="A85" s="378">
        <v>84</v>
      </c>
      <c r="B85" s="378">
        <v>84</v>
      </c>
    </row>
    <row r="86" spans="1:3" x14ac:dyDescent="0.25">
      <c r="A86" s="378">
        <v>85</v>
      </c>
      <c r="B86" s="378" t="s">
        <v>4601</v>
      </c>
      <c r="C86" s="378" t="s">
        <v>3240</v>
      </c>
    </row>
    <row r="87" spans="1:3" x14ac:dyDescent="0.25">
      <c r="A87" s="378">
        <v>86</v>
      </c>
      <c r="B87" s="378" t="s">
        <v>4602</v>
      </c>
      <c r="C87" s="378" t="s">
        <v>3240</v>
      </c>
    </row>
    <row r="88" spans="1:3" x14ac:dyDescent="0.25">
      <c r="A88" s="378">
        <v>87</v>
      </c>
      <c r="B88" s="378" t="s">
        <v>4603</v>
      </c>
      <c r="C88" s="378" t="s">
        <v>3240</v>
      </c>
    </row>
    <row r="89" spans="1:3" x14ac:dyDescent="0.25">
      <c r="A89" s="378">
        <v>88</v>
      </c>
      <c r="B89" s="378">
        <v>88</v>
      </c>
    </row>
    <row r="90" spans="1:3" x14ac:dyDescent="0.25">
      <c r="A90" s="378">
        <v>89</v>
      </c>
      <c r="B90" s="378">
        <v>89</v>
      </c>
    </row>
    <row r="91" spans="1:3" x14ac:dyDescent="0.25">
      <c r="A91" s="378">
        <v>90</v>
      </c>
      <c r="B91" s="378">
        <v>90</v>
      </c>
    </row>
    <row r="92" spans="1:3" x14ac:dyDescent="0.25">
      <c r="A92" s="378">
        <v>91</v>
      </c>
      <c r="B92" s="378">
        <v>91</v>
      </c>
    </row>
    <row r="93" spans="1:3" x14ac:dyDescent="0.25">
      <c r="A93" s="378">
        <v>92</v>
      </c>
      <c r="B93" s="378">
        <v>92</v>
      </c>
    </row>
    <row r="94" spans="1:3" x14ac:dyDescent="0.25">
      <c r="A94" s="378">
        <v>93</v>
      </c>
      <c r="B94" s="378">
        <v>93</v>
      </c>
    </row>
    <row r="95" spans="1:3" x14ac:dyDescent="0.25">
      <c r="A95" s="378">
        <v>94</v>
      </c>
      <c r="B95" s="378">
        <v>94</v>
      </c>
    </row>
    <row r="96" spans="1:3" x14ac:dyDescent="0.25">
      <c r="A96" s="378">
        <v>95</v>
      </c>
      <c r="B96" s="378">
        <v>95</v>
      </c>
    </row>
    <row r="97" spans="1:2" x14ac:dyDescent="0.25">
      <c r="A97" s="378">
        <v>96</v>
      </c>
      <c r="B97" s="378">
        <v>96</v>
      </c>
    </row>
    <row r="98" spans="1:2" x14ac:dyDescent="0.25">
      <c r="A98" s="378">
        <v>97</v>
      </c>
      <c r="B98" s="378">
        <v>97</v>
      </c>
    </row>
    <row r="99" spans="1:2" x14ac:dyDescent="0.25">
      <c r="A99" s="378">
        <v>98</v>
      </c>
      <c r="B99" s="378">
        <v>98</v>
      </c>
    </row>
    <row r="100" spans="1:2" x14ac:dyDescent="0.25">
      <c r="A100" s="378">
        <v>99</v>
      </c>
      <c r="B100" s="378">
        <v>99</v>
      </c>
    </row>
    <row r="101" spans="1:2" x14ac:dyDescent="0.25">
      <c r="A101" s="378">
        <v>100</v>
      </c>
      <c r="B101" s="378">
        <v>100</v>
      </c>
    </row>
    <row r="102" spans="1:2" x14ac:dyDescent="0.25">
      <c r="A102" s="378">
        <v>101</v>
      </c>
      <c r="B102" s="378">
        <v>101</v>
      </c>
    </row>
    <row r="103" spans="1:2" x14ac:dyDescent="0.25">
      <c r="A103" s="378">
        <v>102</v>
      </c>
      <c r="B103" s="378">
        <v>102</v>
      </c>
    </row>
    <row r="104" spans="1:2" x14ac:dyDescent="0.25">
      <c r="A104" s="378">
        <v>103</v>
      </c>
      <c r="B104" s="378">
        <v>103</v>
      </c>
    </row>
    <row r="105" spans="1:2" x14ac:dyDescent="0.25">
      <c r="A105" s="378">
        <v>104</v>
      </c>
      <c r="B105" s="378">
        <v>104</v>
      </c>
    </row>
  </sheetData>
  <sheetProtection sheet="1" formatCells="0" formatColumns="0" formatRows="0" insertColumns="0" insertRows="0" insertHyperlinks="0" deleteColumns="0" deleteRows="0" sort="0" autoFilter="0" pivotTables="0"/>
  <mergeCells count="7">
    <mergeCell ref="E8:E65"/>
    <mergeCell ref="Z1:AB1"/>
    <mergeCell ref="AH6:AJ6"/>
    <mergeCell ref="AD1:AF1"/>
    <mergeCell ref="AH1:AJ1"/>
    <mergeCell ref="Z6:AB6"/>
    <mergeCell ref="AD6:AF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Feuil13.Decryp_FIC_CONF">
                <anchor moveWithCells="1" sizeWithCells="1">
                  <from>
                    <xdr:col>0</xdr:col>
                    <xdr:colOff>68580</xdr:colOff>
                    <xdr:row>11</xdr:row>
                    <xdr:rowOff>7620</xdr:rowOff>
                  </from>
                  <to>
                    <xdr:col>1</xdr:col>
                    <xdr:colOff>1059180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Feuil13.Recryp_FIC_CONF">
                <anchor moveWithCells="1" sizeWithCells="1">
                  <from>
                    <xdr:col>0</xdr:col>
                    <xdr:colOff>60960</xdr:colOff>
                    <xdr:row>14</xdr:row>
                    <xdr:rowOff>0</xdr:rowOff>
                  </from>
                  <to>
                    <xdr:col>1</xdr:col>
                    <xdr:colOff>1051560</xdr:colOff>
                    <xdr:row>16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rgb="FF00B0F0"/>
  </sheetPr>
  <dimension ref="A1:AS472"/>
  <sheetViews>
    <sheetView workbookViewId="0">
      <selection activeCell="F6" sqref="F6:I6"/>
    </sheetView>
  </sheetViews>
  <sheetFormatPr baseColWidth="10" defaultRowHeight="13.2" x14ac:dyDescent="0.25"/>
  <cols>
    <col min="3" max="3" width="5" customWidth="1"/>
    <col min="4" max="4" width="23.33203125" customWidth="1"/>
    <col min="5" max="5" width="1.6640625" customWidth="1"/>
    <col min="8" max="8" width="4.33203125" customWidth="1"/>
    <col min="9" max="9" width="22.5546875" bestFit="1" customWidth="1"/>
    <col min="10" max="10" width="1.6640625" customWidth="1"/>
    <col min="13" max="13" width="3.88671875" bestFit="1" customWidth="1"/>
    <col min="14" max="14" width="22.6640625" bestFit="1" customWidth="1"/>
    <col min="15" max="15" width="1.6640625" customWidth="1"/>
    <col min="18" max="18" width="3.5546875" bestFit="1" customWidth="1"/>
    <col min="19" max="19" width="22.6640625" bestFit="1" customWidth="1"/>
    <col min="20" max="20" width="1.6640625" customWidth="1"/>
    <col min="25" max="25" width="1.6640625" customWidth="1"/>
    <col min="30" max="30" width="1.6640625" customWidth="1"/>
    <col min="35" max="35" width="1.6640625" customWidth="1"/>
    <col min="40" max="40" width="1.6640625" customWidth="1"/>
    <col min="45" max="45" width="1.6640625" customWidth="1"/>
  </cols>
  <sheetData>
    <row r="1" spans="1:45" x14ac:dyDescent="0.25">
      <c r="E1" s="9" t="s">
        <v>142</v>
      </c>
      <c r="J1" s="9" t="s">
        <v>142</v>
      </c>
      <c r="O1" s="9" t="s">
        <v>142</v>
      </c>
      <c r="T1" s="9" t="s">
        <v>142</v>
      </c>
      <c r="Y1" s="9" t="s">
        <v>142</v>
      </c>
      <c r="AD1" s="9" t="s">
        <v>142</v>
      </c>
      <c r="AI1" s="9" t="s">
        <v>142</v>
      </c>
      <c r="AN1" s="9" t="s">
        <v>142</v>
      </c>
      <c r="AS1" s="9" t="s">
        <v>142</v>
      </c>
    </row>
    <row r="2" spans="1:45" x14ac:dyDescent="0.25">
      <c r="E2" s="9" t="s">
        <v>142</v>
      </c>
      <c r="J2" s="9" t="s">
        <v>142</v>
      </c>
      <c r="O2" s="9" t="s">
        <v>142</v>
      </c>
      <c r="T2" s="9" t="s">
        <v>142</v>
      </c>
      <c r="Y2" s="9" t="s">
        <v>142</v>
      </c>
      <c r="AD2" s="9" t="s">
        <v>142</v>
      </c>
      <c r="AI2" s="9" t="s">
        <v>142</v>
      </c>
      <c r="AN2" s="9" t="s">
        <v>142</v>
      </c>
      <c r="AS2" s="9" t="s">
        <v>142</v>
      </c>
    </row>
    <row r="3" spans="1:45" x14ac:dyDescent="0.25">
      <c r="E3" s="9" t="s">
        <v>142</v>
      </c>
      <c r="J3" s="9" t="s">
        <v>142</v>
      </c>
      <c r="O3" s="9" t="s">
        <v>142</v>
      </c>
      <c r="T3" s="9" t="s">
        <v>142</v>
      </c>
      <c r="Y3" s="9" t="s">
        <v>142</v>
      </c>
      <c r="AD3" s="9" t="s">
        <v>142</v>
      </c>
      <c r="AI3" s="9" t="s">
        <v>142</v>
      </c>
      <c r="AN3" s="9" t="s">
        <v>142</v>
      </c>
      <c r="AS3" s="9" t="s">
        <v>142</v>
      </c>
    </row>
    <row r="4" spans="1:45" x14ac:dyDescent="0.25">
      <c r="E4" s="9" t="s">
        <v>142</v>
      </c>
      <c r="J4" s="9" t="s">
        <v>142</v>
      </c>
      <c r="O4" s="9" t="s">
        <v>142</v>
      </c>
      <c r="T4" s="9" t="s">
        <v>142</v>
      </c>
      <c r="Y4" s="9" t="s">
        <v>142</v>
      </c>
      <c r="AD4" s="9" t="s">
        <v>142</v>
      </c>
      <c r="AI4" s="9" t="s">
        <v>142</v>
      </c>
      <c r="AN4" s="9" t="s">
        <v>142</v>
      </c>
      <c r="AS4" s="9" t="s">
        <v>142</v>
      </c>
    </row>
    <row r="5" spans="1:45" x14ac:dyDescent="0.25">
      <c r="E5" s="9" t="s">
        <v>142</v>
      </c>
      <c r="J5" s="9" t="s">
        <v>142</v>
      </c>
      <c r="O5" s="9"/>
      <c r="T5" s="9"/>
      <c r="Y5" s="9" t="s">
        <v>142</v>
      </c>
      <c r="AD5" s="9" t="s">
        <v>142</v>
      </c>
      <c r="AI5" s="9" t="s">
        <v>142</v>
      </c>
      <c r="AN5" s="9" t="s">
        <v>142</v>
      </c>
      <c r="AS5" s="9" t="s">
        <v>142</v>
      </c>
    </row>
    <row r="6" spans="1:45" ht="112.5" customHeight="1" x14ac:dyDescent="0.25">
      <c r="A6" s="539" t="s">
        <v>2626</v>
      </c>
      <c r="B6" s="539"/>
      <c r="C6" s="539"/>
      <c r="D6" s="539"/>
      <c r="E6" s="9" t="s">
        <v>142</v>
      </c>
      <c r="F6" s="539"/>
      <c r="G6" s="539"/>
      <c r="H6" s="539"/>
      <c r="I6" s="539"/>
      <c r="J6" s="9" t="s">
        <v>142</v>
      </c>
      <c r="K6" s="539"/>
      <c r="L6" s="539"/>
      <c r="M6" s="539"/>
      <c r="N6" s="539"/>
      <c r="O6" s="9"/>
      <c r="P6" s="539"/>
      <c r="Q6" s="539"/>
      <c r="R6" s="539"/>
      <c r="S6" s="539"/>
      <c r="T6" s="9"/>
      <c r="U6" s="539"/>
      <c r="V6" s="539"/>
      <c r="W6" s="539"/>
      <c r="X6" s="539"/>
      <c r="Y6" s="9" t="s">
        <v>142</v>
      </c>
      <c r="Z6" s="539"/>
      <c r="AA6" s="539"/>
      <c r="AB6" s="539"/>
      <c r="AC6" s="539"/>
      <c r="AD6" s="9" t="s">
        <v>142</v>
      </c>
      <c r="AE6" s="539"/>
      <c r="AF6" s="539"/>
      <c r="AG6" s="539"/>
      <c r="AH6" s="539"/>
      <c r="AI6" s="9" t="s">
        <v>142</v>
      </c>
      <c r="AJ6" s="539"/>
      <c r="AK6" s="539"/>
      <c r="AL6" s="539"/>
      <c r="AM6" s="539"/>
      <c r="AN6" s="9" t="s">
        <v>142</v>
      </c>
      <c r="AO6" s="539"/>
      <c r="AP6" s="539"/>
      <c r="AQ6" s="539"/>
      <c r="AR6" s="539"/>
      <c r="AS6" s="9" t="s">
        <v>142</v>
      </c>
    </row>
    <row r="7" spans="1:45" x14ac:dyDescent="0.25">
      <c r="A7" t="s">
        <v>2590</v>
      </c>
      <c r="B7" s="5" t="s">
        <v>3087</v>
      </c>
      <c r="E7" s="9" t="s">
        <v>142</v>
      </c>
      <c r="J7" s="9" t="s">
        <v>142</v>
      </c>
      <c r="O7" s="9"/>
      <c r="T7" s="9"/>
      <c r="Y7" s="9" t="s">
        <v>142</v>
      </c>
      <c r="AD7" s="9" t="s">
        <v>142</v>
      </c>
      <c r="AI7" s="9" t="s">
        <v>142</v>
      </c>
      <c r="AN7" s="9" t="s">
        <v>142</v>
      </c>
      <c r="AS7" s="9" t="s">
        <v>142</v>
      </c>
    </row>
    <row r="8" spans="1:45" x14ac:dyDescent="0.25">
      <c r="A8" s="5" t="s">
        <v>75</v>
      </c>
      <c r="B8" s="358">
        <v>41984</v>
      </c>
      <c r="C8" s="5"/>
      <c r="D8" s="5"/>
      <c r="E8" s="9" t="s">
        <v>142</v>
      </c>
      <c r="F8" s="8"/>
      <c r="G8" s="5"/>
      <c r="H8" s="5"/>
      <c r="J8" s="9" t="s">
        <v>142</v>
      </c>
      <c r="K8" s="8"/>
      <c r="L8" s="5"/>
      <c r="M8" s="5"/>
      <c r="O8" s="9"/>
      <c r="P8" s="5"/>
      <c r="Q8" s="5"/>
      <c r="R8" s="5"/>
      <c r="T8" s="9"/>
      <c r="U8" s="5"/>
      <c r="V8" s="5"/>
      <c r="W8" s="5"/>
      <c r="Y8" s="9" t="s">
        <v>142</v>
      </c>
      <c r="Z8" s="5"/>
      <c r="AA8" s="5"/>
      <c r="AB8" s="5"/>
      <c r="AD8" s="9" t="s">
        <v>142</v>
      </c>
      <c r="AI8" s="9" t="s">
        <v>142</v>
      </c>
      <c r="AN8" s="9" t="s">
        <v>142</v>
      </c>
      <c r="AS8" s="9" t="s">
        <v>142</v>
      </c>
    </row>
    <row r="9" spans="1:45" x14ac:dyDescent="0.25">
      <c r="A9" t="s">
        <v>2624</v>
      </c>
      <c r="B9" s="5" t="s">
        <v>222</v>
      </c>
      <c r="E9" s="9" t="s">
        <v>142</v>
      </c>
      <c r="F9" s="5"/>
      <c r="G9" s="5"/>
      <c r="H9" s="5"/>
      <c r="J9" s="9" t="s">
        <v>142</v>
      </c>
      <c r="K9" s="5"/>
      <c r="L9" s="5"/>
      <c r="M9" s="5"/>
      <c r="O9" s="9"/>
      <c r="P9" s="5"/>
      <c r="Q9" s="5"/>
      <c r="R9" s="5"/>
      <c r="T9" s="9"/>
      <c r="U9" s="5"/>
      <c r="V9" s="5"/>
      <c r="W9" s="5"/>
      <c r="Y9" s="9" t="s">
        <v>142</v>
      </c>
      <c r="Z9" s="5"/>
      <c r="AA9" s="5"/>
      <c r="AB9" s="5"/>
      <c r="AD9" s="9" t="s">
        <v>142</v>
      </c>
      <c r="AI9" s="9" t="s">
        <v>142</v>
      </c>
      <c r="AN9" s="9" t="s">
        <v>142</v>
      </c>
      <c r="AS9" s="9" t="s">
        <v>142</v>
      </c>
    </row>
    <row r="10" spans="1:45" x14ac:dyDescent="0.25">
      <c r="A10" t="s">
        <v>76</v>
      </c>
      <c r="B10" s="4">
        <v>0.58812500000000001</v>
      </c>
      <c r="E10" s="9" t="s">
        <v>142</v>
      </c>
      <c r="F10" s="5"/>
      <c r="G10" s="5"/>
      <c r="H10" s="5"/>
      <c r="J10" s="9" t="s">
        <v>142</v>
      </c>
      <c r="K10" s="5"/>
      <c r="L10" s="5"/>
      <c r="M10" s="5"/>
      <c r="O10" s="9"/>
      <c r="P10" s="5"/>
      <c r="Q10" s="5"/>
      <c r="R10" s="5"/>
      <c r="T10" s="9"/>
      <c r="U10" s="5"/>
      <c r="V10" s="5"/>
      <c r="W10" s="5"/>
      <c r="Y10" s="9" t="s">
        <v>142</v>
      </c>
      <c r="Z10" s="5"/>
      <c r="AA10" s="5"/>
      <c r="AB10" s="5"/>
      <c r="AD10" s="9" t="s">
        <v>142</v>
      </c>
      <c r="AI10" s="9" t="s">
        <v>142</v>
      </c>
      <c r="AN10" s="9" t="s">
        <v>142</v>
      </c>
      <c r="AS10" s="9" t="s">
        <v>142</v>
      </c>
    </row>
    <row r="11" spans="1:45" x14ac:dyDescent="0.25">
      <c r="A11" s="5" t="s">
        <v>2625</v>
      </c>
      <c r="B11" s="5" t="s">
        <v>1544</v>
      </c>
      <c r="C11" s="5"/>
      <c r="D11" s="5"/>
      <c r="E11" s="9" t="s">
        <v>142</v>
      </c>
      <c r="F11" s="5"/>
      <c r="G11" s="5"/>
      <c r="H11" s="5"/>
      <c r="I11" s="5"/>
      <c r="J11" s="9" t="s">
        <v>142</v>
      </c>
      <c r="K11" s="5"/>
      <c r="L11" s="5"/>
      <c r="M11" s="5"/>
      <c r="N11" s="5"/>
      <c r="O11" s="9"/>
      <c r="P11" s="5"/>
      <c r="Q11" s="5"/>
      <c r="R11" s="5"/>
      <c r="S11" s="5"/>
      <c r="T11" s="9"/>
      <c r="U11" s="5"/>
      <c r="V11" s="5"/>
      <c r="W11" s="5"/>
      <c r="Y11" s="9" t="s">
        <v>142</v>
      </c>
      <c r="Z11" s="5"/>
      <c r="AA11" s="5"/>
      <c r="AB11" s="5"/>
      <c r="AD11" s="9" t="s">
        <v>142</v>
      </c>
      <c r="AI11" s="9" t="s">
        <v>142</v>
      </c>
      <c r="AN11" s="9" t="s">
        <v>142</v>
      </c>
      <c r="AS11" s="9" t="s">
        <v>142</v>
      </c>
    </row>
    <row r="12" spans="1:45" x14ac:dyDescent="0.25">
      <c r="A12" s="5" t="s">
        <v>2591</v>
      </c>
      <c r="B12" s="5" t="s">
        <v>119</v>
      </c>
      <c r="C12" s="5"/>
      <c r="D12" s="5"/>
      <c r="E12" s="9" t="s">
        <v>142</v>
      </c>
      <c r="F12" s="5"/>
      <c r="G12" s="5"/>
      <c r="H12" s="5"/>
      <c r="I12" s="5"/>
      <c r="J12" s="9" t="s">
        <v>142</v>
      </c>
      <c r="K12" s="5"/>
      <c r="L12" s="5"/>
      <c r="M12" s="5"/>
      <c r="N12" s="5"/>
      <c r="O12" s="9"/>
      <c r="P12" s="5"/>
      <c r="Q12" s="5"/>
      <c r="R12" s="5"/>
      <c r="S12" s="5"/>
      <c r="T12" s="9"/>
      <c r="U12" s="5"/>
      <c r="V12" s="5"/>
      <c r="W12" s="5"/>
      <c r="Y12" s="9" t="s">
        <v>142</v>
      </c>
      <c r="Z12" s="5"/>
      <c r="AA12" s="5"/>
      <c r="AB12" s="5"/>
      <c r="AD12" s="9" t="s">
        <v>142</v>
      </c>
      <c r="AI12" s="9" t="s">
        <v>142</v>
      </c>
      <c r="AN12" s="9" t="s">
        <v>142</v>
      </c>
      <c r="AS12" s="9" t="s">
        <v>142</v>
      </c>
    </row>
    <row r="13" spans="1:45" x14ac:dyDescent="0.25">
      <c r="A13" s="5" t="s">
        <v>2627</v>
      </c>
      <c r="B13" s="5" t="s">
        <v>2606</v>
      </c>
      <c r="C13" s="5" t="s">
        <v>213</v>
      </c>
      <c r="D13" s="5" t="s">
        <v>2608</v>
      </c>
      <c r="E13" s="9" t="s">
        <v>142</v>
      </c>
      <c r="F13" s="5"/>
      <c r="G13" s="5"/>
      <c r="H13" s="5"/>
      <c r="I13" s="5"/>
      <c r="J13" s="9" t="s">
        <v>142</v>
      </c>
      <c r="K13" s="5"/>
      <c r="L13" s="5"/>
      <c r="M13" s="5"/>
      <c r="N13" s="5"/>
      <c r="O13" s="9"/>
      <c r="P13" s="5"/>
      <c r="Q13" s="5"/>
      <c r="R13" s="5"/>
      <c r="S13" s="5"/>
      <c r="T13" s="9"/>
      <c r="U13" s="5"/>
      <c r="V13" s="5"/>
      <c r="W13" s="5"/>
      <c r="Y13" s="9" t="s">
        <v>142</v>
      </c>
      <c r="Z13" s="5"/>
      <c r="AA13" s="5"/>
      <c r="AB13" s="5"/>
      <c r="AD13" s="9" t="s">
        <v>142</v>
      </c>
      <c r="AI13" s="9" t="s">
        <v>142</v>
      </c>
      <c r="AN13" s="9" t="s">
        <v>142</v>
      </c>
      <c r="AS13" s="9" t="s">
        <v>142</v>
      </c>
    </row>
    <row r="14" spans="1:45" x14ac:dyDescent="0.25">
      <c r="A14" s="5" t="s">
        <v>2628</v>
      </c>
      <c r="B14" s="5" t="s">
        <v>2607</v>
      </c>
      <c r="C14" s="5" t="s">
        <v>213</v>
      </c>
      <c r="D14" s="5" t="s">
        <v>2609</v>
      </c>
      <c r="E14" s="9" t="s">
        <v>142</v>
      </c>
      <c r="F14" s="5"/>
      <c r="G14" s="5"/>
      <c r="H14" s="5"/>
      <c r="I14" s="5"/>
      <c r="J14" s="9" t="s">
        <v>142</v>
      </c>
      <c r="K14" s="5"/>
      <c r="L14" s="5"/>
      <c r="M14" s="5"/>
      <c r="N14" s="5"/>
      <c r="O14" s="9"/>
      <c r="P14" s="5"/>
      <c r="Q14" s="5"/>
      <c r="R14" s="5"/>
      <c r="S14" s="5"/>
      <c r="T14" s="9"/>
      <c r="U14" s="5"/>
      <c r="V14" s="5"/>
      <c r="W14" s="5"/>
      <c r="Y14" s="9" t="s">
        <v>142</v>
      </c>
      <c r="Z14" s="5"/>
      <c r="AA14" s="5"/>
      <c r="AB14" s="5"/>
      <c r="AD14" s="9" t="s">
        <v>142</v>
      </c>
      <c r="AI14" s="9" t="s">
        <v>142</v>
      </c>
      <c r="AN14" s="9" t="s">
        <v>142</v>
      </c>
      <c r="AS14" s="9" t="s">
        <v>142</v>
      </c>
    </row>
    <row r="15" spans="1:45" x14ac:dyDescent="0.25">
      <c r="A15" s="5" t="s">
        <v>2629</v>
      </c>
      <c r="B15" s="5" t="s">
        <v>2606</v>
      </c>
      <c r="C15" s="5" t="s">
        <v>213</v>
      </c>
      <c r="D15" s="5" t="s">
        <v>2610</v>
      </c>
      <c r="E15" s="9" t="s">
        <v>142</v>
      </c>
      <c r="F15" s="5"/>
      <c r="G15" s="5"/>
      <c r="H15" s="5"/>
      <c r="I15" s="5"/>
      <c r="J15" s="9" t="s">
        <v>142</v>
      </c>
      <c r="K15" s="5"/>
      <c r="L15" s="357"/>
      <c r="M15" s="5"/>
      <c r="N15" s="5"/>
      <c r="O15" s="9"/>
      <c r="P15" s="5"/>
      <c r="Q15" s="5"/>
      <c r="R15" s="5"/>
      <c r="S15" s="5"/>
      <c r="T15" s="9"/>
      <c r="U15" s="5"/>
      <c r="V15" s="5"/>
      <c r="W15" s="5"/>
      <c r="Y15" s="9" t="s">
        <v>142</v>
      </c>
      <c r="Z15" s="5"/>
      <c r="AA15" s="5"/>
      <c r="AB15" s="5"/>
      <c r="AD15" s="9" t="s">
        <v>142</v>
      </c>
      <c r="AI15" s="9" t="s">
        <v>142</v>
      </c>
      <c r="AN15" s="9" t="s">
        <v>142</v>
      </c>
      <c r="AS15" s="9" t="s">
        <v>142</v>
      </c>
    </row>
    <row r="16" spans="1:45" x14ac:dyDescent="0.25">
      <c r="A16" s="5" t="s">
        <v>2630</v>
      </c>
      <c r="B16" s="5" t="s">
        <v>2607</v>
      </c>
      <c r="C16" s="5" t="s">
        <v>213</v>
      </c>
      <c r="D16" s="5" t="s">
        <v>2611</v>
      </c>
      <c r="E16" s="9" t="s">
        <v>142</v>
      </c>
      <c r="F16" s="5"/>
      <c r="G16" s="5"/>
      <c r="H16" s="5"/>
      <c r="I16" s="5"/>
      <c r="J16" s="9" t="s">
        <v>142</v>
      </c>
      <c r="K16" s="5"/>
      <c r="L16" s="5"/>
      <c r="M16" s="5"/>
      <c r="N16" s="5"/>
      <c r="O16" s="9"/>
      <c r="P16" s="5"/>
      <c r="Q16" s="5"/>
      <c r="R16" s="5"/>
      <c r="S16" s="5"/>
      <c r="T16" s="9"/>
      <c r="U16" s="5"/>
      <c r="V16" s="5"/>
      <c r="W16" s="5"/>
      <c r="Y16" s="9" t="s">
        <v>142</v>
      </c>
      <c r="Z16" s="5"/>
      <c r="AA16" s="5"/>
      <c r="AB16" s="5"/>
      <c r="AD16" s="9" t="s">
        <v>142</v>
      </c>
      <c r="AI16" s="9" t="s">
        <v>142</v>
      </c>
      <c r="AN16" s="9" t="s">
        <v>142</v>
      </c>
      <c r="AS16" s="9" t="s">
        <v>142</v>
      </c>
    </row>
    <row r="17" spans="1:45" x14ac:dyDescent="0.25">
      <c r="A17" s="5" t="s">
        <v>2631</v>
      </c>
      <c r="B17" s="5" t="s">
        <v>2606</v>
      </c>
      <c r="C17" s="5" t="s">
        <v>213</v>
      </c>
      <c r="D17" s="5" t="s">
        <v>2612</v>
      </c>
      <c r="E17" s="9" t="s">
        <v>142</v>
      </c>
      <c r="F17" s="5"/>
      <c r="G17" s="5"/>
      <c r="H17" s="5"/>
      <c r="I17" s="5"/>
      <c r="J17" s="9" t="s">
        <v>142</v>
      </c>
      <c r="K17" s="5"/>
      <c r="L17" s="5"/>
      <c r="M17" s="5"/>
      <c r="N17" s="5"/>
      <c r="O17" s="9"/>
      <c r="P17" s="5"/>
      <c r="Q17" s="5"/>
      <c r="R17" s="5"/>
      <c r="S17" s="5"/>
      <c r="T17" s="9"/>
      <c r="U17" s="5"/>
      <c r="V17" s="5"/>
      <c r="W17" s="5"/>
      <c r="Y17" s="9" t="s">
        <v>142</v>
      </c>
      <c r="Z17" s="5"/>
      <c r="AA17" s="5"/>
      <c r="AB17" s="5"/>
      <c r="AD17" s="9" t="s">
        <v>142</v>
      </c>
      <c r="AI17" s="9" t="s">
        <v>142</v>
      </c>
      <c r="AN17" s="9" t="s">
        <v>142</v>
      </c>
      <c r="AS17" s="9" t="s">
        <v>142</v>
      </c>
    </row>
    <row r="18" spans="1:45" x14ac:dyDescent="0.25">
      <c r="A18" s="5" t="s">
        <v>2632</v>
      </c>
      <c r="B18" s="5" t="s">
        <v>2607</v>
      </c>
      <c r="C18" s="5" t="s">
        <v>2585</v>
      </c>
      <c r="D18" s="5" t="s">
        <v>2613</v>
      </c>
      <c r="E18" s="9" t="s">
        <v>142</v>
      </c>
      <c r="F18" s="5"/>
      <c r="G18" s="5"/>
      <c r="H18" s="5"/>
      <c r="I18" s="5"/>
      <c r="J18" s="9" t="s">
        <v>142</v>
      </c>
      <c r="K18" s="5"/>
      <c r="L18" s="5"/>
      <c r="M18" s="5"/>
      <c r="N18" s="5"/>
      <c r="O18" s="9" t="s">
        <v>142</v>
      </c>
      <c r="P18" s="5"/>
      <c r="Q18" s="5"/>
      <c r="R18" s="5"/>
      <c r="S18" s="5"/>
      <c r="T18" s="9" t="s">
        <v>142</v>
      </c>
      <c r="U18" s="5"/>
      <c r="V18" s="5"/>
      <c r="W18" s="5"/>
      <c r="Y18" s="9" t="s">
        <v>142</v>
      </c>
      <c r="Z18" s="5"/>
      <c r="AA18" s="5"/>
      <c r="AB18" s="5"/>
      <c r="AD18" s="9" t="s">
        <v>142</v>
      </c>
      <c r="AI18" s="9" t="s">
        <v>142</v>
      </c>
      <c r="AN18" s="9" t="s">
        <v>142</v>
      </c>
      <c r="AS18" s="9" t="s">
        <v>142</v>
      </c>
    </row>
    <row r="19" spans="1:45" x14ac:dyDescent="0.25">
      <c r="A19" s="5" t="s">
        <v>2633</v>
      </c>
      <c r="B19" s="5" t="s">
        <v>2606</v>
      </c>
      <c r="C19" s="5" t="s">
        <v>1547</v>
      </c>
      <c r="D19" s="5" t="s">
        <v>2614</v>
      </c>
      <c r="E19" s="9" t="s">
        <v>142</v>
      </c>
      <c r="F19" s="5"/>
      <c r="G19" s="5"/>
      <c r="H19" s="5"/>
      <c r="I19" s="5"/>
      <c r="J19" s="9" t="s">
        <v>142</v>
      </c>
      <c r="K19" s="5"/>
      <c r="L19" s="357"/>
      <c r="M19" s="5"/>
      <c r="N19" s="5"/>
      <c r="O19" s="9" t="s">
        <v>142</v>
      </c>
      <c r="P19" s="5"/>
      <c r="Q19" s="5"/>
      <c r="R19" s="5"/>
      <c r="S19" s="5"/>
      <c r="T19" s="9" t="s">
        <v>142</v>
      </c>
      <c r="U19" s="5"/>
      <c r="V19" s="5"/>
      <c r="W19" s="5"/>
      <c r="Y19" s="9" t="s">
        <v>142</v>
      </c>
      <c r="Z19" s="5"/>
      <c r="AA19" s="5"/>
      <c r="AB19" s="5"/>
      <c r="AD19" s="9" t="s">
        <v>142</v>
      </c>
      <c r="AI19" s="9" t="s">
        <v>142</v>
      </c>
      <c r="AN19" s="9" t="s">
        <v>142</v>
      </c>
      <c r="AS19" s="9" t="s">
        <v>142</v>
      </c>
    </row>
    <row r="20" spans="1:45" x14ac:dyDescent="0.25">
      <c r="A20" s="5" t="s">
        <v>2634</v>
      </c>
      <c r="B20" s="5" t="s">
        <v>2607</v>
      </c>
      <c r="C20" s="5" t="s">
        <v>2585</v>
      </c>
      <c r="D20" s="5" t="s">
        <v>2615</v>
      </c>
      <c r="E20" s="9" t="s">
        <v>142</v>
      </c>
      <c r="F20" s="5"/>
      <c r="G20" s="5"/>
      <c r="H20" s="5"/>
      <c r="I20" s="5"/>
      <c r="J20" s="9" t="s">
        <v>142</v>
      </c>
      <c r="K20" s="5"/>
      <c r="L20" s="5"/>
      <c r="M20" s="5"/>
      <c r="N20" s="5"/>
      <c r="O20" s="9" t="s">
        <v>142</v>
      </c>
      <c r="P20" s="5"/>
      <c r="Q20" s="5"/>
      <c r="R20" s="5"/>
      <c r="S20" s="5"/>
      <c r="T20" s="9" t="s">
        <v>142</v>
      </c>
      <c r="U20" s="5"/>
      <c r="V20" s="5"/>
      <c r="W20" s="5"/>
      <c r="Y20" s="9" t="s">
        <v>142</v>
      </c>
      <c r="Z20" s="5"/>
      <c r="AA20" s="5"/>
      <c r="AB20" s="5"/>
      <c r="AD20" s="9" t="s">
        <v>142</v>
      </c>
      <c r="AI20" s="9" t="s">
        <v>142</v>
      </c>
      <c r="AN20" s="9" t="s">
        <v>142</v>
      </c>
      <c r="AS20" s="9" t="s">
        <v>142</v>
      </c>
    </row>
    <row r="21" spans="1:45" x14ac:dyDescent="0.25">
      <c r="A21" s="5" t="s">
        <v>2635</v>
      </c>
      <c r="B21" s="5" t="s">
        <v>2606</v>
      </c>
      <c r="C21" s="5" t="s">
        <v>1547</v>
      </c>
      <c r="D21" s="5" t="s">
        <v>2616</v>
      </c>
      <c r="E21" s="9" t="s">
        <v>142</v>
      </c>
      <c r="F21" s="5"/>
      <c r="G21" s="5"/>
      <c r="H21" s="5"/>
      <c r="I21" s="5"/>
      <c r="J21" s="9" t="s">
        <v>142</v>
      </c>
      <c r="K21" s="5"/>
      <c r="L21" s="5"/>
      <c r="M21" s="5"/>
      <c r="N21" s="5"/>
      <c r="O21" s="9" t="s">
        <v>142</v>
      </c>
      <c r="P21" s="5"/>
      <c r="Q21" s="5"/>
      <c r="R21" s="5"/>
      <c r="S21" s="5"/>
      <c r="T21" s="9" t="s">
        <v>142</v>
      </c>
      <c r="U21" s="5"/>
      <c r="V21" s="5"/>
      <c r="W21" s="5"/>
      <c r="Y21" s="9" t="s">
        <v>142</v>
      </c>
      <c r="Z21" s="5"/>
      <c r="AA21" s="5"/>
      <c r="AB21" s="5"/>
      <c r="AD21" s="9" t="s">
        <v>142</v>
      </c>
      <c r="AI21" s="9" t="s">
        <v>142</v>
      </c>
      <c r="AN21" s="9" t="s">
        <v>142</v>
      </c>
      <c r="AS21" s="9" t="s">
        <v>142</v>
      </c>
    </row>
    <row r="22" spans="1:45" x14ac:dyDescent="0.25">
      <c r="A22" s="5" t="s">
        <v>2636</v>
      </c>
      <c r="B22" s="5" t="s">
        <v>2603</v>
      </c>
      <c r="C22" s="5" t="s">
        <v>1949</v>
      </c>
      <c r="D22" s="5" t="s">
        <v>2617</v>
      </c>
      <c r="E22" s="9" t="s">
        <v>142</v>
      </c>
      <c r="F22" s="5"/>
      <c r="G22" s="5"/>
      <c r="H22" s="5"/>
      <c r="I22" s="5"/>
      <c r="J22" s="9" t="s">
        <v>142</v>
      </c>
      <c r="K22" s="5"/>
      <c r="L22" s="5"/>
      <c r="M22" s="5"/>
      <c r="N22" s="5"/>
      <c r="O22" s="9" t="s">
        <v>142</v>
      </c>
      <c r="P22" s="5"/>
      <c r="Q22" s="5"/>
      <c r="R22" s="5"/>
      <c r="S22" s="5"/>
      <c r="T22" s="9" t="s">
        <v>142</v>
      </c>
      <c r="U22" s="5"/>
      <c r="V22" s="5"/>
      <c r="W22" s="5"/>
      <c r="Y22" s="9" t="s">
        <v>142</v>
      </c>
      <c r="Z22" s="5"/>
      <c r="AA22" s="5"/>
      <c r="AB22" s="5"/>
      <c r="AD22" s="9" t="s">
        <v>142</v>
      </c>
      <c r="AI22" s="9" t="s">
        <v>142</v>
      </c>
      <c r="AN22" s="9" t="s">
        <v>142</v>
      </c>
      <c r="AS22" s="9" t="s">
        <v>142</v>
      </c>
    </row>
    <row r="23" spans="1:45" x14ac:dyDescent="0.25">
      <c r="A23" s="5" t="s">
        <v>2637</v>
      </c>
      <c r="B23" s="5" t="s">
        <v>2618</v>
      </c>
      <c r="C23" s="5" t="s">
        <v>1542</v>
      </c>
      <c r="D23" s="5" t="s">
        <v>2619</v>
      </c>
      <c r="E23" s="9" t="s">
        <v>142</v>
      </c>
      <c r="F23" s="5"/>
      <c r="G23" s="5"/>
      <c r="H23" s="5"/>
      <c r="I23" s="5"/>
      <c r="J23" s="9" t="s">
        <v>142</v>
      </c>
      <c r="K23" s="5"/>
      <c r="L23" s="5"/>
      <c r="M23" s="5"/>
      <c r="N23" s="5"/>
      <c r="O23" s="9" t="s">
        <v>142</v>
      </c>
      <c r="P23" s="5"/>
      <c r="Q23" s="5"/>
      <c r="R23" s="5"/>
      <c r="S23" s="5"/>
      <c r="T23" s="9" t="s">
        <v>142</v>
      </c>
      <c r="U23" s="5"/>
      <c r="V23" s="5"/>
      <c r="W23" s="5"/>
      <c r="Y23" s="9" t="s">
        <v>142</v>
      </c>
      <c r="Z23" s="5"/>
      <c r="AA23" s="5"/>
      <c r="AB23" s="5"/>
      <c r="AD23" s="9" t="s">
        <v>142</v>
      </c>
      <c r="AI23" s="9" t="s">
        <v>142</v>
      </c>
      <c r="AN23" s="9" t="s">
        <v>142</v>
      </c>
      <c r="AS23" s="9" t="s">
        <v>142</v>
      </c>
    </row>
    <row r="24" spans="1:45" x14ac:dyDescent="0.25">
      <c r="A24" s="5" t="s">
        <v>2638</v>
      </c>
      <c r="B24" s="5" t="s">
        <v>2604</v>
      </c>
      <c r="C24" s="5" t="s">
        <v>1949</v>
      </c>
      <c r="D24" s="5" t="s">
        <v>2617</v>
      </c>
      <c r="E24" s="9" t="s">
        <v>142</v>
      </c>
      <c r="F24" s="5"/>
      <c r="G24" s="5"/>
      <c r="H24" s="5"/>
      <c r="I24" s="5"/>
      <c r="J24" s="9" t="s">
        <v>142</v>
      </c>
      <c r="K24" s="5"/>
      <c r="L24" s="5"/>
      <c r="M24" s="5"/>
      <c r="N24" s="5"/>
      <c r="O24" s="9" t="s">
        <v>142</v>
      </c>
      <c r="P24" s="5"/>
      <c r="Q24" s="5"/>
      <c r="R24" s="5"/>
      <c r="S24" s="5"/>
      <c r="T24" s="9" t="s">
        <v>142</v>
      </c>
      <c r="U24" s="5"/>
      <c r="V24" s="5"/>
      <c r="W24" s="5"/>
      <c r="Y24" s="9" t="s">
        <v>142</v>
      </c>
      <c r="Z24" s="5"/>
      <c r="AA24" s="5"/>
      <c r="AB24" s="5"/>
      <c r="AD24" s="9" t="s">
        <v>142</v>
      </c>
      <c r="AI24" s="9" t="s">
        <v>142</v>
      </c>
      <c r="AN24" s="9" t="s">
        <v>142</v>
      </c>
      <c r="AS24" s="9" t="s">
        <v>142</v>
      </c>
    </row>
    <row r="25" spans="1:45" x14ac:dyDescent="0.25">
      <c r="A25" s="5" t="s">
        <v>2639</v>
      </c>
      <c r="B25" s="5" t="s">
        <v>2620</v>
      </c>
      <c r="C25" s="5" t="s">
        <v>1542</v>
      </c>
      <c r="D25" s="5" t="s">
        <v>2619</v>
      </c>
      <c r="E25" s="9" t="s">
        <v>142</v>
      </c>
      <c r="F25" s="5"/>
      <c r="G25" s="5"/>
      <c r="H25" s="5"/>
      <c r="I25" s="5"/>
      <c r="J25" s="9" t="s">
        <v>142</v>
      </c>
      <c r="K25" s="5"/>
      <c r="L25" s="5"/>
      <c r="M25" s="5"/>
      <c r="N25" s="5"/>
      <c r="O25" s="9" t="s">
        <v>142</v>
      </c>
      <c r="P25" s="5"/>
      <c r="Q25" s="5"/>
      <c r="R25" s="5"/>
      <c r="S25" s="5"/>
      <c r="T25" s="9" t="s">
        <v>142</v>
      </c>
      <c r="U25" s="5"/>
      <c r="V25" s="5"/>
      <c r="W25" s="5"/>
      <c r="Y25" s="9" t="s">
        <v>142</v>
      </c>
      <c r="Z25" s="5"/>
      <c r="AA25" s="5"/>
      <c r="AB25" s="5"/>
      <c r="AD25" s="9" t="s">
        <v>142</v>
      </c>
      <c r="AI25" s="9" t="s">
        <v>142</v>
      </c>
      <c r="AN25" s="9" t="s">
        <v>142</v>
      </c>
      <c r="AS25" s="9" t="s">
        <v>142</v>
      </c>
    </row>
    <row r="26" spans="1:45" x14ac:dyDescent="0.25">
      <c r="A26" s="5" t="s">
        <v>2640</v>
      </c>
      <c r="B26" s="5" t="s">
        <v>2605</v>
      </c>
      <c r="C26" s="5" t="s">
        <v>119</v>
      </c>
      <c r="D26" s="5" t="s">
        <v>451</v>
      </c>
      <c r="E26" s="9" t="s">
        <v>142</v>
      </c>
      <c r="F26" s="5"/>
      <c r="G26" s="5"/>
      <c r="H26" s="5"/>
      <c r="I26" s="5"/>
      <c r="J26" s="9" t="s">
        <v>142</v>
      </c>
      <c r="K26" s="5"/>
      <c r="L26" s="5"/>
      <c r="M26" s="5"/>
      <c r="N26" s="5"/>
      <c r="O26" s="9" t="s">
        <v>142</v>
      </c>
      <c r="P26" s="5"/>
      <c r="Q26" s="5"/>
      <c r="R26" s="5"/>
      <c r="S26" s="5"/>
      <c r="T26" s="9" t="s">
        <v>142</v>
      </c>
      <c r="U26" s="5"/>
      <c r="V26" s="5"/>
      <c r="W26" s="5"/>
      <c r="Y26" s="9" t="s">
        <v>142</v>
      </c>
      <c r="Z26" s="5"/>
      <c r="AA26" s="5"/>
      <c r="AB26" s="5"/>
      <c r="AD26" s="9" t="s">
        <v>142</v>
      </c>
      <c r="AI26" s="9" t="s">
        <v>142</v>
      </c>
      <c r="AN26" s="9" t="s">
        <v>142</v>
      </c>
      <c r="AS26" s="9" t="s">
        <v>142</v>
      </c>
    </row>
    <row r="27" spans="1:45" x14ac:dyDescent="0.25">
      <c r="A27" s="5" t="s">
        <v>2641</v>
      </c>
      <c r="B27" s="5" t="s">
        <v>1593</v>
      </c>
      <c r="C27" s="5" t="s">
        <v>1542</v>
      </c>
      <c r="D27" s="5" t="s">
        <v>2621</v>
      </c>
      <c r="E27" s="9" t="s">
        <v>142</v>
      </c>
      <c r="F27" s="5"/>
      <c r="G27" s="5"/>
      <c r="H27" s="5"/>
      <c r="I27" s="5"/>
      <c r="J27" s="9" t="s">
        <v>142</v>
      </c>
      <c r="K27" s="5"/>
      <c r="L27" s="5"/>
      <c r="M27" s="5"/>
      <c r="N27" s="5"/>
      <c r="O27" s="9" t="s">
        <v>142</v>
      </c>
      <c r="P27" s="5"/>
      <c r="Q27" s="5"/>
      <c r="R27" s="5"/>
      <c r="S27" s="5"/>
      <c r="T27" s="9" t="s">
        <v>142</v>
      </c>
      <c r="U27" s="5"/>
      <c r="V27" s="5"/>
      <c r="W27" s="5"/>
      <c r="Y27" s="9" t="s">
        <v>142</v>
      </c>
      <c r="Z27" s="5"/>
      <c r="AA27" s="5"/>
      <c r="AB27" s="5"/>
      <c r="AD27" s="9" t="s">
        <v>142</v>
      </c>
      <c r="AI27" s="9" t="s">
        <v>142</v>
      </c>
      <c r="AN27" s="9" t="s">
        <v>142</v>
      </c>
      <c r="AS27" s="9" t="s">
        <v>142</v>
      </c>
    </row>
    <row r="28" spans="1:45" x14ac:dyDescent="0.25">
      <c r="A28" s="5" t="s">
        <v>2642</v>
      </c>
      <c r="B28" s="5" t="s">
        <v>2622</v>
      </c>
      <c r="C28" s="5" t="s">
        <v>1949</v>
      </c>
      <c r="D28" s="5" t="s">
        <v>2623</v>
      </c>
      <c r="E28" s="9" t="s">
        <v>142</v>
      </c>
      <c r="F28" s="5"/>
      <c r="G28" s="5"/>
      <c r="H28" s="5"/>
      <c r="I28" s="5"/>
      <c r="J28" s="9" t="s">
        <v>142</v>
      </c>
      <c r="K28" s="5"/>
      <c r="L28" s="5"/>
      <c r="M28" s="5"/>
      <c r="N28" s="5"/>
      <c r="O28" s="9" t="s">
        <v>142</v>
      </c>
      <c r="P28" s="5"/>
      <c r="Q28" s="5"/>
      <c r="R28" s="5"/>
      <c r="S28" s="5"/>
      <c r="T28" s="9" t="s">
        <v>142</v>
      </c>
      <c r="U28" s="5"/>
      <c r="V28" s="5"/>
      <c r="W28" s="5"/>
      <c r="Y28" s="9" t="s">
        <v>142</v>
      </c>
      <c r="Z28" s="5"/>
      <c r="AA28" s="5"/>
      <c r="AB28" s="5"/>
      <c r="AD28" s="9" t="s">
        <v>142</v>
      </c>
      <c r="AI28" s="9" t="s">
        <v>142</v>
      </c>
      <c r="AN28" s="9" t="s">
        <v>142</v>
      </c>
      <c r="AS28" s="9" t="s">
        <v>142</v>
      </c>
    </row>
    <row r="29" spans="1:45" x14ac:dyDescent="0.25">
      <c r="A29" s="5" t="s">
        <v>2643</v>
      </c>
      <c r="B29" s="5" t="s">
        <v>2605</v>
      </c>
      <c r="C29" s="5" t="s">
        <v>119</v>
      </c>
      <c r="D29" s="5" t="s">
        <v>451</v>
      </c>
      <c r="E29" s="9" t="s">
        <v>142</v>
      </c>
      <c r="F29" s="5"/>
      <c r="G29" s="5"/>
      <c r="H29" s="5"/>
      <c r="I29" s="5"/>
      <c r="J29" s="9" t="s">
        <v>142</v>
      </c>
      <c r="K29" s="5"/>
      <c r="L29" s="5"/>
      <c r="M29" s="5"/>
      <c r="N29" s="5"/>
      <c r="O29" s="9" t="s">
        <v>142</v>
      </c>
      <c r="P29" s="5"/>
      <c r="Q29" s="5"/>
      <c r="R29" s="5"/>
      <c r="S29" s="5"/>
      <c r="T29" s="9" t="s">
        <v>142</v>
      </c>
      <c r="U29" s="5"/>
      <c r="V29" s="5"/>
      <c r="W29" s="5"/>
      <c r="Y29" s="9" t="s">
        <v>142</v>
      </c>
      <c r="Z29" s="5"/>
      <c r="AA29" s="5"/>
      <c r="AB29" s="5"/>
      <c r="AD29" s="9" t="s">
        <v>142</v>
      </c>
      <c r="AI29" s="9" t="s">
        <v>142</v>
      </c>
      <c r="AN29" s="9" t="s">
        <v>142</v>
      </c>
      <c r="AS29" s="9" t="s">
        <v>142</v>
      </c>
    </row>
    <row r="30" spans="1:45" x14ac:dyDescent="0.25">
      <c r="A30" s="5" t="s">
        <v>2644</v>
      </c>
      <c r="B30" s="5" t="s">
        <v>2622</v>
      </c>
      <c r="C30" s="5" t="s">
        <v>1949</v>
      </c>
      <c r="D30" s="5" t="s">
        <v>2623</v>
      </c>
      <c r="E30" s="9" t="s">
        <v>142</v>
      </c>
      <c r="F30" s="5"/>
      <c r="G30" s="5"/>
      <c r="H30" s="5"/>
      <c r="I30" s="5"/>
      <c r="J30" s="9" t="s">
        <v>142</v>
      </c>
      <c r="K30" s="5"/>
      <c r="L30" s="5"/>
      <c r="M30" s="5"/>
      <c r="N30" s="5"/>
      <c r="O30" s="9" t="s">
        <v>142</v>
      </c>
      <c r="P30" s="5"/>
      <c r="Q30" s="5"/>
      <c r="R30" s="5"/>
      <c r="S30" s="5"/>
      <c r="T30" s="9" t="s">
        <v>142</v>
      </c>
      <c r="U30" s="5"/>
      <c r="V30" s="5"/>
      <c r="W30" s="5"/>
      <c r="Y30" s="9" t="s">
        <v>142</v>
      </c>
      <c r="Z30" s="5"/>
      <c r="AA30" s="5"/>
      <c r="AB30" s="5"/>
      <c r="AD30" s="9" t="s">
        <v>142</v>
      </c>
      <c r="AI30" s="9" t="s">
        <v>142</v>
      </c>
      <c r="AN30" s="9" t="s">
        <v>142</v>
      </c>
      <c r="AS30" s="9" t="s">
        <v>142</v>
      </c>
    </row>
    <row r="31" spans="1:45" x14ac:dyDescent="0.25">
      <c r="A31" s="5" t="s">
        <v>2645</v>
      </c>
      <c r="B31" s="5" t="s">
        <v>1593</v>
      </c>
      <c r="C31" s="5" t="s">
        <v>1542</v>
      </c>
      <c r="D31" s="5" t="s">
        <v>2621</v>
      </c>
      <c r="E31" s="9" t="s">
        <v>142</v>
      </c>
      <c r="F31" s="5"/>
      <c r="G31" s="5"/>
      <c r="H31" s="5"/>
      <c r="I31" s="5"/>
      <c r="J31" s="9" t="s">
        <v>142</v>
      </c>
      <c r="K31" s="5"/>
      <c r="L31" s="5"/>
      <c r="M31" s="5"/>
      <c r="O31" s="9" t="s">
        <v>142</v>
      </c>
      <c r="P31" s="5"/>
      <c r="Q31" s="5"/>
      <c r="R31" s="5"/>
      <c r="S31" s="5"/>
      <c r="T31" s="9" t="s">
        <v>142</v>
      </c>
      <c r="U31" s="5"/>
      <c r="V31" s="5"/>
      <c r="W31" s="5"/>
      <c r="Y31" s="9" t="s">
        <v>142</v>
      </c>
      <c r="Z31" s="5"/>
      <c r="AA31" s="5"/>
      <c r="AB31" s="5"/>
      <c r="AD31" s="9" t="s">
        <v>142</v>
      </c>
      <c r="AI31" s="9" t="s">
        <v>142</v>
      </c>
      <c r="AN31" s="9" t="s">
        <v>142</v>
      </c>
      <c r="AS31" s="9" t="s">
        <v>142</v>
      </c>
    </row>
    <row r="32" spans="1:45" x14ac:dyDescent="0.25">
      <c r="A32" s="5" t="s">
        <v>2646</v>
      </c>
      <c r="B32" s="5" t="s">
        <v>1593</v>
      </c>
      <c r="C32" s="5" t="s">
        <v>1542</v>
      </c>
      <c r="D32" s="5" t="s">
        <v>2621</v>
      </c>
      <c r="E32" s="9" t="s">
        <v>142</v>
      </c>
      <c r="F32" s="5"/>
      <c r="G32" s="5"/>
      <c r="H32" s="5"/>
      <c r="I32" s="5"/>
      <c r="J32" s="9" t="s">
        <v>142</v>
      </c>
      <c r="K32" s="5"/>
      <c r="L32" s="5"/>
      <c r="M32" s="5"/>
      <c r="O32" s="9" t="s">
        <v>142</v>
      </c>
      <c r="P32" s="5"/>
      <c r="Q32" s="5"/>
      <c r="R32" s="5"/>
      <c r="T32" s="9" t="s">
        <v>142</v>
      </c>
      <c r="U32" s="5"/>
      <c r="V32" s="5"/>
      <c r="W32" s="5"/>
      <c r="Y32" s="9" t="s">
        <v>142</v>
      </c>
      <c r="AD32" s="9" t="s">
        <v>142</v>
      </c>
      <c r="AI32" s="9" t="s">
        <v>142</v>
      </c>
      <c r="AN32" s="9" t="s">
        <v>142</v>
      </c>
      <c r="AS32" s="9" t="s">
        <v>142</v>
      </c>
    </row>
    <row r="33" spans="1:45" x14ac:dyDescent="0.25">
      <c r="A33" s="5" t="s">
        <v>2647</v>
      </c>
      <c r="B33" s="5" t="s">
        <v>2605</v>
      </c>
      <c r="C33" s="5" t="s">
        <v>119</v>
      </c>
      <c r="D33" s="5" t="s">
        <v>451</v>
      </c>
      <c r="E33" s="9" t="s">
        <v>142</v>
      </c>
      <c r="F33" s="5"/>
      <c r="G33" s="5"/>
      <c r="H33" s="5"/>
      <c r="I33" s="5"/>
      <c r="J33" s="9" t="s">
        <v>142</v>
      </c>
      <c r="K33" s="5"/>
      <c r="L33" s="5"/>
      <c r="M33" s="5"/>
      <c r="O33" s="9" t="s">
        <v>142</v>
      </c>
      <c r="T33" s="9" t="s">
        <v>142</v>
      </c>
      <c r="Y33" s="9" t="s">
        <v>142</v>
      </c>
      <c r="AD33" s="9" t="s">
        <v>142</v>
      </c>
      <c r="AI33" s="9" t="s">
        <v>142</v>
      </c>
      <c r="AN33" s="9" t="s">
        <v>142</v>
      </c>
      <c r="AS33" s="9" t="s">
        <v>142</v>
      </c>
    </row>
    <row r="34" spans="1:45" x14ac:dyDescent="0.25">
      <c r="A34" s="5" t="s">
        <v>2648</v>
      </c>
      <c r="B34" s="5" t="s">
        <v>2605</v>
      </c>
      <c r="C34" s="5" t="s">
        <v>119</v>
      </c>
      <c r="D34" s="5" t="s">
        <v>451</v>
      </c>
      <c r="E34" s="9" t="s">
        <v>142</v>
      </c>
      <c r="F34" s="5"/>
      <c r="G34" s="5"/>
      <c r="H34" s="5"/>
      <c r="I34" s="5"/>
      <c r="J34" s="9" t="s">
        <v>142</v>
      </c>
      <c r="K34" s="5"/>
      <c r="L34" s="5"/>
      <c r="M34" s="5"/>
      <c r="O34" s="9" t="s">
        <v>142</v>
      </c>
      <c r="T34" s="9" t="s">
        <v>142</v>
      </c>
      <c r="Y34" s="9" t="s">
        <v>142</v>
      </c>
      <c r="AD34" s="9" t="s">
        <v>142</v>
      </c>
      <c r="AI34" s="9" t="s">
        <v>142</v>
      </c>
      <c r="AN34" s="9" t="s">
        <v>142</v>
      </c>
      <c r="AS34" s="9" t="s">
        <v>142</v>
      </c>
    </row>
    <row r="35" spans="1:45" x14ac:dyDescent="0.25">
      <c r="A35" s="5" t="s">
        <v>2649</v>
      </c>
      <c r="B35" s="5" t="s">
        <v>1593</v>
      </c>
      <c r="C35" s="5" t="s">
        <v>1542</v>
      </c>
      <c r="D35" s="5" t="s">
        <v>2621</v>
      </c>
      <c r="E35" s="9" t="s">
        <v>142</v>
      </c>
      <c r="F35" s="5"/>
      <c r="G35" s="357"/>
      <c r="H35" s="5"/>
      <c r="I35" s="5"/>
      <c r="J35" s="9" t="s">
        <v>142</v>
      </c>
      <c r="K35" s="5"/>
      <c r="L35" s="5"/>
      <c r="M35" s="5"/>
      <c r="O35" s="9" t="s">
        <v>142</v>
      </c>
      <c r="T35" s="9" t="s">
        <v>142</v>
      </c>
      <c r="Y35" s="9" t="s">
        <v>142</v>
      </c>
      <c r="AD35" s="9" t="s">
        <v>142</v>
      </c>
      <c r="AI35" s="9" t="s">
        <v>142</v>
      </c>
      <c r="AN35" s="9" t="s">
        <v>142</v>
      </c>
      <c r="AS35" s="9" t="s">
        <v>142</v>
      </c>
    </row>
    <row r="36" spans="1:45" x14ac:dyDescent="0.25">
      <c r="A36" s="5" t="s">
        <v>2650</v>
      </c>
      <c r="B36" s="5" t="s">
        <v>2622</v>
      </c>
      <c r="C36" s="5" t="s">
        <v>1949</v>
      </c>
      <c r="D36" s="5" t="s">
        <v>2623</v>
      </c>
      <c r="E36" s="9" t="s">
        <v>142</v>
      </c>
      <c r="F36" s="5"/>
      <c r="G36" s="5"/>
      <c r="H36" s="5"/>
      <c r="I36" s="5"/>
      <c r="J36" s="9" t="s">
        <v>142</v>
      </c>
      <c r="K36" s="5"/>
      <c r="L36" s="5"/>
      <c r="M36" s="5"/>
      <c r="O36" s="9" t="s">
        <v>142</v>
      </c>
      <c r="T36" s="9" t="s">
        <v>142</v>
      </c>
      <c r="Y36" s="9" t="s">
        <v>142</v>
      </c>
      <c r="AD36" s="9" t="s">
        <v>142</v>
      </c>
      <c r="AI36" s="9" t="s">
        <v>142</v>
      </c>
      <c r="AN36" s="9" t="s">
        <v>142</v>
      </c>
      <c r="AS36" s="9" t="s">
        <v>142</v>
      </c>
    </row>
    <row r="37" spans="1:45" x14ac:dyDescent="0.25">
      <c r="A37" s="5" t="s">
        <v>2651</v>
      </c>
      <c r="B37" s="5" t="s">
        <v>2622</v>
      </c>
      <c r="C37" s="5" t="s">
        <v>1949</v>
      </c>
      <c r="D37" s="5" t="s">
        <v>2623</v>
      </c>
      <c r="E37" s="9" t="s">
        <v>142</v>
      </c>
      <c r="F37" s="5"/>
      <c r="G37" s="5"/>
      <c r="H37" s="5"/>
      <c r="I37" s="5"/>
      <c r="J37" s="9" t="s">
        <v>142</v>
      </c>
      <c r="K37" s="5"/>
      <c r="L37" s="5"/>
      <c r="M37" s="5"/>
      <c r="O37" s="9" t="s">
        <v>142</v>
      </c>
      <c r="T37" s="9" t="s">
        <v>142</v>
      </c>
      <c r="Y37" s="9" t="s">
        <v>142</v>
      </c>
      <c r="AD37" s="9" t="s">
        <v>142</v>
      </c>
      <c r="AI37" s="9" t="s">
        <v>142</v>
      </c>
      <c r="AN37" s="9" t="s">
        <v>142</v>
      </c>
      <c r="AS37" s="9" t="s">
        <v>142</v>
      </c>
    </row>
    <row r="38" spans="1:45" x14ac:dyDescent="0.25">
      <c r="A38" s="5" t="s">
        <v>2652</v>
      </c>
      <c r="B38" s="5" t="s">
        <v>1593</v>
      </c>
      <c r="C38" s="5" t="s">
        <v>1542</v>
      </c>
      <c r="D38" s="5" t="s">
        <v>2621</v>
      </c>
      <c r="E38" s="9" t="s">
        <v>142</v>
      </c>
      <c r="F38" s="5"/>
      <c r="G38" s="5"/>
      <c r="H38" s="5"/>
      <c r="I38" s="5"/>
      <c r="J38" s="9" t="s">
        <v>142</v>
      </c>
      <c r="K38" s="5"/>
      <c r="L38" s="5"/>
      <c r="M38" s="5"/>
      <c r="O38" s="9" t="s">
        <v>142</v>
      </c>
      <c r="T38" s="9" t="s">
        <v>142</v>
      </c>
      <c r="Y38" s="9" t="s">
        <v>142</v>
      </c>
      <c r="AD38" s="9" t="s">
        <v>142</v>
      </c>
      <c r="AI38" s="9" t="s">
        <v>142</v>
      </c>
      <c r="AN38" s="9" t="s">
        <v>142</v>
      </c>
      <c r="AS38" s="9" t="s">
        <v>142</v>
      </c>
    </row>
    <row r="39" spans="1:45" x14ac:dyDescent="0.25">
      <c r="A39" s="5" t="s">
        <v>2653</v>
      </c>
      <c r="B39" s="5" t="s">
        <v>2605</v>
      </c>
      <c r="C39" s="5" t="s">
        <v>119</v>
      </c>
      <c r="D39" s="5" t="s">
        <v>451</v>
      </c>
      <c r="E39" s="9" t="s">
        <v>142</v>
      </c>
      <c r="F39" s="5"/>
      <c r="G39" s="5"/>
      <c r="H39" s="5"/>
      <c r="J39" s="9" t="s">
        <v>142</v>
      </c>
      <c r="K39" s="5"/>
      <c r="L39" s="5"/>
      <c r="M39" s="5"/>
      <c r="O39" s="9" t="s">
        <v>142</v>
      </c>
      <c r="T39" s="9" t="s">
        <v>142</v>
      </c>
      <c r="Y39" s="9" t="s">
        <v>142</v>
      </c>
      <c r="AD39" s="9" t="s">
        <v>142</v>
      </c>
      <c r="AI39" s="9" t="s">
        <v>142</v>
      </c>
      <c r="AN39" s="9" t="s">
        <v>142</v>
      </c>
      <c r="AS39" s="9" t="s">
        <v>142</v>
      </c>
    </row>
    <row r="40" spans="1:45" x14ac:dyDescent="0.25">
      <c r="A40" s="5" t="s">
        <v>2654</v>
      </c>
      <c r="B40" s="5" t="s">
        <v>2622</v>
      </c>
      <c r="C40" s="5" t="s">
        <v>1949</v>
      </c>
      <c r="D40" s="5" t="s">
        <v>2623</v>
      </c>
      <c r="E40" s="9" t="s">
        <v>142</v>
      </c>
      <c r="J40" s="9" t="s">
        <v>142</v>
      </c>
      <c r="O40" s="9" t="s">
        <v>142</v>
      </c>
      <c r="T40" s="9" t="s">
        <v>142</v>
      </c>
      <c r="Y40" s="9" t="s">
        <v>142</v>
      </c>
      <c r="AD40" s="9" t="s">
        <v>142</v>
      </c>
      <c r="AI40" s="9" t="s">
        <v>142</v>
      </c>
      <c r="AN40" s="9" t="s">
        <v>142</v>
      </c>
      <c r="AS40" s="9" t="s">
        <v>142</v>
      </c>
    </row>
    <row r="41" spans="1:45" x14ac:dyDescent="0.25">
      <c r="A41" s="5" t="s">
        <v>2655</v>
      </c>
      <c r="B41" s="5" t="s">
        <v>1593</v>
      </c>
      <c r="C41" s="5" t="s">
        <v>1542</v>
      </c>
      <c r="D41" s="5" t="s">
        <v>2621</v>
      </c>
      <c r="E41" s="9" t="s">
        <v>142</v>
      </c>
      <c r="J41" s="9" t="s">
        <v>142</v>
      </c>
      <c r="O41" s="9" t="s">
        <v>142</v>
      </c>
      <c r="T41" s="9" t="s">
        <v>142</v>
      </c>
      <c r="Y41" s="9" t="s">
        <v>142</v>
      </c>
      <c r="AD41" s="9" t="s">
        <v>142</v>
      </c>
      <c r="AI41" s="9" t="s">
        <v>142</v>
      </c>
      <c r="AN41" s="9" t="s">
        <v>142</v>
      </c>
      <c r="AS41" s="9" t="s">
        <v>142</v>
      </c>
    </row>
    <row r="42" spans="1:45" x14ac:dyDescent="0.25">
      <c r="A42" s="5" t="s">
        <v>2656</v>
      </c>
      <c r="B42" s="5" t="s">
        <v>2605</v>
      </c>
      <c r="C42" s="5" t="s">
        <v>119</v>
      </c>
      <c r="D42" s="5" t="s">
        <v>451</v>
      </c>
      <c r="E42" s="9" t="s">
        <v>142</v>
      </c>
      <c r="J42" s="9" t="s">
        <v>142</v>
      </c>
      <c r="O42" s="9" t="s">
        <v>142</v>
      </c>
      <c r="T42" s="9" t="s">
        <v>142</v>
      </c>
      <c r="Y42" s="9" t="s">
        <v>142</v>
      </c>
      <c r="AD42" s="9" t="s">
        <v>142</v>
      </c>
      <c r="AI42" s="9" t="s">
        <v>142</v>
      </c>
      <c r="AN42" s="9" t="s">
        <v>142</v>
      </c>
      <c r="AS42" s="9" t="s">
        <v>142</v>
      </c>
    </row>
    <row r="43" spans="1:45" x14ac:dyDescent="0.25">
      <c r="A43" s="5" t="s">
        <v>2657</v>
      </c>
      <c r="B43" s="5" t="s">
        <v>2605</v>
      </c>
      <c r="C43" s="5" t="s">
        <v>119</v>
      </c>
      <c r="D43" s="5" t="s">
        <v>451</v>
      </c>
      <c r="E43" s="9" t="s">
        <v>142</v>
      </c>
      <c r="J43" s="9" t="s">
        <v>142</v>
      </c>
      <c r="O43" s="9" t="s">
        <v>142</v>
      </c>
      <c r="T43" s="9" t="s">
        <v>142</v>
      </c>
      <c r="Y43" s="9" t="s">
        <v>142</v>
      </c>
      <c r="AD43" s="9" t="s">
        <v>142</v>
      </c>
      <c r="AI43" s="9" t="s">
        <v>142</v>
      </c>
      <c r="AN43" s="9" t="s">
        <v>142</v>
      </c>
      <c r="AS43" s="9" t="s">
        <v>142</v>
      </c>
    </row>
    <row r="44" spans="1:45" x14ac:dyDescent="0.25">
      <c r="A44" s="5" t="s">
        <v>2658</v>
      </c>
      <c r="B44" s="5" t="s">
        <v>1593</v>
      </c>
      <c r="C44" s="5" t="s">
        <v>1542</v>
      </c>
      <c r="D44" s="5" t="s">
        <v>2621</v>
      </c>
      <c r="E44" s="9" t="s">
        <v>142</v>
      </c>
      <c r="J44" s="9" t="s">
        <v>142</v>
      </c>
      <c r="O44" s="9" t="s">
        <v>142</v>
      </c>
      <c r="T44" s="9" t="s">
        <v>142</v>
      </c>
      <c r="Y44" s="9" t="s">
        <v>142</v>
      </c>
      <c r="AD44" s="9" t="s">
        <v>142</v>
      </c>
      <c r="AI44" s="9" t="s">
        <v>142</v>
      </c>
      <c r="AN44" s="9" t="s">
        <v>142</v>
      </c>
      <c r="AS44" s="9" t="s">
        <v>142</v>
      </c>
    </row>
    <row r="45" spans="1:45" x14ac:dyDescent="0.25">
      <c r="A45" s="5" t="s">
        <v>2659</v>
      </c>
      <c r="B45" s="5" t="s">
        <v>2622</v>
      </c>
      <c r="C45" s="5" t="s">
        <v>1949</v>
      </c>
      <c r="D45" s="5" t="s">
        <v>2623</v>
      </c>
      <c r="E45" s="9" t="s">
        <v>142</v>
      </c>
      <c r="J45" s="9" t="s">
        <v>142</v>
      </c>
      <c r="O45" s="9" t="s">
        <v>142</v>
      </c>
      <c r="T45" s="9" t="s">
        <v>142</v>
      </c>
      <c r="Y45" s="9" t="s">
        <v>142</v>
      </c>
      <c r="AD45" s="9" t="s">
        <v>142</v>
      </c>
      <c r="AI45" s="9" t="s">
        <v>142</v>
      </c>
      <c r="AN45" s="9" t="s">
        <v>142</v>
      </c>
      <c r="AS45" s="9" t="s">
        <v>142</v>
      </c>
    </row>
    <row r="46" spans="1:45" x14ac:dyDescent="0.25">
      <c r="A46" s="5" t="s">
        <v>2660</v>
      </c>
      <c r="B46" s="5" t="s">
        <v>2622</v>
      </c>
      <c r="C46" s="5" t="s">
        <v>1949</v>
      </c>
      <c r="D46" s="5" t="s">
        <v>2623</v>
      </c>
      <c r="E46" s="9" t="s">
        <v>142</v>
      </c>
      <c r="J46" s="9" t="s">
        <v>142</v>
      </c>
      <c r="O46" s="9" t="s">
        <v>142</v>
      </c>
      <c r="T46" s="9" t="s">
        <v>142</v>
      </c>
      <c r="Y46" s="9" t="s">
        <v>142</v>
      </c>
      <c r="AD46" s="9" t="s">
        <v>142</v>
      </c>
      <c r="AI46" s="9" t="s">
        <v>142</v>
      </c>
      <c r="AN46" s="9" t="s">
        <v>142</v>
      </c>
      <c r="AS46" s="9" t="s">
        <v>142</v>
      </c>
    </row>
    <row r="47" spans="1:45" x14ac:dyDescent="0.25">
      <c r="A47" s="5" t="s">
        <v>2661</v>
      </c>
      <c r="B47" s="5" t="s">
        <v>1593</v>
      </c>
      <c r="C47" s="5" t="s">
        <v>1542</v>
      </c>
      <c r="D47" s="5" t="s">
        <v>2621</v>
      </c>
      <c r="E47" s="9" t="s">
        <v>142</v>
      </c>
      <c r="J47" s="9" t="s">
        <v>142</v>
      </c>
      <c r="O47" s="9" t="s">
        <v>142</v>
      </c>
      <c r="T47" s="9" t="s">
        <v>142</v>
      </c>
      <c r="Y47" s="9" t="s">
        <v>142</v>
      </c>
      <c r="AD47" s="9" t="s">
        <v>142</v>
      </c>
      <c r="AI47" s="9" t="s">
        <v>142</v>
      </c>
      <c r="AN47" s="9" t="s">
        <v>142</v>
      </c>
      <c r="AS47" s="9" t="s">
        <v>142</v>
      </c>
    </row>
    <row r="48" spans="1:45" x14ac:dyDescent="0.25">
      <c r="A48" s="5" t="s">
        <v>2662</v>
      </c>
      <c r="B48" s="5" t="s">
        <v>2605</v>
      </c>
      <c r="C48" s="5" t="s">
        <v>119</v>
      </c>
      <c r="D48" s="5" t="s">
        <v>451</v>
      </c>
      <c r="E48" s="9" t="s">
        <v>142</v>
      </c>
      <c r="J48" s="9" t="s">
        <v>142</v>
      </c>
      <c r="O48" s="9" t="s">
        <v>142</v>
      </c>
      <c r="T48" s="9" t="s">
        <v>142</v>
      </c>
      <c r="Y48" s="9" t="s">
        <v>142</v>
      </c>
      <c r="AD48" s="9" t="s">
        <v>142</v>
      </c>
      <c r="AI48" s="9" t="s">
        <v>142</v>
      </c>
      <c r="AN48" s="9" t="s">
        <v>142</v>
      </c>
      <c r="AS48" s="9" t="s">
        <v>142</v>
      </c>
    </row>
    <row r="49" spans="1:45" x14ac:dyDescent="0.25">
      <c r="A49" s="5" t="s">
        <v>2663</v>
      </c>
      <c r="B49" s="5" t="s">
        <v>2605</v>
      </c>
      <c r="C49" s="5" t="s">
        <v>119</v>
      </c>
      <c r="D49" s="5" t="s">
        <v>451</v>
      </c>
      <c r="E49" s="9" t="s">
        <v>142</v>
      </c>
      <c r="J49" s="9" t="s">
        <v>142</v>
      </c>
      <c r="O49" s="9" t="s">
        <v>142</v>
      </c>
      <c r="T49" s="9" t="s">
        <v>142</v>
      </c>
      <c r="Y49" s="9" t="s">
        <v>142</v>
      </c>
      <c r="AD49" s="9" t="s">
        <v>142</v>
      </c>
      <c r="AI49" s="9" t="s">
        <v>142</v>
      </c>
      <c r="AN49" s="9" t="s">
        <v>142</v>
      </c>
      <c r="AS49" s="9" t="s">
        <v>142</v>
      </c>
    </row>
    <row r="50" spans="1:45" x14ac:dyDescent="0.25">
      <c r="A50" s="5" t="s">
        <v>2664</v>
      </c>
      <c r="B50" s="5" t="s">
        <v>2622</v>
      </c>
      <c r="C50" s="5" t="s">
        <v>1949</v>
      </c>
      <c r="D50" s="5" t="s">
        <v>2623</v>
      </c>
      <c r="E50" s="9" t="s">
        <v>142</v>
      </c>
      <c r="J50" s="9" t="s">
        <v>142</v>
      </c>
      <c r="O50" s="9" t="s">
        <v>142</v>
      </c>
      <c r="T50" s="9" t="s">
        <v>142</v>
      </c>
      <c r="Y50" s="9" t="s">
        <v>142</v>
      </c>
      <c r="AD50" s="9" t="s">
        <v>142</v>
      </c>
      <c r="AI50" s="9" t="s">
        <v>142</v>
      </c>
      <c r="AN50" s="9" t="s">
        <v>142</v>
      </c>
      <c r="AS50" s="9" t="s">
        <v>142</v>
      </c>
    </row>
    <row r="51" spans="1:45" x14ac:dyDescent="0.25">
      <c r="A51" s="5" t="s">
        <v>2665</v>
      </c>
      <c r="B51" s="5" t="s">
        <v>1593</v>
      </c>
      <c r="C51" s="5" t="s">
        <v>1542</v>
      </c>
      <c r="D51" s="5" t="s">
        <v>2621</v>
      </c>
      <c r="E51" s="9" t="s">
        <v>142</v>
      </c>
      <c r="J51" s="9" t="s">
        <v>142</v>
      </c>
      <c r="O51" s="9" t="s">
        <v>142</v>
      </c>
      <c r="T51" s="9" t="s">
        <v>142</v>
      </c>
      <c r="Y51" s="9" t="s">
        <v>142</v>
      </c>
      <c r="AD51" s="9" t="s">
        <v>142</v>
      </c>
      <c r="AI51" s="9" t="s">
        <v>142</v>
      </c>
      <c r="AN51" s="9" t="s">
        <v>142</v>
      </c>
      <c r="AS51" s="9" t="s">
        <v>142</v>
      </c>
    </row>
    <row r="52" spans="1:45" x14ac:dyDescent="0.25">
      <c r="A52" s="5" t="s">
        <v>2666</v>
      </c>
      <c r="B52" s="5" t="s">
        <v>1593</v>
      </c>
      <c r="C52" s="5" t="s">
        <v>1542</v>
      </c>
      <c r="D52" s="5" t="s">
        <v>2621</v>
      </c>
      <c r="E52" s="9" t="s">
        <v>142</v>
      </c>
      <c r="J52" s="9" t="s">
        <v>142</v>
      </c>
      <c r="O52" s="9" t="s">
        <v>142</v>
      </c>
      <c r="T52" s="9" t="s">
        <v>142</v>
      </c>
      <c r="Y52" s="9" t="s">
        <v>142</v>
      </c>
      <c r="AD52" s="9" t="s">
        <v>142</v>
      </c>
      <c r="AI52" s="9" t="s">
        <v>142</v>
      </c>
      <c r="AN52" s="9" t="s">
        <v>142</v>
      </c>
      <c r="AS52" s="9" t="s">
        <v>142</v>
      </c>
    </row>
    <row r="53" spans="1:45" x14ac:dyDescent="0.25">
      <c r="A53" s="5" t="s">
        <v>2667</v>
      </c>
      <c r="B53" s="5" t="s">
        <v>2605</v>
      </c>
      <c r="C53" s="5" t="s">
        <v>119</v>
      </c>
      <c r="D53" s="5" t="s">
        <v>451</v>
      </c>
      <c r="E53" s="9" t="s">
        <v>142</v>
      </c>
      <c r="J53" s="9" t="s">
        <v>142</v>
      </c>
      <c r="O53" s="9" t="s">
        <v>142</v>
      </c>
      <c r="T53" s="9" t="s">
        <v>142</v>
      </c>
      <c r="Y53" s="9" t="s">
        <v>142</v>
      </c>
      <c r="AD53" s="9" t="s">
        <v>142</v>
      </c>
      <c r="AI53" s="9" t="s">
        <v>142</v>
      </c>
      <c r="AN53" s="9" t="s">
        <v>142</v>
      </c>
      <c r="AS53" s="9" t="s">
        <v>142</v>
      </c>
    </row>
    <row r="54" spans="1:45" x14ac:dyDescent="0.25">
      <c r="A54" s="5" t="s">
        <v>2668</v>
      </c>
      <c r="B54" s="5" t="s">
        <v>1593</v>
      </c>
      <c r="C54" s="5" t="s">
        <v>1542</v>
      </c>
      <c r="D54" s="5" t="s">
        <v>2621</v>
      </c>
      <c r="E54" s="9" t="s">
        <v>142</v>
      </c>
      <c r="J54" s="9" t="s">
        <v>142</v>
      </c>
      <c r="O54" s="9" t="s">
        <v>142</v>
      </c>
      <c r="T54" s="9" t="s">
        <v>142</v>
      </c>
      <c r="Y54" s="9" t="s">
        <v>142</v>
      </c>
      <c r="AD54" s="9" t="s">
        <v>142</v>
      </c>
      <c r="AI54" s="9" t="s">
        <v>142</v>
      </c>
      <c r="AN54" s="9" t="s">
        <v>142</v>
      </c>
      <c r="AS54" s="9" t="s">
        <v>142</v>
      </c>
    </row>
    <row r="55" spans="1:45" x14ac:dyDescent="0.25">
      <c r="A55" s="5" t="s">
        <v>2669</v>
      </c>
      <c r="B55" s="5" t="s">
        <v>2622</v>
      </c>
      <c r="C55" s="5" t="s">
        <v>1949</v>
      </c>
      <c r="D55" s="5" t="s">
        <v>2623</v>
      </c>
      <c r="E55" s="9" t="s">
        <v>142</v>
      </c>
      <c r="J55" s="9" t="s">
        <v>142</v>
      </c>
      <c r="O55" s="9" t="s">
        <v>142</v>
      </c>
      <c r="T55" s="9" t="s">
        <v>142</v>
      </c>
      <c r="Y55" s="9" t="s">
        <v>142</v>
      </c>
      <c r="AD55" s="9" t="s">
        <v>142</v>
      </c>
      <c r="AI55" s="9" t="s">
        <v>142</v>
      </c>
      <c r="AN55" s="9" t="s">
        <v>142</v>
      </c>
      <c r="AS55" s="9" t="s">
        <v>142</v>
      </c>
    </row>
    <row r="56" spans="1:45" x14ac:dyDescent="0.25">
      <c r="A56" s="5" t="s">
        <v>2670</v>
      </c>
      <c r="B56" s="5" t="s">
        <v>2605</v>
      </c>
      <c r="C56" s="5" t="s">
        <v>119</v>
      </c>
      <c r="D56" s="5" t="s">
        <v>451</v>
      </c>
      <c r="E56" s="9" t="s">
        <v>142</v>
      </c>
      <c r="J56" s="9" t="s">
        <v>142</v>
      </c>
      <c r="O56" s="9" t="s">
        <v>142</v>
      </c>
      <c r="T56" s="9" t="s">
        <v>142</v>
      </c>
      <c r="Y56" s="9" t="s">
        <v>142</v>
      </c>
      <c r="AD56" s="9" t="s">
        <v>142</v>
      </c>
      <c r="AI56" s="9" t="s">
        <v>142</v>
      </c>
      <c r="AN56" s="9" t="s">
        <v>142</v>
      </c>
      <c r="AS56" s="9" t="s">
        <v>142</v>
      </c>
    </row>
    <row r="57" spans="1:45" x14ac:dyDescent="0.25">
      <c r="A57" s="5" t="s">
        <v>2671</v>
      </c>
      <c r="B57" s="5" t="s">
        <v>2605</v>
      </c>
      <c r="C57" s="5" t="s">
        <v>119</v>
      </c>
      <c r="D57" s="5" t="s">
        <v>451</v>
      </c>
      <c r="E57" s="9" t="s">
        <v>142</v>
      </c>
      <c r="J57" s="9" t="s">
        <v>142</v>
      </c>
      <c r="O57" s="9" t="s">
        <v>142</v>
      </c>
      <c r="T57" s="9" t="s">
        <v>142</v>
      </c>
      <c r="Y57" s="9" t="s">
        <v>142</v>
      </c>
      <c r="AD57" s="9" t="s">
        <v>142</v>
      </c>
      <c r="AI57" s="9" t="s">
        <v>142</v>
      </c>
      <c r="AN57" s="9" t="s">
        <v>142</v>
      </c>
      <c r="AS57" s="9" t="s">
        <v>142</v>
      </c>
    </row>
    <row r="58" spans="1:45" x14ac:dyDescent="0.25">
      <c r="A58" s="5" t="s">
        <v>2672</v>
      </c>
      <c r="B58" s="5" t="s">
        <v>2622</v>
      </c>
      <c r="C58" s="5" t="s">
        <v>1949</v>
      </c>
      <c r="D58" s="5" t="s">
        <v>2623</v>
      </c>
      <c r="E58" s="9" t="s">
        <v>142</v>
      </c>
      <c r="J58" s="9" t="s">
        <v>142</v>
      </c>
      <c r="O58" s="9" t="s">
        <v>142</v>
      </c>
      <c r="T58" s="9" t="s">
        <v>142</v>
      </c>
      <c r="Y58" s="9" t="s">
        <v>142</v>
      </c>
      <c r="AD58" s="9" t="s">
        <v>142</v>
      </c>
      <c r="AI58" s="9" t="s">
        <v>142</v>
      </c>
      <c r="AN58" s="9" t="s">
        <v>142</v>
      </c>
      <c r="AS58" s="9" t="s">
        <v>142</v>
      </c>
    </row>
    <row r="59" spans="1:45" x14ac:dyDescent="0.25">
      <c r="A59" s="5" t="s">
        <v>2673</v>
      </c>
      <c r="B59" s="5" t="s">
        <v>1593</v>
      </c>
      <c r="C59" s="5" t="s">
        <v>1542</v>
      </c>
      <c r="D59" s="5" t="s">
        <v>2621</v>
      </c>
      <c r="E59" s="9" t="s">
        <v>142</v>
      </c>
      <c r="J59" s="9" t="s">
        <v>142</v>
      </c>
      <c r="O59" s="9" t="s">
        <v>142</v>
      </c>
      <c r="T59" s="9" t="s">
        <v>142</v>
      </c>
      <c r="Y59" s="9" t="s">
        <v>142</v>
      </c>
      <c r="AD59" s="9" t="s">
        <v>142</v>
      </c>
      <c r="AI59" s="9" t="s">
        <v>142</v>
      </c>
      <c r="AN59" s="9" t="s">
        <v>142</v>
      </c>
      <c r="AS59" s="9" t="s">
        <v>142</v>
      </c>
    </row>
    <row r="60" spans="1:45" x14ac:dyDescent="0.25">
      <c r="A60" s="5" t="s">
        <v>2674</v>
      </c>
      <c r="B60" s="5" t="s">
        <v>1593</v>
      </c>
      <c r="C60" s="5" t="s">
        <v>1542</v>
      </c>
      <c r="D60" s="5" t="s">
        <v>2621</v>
      </c>
      <c r="E60" s="9" t="s">
        <v>142</v>
      </c>
      <c r="J60" s="9" t="s">
        <v>142</v>
      </c>
      <c r="O60" s="9" t="s">
        <v>142</v>
      </c>
      <c r="T60" s="9" t="s">
        <v>142</v>
      </c>
      <c r="Y60" s="9" t="s">
        <v>142</v>
      </c>
      <c r="AD60" s="9" t="s">
        <v>142</v>
      </c>
      <c r="AI60" s="9" t="s">
        <v>142</v>
      </c>
      <c r="AN60" s="9" t="s">
        <v>142</v>
      </c>
      <c r="AS60" s="9" t="s">
        <v>142</v>
      </c>
    </row>
    <row r="61" spans="1:45" x14ac:dyDescent="0.25">
      <c r="A61" s="5" t="s">
        <v>2675</v>
      </c>
      <c r="B61" s="5" t="s">
        <v>2622</v>
      </c>
      <c r="C61" s="5" t="s">
        <v>1949</v>
      </c>
      <c r="D61" s="5" t="s">
        <v>2623</v>
      </c>
      <c r="E61" s="9" t="s">
        <v>142</v>
      </c>
      <c r="J61" s="9" t="s">
        <v>142</v>
      </c>
      <c r="O61" s="9" t="s">
        <v>142</v>
      </c>
      <c r="T61" s="9" t="s">
        <v>142</v>
      </c>
      <c r="Y61" s="9" t="s">
        <v>142</v>
      </c>
      <c r="AD61" s="9" t="s">
        <v>142</v>
      </c>
      <c r="AI61" s="9" t="s">
        <v>142</v>
      </c>
      <c r="AN61" s="9" t="s">
        <v>142</v>
      </c>
      <c r="AS61" s="9" t="s">
        <v>142</v>
      </c>
    </row>
    <row r="62" spans="1:45" x14ac:dyDescent="0.25">
      <c r="A62" s="5" t="s">
        <v>2676</v>
      </c>
      <c r="B62" s="5" t="s">
        <v>2605</v>
      </c>
      <c r="C62" s="5" t="s">
        <v>119</v>
      </c>
      <c r="D62" s="5" t="s">
        <v>451</v>
      </c>
      <c r="E62" s="9" t="s">
        <v>142</v>
      </c>
      <c r="J62" s="9" t="s">
        <v>142</v>
      </c>
      <c r="O62" s="9" t="s">
        <v>142</v>
      </c>
      <c r="T62" s="9" t="s">
        <v>142</v>
      </c>
      <c r="Y62" s="9" t="s">
        <v>142</v>
      </c>
      <c r="AD62" s="9" t="s">
        <v>142</v>
      </c>
      <c r="AI62" s="9" t="s">
        <v>142</v>
      </c>
      <c r="AN62" s="9" t="s">
        <v>142</v>
      </c>
      <c r="AS62" s="9" t="s">
        <v>142</v>
      </c>
    </row>
    <row r="63" spans="1:45" x14ac:dyDescent="0.25">
      <c r="A63" s="5" t="s">
        <v>2677</v>
      </c>
      <c r="B63" s="5" t="s">
        <v>2605</v>
      </c>
      <c r="C63" s="5" t="s">
        <v>119</v>
      </c>
      <c r="D63" s="5" t="s">
        <v>451</v>
      </c>
      <c r="E63" s="9" t="s">
        <v>142</v>
      </c>
      <c r="J63" s="9" t="s">
        <v>142</v>
      </c>
      <c r="O63" s="9" t="s">
        <v>142</v>
      </c>
      <c r="T63" s="9" t="s">
        <v>142</v>
      </c>
      <c r="Y63" s="9" t="s">
        <v>142</v>
      </c>
      <c r="AD63" s="9" t="s">
        <v>142</v>
      </c>
      <c r="AI63" s="9" t="s">
        <v>142</v>
      </c>
      <c r="AN63" s="9" t="s">
        <v>142</v>
      </c>
      <c r="AS63" s="9" t="s">
        <v>142</v>
      </c>
    </row>
    <row r="64" spans="1:45" x14ac:dyDescent="0.25">
      <c r="A64" s="5" t="s">
        <v>2678</v>
      </c>
      <c r="B64" s="5" t="s">
        <v>1593</v>
      </c>
      <c r="C64" s="5" t="s">
        <v>1542</v>
      </c>
      <c r="D64" s="5" t="s">
        <v>2621</v>
      </c>
      <c r="E64" s="9" t="s">
        <v>142</v>
      </c>
      <c r="J64" s="9" t="s">
        <v>142</v>
      </c>
      <c r="O64" s="9" t="s">
        <v>142</v>
      </c>
      <c r="T64" s="9" t="s">
        <v>142</v>
      </c>
      <c r="Y64" s="9" t="s">
        <v>142</v>
      </c>
      <c r="AD64" s="9" t="s">
        <v>142</v>
      </c>
      <c r="AI64" s="9" t="s">
        <v>142</v>
      </c>
      <c r="AN64" s="9" t="s">
        <v>142</v>
      </c>
      <c r="AS64" s="9" t="s">
        <v>142</v>
      </c>
    </row>
    <row r="65" spans="1:45" x14ac:dyDescent="0.25">
      <c r="A65" s="5" t="s">
        <v>2679</v>
      </c>
      <c r="B65" s="5" t="s">
        <v>2622</v>
      </c>
      <c r="C65" s="5" t="s">
        <v>1949</v>
      </c>
      <c r="D65" s="5" t="s">
        <v>2623</v>
      </c>
      <c r="E65" s="9" t="s">
        <v>142</v>
      </c>
      <c r="J65" s="9" t="s">
        <v>142</v>
      </c>
      <c r="O65" s="9" t="s">
        <v>142</v>
      </c>
      <c r="T65" s="9" t="s">
        <v>142</v>
      </c>
      <c r="Y65" s="9" t="s">
        <v>142</v>
      </c>
      <c r="AD65" s="9" t="s">
        <v>142</v>
      </c>
      <c r="AI65" s="9" t="s">
        <v>142</v>
      </c>
      <c r="AN65" s="9" t="s">
        <v>142</v>
      </c>
      <c r="AS65" s="9" t="s">
        <v>142</v>
      </c>
    </row>
    <row r="66" spans="1:45" x14ac:dyDescent="0.25">
      <c r="A66" s="5" t="s">
        <v>2680</v>
      </c>
      <c r="B66" s="5" t="s">
        <v>2622</v>
      </c>
      <c r="C66" s="5" t="s">
        <v>1949</v>
      </c>
      <c r="D66" s="5" t="s">
        <v>2623</v>
      </c>
    </row>
    <row r="67" spans="1:45" x14ac:dyDescent="0.25">
      <c r="A67" s="5" t="s">
        <v>2681</v>
      </c>
      <c r="B67" s="5" t="s">
        <v>1593</v>
      </c>
      <c r="C67" s="5" t="s">
        <v>1542</v>
      </c>
      <c r="D67" s="5" t="s">
        <v>2621</v>
      </c>
    </row>
    <row r="68" spans="1:45" x14ac:dyDescent="0.25">
      <c r="A68" s="5" t="s">
        <v>2682</v>
      </c>
      <c r="B68" s="5" t="s">
        <v>2605</v>
      </c>
      <c r="C68" s="5" t="s">
        <v>119</v>
      </c>
      <c r="D68" s="5" t="s">
        <v>451</v>
      </c>
    </row>
    <row r="69" spans="1:45" x14ac:dyDescent="0.25">
      <c r="A69" s="5" t="s">
        <v>2683</v>
      </c>
      <c r="B69" s="5" t="s">
        <v>2622</v>
      </c>
      <c r="C69" s="5" t="s">
        <v>1949</v>
      </c>
      <c r="D69" s="5" t="s">
        <v>2623</v>
      </c>
    </row>
    <row r="70" spans="1:45" x14ac:dyDescent="0.25">
      <c r="A70" s="5" t="s">
        <v>2684</v>
      </c>
      <c r="B70" s="5" t="s">
        <v>1593</v>
      </c>
      <c r="C70" s="5" t="s">
        <v>1542</v>
      </c>
      <c r="D70" s="5" t="s">
        <v>2621</v>
      </c>
    </row>
    <row r="71" spans="1:45" x14ac:dyDescent="0.25">
      <c r="A71" s="5" t="s">
        <v>2685</v>
      </c>
      <c r="B71" s="5" t="s">
        <v>2605</v>
      </c>
      <c r="C71" s="5" t="s">
        <v>119</v>
      </c>
      <c r="D71" s="5" t="s">
        <v>451</v>
      </c>
    </row>
    <row r="72" spans="1:45" x14ac:dyDescent="0.25">
      <c r="A72" s="5" t="s">
        <v>2686</v>
      </c>
      <c r="B72" s="5" t="s">
        <v>2605</v>
      </c>
      <c r="C72" s="5" t="s">
        <v>119</v>
      </c>
      <c r="D72" s="5" t="s">
        <v>451</v>
      </c>
    </row>
    <row r="73" spans="1:45" x14ac:dyDescent="0.25">
      <c r="A73" s="5" t="s">
        <v>2687</v>
      </c>
      <c r="B73" s="5" t="s">
        <v>2622</v>
      </c>
      <c r="C73" s="5" t="s">
        <v>1949</v>
      </c>
      <c r="D73" s="5" t="s">
        <v>2623</v>
      </c>
    </row>
    <row r="74" spans="1:45" x14ac:dyDescent="0.25">
      <c r="A74" s="5" t="s">
        <v>2688</v>
      </c>
      <c r="B74" s="5" t="s">
        <v>2622</v>
      </c>
      <c r="C74" s="5" t="s">
        <v>1949</v>
      </c>
      <c r="D74" s="5" t="s">
        <v>2623</v>
      </c>
    </row>
    <row r="75" spans="1:45" x14ac:dyDescent="0.25">
      <c r="A75" s="5" t="s">
        <v>2689</v>
      </c>
      <c r="B75" s="5" t="s">
        <v>1593</v>
      </c>
      <c r="C75" s="5" t="s">
        <v>1542</v>
      </c>
      <c r="D75" s="5" t="s">
        <v>2621</v>
      </c>
    </row>
    <row r="76" spans="1:45" x14ac:dyDescent="0.25">
      <c r="A76" s="5" t="s">
        <v>2690</v>
      </c>
      <c r="B76" s="5" t="s">
        <v>2605</v>
      </c>
      <c r="C76" s="5" t="s">
        <v>119</v>
      </c>
      <c r="D76" s="5" t="s">
        <v>451</v>
      </c>
    </row>
    <row r="77" spans="1:45" x14ac:dyDescent="0.25">
      <c r="A77" s="5" t="s">
        <v>2691</v>
      </c>
      <c r="B77" s="5" t="s">
        <v>2605</v>
      </c>
      <c r="C77" s="5" t="s">
        <v>119</v>
      </c>
      <c r="D77" s="5" t="s">
        <v>451</v>
      </c>
    </row>
    <row r="78" spans="1:45" x14ac:dyDescent="0.25">
      <c r="A78" s="5" t="s">
        <v>2692</v>
      </c>
      <c r="B78" s="5" t="s">
        <v>2622</v>
      </c>
      <c r="C78" s="5" t="s">
        <v>1949</v>
      </c>
      <c r="D78" s="5" t="s">
        <v>2623</v>
      </c>
    </row>
    <row r="79" spans="1:45" x14ac:dyDescent="0.25">
      <c r="A79" s="5" t="s">
        <v>2693</v>
      </c>
      <c r="B79" s="5" t="s">
        <v>1593</v>
      </c>
      <c r="C79" s="5" t="s">
        <v>1542</v>
      </c>
      <c r="D79" s="5" t="s">
        <v>2621</v>
      </c>
    </row>
    <row r="80" spans="1:45" x14ac:dyDescent="0.25">
      <c r="A80" s="5" t="s">
        <v>2694</v>
      </c>
      <c r="B80" s="5" t="s">
        <v>1593</v>
      </c>
      <c r="C80" s="5" t="s">
        <v>1542</v>
      </c>
      <c r="D80" s="5" t="s">
        <v>2621</v>
      </c>
    </row>
    <row r="81" spans="1:4" x14ac:dyDescent="0.25">
      <c r="A81" s="5" t="s">
        <v>2695</v>
      </c>
      <c r="B81" s="5" t="s">
        <v>2622</v>
      </c>
      <c r="C81" s="5" t="s">
        <v>1949</v>
      </c>
      <c r="D81" s="5" t="s">
        <v>2623</v>
      </c>
    </row>
    <row r="82" spans="1:4" x14ac:dyDescent="0.25">
      <c r="A82" s="5" t="s">
        <v>2696</v>
      </c>
      <c r="B82" s="5" t="s">
        <v>2605</v>
      </c>
      <c r="C82" s="5" t="s">
        <v>119</v>
      </c>
      <c r="D82" s="5" t="s">
        <v>451</v>
      </c>
    </row>
    <row r="83" spans="1:4" x14ac:dyDescent="0.25">
      <c r="A83" s="5" t="s">
        <v>2697</v>
      </c>
      <c r="B83" s="5" t="s">
        <v>1593</v>
      </c>
      <c r="C83" s="5" t="s">
        <v>1542</v>
      </c>
      <c r="D83" s="5" t="s">
        <v>2621</v>
      </c>
    </row>
    <row r="84" spans="1:4" x14ac:dyDescent="0.25">
      <c r="A84" s="5" t="s">
        <v>2698</v>
      </c>
      <c r="B84" s="5" t="s">
        <v>2622</v>
      </c>
      <c r="C84" s="5" t="s">
        <v>1949</v>
      </c>
      <c r="D84" s="5" t="s">
        <v>2623</v>
      </c>
    </row>
    <row r="85" spans="1:4" x14ac:dyDescent="0.25">
      <c r="A85" s="5" t="s">
        <v>2699</v>
      </c>
      <c r="B85" s="5" t="s">
        <v>2605</v>
      </c>
      <c r="C85" s="5" t="s">
        <v>119</v>
      </c>
      <c r="D85" s="5" t="s">
        <v>451</v>
      </c>
    </row>
    <row r="86" spans="1:4" x14ac:dyDescent="0.25">
      <c r="A86" s="5" t="s">
        <v>2700</v>
      </c>
      <c r="B86" s="5" t="s">
        <v>2605</v>
      </c>
      <c r="C86" s="5" t="s">
        <v>119</v>
      </c>
      <c r="D86" s="5" t="s">
        <v>451</v>
      </c>
    </row>
    <row r="87" spans="1:4" x14ac:dyDescent="0.25">
      <c r="A87" s="5" t="s">
        <v>2701</v>
      </c>
      <c r="B87" s="5" t="s">
        <v>2622</v>
      </c>
      <c r="C87" s="5" t="s">
        <v>1949</v>
      </c>
      <c r="D87" s="5" t="s">
        <v>2623</v>
      </c>
    </row>
    <row r="88" spans="1:4" x14ac:dyDescent="0.25">
      <c r="A88" s="5" t="s">
        <v>2702</v>
      </c>
      <c r="B88" s="5" t="s">
        <v>1593</v>
      </c>
      <c r="C88" s="5" t="s">
        <v>1542</v>
      </c>
      <c r="D88" s="5" t="s">
        <v>2621</v>
      </c>
    </row>
    <row r="89" spans="1:4" x14ac:dyDescent="0.25">
      <c r="A89" s="5" t="s">
        <v>2703</v>
      </c>
      <c r="B89" s="5" t="s">
        <v>1593</v>
      </c>
      <c r="C89" s="5" t="s">
        <v>1542</v>
      </c>
      <c r="D89" s="5" t="s">
        <v>2621</v>
      </c>
    </row>
    <row r="90" spans="1:4" x14ac:dyDescent="0.25">
      <c r="A90" s="5" t="s">
        <v>2704</v>
      </c>
      <c r="B90" s="5" t="s">
        <v>2622</v>
      </c>
      <c r="C90" s="5" t="s">
        <v>1949</v>
      </c>
      <c r="D90" s="5" t="s">
        <v>2623</v>
      </c>
    </row>
    <row r="91" spans="1:4" x14ac:dyDescent="0.25">
      <c r="A91" s="5" t="s">
        <v>2705</v>
      </c>
      <c r="B91" s="5" t="s">
        <v>2605</v>
      </c>
      <c r="C91" s="5" t="s">
        <v>119</v>
      </c>
      <c r="D91" s="5" t="s">
        <v>451</v>
      </c>
    </row>
    <row r="92" spans="1:4" x14ac:dyDescent="0.25">
      <c r="A92" s="5" t="s">
        <v>2706</v>
      </c>
      <c r="B92" s="5" t="s">
        <v>2605</v>
      </c>
      <c r="C92" s="5" t="s">
        <v>119</v>
      </c>
      <c r="D92" s="5" t="s">
        <v>451</v>
      </c>
    </row>
    <row r="93" spans="1:4" x14ac:dyDescent="0.25">
      <c r="A93" s="5" t="s">
        <v>2707</v>
      </c>
      <c r="B93" s="5" t="s">
        <v>2622</v>
      </c>
      <c r="C93" s="5" t="s">
        <v>1949</v>
      </c>
      <c r="D93" s="5" t="s">
        <v>2623</v>
      </c>
    </row>
    <row r="94" spans="1:4" x14ac:dyDescent="0.25">
      <c r="A94" s="5" t="s">
        <v>2708</v>
      </c>
      <c r="B94" s="5" t="s">
        <v>2622</v>
      </c>
      <c r="C94" s="5" t="s">
        <v>1949</v>
      </c>
      <c r="D94" s="5" t="s">
        <v>2623</v>
      </c>
    </row>
    <row r="95" spans="1:4" x14ac:dyDescent="0.25">
      <c r="A95" s="5" t="s">
        <v>2709</v>
      </c>
      <c r="B95" s="5" t="s">
        <v>1593</v>
      </c>
      <c r="C95" s="5" t="s">
        <v>1542</v>
      </c>
      <c r="D95" s="5" t="s">
        <v>2621</v>
      </c>
    </row>
    <row r="96" spans="1:4" x14ac:dyDescent="0.25">
      <c r="A96" s="5" t="s">
        <v>2710</v>
      </c>
      <c r="B96" s="5" t="s">
        <v>2605</v>
      </c>
      <c r="C96" s="5" t="s">
        <v>119</v>
      </c>
      <c r="D96" s="5" t="s">
        <v>451</v>
      </c>
    </row>
    <row r="97" spans="1:4" x14ac:dyDescent="0.25">
      <c r="A97" s="5" t="s">
        <v>2711</v>
      </c>
      <c r="B97" s="5" t="s">
        <v>2622</v>
      </c>
      <c r="C97" s="5" t="s">
        <v>1949</v>
      </c>
      <c r="D97" s="5" t="s">
        <v>2623</v>
      </c>
    </row>
    <row r="98" spans="1:4" x14ac:dyDescent="0.25">
      <c r="A98" s="5" t="s">
        <v>2712</v>
      </c>
      <c r="B98" s="5" t="s">
        <v>1593</v>
      </c>
      <c r="C98" s="5" t="s">
        <v>1542</v>
      </c>
      <c r="D98" s="5" t="s">
        <v>2621</v>
      </c>
    </row>
    <row r="99" spans="1:4" x14ac:dyDescent="0.25">
      <c r="A99" s="5" t="s">
        <v>2713</v>
      </c>
      <c r="B99" s="5" t="s">
        <v>2605</v>
      </c>
      <c r="C99" s="5" t="s">
        <v>119</v>
      </c>
      <c r="D99" s="5" t="s">
        <v>451</v>
      </c>
    </row>
    <row r="100" spans="1:4" x14ac:dyDescent="0.25">
      <c r="A100" s="5" t="s">
        <v>2714</v>
      </c>
      <c r="B100" s="5" t="s">
        <v>2605</v>
      </c>
      <c r="C100" s="5" t="s">
        <v>119</v>
      </c>
      <c r="D100" s="5" t="s">
        <v>451</v>
      </c>
    </row>
    <row r="101" spans="1:4" x14ac:dyDescent="0.25">
      <c r="A101" s="5" t="s">
        <v>2715</v>
      </c>
      <c r="B101" s="5" t="s">
        <v>1593</v>
      </c>
      <c r="C101" s="5" t="s">
        <v>1542</v>
      </c>
      <c r="D101" s="5" t="s">
        <v>2621</v>
      </c>
    </row>
    <row r="102" spans="1:4" x14ac:dyDescent="0.25">
      <c r="A102" s="5" t="s">
        <v>2716</v>
      </c>
      <c r="B102" s="5" t="s">
        <v>2622</v>
      </c>
      <c r="C102" s="5" t="s">
        <v>1949</v>
      </c>
      <c r="D102" s="5" t="s">
        <v>2623</v>
      </c>
    </row>
    <row r="103" spans="1:4" x14ac:dyDescent="0.25">
      <c r="A103" s="5" t="s">
        <v>2717</v>
      </c>
      <c r="B103" s="5" t="s">
        <v>2622</v>
      </c>
      <c r="C103" s="5" t="s">
        <v>1949</v>
      </c>
      <c r="D103" s="5" t="s">
        <v>2623</v>
      </c>
    </row>
    <row r="104" spans="1:4" x14ac:dyDescent="0.25">
      <c r="A104" s="5" t="s">
        <v>2718</v>
      </c>
      <c r="B104" s="5" t="s">
        <v>1593</v>
      </c>
      <c r="C104" s="5" t="s">
        <v>1542</v>
      </c>
      <c r="D104" s="5" t="s">
        <v>2621</v>
      </c>
    </row>
    <row r="105" spans="1:4" x14ac:dyDescent="0.25">
      <c r="A105" s="5" t="s">
        <v>2719</v>
      </c>
      <c r="B105" s="5" t="s">
        <v>2605</v>
      </c>
      <c r="C105" s="5" t="s">
        <v>119</v>
      </c>
      <c r="D105" s="5" t="s">
        <v>451</v>
      </c>
    </row>
    <row r="106" spans="1:4" x14ac:dyDescent="0.25">
      <c r="A106" s="5" t="s">
        <v>2720</v>
      </c>
      <c r="B106" s="5" t="s">
        <v>2605</v>
      </c>
      <c r="C106" s="5" t="s">
        <v>119</v>
      </c>
      <c r="D106" s="5" t="s">
        <v>451</v>
      </c>
    </row>
    <row r="107" spans="1:4" x14ac:dyDescent="0.25">
      <c r="A107" s="5" t="s">
        <v>2721</v>
      </c>
      <c r="B107" s="5" t="s">
        <v>2622</v>
      </c>
      <c r="C107" s="5" t="s">
        <v>1949</v>
      </c>
      <c r="D107" s="5" t="s">
        <v>2623</v>
      </c>
    </row>
    <row r="108" spans="1:4" x14ac:dyDescent="0.25">
      <c r="A108" s="5" t="s">
        <v>2722</v>
      </c>
      <c r="B108" s="5" t="s">
        <v>1593</v>
      </c>
      <c r="C108" s="5" t="s">
        <v>1542</v>
      </c>
      <c r="D108" s="5" t="s">
        <v>2621</v>
      </c>
    </row>
    <row r="109" spans="1:4" x14ac:dyDescent="0.25">
      <c r="A109" s="5" t="s">
        <v>2723</v>
      </c>
      <c r="B109" s="5" t="s">
        <v>1593</v>
      </c>
      <c r="C109" s="5" t="s">
        <v>1542</v>
      </c>
      <c r="D109" s="5" t="s">
        <v>2621</v>
      </c>
    </row>
    <row r="110" spans="1:4" x14ac:dyDescent="0.25">
      <c r="A110" s="5" t="s">
        <v>2724</v>
      </c>
      <c r="B110" s="5" t="s">
        <v>2622</v>
      </c>
      <c r="C110" s="5" t="s">
        <v>1949</v>
      </c>
      <c r="D110" s="5" t="s">
        <v>2623</v>
      </c>
    </row>
    <row r="111" spans="1:4" x14ac:dyDescent="0.25">
      <c r="A111" s="5" t="s">
        <v>2725</v>
      </c>
      <c r="B111" s="5" t="s">
        <v>2605</v>
      </c>
      <c r="C111" s="5" t="s">
        <v>119</v>
      </c>
      <c r="D111" s="5" t="s">
        <v>451</v>
      </c>
    </row>
    <row r="112" spans="1:4" x14ac:dyDescent="0.25">
      <c r="A112" s="5" t="s">
        <v>2726</v>
      </c>
      <c r="B112" s="5" t="s">
        <v>1593</v>
      </c>
      <c r="C112" s="5" t="s">
        <v>1542</v>
      </c>
      <c r="D112" s="5" t="s">
        <v>2621</v>
      </c>
    </row>
    <row r="113" spans="1:4" x14ac:dyDescent="0.25">
      <c r="A113" s="5" t="s">
        <v>2727</v>
      </c>
      <c r="B113" s="5" t="s">
        <v>2605</v>
      </c>
      <c r="C113" s="5" t="s">
        <v>119</v>
      </c>
      <c r="D113" s="5" t="s">
        <v>451</v>
      </c>
    </row>
    <row r="114" spans="1:4" x14ac:dyDescent="0.25">
      <c r="A114" s="5" t="s">
        <v>2728</v>
      </c>
      <c r="B114" s="5" t="s">
        <v>2605</v>
      </c>
      <c r="C114" s="5" t="s">
        <v>119</v>
      </c>
      <c r="D114" s="5" t="s">
        <v>451</v>
      </c>
    </row>
    <row r="115" spans="1:4" x14ac:dyDescent="0.25">
      <c r="A115" s="5" t="s">
        <v>2729</v>
      </c>
      <c r="B115" s="5" t="s">
        <v>2622</v>
      </c>
      <c r="C115" s="5" t="s">
        <v>1949</v>
      </c>
      <c r="D115" s="5" t="s">
        <v>2623</v>
      </c>
    </row>
    <row r="116" spans="1:4" x14ac:dyDescent="0.25">
      <c r="A116" s="5" t="s">
        <v>2730</v>
      </c>
      <c r="B116" s="5" t="s">
        <v>1593</v>
      </c>
      <c r="C116" s="5" t="s">
        <v>1542</v>
      </c>
      <c r="D116" s="5" t="s">
        <v>2621</v>
      </c>
    </row>
    <row r="117" spans="1:4" x14ac:dyDescent="0.25">
      <c r="A117" s="5" t="s">
        <v>2731</v>
      </c>
      <c r="B117" s="5" t="s">
        <v>1593</v>
      </c>
      <c r="C117" s="5" t="s">
        <v>1542</v>
      </c>
      <c r="D117" s="5" t="s">
        <v>2621</v>
      </c>
    </row>
    <row r="118" spans="1:4" x14ac:dyDescent="0.25">
      <c r="A118" s="5" t="s">
        <v>2732</v>
      </c>
      <c r="B118" s="5" t="s">
        <v>2622</v>
      </c>
      <c r="C118" s="5" t="s">
        <v>1949</v>
      </c>
      <c r="D118" s="5" t="s">
        <v>2623</v>
      </c>
    </row>
    <row r="119" spans="1:4" x14ac:dyDescent="0.25">
      <c r="A119" s="5" t="s">
        <v>2733</v>
      </c>
      <c r="B119" s="5" t="s">
        <v>2605</v>
      </c>
      <c r="C119" s="5" t="s">
        <v>119</v>
      </c>
      <c r="D119" s="5" t="s">
        <v>451</v>
      </c>
    </row>
    <row r="120" spans="1:4" x14ac:dyDescent="0.25">
      <c r="A120" s="5" t="s">
        <v>2734</v>
      </c>
      <c r="B120" s="5" t="s">
        <v>2605</v>
      </c>
      <c r="C120" s="5" t="s">
        <v>119</v>
      </c>
      <c r="D120" s="5" t="s">
        <v>451</v>
      </c>
    </row>
    <row r="121" spans="1:4" x14ac:dyDescent="0.25">
      <c r="A121" s="5" t="s">
        <v>2735</v>
      </c>
      <c r="B121" s="5" t="s">
        <v>1593</v>
      </c>
      <c r="C121" s="5" t="s">
        <v>1542</v>
      </c>
      <c r="D121" s="5" t="s">
        <v>2621</v>
      </c>
    </row>
    <row r="122" spans="1:4" x14ac:dyDescent="0.25">
      <c r="A122" s="5" t="s">
        <v>2736</v>
      </c>
      <c r="B122" s="5" t="s">
        <v>2622</v>
      </c>
      <c r="C122" s="5" t="s">
        <v>1949</v>
      </c>
      <c r="D122" s="5" t="s">
        <v>2623</v>
      </c>
    </row>
    <row r="123" spans="1:4" x14ac:dyDescent="0.25">
      <c r="A123" s="5" t="s">
        <v>2737</v>
      </c>
      <c r="B123" s="5" t="s">
        <v>2622</v>
      </c>
      <c r="C123" s="5" t="s">
        <v>1949</v>
      </c>
      <c r="D123" s="5" t="s">
        <v>2623</v>
      </c>
    </row>
    <row r="124" spans="1:4" x14ac:dyDescent="0.25">
      <c r="A124" s="5" t="s">
        <v>2738</v>
      </c>
      <c r="B124" s="5" t="s">
        <v>1593</v>
      </c>
      <c r="C124" s="5" t="s">
        <v>1542</v>
      </c>
      <c r="D124" s="5" t="s">
        <v>2621</v>
      </c>
    </row>
    <row r="125" spans="1:4" x14ac:dyDescent="0.25">
      <c r="A125" s="5" t="s">
        <v>2739</v>
      </c>
      <c r="B125" s="5" t="s">
        <v>2605</v>
      </c>
      <c r="C125" s="5" t="s">
        <v>119</v>
      </c>
      <c r="D125" s="5" t="s">
        <v>451</v>
      </c>
    </row>
    <row r="126" spans="1:4" x14ac:dyDescent="0.25">
      <c r="A126" s="5" t="s">
        <v>2740</v>
      </c>
      <c r="B126" s="5" t="s">
        <v>2622</v>
      </c>
      <c r="C126" s="5" t="s">
        <v>1949</v>
      </c>
      <c r="D126" s="5" t="s">
        <v>2623</v>
      </c>
    </row>
    <row r="127" spans="1:4" x14ac:dyDescent="0.25">
      <c r="A127" s="5" t="s">
        <v>2741</v>
      </c>
      <c r="B127" s="5" t="s">
        <v>1593</v>
      </c>
      <c r="C127" s="5" t="s">
        <v>1542</v>
      </c>
      <c r="D127" s="5" t="s">
        <v>2621</v>
      </c>
    </row>
    <row r="128" spans="1:4" x14ac:dyDescent="0.25">
      <c r="A128" s="5" t="s">
        <v>2742</v>
      </c>
      <c r="B128" s="5" t="s">
        <v>2605</v>
      </c>
      <c r="C128" s="5" t="s">
        <v>119</v>
      </c>
      <c r="D128" s="5" t="s">
        <v>451</v>
      </c>
    </row>
    <row r="129" spans="1:4" x14ac:dyDescent="0.25">
      <c r="A129" s="5" t="s">
        <v>2743</v>
      </c>
      <c r="B129" s="5" t="s">
        <v>2605</v>
      </c>
      <c r="C129" s="5" t="s">
        <v>119</v>
      </c>
      <c r="D129" s="5" t="s">
        <v>451</v>
      </c>
    </row>
    <row r="130" spans="1:4" x14ac:dyDescent="0.25">
      <c r="A130" s="5" t="s">
        <v>2744</v>
      </c>
      <c r="B130" s="5" t="s">
        <v>1593</v>
      </c>
      <c r="C130" s="5" t="s">
        <v>1542</v>
      </c>
      <c r="D130" s="5" t="s">
        <v>2621</v>
      </c>
    </row>
    <row r="131" spans="1:4" x14ac:dyDescent="0.25">
      <c r="A131" s="5" t="s">
        <v>2745</v>
      </c>
      <c r="B131" s="5" t="s">
        <v>2622</v>
      </c>
      <c r="C131" s="5" t="s">
        <v>1949</v>
      </c>
      <c r="D131" s="5" t="s">
        <v>2623</v>
      </c>
    </row>
    <row r="132" spans="1:4" x14ac:dyDescent="0.25">
      <c r="A132" s="5" t="s">
        <v>2746</v>
      </c>
      <c r="B132" s="5" t="s">
        <v>2622</v>
      </c>
      <c r="C132" s="5" t="s">
        <v>1949</v>
      </c>
      <c r="D132" s="5" t="s">
        <v>2623</v>
      </c>
    </row>
    <row r="133" spans="1:4" x14ac:dyDescent="0.25">
      <c r="A133" s="5" t="s">
        <v>2747</v>
      </c>
      <c r="B133" s="5" t="s">
        <v>2605</v>
      </c>
      <c r="C133" s="5" t="s">
        <v>119</v>
      </c>
      <c r="D133" s="5" t="s">
        <v>451</v>
      </c>
    </row>
    <row r="134" spans="1:4" x14ac:dyDescent="0.25">
      <c r="A134" s="5" t="s">
        <v>2748</v>
      </c>
      <c r="B134" s="5" t="s">
        <v>2605</v>
      </c>
      <c r="C134" s="5" t="s">
        <v>119</v>
      </c>
      <c r="D134" s="5" t="s">
        <v>451</v>
      </c>
    </row>
    <row r="135" spans="1:4" x14ac:dyDescent="0.25">
      <c r="A135" s="5" t="s">
        <v>2749</v>
      </c>
      <c r="B135" s="5" t="s">
        <v>2622</v>
      </c>
      <c r="C135" s="5" t="s">
        <v>1949</v>
      </c>
      <c r="D135" s="5" t="s">
        <v>2623</v>
      </c>
    </row>
    <row r="136" spans="1:4" x14ac:dyDescent="0.25">
      <c r="A136" s="5" t="s">
        <v>2750</v>
      </c>
      <c r="B136" s="5" t="s">
        <v>1593</v>
      </c>
      <c r="C136" s="5" t="s">
        <v>1542</v>
      </c>
      <c r="D136" s="5" t="s">
        <v>2621</v>
      </c>
    </row>
    <row r="137" spans="1:4" x14ac:dyDescent="0.25">
      <c r="A137" s="5" t="s">
        <v>2751</v>
      </c>
      <c r="B137" s="5" t="s">
        <v>1593</v>
      </c>
      <c r="C137" s="5" t="s">
        <v>1542</v>
      </c>
      <c r="D137" s="5" t="s">
        <v>2621</v>
      </c>
    </row>
    <row r="138" spans="1:4" x14ac:dyDescent="0.25">
      <c r="A138" s="5" t="s">
        <v>2752</v>
      </c>
      <c r="B138" s="5" t="s">
        <v>2622</v>
      </c>
      <c r="C138" s="5" t="s">
        <v>1949</v>
      </c>
      <c r="D138" s="5" t="s">
        <v>2623</v>
      </c>
    </row>
    <row r="139" spans="1:4" x14ac:dyDescent="0.25">
      <c r="A139" s="5" t="s">
        <v>2753</v>
      </c>
      <c r="B139" s="5" t="s">
        <v>2605</v>
      </c>
      <c r="C139" s="5" t="s">
        <v>119</v>
      </c>
      <c r="D139" s="5" t="s">
        <v>451</v>
      </c>
    </row>
    <row r="140" spans="1:4" x14ac:dyDescent="0.25">
      <c r="A140" s="5" t="s">
        <v>2754</v>
      </c>
      <c r="B140" s="5" t="s">
        <v>1593</v>
      </c>
      <c r="C140" s="5" t="s">
        <v>1542</v>
      </c>
      <c r="D140" s="5" t="s">
        <v>2621</v>
      </c>
    </row>
    <row r="141" spans="1:4" x14ac:dyDescent="0.25">
      <c r="A141" s="5" t="s">
        <v>2755</v>
      </c>
      <c r="B141" s="5" t="s">
        <v>2622</v>
      </c>
      <c r="C141" s="5" t="s">
        <v>1949</v>
      </c>
      <c r="D141" s="5" t="s">
        <v>2623</v>
      </c>
    </row>
    <row r="142" spans="1:4" x14ac:dyDescent="0.25">
      <c r="A142" s="5" t="s">
        <v>2756</v>
      </c>
      <c r="B142" s="5" t="s">
        <v>2605</v>
      </c>
      <c r="C142" s="5" t="s">
        <v>119</v>
      </c>
      <c r="D142" s="5" t="s">
        <v>451</v>
      </c>
    </row>
    <row r="143" spans="1:4" x14ac:dyDescent="0.25">
      <c r="A143" s="5" t="s">
        <v>2757</v>
      </c>
      <c r="B143" s="5" t="s">
        <v>2605</v>
      </c>
      <c r="C143" s="5" t="s">
        <v>119</v>
      </c>
      <c r="D143" s="5" t="s">
        <v>451</v>
      </c>
    </row>
    <row r="144" spans="1:4" x14ac:dyDescent="0.25">
      <c r="A144" s="5" t="s">
        <v>2758</v>
      </c>
      <c r="B144" s="5" t="s">
        <v>2622</v>
      </c>
      <c r="C144" s="5" t="s">
        <v>1949</v>
      </c>
      <c r="D144" s="5" t="s">
        <v>2623</v>
      </c>
    </row>
    <row r="145" spans="1:4" x14ac:dyDescent="0.25">
      <c r="A145" s="5" t="s">
        <v>2759</v>
      </c>
      <c r="B145" s="5" t="s">
        <v>1593</v>
      </c>
      <c r="C145" s="5" t="s">
        <v>1542</v>
      </c>
      <c r="D145" s="5" t="s">
        <v>2621</v>
      </c>
    </row>
    <row r="146" spans="1:4" x14ac:dyDescent="0.25">
      <c r="A146" s="5" t="s">
        <v>2760</v>
      </c>
      <c r="B146" s="5" t="s">
        <v>1593</v>
      </c>
      <c r="C146" s="5" t="s">
        <v>1542</v>
      </c>
      <c r="D146" s="5" t="s">
        <v>2621</v>
      </c>
    </row>
    <row r="147" spans="1:4" x14ac:dyDescent="0.25">
      <c r="A147" s="5" t="s">
        <v>2761</v>
      </c>
      <c r="B147" s="5" t="s">
        <v>2622</v>
      </c>
      <c r="C147" s="5" t="s">
        <v>1949</v>
      </c>
      <c r="D147" s="5" t="s">
        <v>2623</v>
      </c>
    </row>
    <row r="148" spans="1:4" x14ac:dyDescent="0.25">
      <c r="A148" s="5" t="s">
        <v>2762</v>
      </c>
      <c r="B148" s="5" t="s">
        <v>2605</v>
      </c>
      <c r="C148" s="5" t="s">
        <v>119</v>
      </c>
      <c r="D148" s="5" t="s">
        <v>451</v>
      </c>
    </row>
    <row r="149" spans="1:4" x14ac:dyDescent="0.25">
      <c r="A149" s="5" t="s">
        <v>2763</v>
      </c>
      <c r="B149" s="5" t="s">
        <v>2605</v>
      </c>
      <c r="C149" s="5" t="s">
        <v>119</v>
      </c>
      <c r="D149" s="5" t="s">
        <v>451</v>
      </c>
    </row>
    <row r="150" spans="1:4" x14ac:dyDescent="0.25">
      <c r="A150" s="5" t="s">
        <v>2764</v>
      </c>
      <c r="B150" s="5" t="s">
        <v>1593</v>
      </c>
      <c r="C150" s="5" t="s">
        <v>1542</v>
      </c>
      <c r="D150" s="5" t="s">
        <v>2621</v>
      </c>
    </row>
    <row r="151" spans="1:4" x14ac:dyDescent="0.25">
      <c r="A151" s="5" t="s">
        <v>2765</v>
      </c>
      <c r="B151" s="5" t="s">
        <v>2622</v>
      </c>
      <c r="C151" s="5" t="s">
        <v>1949</v>
      </c>
      <c r="D151" s="5" t="s">
        <v>2623</v>
      </c>
    </row>
    <row r="152" spans="1:4" x14ac:dyDescent="0.25">
      <c r="A152" s="5" t="s">
        <v>2766</v>
      </c>
      <c r="B152" s="5" t="s">
        <v>2622</v>
      </c>
      <c r="C152" s="5" t="s">
        <v>1949</v>
      </c>
      <c r="D152" s="5" t="s">
        <v>2623</v>
      </c>
    </row>
    <row r="153" spans="1:4" x14ac:dyDescent="0.25">
      <c r="A153" s="5" t="s">
        <v>2767</v>
      </c>
      <c r="B153" s="5" t="s">
        <v>2605</v>
      </c>
      <c r="C153" s="5" t="s">
        <v>119</v>
      </c>
      <c r="D153" s="5" t="s">
        <v>451</v>
      </c>
    </row>
    <row r="154" spans="1:4" x14ac:dyDescent="0.25">
      <c r="A154" s="5" t="s">
        <v>2768</v>
      </c>
      <c r="B154" s="5" t="s">
        <v>2622</v>
      </c>
      <c r="C154" s="5" t="s">
        <v>1949</v>
      </c>
      <c r="D154" s="5" t="s">
        <v>2623</v>
      </c>
    </row>
    <row r="155" spans="1:4" x14ac:dyDescent="0.25">
      <c r="A155" s="5" t="s">
        <v>2769</v>
      </c>
      <c r="B155" s="5" t="s">
        <v>1593</v>
      </c>
      <c r="C155" s="5" t="s">
        <v>1542</v>
      </c>
      <c r="D155" s="5" t="s">
        <v>2621</v>
      </c>
    </row>
    <row r="156" spans="1:4" x14ac:dyDescent="0.25">
      <c r="A156" s="5" t="s">
        <v>2770</v>
      </c>
      <c r="B156" s="5" t="s">
        <v>2605</v>
      </c>
      <c r="C156" s="5" t="s">
        <v>119</v>
      </c>
      <c r="D156" s="5" t="s">
        <v>451</v>
      </c>
    </row>
    <row r="157" spans="1:4" x14ac:dyDescent="0.25">
      <c r="A157" s="5" t="s">
        <v>2771</v>
      </c>
      <c r="B157" s="5" t="s">
        <v>2605</v>
      </c>
      <c r="C157" s="5" t="s">
        <v>119</v>
      </c>
      <c r="D157" s="5" t="s">
        <v>451</v>
      </c>
    </row>
    <row r="158" spans="1:4" x14ac:dyDescent="0.25">
      <c r="A158" s="5" t="s">
        <v>2772</v>
      </c>
      <c r="B158" s="5" t="s">
        <v>1593</v>
      </c>
      <c r="C158" s="5" t="s">
        <v>1542</v>
      </c>
      <c r="D158" s="5" t="s">
        <v>2621</v>
      </c>
    </row>
    <row r="159" spans="1:4" x14ac:dyDescent="0.25">
      <c r="A159" s="5" t="s">
        <v>2773</v>
      </c>
      <c r="B159" s="5" t="s">
        <v>2622</v>
      </c>
      <c r="C159" s="5" t="s">
        <v>1949</v>
      </c>
      <c r="D159" s="5" t="s">
        <v>2623</v>
      </c>
    </row>
    <row r="160" spans="1:4" x14ac:dyDescent="0.25">
      <c r="A160" s="5" t="s">
        <v>2774</v>
      </c>
      <c r="B160" s="5" t="s">
        <v>2622</v>
      </c>
      <c r="C160" s="5" t="s">
        <v>1949</v>
      </c>
      <c r="D160" s="5" t="s">
        <v>2623</v>
      </c>
    </row>
    <row r="161" spans="1:4" x14ac:dyDescent="0.25">
      <c r="A161" s="5" t="s">
        <v>2775</v>
      </c>
      <c r="B161" s="5" t="s">
        <v>1593</v>
      </c>
      <c r="C161" s="5" t="s">
        <v>1542</v>
      </c>
      <c r="D161" s="5" t="s">
        <v>2621</v>
      </c>
    </row>
    <row r="162" spans="1:4" x14ac:dyDescent="0.25">
      <c r="A162" s="5" t="s">
        <v>2776</v>
      </c>
      <c r="B162" s="5" t="s">
        <v>2605</v>
      </c>
      <c r="C162" s="5" t="s">
        <v>119</v>
      </c>
      <c r="D162" s="5" t="s">
        <v>451</v>
      </c>
    </row>
    <row r="163" spans="1:4" x14ac:dyDescent="0.25">
      <c r="A163" s="5" t="s">
        <v>2777</v>
      </c>
      <c r="B163" s="5" t="s">
        <v>2605</v>
      </c>
      <c r="C163" s="5" t="s">
        <v>119</v>
      </c>
      <c r="D163" s="5" t="s">
        <v>451</v>
      </c>
    </row>
    <row r="164" spans="1:4" x14ac:dyDescent="0.25">
      <c r="A164" s="5" t="s">
        <v>2778</v>
      </c>
      <c r="B164" s="5" t="s">
        <v>2622</v>
      </c>
      <c r="C164" s="5" t="s">
        <v>1949</v>
      </c>
      <c r="D164" s="5" t="s">
        <v>2623</v>
      </c>
    </row>
    <row r="165" spans="1:4" x14ac:dyDescent="0.25">
      <c r="A165" s="5" t="s">
        <v>2779</v>
      </c>
      <c r="B165" s="5" t="s">
        <v>1593</v>
      </c>
      <c r="C165" s="5" t="s">
        <v>1542</v>
      </c>
      <c r="D165" s="5" t="s">
        <v>2621</v>
      </c>
    </row>
    <row r="166" spans="1:4" x14ac:dyDescent="0.25">
      <c r="A166" s="5" t="s">
        <v>2780</v>
      </c>
      <c r="B166" s="5" t="s">
        <v>1593</v>
      </c>
      <c r="C166" s="5" t="s">
        <v>1542</v>
      </c>
      <c r="D166" s="5" t="s">
        <v>2621</v>
      </c>
    </row>
    <row r="167" spans="1:4" x14ac:dyDescent="0.25">
      <c r="A167" s="5" t="s">
        <v>2781</v>
      </c>
      <c r="B167" s="5" t="s">
        <v>2622</v>
      </c>
      <c r="C167" s="5" t="s">
        <v>1949</v>
      </c>
      <c r="D167" s="5" t="s">
        <v>2623</v>
      </c>
    </row>
    <row r="168" spans="1:4" x14ac:dyDescent="0.25">
      <c r="A168" s="5" t="s">
        <v>2782</v>
      </c>
      <c r="B168" s="5" t="s">
        <v>2605</v>
      </c>
      <c r="C168" s="5" t="s">
        <v>119</v>
      </c>
      <c r="D168" s="5" t="s">
        <v>451</v>
      </c>
    </row>
    <row r="169" spans="1:4" x14ac:dyDescent="0.25">
      <c r="A169" s="5" t="s">
        <v>2783</v>
      </c>
      <c r="B169" s="5" t="s">
        <v>1593</v>
      </c>
      <c r="C169" s="5" t="s">
        <v>1542</v>
      </c>
      <c r="D169" s="5" t="s">
        <v>2621</v>
      </c>
    </row>
    <row r="170" spans="1:4" x14ac:dyDescent="0.25">
      <c r="A170" s="5" t="s">
        <v>2784</v>
      </c>
      <c r="B170" s="5" t="s">
        <v>2622</v>
      </c>
      <c r="C170" s="5" t="s">
        <v>1949</v>
      </c>
      <c r="D170" s="5" t="s">
        <v>2623</v>
      </c>
    </row>
    <row r="171" spans="1:4" x14ac:dyDescent="0.25">
      <c r="A171" s="5" t="s">
        <v>2785</v>
      </c>
      <c r="B171" s="5" t="s">
        <v>2605</v>
      </c>
      <c r="C171" s="5" t="s">
        <v>119</v>
      </c>
      <c r="D171" s="5" t="s">
        <v>451</v>
      </c>
    </row>
    <row r="172" spans="1:4" x14ac:dyDescent="0.25">
      <c r="A172" s="5" t="s">
        <v>2786</v>
      </c>
      <c r="B172" s="5" t="s">
        <v>2605</v>
      </c>
      <c r="C172" s="5" t="s">
        <v>119</v>
      </c>
      <c r="D172" s="5" t="s">
        <v>451</v>
      </c>
    </row>
    <row r="173" spans="1:4" x14ac:dyDescent="0.25">
      <c r="A173" s="5" t="s">
        <v>2787</v>
      </c>
      <c r="B173" s="5" t="s">
        <v>1593</v>
      </c>
      <c r="C173" s="5" t="s">
        <v>1542</v>
      </c>
      <c r="D173" s="5" t="s">
        <v>2621</v>
      </c>
    </row>
    <row r="174" spans="1:4" x14ac:dyDescent="0.25">
      <c r="A174" s="5" t="s">
        <v>2788</v>
      </c>
      <c r="B174" s="5" t="s">
        <v>1593</v>
      </c>
      <c r="C174" s="5" t="s">
        <v>1542</v>
      </c>
      <c r="D174" s="5" t="s">
        <v>2621</v>
      </c>
    </row>
    <row r="175" spans="1:4" x14ac:dyDescent="0.25">
      <c r="A175" s="5" t="s">
        <v>2789</v>
      </c>
      <c r="B175" s="5" t="s">
        <v>2622</v>
      </c>
      <c r="C175" s="5" t="s">
        <v>1949</v>
      </c>
      <c r="D175" s="5" t="s">
        <v>2623</v>
      </c>
    </row>
    <row r="176" spans="1:4" x14ac:dyDescent="0.25">
      <c r="A176" s="5" t="s">
        <v>2790</v>
      </c>
      <c r="B176" s="5" t="s">
        <v>2605</v>
      </c>
      <c r="C176" s="5" t="s">
        <v>119</v>
      </c>
      <c r="D176" s="5" t="s">
        <v>451</v>
      </c>
    </row>
    <row r="177" spans="1:4" x14ac:dyDescent="0.25">
      <c r="A177" s="5" t="s">
        <v>2791</v>
      </c>
      <c r="B177" s="5" t="s">
        <v>2605</v>
      </c>
      <c r="C177" s="5" t="s">
        <v>119</v>
      </c>
      <c r="D177" s="5" t="s">
        <v>451</v>
      </c>
    </row>
    <row r="178" spans="1:4" x14ac:dyDescent="0.25">
      <c r="A178" s="5" t="s">
        <v>2792</v>
      </c>
      <c r="B178" s="5" t="s">
        <v>1593</v>
      </c>
      <c r="C178" s="5" t="s">
        <v>1542</v>
      </c>
      <c r="D178" s="5" t="s">
        <v>2621</v>
      </c>
    </row>
    <row r="179" spans="1:4" x14ac:dyDescent="0.25">
      <c r="A179" s="5" t="s">
        <v>2793</v>
      </c>
      <c r="B179" s="5" t="s">
        <v>2622</v>
      </c>
      <c r="C179" s="5" t="s">
        <v>1949</v>
      </c>
      <c r="D179" s="5" t="s">
        <v>2623</v>
      </c>
    </row>
    <row r="180" spans="1:4" x14ac:dyDescent="0.25">
      <c r="A180" s="5" t="s">
        <v>2794</v>
      </c>
      <c r="B180" s="5" t="s">
        <v>2622</v>
      </c>
      <c r="C180" s="5" t="s">
        <v>1949</v>
      </c>
      <c r="D180" s="5" t="s">
        <v>2623</v>
      </c>
    </row>
    <row r="181" spans="1:4" x14ac:dyDescent="0.25">
      <c r="A181" s="5" t="s">
        <v>2795</v>
      </c>
      <c r="B181" s="5" t="s">
        <v>1593</v>
      </c>
      <c r="C181" s="5" t="s">
        <v>1542</v>
      </c>
      <c r="D181" s="5" t="s">
        <v>2621</v>
      </c>
    </row>
    <row r="182" spans="1:4" x14ac:dyDescent="0.25">
      <c r="A182" s="5" t="s">
        <v>2796</v>
      </c>
      <c r="B182" s="5" t="s">
        <v>2605</v>
      </c>
      <c r="C182" s="5" t="s">
        <v>119</v>
      </c>
      <c r="D182" s="5" t="s">
        <v>451</v>
      </c>
    </row>
    <row r="183" spans="1:4" x14ac:dyDescent="0.25">
      <c r="A183" s="5" t="s">
        <v>2797</v>
      </c>
      <c r="B183" s="5" t="s">
        <v>2622</v>
      </c>
      <c r="C183" s="5" t="s">
        <v>1949</v>
      </c>
      <c r="D183" s="5" t="s">
        <v>2623</v>
      </c>
    </row>
    <row r="184" spans="1:4" x14ac:dyDescent="0.25">
      <c r="A184" s="5" t="s">
        <v>2798</v>
      </c>
      <c r="B184" s="5" t="s">
        <v>1593</v>
      </c>
      <c r="C184" s="5" t="s">
        <v>1542</v>
      </c>
      <c r="D184" s="5" t="s">
        <v>2621</v>
      </c>
    </row>
    <row r="185" spans="1:4" x14ac:dyDescent="0.25">
      <c r="A185" s="5" t="s">
        <v>2799</v>
      </c>
      <c r="B185" s="5" t="s">
        <v>2605</v>
      </c>
      <c r="C185" s="5" t="s">
        <v>119</v>
      </c>
      <c r="D185" s="5" t="s">
        <v>451</v>
      </c>
    </row>
    <row r="186" spans="1:4" x14ac:dyDescent="0.25">
      <c r="A186" s="5" t="s">
        <v>2800</v>
      </c>
      <c r="B186" s="5" t="s">
        <v>2605</v>
      </c>
      <c r="C186" s="5" t="s">
        <v>119</v>
      </c>
      <c r="D186" s="5" t="s">
        <v>451</v>
      </c>
    </row>
    <row r="187" spans="1:4" x14ac:dyDescent="0.25">
      <c r="A187" s="5" t="s">
        <v>2801</v>
      </c>
      <c r="B187" s="5" t="s">
        <v>1593</v>
      </c>
      <c r="C187" s="5" t="s">
        <v>1542</v>
      </c>
      <c r="D187" s="5" t="s">
        <v>2621</v>
      </c>
    </row>
    <row r="188" spans="1:4" x14ac:dyDescent="0.25">
      <c r="A188" s="5" t="s">
        <v>2802</v>
      </c>
      <c r="B188" s="5" t="s">
        <v>2622</v>
      </c>
      <c r="C188" s="5" t="s">
        <v>1949</v>
      </c>
      <c r="D188" s="5" t="s">
        <v>2623</v>
      </c>
    </row>
    <row r="189" spans="1:4" x14ac:dyDescent="0.25">
      <c r="A189" s="5" t="s">
        <v>2803</v>
      </c>
      <c r="B189" s="5" t="s">
        <v>2622</v>
      </c>
      <c r="C189" s="5" t="s">
        <v>1949</v>
      </c>
      <c r="D189" s="5" t="s">
        <v>2623</v>
      </c>
    </row>
    <row r="190" spans="1:4" x14ac:dyDescent="0.25">
      <c r="A190" s="5" t="s">
        <v>2804</v>
      </c>
      <c r="B190" s="5" t="s">
        <v>1593</v>
      </c>
      <c r="C190" s="5" t="s">
        <v>1542</v>
      </c>
      <c r="D190" s="5" t="s">
        <v>2621</v>
      </c>
    </row>
    <row r="191" spans="1:4" x14ac:dyDescent="0.25">
      <c r="A191" s="5" t="s">
        <v>2805</v>
      </c>
      <c r="B191" s="5" t="s">
        <v>2605</v>
      </c>
      <c r="C191" s="5" t="s">
        <v>119</v>
      </c>
      <c r="D191" s="5" t="s">
        <v>451</v>
      </c>
    </row>
    <row r="192" spans="1:4" x14ac:dyDescent="0.25">
      <c r="A192" s="5" t="s">
        <v>2806</v>
      </c>
      <c r="B192" s="5" t="s">
        <v>2605</v>
      </c>
      <c r="C192" s="5" t="s">
        <v>119</v>
      </c>
      <c r="D192" s="5" t="s">
        <v>451</v>
      </c>
    </row>
    <row r="193" spans="1:4" x14ac:dyDescent="0.25">
      <c r="A193" s="5" t="s">
        <v>2807</v>
      </c>
      <c r="B193" s="5" t="s">
        <v>1593</v>
      </c>
      <c r="C193" s="5" t="s">
        <v>1542</v>
      </c>
      <c r="D193" s="5" t="s">
        <v>2621</v>
      </c>
    </row>
    <row r="194" spans="1:4" x14ac:dyDescent="0.25">
      <c r="A194" s="5" t="s">
        <v>2808</v>
      </c>
      <c r="B194" s="5" t="s">
        <v>1593</v>
      </c>
      <c r="C194" s="5" t="s">
        <v>1542</v>
      </c>
      <c r="D194" s="5" t="s">
        <v>2621</v>
      </c>
    </row>
    <row r="195" spans="1:4" x14ac:dyDescent="0.25">
      <c r="A195" s="5" t="s">
        <v>2809</v>
      </c>
      <c r="B195" s="5" t="s">
        <v>2622</v>
      </c>
      <c r="C195" s="5" t="s">
        <v>1949</v>
      </c>
      <c r="D195" s="5" t="s">
        <v>2623</v>
      </c>
    </row>
    <row r="196" spans="1:4" x14ac:dyDescent="0.25">
      <c r="A196" s="5" t="s">
        <v>2810</v>
      </c>
      <c r="B196" s="5" t="s">
        <v>2605</v>
      </c>
      <c r="C196" s="5" t="s">
        <v>119</v>
      </c>
      <c r="D196" s="5" t="s">
        <v>451</v>
      </c>
    </row>
    <row r="197" spans="1:4" x14ac:dyDescent="0.25">
      <c r="A197" s="5" t="s">
        <v>2811</v>
      </c>
      <c r="B197" s="5" t="s">
        <v>1593</v>
      </c>
      <c r="C197" s="5" t="s">
        <v>1542</v>
      </c>
      <c r="D197" s="5" t="s">
        <v>2621</v>
      </c>
    </row>
    <row r="198" spans="1:4" x14ac:dyDescent="0.25">
      <c r="A198" s="5" t="s">
        <v>2812</v>
      </c>
      <c r="B198" s="5" t="s">
        <v>2622</v>
      </c>
      <c r="C198" s="5" t="s">
        <v>1949</v>
      </c>
      <c r="D198" s="5" t="s">
        <v>2623</v>
      </c>
    </row>
    <row r="199" spans="1:4" x14ac:dyDescent="0.25">
      <c r="A199" s="5" t="s">
        <v>2813</v>
      </c>
      <c r="B199" s="5" t="s">
        <v>2605</v>
      </c>
      <c r="C199" s="5" t="s">
        <v>119</v>
      </c>
      <c r="D199" s="5" t="s">
        <v>451</v>
      </c>
    </row>
    <row r="200" spans="1:4" x14ac:dyDescent="0.25">
      <c r="A200" s="5" t="s">
        <v>2814</v>
      </c>
      <c r="B200" s="5" t="s">
        <v>2605</v>
      </c>
      <c r="C200" s="5" t="s">
        <v>119</v>
      </c>
      <c r="D200" s="5" t="s">
        <v>451</v>
      </c>
    </row>
    <row r="201" spans="1:4" x14ac:dyDescent="0.25">
      <c r="A201" s="5" t="s">
        <v>2815</v>
      </c>
      <c r="B201" s="5" t="s">
        <v>2622</v>
      </c>
      <c r="C201" s="5" t="s">
        <v>1949</v>
      </c>
      <c r="D201" s="5" t="s">
        <v>2623</v>
      </c>
    </row>
    <row r="202" spans="1:4" x14ac:dyDescent="0.25">
      <c r="A202" s="5" t="s">
        <v>2816</v>
      </c>
      <c r="B202" s="5" t="s">
        <v>1593</v>
      </c>
      <c r="C202" s="5" t="s">
        <v>1542</v>
      </c>
      <c r="D202" s="5" t="s">
        <v>2621</v>
      </c>
    </row>
    <row r="203" spans="1:4" x14ac:dyDescent="0.25">
      <c r="A203" s="5" t="s">
        <v>2817</v>
      </c>
      <c r="B203" s="5" t="s">
        <v>1593</v>
      </c>
      <c r="C203" s="5" t="s">
        <v>1542</v>
      </c>
      <c r="D203" s="5" t="s">
        <v>2621</v>
      </c>
    </row>
    <row r="204" spans="1:4" x14ac:dyDescent="0.25">
      <c r="A204" s="5" t="s">
        <v>2818</v>
      </c>
      <c r="B204" s="5" t="s">
        <v>2622</v>
      </c>
      <c r="C204" s="5" t="s">
        <v>1949</v>
      </c>
      <c r="D204" s="5" t="s">
        <v>2623</v>
      </c>
    </row>
    <row r="205" spans="1:4" x14ac:dyDescent="0.25">
      <c r="A205" s="5" t="s">
        <v>2819</v>
      </c>
      <c r="B205" s="5" t="s">
        <v>2605</v>
      </c>
      <c r="C205" s="5" t="s">
        <v>119</v>
      </c>
      <c r="D205" s="5" t="s">
        <v>451</v>
      </c>
    </row>
    <row r="206" spans="1:4" x14ac:dyDescent="0.25">
      <c r="A206" s="5" t="s">
        <v>2820</v>
      </c>
      <c r="B206" s="5" t="s">
        <v>2605</v>
      </c>
      <c r="C206" s="5" t="s">
        <v>119</v>
      </c>
      <c r="D206" s="5" t="s">
        <v>451</v>
      </c>
    </row>
    <row r="207" spans="1:4" x14ac:dyDescent="0.25">
      <c r="A207" s="5" t="s">
        <v>2821</v>
      </c>
      <c r="B207" s="5" t="s">
        <v>1593</v>
      </c>
      <c r="C207" s="5" t="s">
        <v>1542</v>
      </c>
      <c r="D207" s="5" t="s">
        <v>2621</v>
      </c>
    </row>
    <row r="208" spans="1:4" x14ac:dyDescent="0.25">
      <c r="A208" s="5" t="s">
        <v>2822</v>
      </c>
      <c r="B208" s="5" t="s">
        <v>2622</v>
      </c>
      <c r="C208" s="5" t="s">
        <v>1949</v>
      </c>
      <c r="D208" s="5" t="s">
        <v>2623</v>
      </c>
    </row>
    <row r="209" spans="1:4" x14ac:dyDescent="0.25">
      <c r="A209" s="5" t="s">
        <v>2823</v>
      </c>
      <c r="B209" s="5" t="s">
        <v>2622</v>
      </c>
      <c r="C209" s="5" t="s">
        <v>1949</v>
      </c>
      <c r="D209" s="5" t="s">
        <v>2623</v>
      </c>
    </row>
    <row r="210" spans="1:4" x14ac:dyDescent="0.25">
      <c r="A210" s="5" t="s">
        <v>2824</v>
      </c>
      <c r="B210" s="5" t="s">
        <v>1593</v>
      </c>
      <c r="C210" s="5" t="s">
        <v>1542</v>
      </c>
      <c r="D210" s="5" t="s">
        <v>2621</v>
      </c>
    </row>
    <row r="211" spans="1:4" x14ac:dyDescent="0.25">
      <c r="A211" s="5" t="s">
        <v>2825</v>
      </c>
      <c r="B211" s="5" t="s">
        <v>2605</v>
      </c>
      <c r="C211" s="5" t="s">
        <v>119</v>
      </c>
      <c r="D211" s="5" t="s">
        <v>451</v>
      </c>
    </row>
    <row r="212" spans="1:4" x14ac:dyDescent="0.25">
      <c r="A212" s="5" t="s">
        <v>2826</v>
      </c>
      <c r="B212" s="5" t="s">
        <v>2622</v>
      </c>
      <c r="C212" s="5" t="s">
        <v>1949</v>
      </c>
      <c r="D212" s="5" t="s">
        <v>2623</v>
      </c>
    </row>
    <row r="213" spans="1:4" x14ac:dyDescent="0.25">
      <c r="A213" s="5" t="s">
        <v>2827</v>
      </c>
      <c r="B213" s="5" t="s">
        <v>2605</v>
      </c>
      <c r="C213" s="5" t="s">
        <v>119</v>
      </c>
      <c r="D213" s="5" t="s">
        <v>451</v>
      </c>
    </row>
    <row r="214" spans="1:4" x14ac:dyDescent="0.25">
      <c r="A214" s="5" t="s">
        <v>2828</v>
      </c>
      <c r="B214" s="5" t="s">
        <v>2605</v>
      </c>
      <c r="C214" s="5" t="s">
        <v>119</v>
      </c>
      <c r="D214" s="5" t="s">
        <v>451</v>
      </c>
    </row>
    <row r="215" spans="1:4" x14ac:dyDescent="0.25">
      <c r="A215" s="5" t="s">
        <v>2829</v>
      </c>
      <c r="B215" s="5" t="s">
        <v>1593</v>
      </c>
      <c r="C215" s="5" t="s">
        <v>1542</v>
      </c>
      <c r="D215" s="5" t="s">
        <v>2621</v>
      </c>
    </row>
    <row r="216" spans="1:4" x14ac:dyDescent="0.25">
      <c r="A216" s="5" t="s">
        <v>2830</v>
      </c>
      <c r="B216" s="5" t="s">
        <v>2622</v>
      </c>
      <c r="C216" s="5" t="s">
        <v>1949</v>
      </c>
      <c r="D216" s="5" t="s">
        <v>2623</v>
      </c>
    </row>
    <row r="217" spans="1:4" x14ac:dyDescent="0.25">
      <c r="A217" s="5" t="s">
        <v>2831</v>
      </c>
      <c r="B217" s="5" t="s">
        <v>2622</v>
      </c>
      <c r="C217" s="5" t="s">
        <v>1949</v>
      </c>
      <c r="D217" s="5" t="s">
        <v>2623</v>
      </c>
    </row>
    <row r="218" spans="1:4" x14ac:dyDescent="0.25">
      <c r="A218" s="5" t="s">
        <v>2832</v>
      </c>
      <c r="B218" s="5" t="s">
        <v>1593</v>
      </c>
      <c r="C218" s="5" t="s">
        <v>1542</v>
      </c>
      <c r="D218" s="5" t="s">
        <v>2621</v>
      </c>
    </row>
    <row r="219" spans="1:4" x14ac:dyDescent="0.25">
      <c r="A219" s="5" t="s">
        <v>2833</v>
      </c>
      <c r="B219" s="5" t="s">
        <v>2605</v>
      </c>
      <c r="C219" s="5" t="s">
        <v>119</v>
      </c>
      <c r="D219" s="5" t="s">
        <v>451</v>
      </c>
    </row>
    <row r="220" spans="1:4" x14ac:dyDescent="0.25">
      <c r="A220" s="5" t="s">
        <v>2834</v>
      </c>
      <c r="B220" s="5" t="s">
        <v>2605</v>
      </c>
      <c r="C220" s="5" t="s">
        <v>119</v>
      </c>
      <c r="D220" s="5" t="s">
        <v>451</v>
      </c>
    </row>
    <row r="221" spans="1:4" x14ac:dyDescent="0.25">
      <c r="A221" s="5" t="s">
        <v>2835</v>
      </c>
      <c r="B221" s="5" t="s">
        <v>2622</v>
      </c>
      <c r="C221" s="5" t="s">
        <v>1949</v>
      </c>
      <c r="D221" s="5" t="s">
        <v>2623</v>
      </c>
    </row>
    <row r="222" spans="1:4" x14ac:dyDescent="0.25">
      <c r="A222" s="5" t="s">
        <v>2836</v>
      </c>
      <c r="B222" s="5" t="s">
        <v>1593</v>
      </c>
      <c r="C222" s="5" t="s">
        <v>1542</v>
      </c>
      <c r="D222" s="5" t="s">
        <v>2621</v>
      </c>
    </row>
    <row r="223" spans="1:4" x14ac:dyDescent="0.25">
      <c r="A223" s="5" t="s">
        <v>2837</v>
      </c>
      <c r="B223" s="5" t="s">
        <v>1593</v>
      </c>
      <c r="C223" s="5" t="s">
        <v>1542</v>
      </c>
      <c r="D223" s="5" t="s">
        <v>2621</v>
      </c>
    </row>
    <row r="224" spans="1:4" x14ac:dyDescent="0.25">
      <c r="A224" s="5" t="s">
        <v>2838</v>
      </c>
      <c r="B224" s="5" t="s">
        <v>2622</v>
      </c>
      <c r="C224" s="5" t="s">
        <v>1949</v>
      </c>
      <c r="D224" s="5" t="s">
        <v>2623</v>
      </c>
    </row>
    <row r="225" spans="1:4" x14ac:dyDescent="0.25">
      <c r="A225" s="5" t="s">
        <v>2839</v>
      </c>
      <c r="B225" s="5" t="s">
        <v>2605</v>
      </c>
      <c r="C225" s="5" t="s">
        <v>119</v>
      </c>
      <c r="D225" s="5" t="s">
        <v>451</v>
      </c>
    </row>
    <row r="226" spans="1:4" x14ac:dyDescent="0.25">
      <c r="A226" s="5" t="s">
        <v>2840</v>
      </c>
      <c r="B226" s="5" t="s">
        <v>1593</v>
      </c>
      <c r="C226" s="5" t="s">
        <v>1542</v>
      </c>
      <c r="D226" s="5" t="s">
        <v>2621</v>
      </c>
    </row>
    <row r="227" spans="1:4" x14ac:dyDescent="0.25">
      <c r="A227" s="5" t="s">
        <v>2841</v>
      </c>
      <c r="B227" s="5" t="s">
        <v>2622</v>
      </c>
      <c r="C227" s="5" t="s">
        <v>1949</v>
      </c>
      <c r="D227" s="5" t="s">
        <v>2623</v>
      </c>
    </row>
    <row r="228" spans="1:4" x14ac:dyDescent="0.25">
      <c r="A228" s="5" t="s">
        <v>2842</v>
      </c>
      <c r="B228" s="5" t="s">
        <v>2605</v>
      </c>
      <c r="C228" s="5" t="s">
        <v>119</v>
      </c>
      <c r="D228" s="5" t="s">
        <v>451</v>
      </c>
    </row>
    <row r="229" spans="1:4" x14ac:dyDescent="0.25">
      <c r="A229" s="5" t="s">
        <v>2843</v>
      </c>
      <c r="B229" s="5" t="s">
        <v>2605</v>
      </c>
      <c r="C229" s="5" t="s">
        <v>119</v>
      </c>
      <c r="D229" s="5" t="s">
        <v>451</v>
      </c>
    </row>
    <row r="230" spans="1:4" x14ac:dyDescent="0.25">
      <c r="A230" s="5" t="s">
        <v>2844</v>
      </c>
      <c r="B230" s="5" t="s">
        <v>2622</v>
      </c>
      <c r="C230" s="5" t="s">
        <v>1949</v>
      </c>
      <c r="D230" s="5" t="s">
        <v>2623</v>
      </c>
    </row>
    <row r="231" spans="1:4" x14ac:dyDescent="0.25">
      <c r="A231" s="5" t="s">
        <v>2845</v>
      </c>
      <c r="B231" s="5" t="s">
        <v>1593</v>
      </c>
      <c r="C231" s="5" t="s">
        <v>1542</v>
      </c>
      <c r="D231" s="5" t="s">
        <v>2621</v>
      </c>
    </row>
    <row r="232" spans="1:4" x14ac:dyDescent="0.25">
      <c r="A232" s="5" t="s">
        <v>2846</v>
      </c>
      <c r="B232" s="5" t="s">
        <v>1593</v>
      </c>
      <c r="C232" s="5" t="s">
        <v>1542</v>
      </c>
      <c r="D232" s="5" t="s">
        <v>2621</v>
      </c>
    </row>
    <row r="233" spans="1:4" x14ac:dyDescent="0.25">
      <c r="A233" s="5" t="s">
        <v>2847</v>
      </c>
      <c r="B233" s="5" t="s">
        <v>2605</v>
      </c>
      <c r="C233" s="5" t="s">
        <v>119</v>
      </c>
      <c r="D233" s="5" t="s">
        <v>451</v>
      </c>
    </row>
    <row r="234" spans="1:4" x14ac:dyDescent="0.25">
      <c r="A234" s="5" t="s">
        <v>2848</v>
      </c>
      <c r="B234" s="5" t="s">
        <v>2605</v>
      </c>
      <c r="C234" s="5" t="s">
        <v>119</v>
      </c>
      <c r="D234" s="5" t="s">
        <v>451</v>
      </c>
    </row>
    <row r="235" spans="1:4" x14ac:dyDescent="0.25">
      <c r="A235" s="5" t="s">
        <v>2849</v>
      </c>
      <c r="B235" s="5" t="s">
        <v>1593</v>
      </c>
      <c r="C235" s="5" t="s">
        <v>1542</v>
      </c>
      <c r="D235" s="5" t="s">
        <v>2621</v>
      </c>
    </row>
    <row r="236" spans="1:4" x14ac:dyDescent="0.25">
      <c r="A236" s="5" t="s">
        <v>2850</v>
      </c>
      <c r="B236" s="5" t="s">
        <v>2622</v>
      </c>
      <c r="C236" s="5" t="s">
        <v>1949</v>
      </c>
      <c r="D236" s="5" t="s">
        <v>2623</v>
      </c>
    </row>
    <row r="237" spans="1:4" x14ac:dyDescent="0.25">
      <c r="A237" s="5" t="s">
        <v>2851</v>
      </c>
      <c r="B237" s="5" t="s">
        <v>2622</v>
      </c>
      <c r="C237" s="5" t="s">
        <v>1949</v>
      </c>
      <c r="D237" s="5" t="s">
        <v>2623</v>
      </c>
    </row>
    <row r="238" spans="1:4" x14ac:dyDescent="0.25">
      <c r="A238" s="5" t="s">
        <v>2852</v>
      </c>
      <c r="B238" s="5" t="s">
        <v>1593</v>
      </c>
      <c r="C238" s="5" t="s">
        <v>1542</v>
      </c>
      <c r="D238" s="5" t="s">
        <v>2621</v>
      </c>
    </row>
    <row r="239" spans="1:4" x14ac:dyDescent="0.25">
      <c r="A239" s="5" t="s">
        <v>2853</v>
      </c>
      <c r="B239" s="5" t="s">
        <v>2605</v>
      </c>
      <c r="C239" s="5" t="s">
        <v>119</v>
      </c>
      <c r="D239" s="5" t="s">
        <v>451</v>
      </c>
    </row>
    <row r="240" spans="1:4" x14ac:dyDescent="0.25">
      <c r="A240" s="5" t="s">
        <v>2854</v>
      </c>
      <c r="B240" s="5" t="s">
        <v>2622</v>
      </c>
      <c r="C240" s="5" t="s">
        <v>1949</v>
      </c>
      <c r="D240" s="5" t="s">
        <v>2623</v>
      </c>
    </row>
    <row r="241" spans="1:4" x14ac:dyDescent="0.25">
      <c r="A241" s="5" t="s">
        <v>2855</v>
      </c>
      <c r="B241" s="5" t="s">
        <v>1593</v>
      </c>
      <c r="C241" s="5" t="s">
        <v>1542</v>
      </c>
      <c r="D241" s="5" t="s">
        <v>2621</v>
      </c>
    </row>
    <row r="242" spans="1:4" x14ac:dyDescent="0.25">
      <c r="A242" s="5" t="s">
        <v>2856</v>
      </c>
      <c r="B242" s="5" t="s">
        <v>2605</v>
      </c>
      <c r="C242" s="5" t="s">
        <v>119</v>
      </c>
      <c r="D242" s="5" t="s">
        <v>451</v>
      </c>
    </row>
    <row r="243" spans="1:4" x14ac:dyDescent="0.25">
      <c r="A243" s="5" t="s">
        <v>2857</v>
      </c>
      <c r="B243" s="5" t="s">
        <v>2605</v>
      </c>
      <c r="C243" s="5" t="s">
        <v>119</v>
      </c>
      <c r="D243" s="5" t="s">
        <v>451</v>
      </c>
    </row>
    <row r="244" spans="1:4" x14ac:dyDescent="0.25">
      <c r="A244" s="5" t="s">
        <v>2858</v>
      </c>
      <c r="B244" s="5" t="s">
        <v>1593</v>
      </c>
      <c r="C244" s="5" t="s">
        <v>1542</v>
      </c>
      <c r="D244" s="5" t="s">
        <v>2621</v>
      </c>
    </row>
    <row r="245" spans="1:4" x14ac:dyDescent="0.25">
      <c r="A245" s="5" t="s">
        <v>2859</v>
      </c>
      <c r="B245" s="5" t="s">
        <v>2622</v>
      </c>
      <c r="C245" s="5" t="s">
        <v>1949</v>
      </c>
      <c r="D245" s="5" t="s">
        <v>2623</v>
      </c>
    </row>
    <row r="246" spans="1:4" x14ac:dyDescent="0.25">
      <c r="A246" s="5" t="s">
        <v>2860</v>
      </c>
      <c r="B246" s="5" t="s">
        <v>2622</v>
      </c>
      <c r="C246" s="5" t="s">
        <v>1949</v>
      </c>
      <c r="D246" s="5" t="s">
        <v>2623</v>
      </c>
    </row>
    <row r="247" spans="1:4" x14ac:dyDescent="0.25">
      <c r="A247" s="5" t="s">
        <v>2861</v>
      </c>
      <c r="B247" s="5" t="s">
        <v>1593</v>
      </c>
      <c r="C247" s="5" t="s">
        <v>1542</v>
      </c>
      <c r="D247" s="5" t="s">
        <v>2621</v>
      </c>
    </row>
    <row r="248" spans="1:4" x14ac:dyDescent="0.25">
      <c r="A248" s="5" t="s">
        <v>2862</v>
      </c>
      <c r="B248" s="5" t="s">
        <v>2605</v>
      </c>
      <c r="C248" s="5" t="s">
        <v>119</v>
      </c>
      <c r="D248" s="5" t="s">
        <v>451</v>
      </c>
    </row>
    <row r="249" spans="1:4" x14ac:dyDescent="0.25">
      <c r="A249" s="5" t="s">
        <v>2863</v>
      </c>
      <c r="B249" s="5" t="s">
        <v>2605</v>
      </c>
      <c r="C249" s="5" t="s">
        <v>119</v>
      </c>
      <c r="D249" s="5" t="s">
        <v>451</v>
      </c>
    </row>
    <row r="250" spans="1:4" x14ac:dyDescent="0.25">
      <c r="A250" s="5" t="s">
        <v>2864</v>
      </c>
      <c r="B250" s="5" t="s">
        <v>2622</v>
      </c>
      <c r="C250" s="5" t="s">
        <v>1949</v>
      </c>
      <c r="D250" s="5" t="s">
        <v>2623</v>
      </c>
    </row>
    <row r="251" spans="1:4" x14ac:dyDescent="0.25">
      <c r="A251" s="5" t="s">
        <v>2865</v>
      </c>
      <c r="B251" s="5" t="s">
        <v>1593</v>
      </c>
      <c r="C251" s="5" t="s">
        <v>1542</v>
      </c>
      <c r="D251" s="5" t="s">
        <v>2621</v>
      </c>
    </row>
    <row r="252" spans="1:4" x14ac:dyDescent="0.25">
      <c r="A252" s="5" t="s">
        <v>2866</v>
      </c>
      <c r="B252" s="5" t="s">
        <v>1593</v>
      </c>
      <c r="C252" s="5" t="s">
        <v>1542</v>
      </c>
      <c r="D252" s="5" t="s">
        <v>2621</v>
      </c>
    </row>
    <row r="253" spans="1:4" x14ac:dyDescent="0.25">
      <c r="A253" s="5" t="s">
        <v>2867</v>
      </c>
      <c r="B253" s="5" t="s">
        <v>2605</v>
      </c>
      <c r="C253" s="5" t="s">
        <v>119</v>
      </c>
      <c r="D253" s="5" t="s">
        <v>451</v>
      </c>
    </row>
    <row r="254" spans="1:4" x14ac:dyDescent="0.25">
      <c r="A254" s="5" t="s">
        <v>2868</v>
      </c>
      <c r="B254" s="5" t="s">
        <v>1593</v>
      </c>
      <c r="C254" s="5" t="s">
        <v>1542</v>
      </c>
      <c r="D254" s="5" t="s">
        <v>2621</v>
      </c>
    </row>
    <row r="255" spans="1:4" x14ac:dyDescent="0.25">
      <c r="A255" s="5" t="s">
        <v>2869</v>
      </c>
      <c r="B255" s="5" t="s">
        <v>2622</v>
      </c>
      <c r="C255" s="5" t="s">
        <v>1949</v>
      </c>
      <c r="D255" s="5" t="s">
        <v>2623</v>
      </c>
    </row>
    <row r="256" spans="1:4" x14ac:dyDescent="0.25">
      <c r="A256" s="5" t="s">
        <v>2870</v>
      </c>
      <c r="B256" s="5" t="s">
        <v>2605</v>
      </c>
      <c r="C256" s="5" t="s">
        <v>119</v>
      </c>
      <c r="D256" s="5" t="s">
        <v>451</v>
      </c>
    </row>
    <row r="257" spans="1:4" x14ac:dyDescent="0.25">
      <c r="A257" s="5" t="s">
        <v>2871</v>
      </c>
      <c r="B257" s="5" t="s">
        <v>2605</v>
      </c>
      <c r="C257" s="5" t="s">
        <v>119</v>
      </c>
      <c r="D257" s="5" t="s">
        <v>451</v>
      </c>
    </row>
    <row r="258" spans="1:4" x14ac:dyDescent="0.25">
      <c r="A258" s="5" t="s">
        <v>2872</v>
      </c>
      <c r="B258" s="5" t="s">
        <v>2622</v>
      </c>
      <c r="C258" s="5" t="s">
        <v>1949</v>
      </c>
      <c r="D258" s="5" t="s">
        <v>2623</v>
      </c>
    </row>
    <row r="259" spans="1:4" x14ac:dyDescent="0.25">
      <c r="A259" s="5" t="s">
        <v>2873</v>
      </c>
      <c r="B259" s="5" t="s">
        <v>1593</v>
      </c>
      <c r="C259" s="5" t="s">
        <v>1542</v>
      </c>
      <c r="D259" s="5" t="s">
        <v>2621</v>
      </c>
    </row>
    <row r="260" spans="1:4" x14ac:dyDescent="0.25">
      <c r="A260" s="5" t="s">
        <v>2874</v>
      </c>
      <c r="B260" s="5" t="s">
        <v>1593</v>
      </c>
      <c r="C260" s="5" t="s">
        <v>1542</v>
      </c>
      <c r="D260" s="5" t="s">
        <v>2621</v>
      </c>
    </row>
    <row r="261" spans="1:4" x14ac:dyDescent="0.25">
      <c r="A261" s="5" t="s">
        <v>2875</v>
      </c>
      <c r="B261" s="5" t="s">
        <v>2622</v>
      </c>
      <c r="C261" s="5" t="s">
        <v>1949</v>
      </c>
      <c r="D261" s="5" t="s">
        <v>2623</v>
      </c>
    </row>
    <row r="262" spans="1:4" x14ac:dyDescent="0.25">
      <c r="A262" s="5" t="s">
        <v>2876</v>
      </c>
      <c r="B262" s="5" t="s">
        <v>2605</v>
      </c>
      <c r="C262" s="5" t="s">
        <v>119</v>
      </c>
      <c r="D262" s="5" t="s">
        <v>451</v>
      </c>
    </row>
    <row r="263" spans="1:4" x14ac:dyDescent="0.25">
      <c r="A263" s="5" t="s">
        <v>2877</v>
      </c>
      <c r="B263" s="5" t="s">
        <v>2605</v>
      </c>
      <c r="C263" s="5" t="s">
        <v>119</v>
      </c>
      <c r="D263" s="5" t="s">
        <v>451</v>
      </c>
    </row>
    <row r="264" spans="1:4" x14ac:dyDescent="0.25">
      <c r="A264" s="5" t="s">
        <v>2878</v>
      </c>
      <c r="B264" s="5" t="s">
        <v>1593</v>
      </c>
      <c r="C264" s="5" t="s">
        <v>1542</v>
      </c>
      <c r="D264" s="5" t="s">
        <v>2621</v>
      </c>
    </row>
    <row r="265" spans="1:4" x14ac:dyDescent="0.25">
      <c r="A265" s="5" t="s">
        <v>2879</v>
      </c>
      <c r="B265" s="5" t="s">
        <v>2622</v>
      </c>
      <c r="C265" s="5" t="s">
        <v>1949</v>
      </c>
      <c r="D265" s="5" t="s">
        <v>2623</v>
      </c>
    </row>
    <row r="266" spans="1:4" x14ac:dyDescent="0.25">
      <c r="A266" s="5" t="s">
        <v>2880</v>
      </c>
      <c r="B266" s="5" t="s">
        <v>2622</v>
      </c>
      <c r="C266" s="5" t="s">
        <v>1949</v>
      </c>
      <c r="D266" s="5" t="s">
        <v>2623</v>
      </c>
    </row>
    <row r="267" spans="1:4" x14ac:dyDescent="0.25">
      <c r="A267" s="5" t="s">
        <v>2881</v>
      </c>
      <c r="B267" s="5" t="s">
        <v>1593</v>
      </c>
      <c r="C267" s="5" t="s">
        <v>1542</v>
      </c>
      <c r="D267" s="5" t="s">
        <v>2621</v>
      </c>
    </row>
    <row r="268" spans="1:4" x14ac:dyDescent="0.25">
      <c r="A268" s="5" t="s">
        <v>2882</v>
      </c>
      <c r="B268" s="5" t="s">
        <v>2605</v>
      </c>
      <c r="C268" s="5" t="s">
        <v>119</v>
      </c>
      <c r="D268" s="5" t="s">
        <v>451</v>
      </c>
    </row>
    <row r="269" spans="1:4" x14ac:dyDescent="0.25">
      <c r="A269" s="5" t="s">
        <v>2883</v>
      </c>
      <c r="B269" s="5" t="s">
        <v>2622</v>
      </c>
      <c r="C269" s="5" t="s">
        <v>1949</v>
      </c>
      <c r="D269" s="5" t="s">
        <v>2623</v>
      </c>
    </row>
    <row r="270" spans="1:4" x14ac:dyDescent="0.25">
      <c r="A270" s="5" t="s">
        <v>2884</v>
      </c>
      <c r="B270" s="5" t="s">
        <v>1593</v>
      </c>
      <c r="C270" s="5" t="s">
        <v>1542</v>
      </c>
      <c r="D270" s="5" t="s">
        <v>2621</v>
      </c>
    </row>
    <row r="271" spans="1:4" x14ac:dyDescent="0.25">
      <c r="A271" s="5" t="s">
        <v>2885</v>
      </c>
      <c r="B271" s="5" t="s">
        <v>2605</v>
      </c>
      <c r="C271" s="5" t="s">
        <v>119</v>
      </c>
      <c r="D271" s="5" t="s">
        <v>451</v>
      </c>
    </row>
    <row r="272" spans="1:4" x14ac:dyDescent="0.25">
      <c r="A272" s="5" t="s">
        <v>2886</v>
      </c>
      <c r="B272" s="5" t="s">
        <v>2605</v>
      </c>
      <c r="C272" s="5" t="s">
        <v>119</v>
      </c>
      <c r="D272" s="5" t="s">
        <v>451</v>
      </c>
    </row>
    <row r="273" spans="1:4" x14ac:dyDescent="0.25">
      <c r="A273" s="5" t="s">
        <v>2887</v>
      </c>
      <c r="B273" s="5" t="s">
        <v>2622</v>
      </c>
      <c r="C273" s="5" t="s">
        <v>1949</v>
      </c>
      <c r="D273" s="5" t="s">
        <v>2623</v>
      </c>
    </row>
    <row r="274" spans="1:4" x14ac:dyDescent="0.25">
      <c r="A274" s="5" t="s">
        <v>2888</v>
      </c>
      <c r="B274" s="5" t="s">
        <v>2622</v>
      </c>
      <c r="C274" s="5" t="s">
        <v>1949</v>
      </c>
      <c r="D274" s="5" t="s">
        <v>2623</v>
      </c>
    </row>
    <row r="275" spans="1:4" x14ac:dyDescent="0.25">
      <c r="A275" s="5" t="s">
        <v>2889</v>
      </c>
      <c r="B275" s="5" t="s">
        <v>1593</v>
      </c>
      <c r="C275" s="5" t="s">
        <v>1542</v>
      </c>
      <c r="D275" s="5" t="s">
        <v>2621</v>
      </c>
    </row>
    <row r="276" spans="1:4" x14ac:dyDescent="0.25">
      <c r="A276" s="5" t="s">
        <v>2890</v>
      </c>
      <c r="B276" s="5" t="s">
        <v>2605</v>
      </c>
      <c r="C276" s="5" t="s">
        <v>119</v>
      </c>
      <c r="D276" s="5" t="s">
        <v>451</v>
      </c>
    </row>
    <row r="277" spans="1:4" x14ac:dyDescent="0.25">
      <c r="A277" s="5" t="s">
        <v>2891</v>
      </c>
      <c r="B277" s="5" t="s">
        <v>2605</v>
      </c>
      <c r="C277" s="5" t="s">
        <v>119</v>
      </c>
      <c r="D277" s="5" t="s">
        <v>451</v>
      </c>
    </row>
    <row r="278" spans="1:4" x14ac:dyDescent="0.25">
      <c r="A278" s="5" t="s">
        <v>2892</v>
      </c>
      <c r="B278" s="5" t="s">
        <v>2622</v>
      </c>
      <c r="C278" s="5" t="s">
        <v>1949</v>
      </c>
      <c r="D278" s="5" t="s">
        <v>2623</v>
      </c>
    </row>
    <row r="279" spans="1:4" x14ac:dyDescent="0.25">
      <c r="A279" s="5" t="s">
        <v>2893</v>
      </c>
      <c r="B279" s="5" t="s">
        <v>1593</v>
      </c>
      <c r="C279" s="5" t="s">
        <v>1542</v>
      </c>
      <c r="D279" s="5" t="s">
        <v>2621</v>
      </c>
    </row>
    <row r="280" spans="1:4" x14ac:dyDescent="0.25">
      <c r="A280" s="5" t="s">
        <v>2894</v>
      </c>
      <c r="B280" s="5" t="s">
        <v>1593</v>
      </c>
      <c r="C280" s="5" t="s">
        <v>1542</v>
      </c>
      <c r="D280" s="5" t="s">
        <v>2621</v>
      </c>
    </row>
    <row r="281" spans="1:4" x14ac:dyDescent="0.25">
      <c r="A281" s="5" t="s">
        <v>2895</v>
      </c>
      <c r="B281" s="5" t="s">
        <v>2622</v>
      </c>
      <c r="C281" s="5" t="s">
        <v>1949</v>
      </c>
      <c r="D281" s="5" t="s">
        <v>2623</v>
      </c>
    </row>
    <row r="282" spans="1:4" x14ac:dyDescent="0.25">
      <c r="A282" s="5" t="s">
        <v>2896</v>
      </c>
      <c r="B282" s="5" t="s">
        <v>2605</v>
      </c>
      <c r="C282" s="5" t="s">
        <v>119</v>
      </c>
      <c r="D282" s="5" t="s">
        <v>451</v>
      </c>
    </row>
    <row r="283" spans="1:4" x14ac:dyDescent="0.25">
      <c r="A283" s="5" t="s">
        <v>2897</v>
      </c>
      <c r="B283" s="5" t="s">
        <v>1593</v>
      </c>
      <c r="C283" s="5" t="s">
        <v>1542</v>
      </c>
      <c r="D283" s="5" t="s">
        <v>2621</v>
      </c>
    </row>
    <row r="284" spans="1:4" x14ac:dyDescent="0.25">
      <c r="A284" s="5" t="s">
        <v>2898</v>
      </c>
      <c r="B284" s="5" t="s">
        <v>2622</v>
      </c>
      <c r="C284" s="5" t="s">
        <v>1949</v>
      </c>
      <c r="D284" s="5" t="s">
        <v>2623</v>
      </c>
    </row>
    <row r="285" spans="1:4" x14ac:dyDescent="0.25">
      <c r="A285" s="5" t="s">
        <v>2899</v>
      </c>
      <c r="B285" s="5" t="s">
        <v>2605</v>
      </c>
      <c r="C285" s="5" t="s">
        <v>119</v>
      </c>
      <c r="D285" s="5" t="s">
        <v>451</v>
      </c>
    </row>
    <row r="286" spans="1:4" x14ac:dyDescent="0.25">
      <c r="A286" s="5" t="s">
        <v>2900</v>
      </c>
      <c r="B286" s="5" t="s">
        <v>2605</v>
      </c>
      <c r="C286" s="5" t="s">
        <v>119</v>
      </c>
      <c r="D286" s="5" t="s">
        <v>451</v>
      </c>
    </row>
    <row r="287" spans="1:4" x14ac:dyDescent="0.25">
      <c r="A287" s="5" t="s">
        <v>2901</v>
      </c>
      <c r="B287" s="5" t="s">
        <v>2622</v>
      </c>
      <c r="C287" s="5" t="s">
        <v>1949</v>
      </c>
      <c r="D287" s="5" t="s">
        <v>2623</v>
      </c>
    </row>
    <row r="288" spans="1:4" x14ac:dyDescent="0.25">
      <c r="A288" s="5" t="s">
        <v>2902</v>
      </c>
      <c r="B288" s="5" t="s">
        <v>1593</v>
      </c>
      <c r="C288" s="5" t="s">
        <v>1542</v>
      </c>
      <c r="D288" s="5" t="s">
        <v>2621</v>
      </c>
    </row>
    <row r="289" spans="1:4" x14ac:dyDescent="0.25">
      <c r="A289" s="5" t="s">
        <v>2903</v>
      </c>
      <c r="B289" s="5" t="s">
        <v>1593</v>
      </c>
      <c r="C289" s="5" t="s">
        <v>1542</v>
      </c>
      <c r="D289" s="5" t="s">
        <v>2621</v>
      </c>
    </row>
    <row r="290" spans="1:4" x14ac:dyDescent="0.25">
      <c r="A290" s="5" t="s">
        <v>2904</v>
      </c>
      <c r="B290" s="5" t="s">
        <v>2622</v>
      </c>
      <c r="C290" s="5" t="s">
        <v>1949</v>
      </c>
      <c r="D290" s="5" t="s">
        <v>2623</v>
      </c>
    </row>
    <row r="291" spans="1:4" x14ac:dyDescent="0.25">
      <c r="A291" s="5" t="s">
        <v>2905</v>
      </c>
      <c r="B291" s="5" t="s">
        <v>2605</v>
      </c>
      <c r="C291" s="5" t="s">
        <v>119</v>
      </c>
      <c r="D291" s="5" t="s">
        <v>451</v>
      </c>
    </row>
    <row r="292" spans="1:4" x14ac:dyDescent="0.25">
      <c r="A292" s="5" t="s">
        <v>2906</v>
      </c>
      <c r="B292" s="5" t="s">
        <v>2605</v>
      </c>
      <c r="C292" s="5" t="s">
        <v>119</v>
      </c>
      <c r="D292" s="5" t="s">
        <v>451</v>
      </c>
    </row>
    <row r="293" spans="1:4" x14ac:dyDescent="0.25">
      <c r="A293" s="5" t="s">
        <v>2907</v>
      </c>
      <c r="B293" s="5" t="s">
        <v>2622</v>
      </c>
      <c r="C293" s="5" t="s">
        <v>1949</v>
      </c>
      <c r="D293" s="5" t="s">
        <v>2623</v>
      </c>
    </row>
    <row r="294" spans="1:4" x14ac:dyDescent="0.25">
      <c r="A294" s="5" t="s">
        <v>2908</v>
      </c>
      <c r="B294" s="5" t="s">
        <v>2622</v>
      </c>
      <c r="C294" s="5" t="s">
        <v>1949</v>
      </c>
      <c r="D294" s="5" t="s">
        <v>2623</v>
      </c>
    </row>
    <row r="295" spans="1:4" x14ac:dyDescent="0.25">
      <c r="A295" s="5" t="s">
        <v>2909</v>
      </c>
      <c r="B295" s="5" t="s">
        <v>1593</v>
      </c>
      <c r="C295" s="5" t="s">
        <v>1542</v>
      </c>
      <c r="D295" s="5" t="s">
        <v>2621</v>
      </c>
    </row>
    <row r="296" spans="1:4" x14ac:dyDescent="0.25">
      <c r="A296" s="5" t="s">
        <v>2910</v>
      </c>
      <c r="B296" s="5" t="s">
        <v>2605</v>
      </c>
      <c r="C296" s="5" t="s">
        <v>119</v>
      </c>
      <c r="D296" s="5" t="s">
        <v>451</v>
      </c>
    </row>
    <row r="297" spans="1:4" x14ac:dyDescent="0.25">
      <c r="A297" s="5" t="s">
        <v>2911</v>
      </c>
      <c r="B297" s="5" t="s">
        <v>2622</v>
      </c>
      <c r="C297" s="5" t="s">
        <v>1949</v>
      </c>
      <c r="D297" s="5" t="s">
        <v>2623</v>
      </c>
    </row>
    <row r="298" spans="1:4" x14ac:dyDescent="0.25">
      <c r="A298" s="5" t="s">
        <v>2912</v>
      </c>
      <c r="B298" s="5" t="s">
        <v>1593</v>
      </c>
      <c r="C298" s="5" t="s">
        <v>1542</v>
      </c>
      <c r="D298" s="5" t="s">
        <v>2621</v>
      </c>
    </row>
    <row r="299" spans="1:4" x14ac:dyDescent="0.25">
      <c r="A299" s="5" t="s">
        <v>2913</v>
      </c>
      <c r="B299" s="5" t="s">
        <v>2605</v>
      </c>
      <c r="C299" s="5" t="s">
        <v>119</v>
      </c>
      <c r="D299" s="5" t="s">
        <v>451</v>
      </c>
    </row>
    <row r="300" spans="1:4" x14ac:dyDescent="0.25">
      <c r="A300" s="5" t="s">
        <v>2914</v>
      </c>
      <c r="B300" s="5" t="s">
        <v>2605</v>
      </c>
      <c r="C300" s="5" t="s">
        <v>119</v>
      </c>
      <c r="D300" s="5" t="s">
        <v>451</v>
      </c>
    </row>
    <row r="301" spans="1:4" x14ac:dyDescent="0.25">
      <c r="A301" s="5" t="s">
        <v>2915</v>
      </c>
      <c r="B301" s="5" t="s">
        <v>1593</v>
      </c>
      <c r="C301" s="5" t="s">
        <v>1542</v>
      </c>
      <c r="D301" s="5" t="s">
        <v>2621</v>
      </c>
    </row>
    <row r="302" spans="1:4" x14ac:dyDescent="0.25">
      <c r="A302" s="5" t="s">
        <v>2916</v>
      </c>
      <c r="B302" s="5" t="s">
        <v>2622</v>
      </c>
      <c r="C302" s="5" t="s">
        <v>1949</v>
      </c>
      <c r="D302" s="5" t="s">
        <v>2623</v>
      </c>
    </row>
    <row r="303" spans="1:4" x14ac:dyDescent="0.25">
      <c r="A303" s="5" t="s">
        <v>2917</v>
      </c>
      <c r="B303" s="5" t="s">
        <v>2622</v>
      </c>
      <c r="C303" s="5" t="s">
        <v>1949</v>
      </c>
      <c r="D303" s="5" t="s">
        <v>2623</v>
      </c>
    </row>
    <row r="304" spans="1:4" x14ac:dyDescent="0.25">
      <c r="A304" s="5" t="s">
        <v>2918</v>
      </c>
      <c r="B304" s="5" t="s">
        <v>1593</v>
      </c>
      <c r="C304" s="5" t="s">
        <v>1542</v>
      </c>
      <c r="D304" s="5" t="s">
        <v>2621</v>
      </c>
    </row>
    <row r="305" spans="1:4" x14ac:dyDescent="0.25">
      <c r="A305" s="5" t="s">
        <v>2919</v>
      </c>
      <c r="B305" s="5" t="s">
        <v>2605</v>
      </c>
      <c r="C305" s="5" t="s">
        <v>119</v>
      </c>
      <c r="D305" s="5" t="s">
        <v>451</v>
      </c>
    </row>
    <row r="306" spans="1:4" x14ac:dyDescent="0.25">
      <c r="A306" s="5" t="s">
        <v>2920</v>
      </c>
      <c r="B306" s="5" t="s">
        <v>2605</v>
      </c>
      <c r="C306" s="5" t="s">
        <v>119</v>
      </c>
      <c r="D306" s="5" t="s">
        <v>451</v>
      </c>
    </row>
    <row r="307" spans="1:4" x14ac:dyDescent="0.25">
      <c r="A307" s="5" t="s">
        <v>2921</v>
      </c>
      <c r="B307" s="5" t="s">
        <v>2622</v>
      </c>
      <c r="C307" s="5" t="s">
        <v>1949</v>
      </c>
      <c r="D307" s="5" t="s">
        <v>2623</v>
      </c>
    </row>
    <row r="308" spans="1:4" x14ac:dyDescent="0.25">
      <c r="A308" s="5" t="s">
        <v>2922</v>
      </c>
      <c r="B308" s="5" t="s">
        <v>1593</v>
      </c>
      <c r="C308" s="5" t="s">
        <v>1542</v>
      </c>
      <c r="D308" s="5" t="s">
        <v>2621</v>
      </c>
    </row>
    <row r="309" spans="1:4" x14ac:dyDescent="0.25">
      <c r="A309" s="5" t="s">
        <v>2923</v>
      </c>
      <c r="B309" s="5" t="s">
        <v>1593</v>
      </c>
      <c r="C309" s="5" t="s">
        <v>1542</v>
      </c>
      <c r="D309" s="5" t="s">
        <v>2621</v>
      </c>
    </row>
    <row r="310" spans="1:4" x14ac:dyDescent="0.25">
      <c r="A310" s="5" t="s">
        <v>2924</v>
      </c>
      <c r="B310" s="5" t="s">
        <v>2622</v>
      </c>
      <c r="C310" s="5" t="s">
        <v>1949</v>
      </c>
      <c r="D310" s="5" t="s">
        <v>2623</v>
      </c>
    </row>
    <row r="311" spans="1:4" x14ac:dyDescent="0.25">
      <c r="A311" s="5" t="s">
        <v>2925</v>
      </c>
      <c r="B311" s="5" t="s">
        <v>2605</v>
      </c>
      <c r="C311" s="5" t="s">
        <v>119</v>
      </c>
      <c r="D311" s="5" t="s">
        <v>451</v>
      </c>
    </row>
    <row r="312" spans="1:4" x14ac:dyDescent="0.25">
      <c r="A312" s="5" t="s">
        <v>2926</v>
      </c>
      <c r="B312" s="5" t="s">
        <v>1593</v>
      </c>
      <c r="C312" s="5" t="s">
        <v>1542</v>
      </c>
      <c r="D312" s="5" t="s">
        <v>2621</v>
      </c>
    </row>
    <row r="313" spans="1:4" x14ac:dyDescent="0.25">
      <c r="A313" s="5" t="s">
        <v>2927</v>
      </c>
      <c r="B313" s="5" t="s">
        <v>2605</v>
      </c>
      <c r="C313" s="5" t="s">
        <v>119</v>
      </c>
      <c r="D313" s="5" t="s">
        <v>451</v>
      </c>
    </row>
    <row r="314" spans="1:4" x14ac:dyDescent="0.25">
      <c r="A314" s="5" t="s">
        <v>2928</v>
      </c>
      <c r="B314" s="5" t="s">
        <v>2605</v>
      </c>
      <c r="C314" s="5" t="s">
        <v>119</v>
      </c>
      <c r="D314" s="5" t="s">
        <v>451</v>
      </c>
    </row>
    <row r="315" spans="1:4" x14ac:dyDescent="0.25">
      <c r="A315" s="5" t="s">
        <v>2929</v>
      </c>
      <c r="B315" s="5" t="s">
        <v>2622</v>
      </c>
      <c r="C315" s="5" t="s">
        <v>1949</v>
      </c>
      <c r="D315" s="5" t="s">
        <v>2623</v>
      </c>
    </row>
    <row r="316" spans="1:4" x14ac:dyDescent="0.25">
      <c r="A316" s="5" t="s">
        <v>2930</v>
      </c>
      <c r="B316" s="5" t="s">
        <v>1593</v>
      </c>
      <c r="C316" s="5" t="s">
        <v>1542</v>
      </c>
      <c r="D316" s="5" t="s">
        <v>2621</v>
      </c>
    </row>
    <row r="317" spans="1:4" x14ac:dyDescent="0.25">
      <c r="A317" s="5" t="s">
        <v>2931</v>
      </c>
      <c r="B317" s="5" t="s">
        <v>1593</v>
      </c>
      <c r="C317" s="5" t="s">
        <v>1542</v>
      </c>
      <c r="D317" s="5" t="s">
        <v>2621</v>
      </c>
    </row>
    <row r="318" spans="1:4" x14ac:dyDescent="0.25">
      <c r="A318" s="5" t="s">
        <v>2932</v>
      </c>
      <c r="B318" s="5" t="s">
        <v>2622</v>
      </c>
      <c r="C318" s="5" t="s">
        <v>1949</v>
      </c>
      <c r="D318" s="5" t="s">
        <v>2623</v>
      </c>
    </row>
    <row r="319" spans="1:4" x14ac:dyDescent="0.25">
      <c r="A319" s="5" t="s">
        <v>2933</v>
      </c>
      <c r="B319" s="5" t="s">
        <v>2605</v>
      </c>
      <c r="C319" s="5" t="s">
        <v>119</v>
      </c>
      <c r="D319" s="5" t="s">
        <v>451</v>
      </c>
    </row>
    <row r="320" spans="1:4" x14ac:dyDescent="0.25">
      <c r="A320" s="5" t="s">
        <v>2934</v>
      </c>
      <c r="B320" s="5" t="s">
        <v>2605</v>
      </c>
      <c r="C320" s="5" t="s">
        <v>119</v>
      </c>
      <c r="D320" s="5" t="s">
        <v>451</v>
      </c>
    </row>
    <row r="321" spans="1:4" x14ac:dyDescent="0.25">
      <c r="A321" s="5" t="s">
        <v>2935</v>
      </c>
      <c r="B321" s="5" t="s">
        <v>1593</v>
      </c>
      <c r="C321" s="5" t="s">
        <v>1542</v>
      </c>
      <c r="D321" s="5" t="s">
        <v>2621</v>
      </c>
    </row>
    <row r="322" spans="1:4" x14ac:dyDescent="0.25">
      <c r="A322" s="5" t="s">
        <v>2936</v>
      </c>
      <c r="B322" s="5" t="s">
        <v>2622</v>
      </c>
      <c r="C322" s="5" t="s">
        <v>1949</v>
      </c>
      <c r="D322" s="5" t="s">
        <v>2623</v>
      </c>
    </row>
    <row r="323" spans="1:4" x14ac:dyDescent="0.25">
      <c r="A323" s="5" t="s">
        <v>2937</v>
      </c>
      <c r="B323" s="5" t="s">
        <v>2622</v>
      </c>
      <c r="C323" s="5" t="s">
        <v>1949</v>
      </c>
      <c r="D323" s="5" t="s">
        <v>2623</v>
      </c>
    </row>
    <row r="324" spans="1:4" x14ac:dyDescent="0.25">
      <c r="A324" s="5" t="s">
        <v>2938</v>
      </c>
      <c r="B324" s="5" t="s">
        <v>1593</v>
      </c>
      <c r="C324" s="5" t="s">
        <v>1542</v>
      </c>
      <c r="D324" s="5" t="s">
        <v>2621</v>
      </c>
    </row>
    <row r="325" spans="1:4" x14ac:dyDescent="0.25">
      <c r="A325" s="5" t="s">
        <v>2939</v>
      </c>
      <c r="B325" s="5" t="s">
        <v>2605</v>
      </c>
      <c r="C325" s="5" t="s">
        <v>119</v>
      </c>
      <c r="D325" s="5" t="s">
        <v>451</v>
      </c>
    </row>
    <row r="326" spans="1:4" x14ac:dyDescent="0.25">
      <c r="A326" s="5" t="s">
        <v>2940</v>
      </c>
      <c r="B326" s="5" t="s">
        <v>2622</v>
      </c>
      <c r="C326" s="5" t="s">
        <v>1949</v>
      </c>
      <c r="D326" s="5" t="s">
        <v>2623</v>
      </c>
    </row>
    <row r="327" spans="1:4" x14ac:dyDescent="0.25">
      <c r="A327" s="5" t="s">
        <v>2941</v>
      </c>
      <c r="B327" s="5" t="s">
        <v>1593</v>
      </c>
      <c r="C327" s="5" t="s">
        <v>1542</v>
      </c>
      <c r="D327" s="5" t="s">
        <v>2621</v>
      </c>
    </row>
    <row r="328" spans="1:4" x14ac:dyDescent="0.25">
      <c r="A328" s="5" t="s">
        <v>2942</v>
      </c>
      <c r="B328" s="5" t="s">
        <v>2605</v>
      </c>
      <c r="C328" s="5" t="s">
        <v>119</v>
      </c>
      <c r="D328" s="5" t="s">
        <v>451</v>
      </c>
    </row>
    <row r="329" spans="1:4" x14ac:dyDescent="0.25">
      <c r="A329" s="5" t="s">
        <v>2943</v>
      </c>
      <c r="B329" s="5" t="s">
        <v>2605</v>
      </c>
      <c r="C329" s="5" t="s">
        <v>119</v>
      </c>
      <c r="D329" s="5" t="s">
        <v>451</v>
      </c>
    </row>
    <row r="330" spans="1:4" x14ac:dyDescent="0.25">
      <c r="A330" s="5" t="s">
        <v>2944</v>
      </c>
      <c r="B330" s="5" t="s">
        <v>1593</v>
      </c>
      <c r="C330" s="5" t="s">
        <v>1542</v>
      </c>
      <c r="D330" s="5" t="s">
        <v>2621</v>
      </c>
    </row>
    <row r="331" spans="1:4" x14ac:dyDescent="0.25">
      <c r="A331" s="5" t="s">
        <v>2945</v>
      </c>
      <c r="B331" s="5" t="s">
        <v>2622</v>
      </c>
      <c r="C331" s="5" t="s">
        <v>1949</v>
      </c>
      <c r="D331" s="5" t="s">
        <v>2623</v>
      </c>
    </row>
    <row r="332" spans="1:4" x14ac:dyDescent="0.25">
      <c r="A332" s="5" t="s">
        <v>2946</v>
      </c>
      <c r="B332" s="5" t="s">
        <v>2622</v>
      </c>
      <c r="C332" s="5" t="s">
        <v>1949</v>
      </c>
      <c r="D332" s="5" t="s">
        <v>2623</v>
      </c>
    </row>
    <row r="333" spans="1:4" x14ac:dyDescent="0.25">
      <c r="A333" s="5" t="s">
        <v>2947</v>
      </c>
      <c r="B333" s="5" t="s">
        <v>2605</v>
      </c>
      <c r="C333" s="5" t="s">
        <v>119</v>
      </c>
      <c r="D333" s="5" t="s">
        <v>451</v>
      </c>
    </row>
    <row r="334" spans="1:4" x14ac:dyDescent="0.25">
      <c r="A334" s="5" t="s">
        <v>2948</v>
      </c>
      <c r="B334" s="5" t="s">
        <v>2605</v>
      </c>
      <c r="C334" s="5" t="s">
        <v>119</v>
      </c>
      <c r="D334" s="5" t="s">
        <v>451</v>
      </c>
    </row>
    <row r="335" spans="1:4" x14ac:dyDescent="0.25">
      <c r="A335" s="5" t="s">
        <v>2949</v>
      </c>
      <c r="B335" s="5" t="s">
        <v>2622</v>
      </c>
      <c r="C335" s="5" t="s">
        <v>1949</v>
      </c>
      <c r="D335" s="5" t="s">
        <v>2623</v>
      </c>
    </row>
    <row r="336" spans="1:4" x14ac:dyDescent="0.25">
      <c r="A336" s="5" t="s">
        <v>2950</v>
      </c>
      <c r="B336" s="5" t="s">
        <v>1593</v>
      </c>
      <c r="C336" s="5" t="s">
        <v>1542</v>
      </c>
      <c r="D336" s="5" t="s">
        <v>2621</v>
      </c>
    </row>
    <row r="337" spans="1:4" x14ac:dyDescent="0.25">
      <c r="A337" s="5" t="s">
        <v>2951</v>
      </c>
      <c r="B337" s="5" t="s">
        <v>1593</v>
      </c>
      <c r="C337" s="5" t="s">
        <v>1542</v>
      </c>
      <c r="D337" s="5" t="s">
        <v>2621</v>
      </c>
    </row>
    <row r="338" spans="1:4" x14ac:dyDescent="0.25">
      <c r="A338" s="5" t="s">
        <v>2952</v>
      </c>
      <c r="B338" s="5" t="s">
        <v>2622</v>
      </c>
      <c r="C338" s="5" t="s">
        <v>1949</v>
      </c>
      <c r="D338" s="5" t="s">
        <v>2623</v>
      </c>
    </row>
    <row r="339" spans="1:4" x14ac:dyDescent="0.25">
      <c r="A339" s="5" t="s">
        <v>2953</v>
      </c>
      <c r="B339" s="5" t="s">
        <v>2605</v>
      </c>
      <c r="C339" s="5" t="s">
        <v>119</v>
      </c>
      <c r="D339" s="5" t="s">
        <v>451</v>
      </c>
    </row>
    <row r="340" spans="1:4" x14ac:dyDescent="0.25">
      <c r="A340" s="5" t="s">
        <v>2954</v>
      </c>
      <c r="B340" s="5" t="s">
        <v>1593</v>
      </c>
      <c r="C340" s="5" t="s">
        <v>1542</v>
      </c>
      <c r="D340" s="5" t="s">
        <v>2621</v>
      </c>
    </row>
    <row r="341" spans="1:4" x14ac:dyDescent="0.25">
      <c r="A341" s="5" t="s">
        <v>2955</v>
      </c>
      <c r="B341" s="5" t="s">
        <v>2622</v>
      </c>
      <c r="C341" s="5" t="s">
        <v>1949</v>
      </c>
      <c r="D341" s="5" t="s">
        <v>2623</v>
      </c>
    </row>
    <row r="342" spans="1:4" x14ac:dyDescent="0.25">
      <c r="A342" s="5" t="s">
        <v>2956</v>
      </c>
      <c r="B342" s="5" t="s">
        <v>2605</v>
      </c>
      <c r="C342" s="5" t="s">
        <v>119</v>
      </c>
      <c r="D342" s="5" t="s">
        <v>451</v>
      </c>
    </row>
    <row r="343" spans="1:4" x14ac:dyDescent="0.25">
      <c r="A343" s="5" t="s">
        <v>2957</v>
      </c>
      <c r="B343" s="5" t="s">
        <v>2605</v>
      </c>
      <c r="C343" s="5" t="s">
        <v>119</v>
      </c>
      <c r="D343" s="5" t="s">
        <v>451</v>
      </c>
    </row>
    <row r="344" spans="1:4" x14ac:dyDescent="0.25">
      <c r="A344" s="5" t="s">
        <v>2958</v>
      </c>
      <c r="B344" s="5" t="s">
        <v>2622</v>
      </c>
      <c r="C344" s="5" t="s">
        <v>1949</v>
      </c>
      <c r="D344" s="5" t="s">
        <v>2623</v>
      </c>
    </row>
    <row r="345" spans="1:4" x14ac:dyDescent="0.25">
      <c r="A345" s="5" t="s">
        <v>2959</v>
      </c>
      <c r="B345" s="5" t="s">
        <v>1593</v>
      </c>
      <c r="C345" s="5" t="s">
        <v>1542</v>
      </c>
      <c r="D345" s="5" t="s">
        <v>2621</v>
      </c>
    </row>
    <row r="346" spans="1:4" x14ac:dyDescent="0.25">
      <c r="A346" s="5" t="s">
        <v>2960</v>
      </c>
      <c r="B346" s="5" t="s">
        <v>1593</v>
      </c>
      <c r="C346" s="5" t="s">
        <v>1542</v>
      </c>
      <c r="D346" s="5" t="s">
        <v>2621</v>
      </c>
    </row>
    <row r="347" spans="1:4" x14ac:dyDescent="0.25">
      <c r="A347" s="5" t="s">
        <v>2961</v>
      </c>
      <c r="B347" s="5" t="s">
        <v>2622</v>
      </c>
      <c r="C347" s="5" t="s">
        <v>1949</v>
      </c>
      <c r="D347" s="5" t="s">
        <v>2623</v>
      </c>
    </row>
    <row r="348" spans="1:4" x14ac:dyDescent="0.25">
      <c r="A348" s="5" t="s">
        <v>2962</v>
      </c>
      <c r="B348" s="5" t="s">
        <v>2605</v>
      </c>
      <c r="C348" s="5" t="s">
        <v>119</v>
      </c>
      <c r="D348" s="5" t="s">
        <v>451</v>
      </c>
    </row>
    <row r="349" spans="1:4" x14ac:dyDescent="0.25">
      <c r="A349" s="5" t="s">
        <v>2963</v>
      </c>
      <c r="B349" s="5" t="s">
        <v>2605</v>
      </c>
      <c r="C349" s="5" t="s">
        <v>119</v>
      </c>
      <c r="D349" s="5" t="s">
        <v>451</v>
      </c>
    </row>
    <row r="350" spans="1:4" x14ac:dyDescent="0.25">
      <c r="A350" s="5" t="s">
        <v>2964</v>
      </c>
      <c r="B350" s="5" t="s">
        <v>1593</v>
      </c>
      <c r="C350" s="5" t="s">
        <v>1542</v>
      </c>
      <c r="D350" s="5" t="s">
        <v>2621</v>
      </c>
    </row>
    <row r="351" spans="1:4" x14ac:dyDescent="0.25">
      <c r="A351" s="5" t="s">
        <v>2965</v>
      </c>
      <c r="B351" s="5" t="s">
        <v>2622</v>
      </c>
      <c r="C351" s="5" t="s">
        <v>1949</v>
      </c>
      <c r="D351" s="5" t="s">
        <v>2623</v>
      </c>
    </row>
    <row r="352" spans="1:4" x14ac:dyDescent="0.25">
      <c r="A352" s="5" t="s">
        <v>2966</v>
      </c>
      <c r="B352" s="5" t="s">
        <v>2622</v>
      </c>
      <c r="C352" s="5" t="s">
        <v>1949</v>
      </c>
      <c r="D352" s="5" t="s">
        <v>2623</v>
      </c>
    </row>
    <row r="353" spans="1:4" x14ac:dyDescent="0.25">
      <c r="A353" s="5" t="s">
        <v>2967</v>
      </c>
      <c r="B353" s="5" t="s">
        <v>2605</v>
      </c>
      <c r="C353" s="5" t="s">
        <v>119</v>
      </c>
      <c r="D353" s="5" t="s">
        <v>451</v>
      </c>
    </row>
    <row r="354" spans="1:4" x14ac:dyDescent="0.25">
      <c r="A354" s="5" t="s">
        <v>2968</v>
      </c>
      <c r="B354" s="5" t="s">
        <v>2622</v>
      </c>
      <c r="C354" s="5" t="s">
        <v>1949</v>
      </c>
      <c r="D354" s="5" t="s">
        <v>2623</v>
      </c>
    </row>
    <row r="355" spans="1:4" x14ac:dyDescent="0.25">
      <c r="A355" s="5" t="s">
        <v>2969</v>
      </c>
      <c r="B355" s="5" t="s">
        <v>1593</v>
      </c>
      <c r="C355" s="5" t="s">
        <v>1542</v>
      </c>
      <c r="D355" s="5" t="s">
        <v>2621</v>
      </c>
    </row>
    <row r="356" spans="1:4" x14ac:dyDescent="0.25">
      <c r="A356" s="5" t="s">
        <v>2970</v>
      </c>
      <c r="B356" s="5" t="s">
        <v>2605</v>
      </c>
      <c r="C356" s="5" t="s">
        <v>119</v>
      </c>
      <c r="D356" s="5" t="s">
        <v>451</v>
      </c>
    </row>
    <row r="357" spans="1:4" x14ac:dyDescent="0.25">
      <c r="A357" s="5" t="s">
        <v>2971</v>
      </c>
      <c r="B357" s="5" t="s">
        <v>2605</v>
      </c>
      <c r="C357" s="5" t="s">
        <v>119</v>
      </c>
      <c r="D357" s="5" t="s">
        <v>451</v>
      </c>
    </row>
    <row r="358" spans="1:4" x14ac:dyDescent="0.25">
      <c r="A358" s="5" t="s">
        <v>2972</v>
      </c>
      <c r="B358" s="5" t="s">
        <v>1593</v>
      </c>
      <c r="C358" s="5" t="s">
        <v>1542</v>
      </c>
      <c r="D358" s="5" t="s">
        <v>2621</v>
      </c>
    </row>
    <row r="359" spans="1:4" x14ac:dyDescent="0.25">
      <c r="A359" s="5" t="s">
        <v>2973</v>
      </c>
      <c r="B359" s="5" t="s">
        <v>2622</v>
      </c>
      <c r="C359" s="5" t="s">
        <v>1949</v>
      </c>
      <c r="D359" s="5" t="s">
        <v>2623</v>
      </c>
    </row>
    <row r="360" spans="1:4" x14ac:dyDescent="0.25">
      <c r="A360" s="5" t="s">
        <v>2974</v>
      </c>
      <c r="B360" s="5" t="s">
        <v>2622</v>
      </c>
      <c r="C360" s="5" t="s">
        <v>1949</v>
      </c>
      <c r="D360" s="5" t="s">
        <v>2623</v>
      </c>
    </row>
    <row r="361" spans="1:4" x14ac:dyDescent="0.25">
      <c r="A361" s="5" t="s">
        <v>2975</v>
      </c>
      <c r="B361" s="5" t="s">
        <v>1593</v>
      </c>
      <c r="C361" s="5" t="s">
        <v>1542</v>
      </c>
      <c r="D361" s="5" t="s">
        <v>2621</v>
      </c>
    </row>
    <row r="362" spans="1:4" x14ac:dyDescent="0.25">
      <c r="A362" s="5" t="s">
        <v>2976</v>
      </c>
      <c r="B362" s="5" t="s">
        <v>2605</v>
      </c>
      <c r="C362" s="5" t="s">
        <v>119</v>
      </c>
      <c r="D362" s="5" t="s">
        <v>451</v>
      </c>
    </row>
    <row r="363" spans="1:4" x14ac:dyDescent="0.25">
      <c r="A363" s="5" t="s">
        <v>2977</v>
      </c>
      <c r="B363" s="5" t="s">
        <v>2605</v>
      </c>
      <c r="C363" s="5" t="s">
        <v>119</v>
      </c>
      <c r="D363" s="5" t="s">
        <v>451</v>
      </c>
    </row>
    <row r="364" spans="1:4" x14ac:dyDescent="0.25">
      <c r="A364" s="5" t="s">
        <v>2978</v>
      </c>
      <c r="B364" s="5" t="s">
        <v>2622</v>
      </c>
      <c r="C364" s="5" t="s">
        <v>1949</v>
      </c>
      <c r="D364" s="5" t="s">
        <v>2623</v>
      </c>
    </row>
    <row r="365" spans="1:4" x14ac:dyDescent="0.25">
      <c r="A365" s="5" t="s">
        <v>2979</v>
      </c>
      <c r="B365" s="5" t="s">
        <v>1593</v>
      </c>
      <c r="C365" s="5" t="s">
        <v>1542</v>
      </c>
      <c r="D365" s="5" t="s">
        <v>2621</v>
      </c>
    </row>
    <row r="366" spans="1:4" x14ac:dyDescent="0.25">
      <c r="A366" s="5" t="s">
        <v>2980</v>
      </c>
      <c r="B366" s="5" t="s">
        <v>1593</v>
      </c>
      <c r="C366" s="5" t="s">
        <v>1542</v>
      </c>
      <c r="D366" s="5" t="s">
        <v>2621</v>
      </c>
    </row>
    <row r="367" spans="1:4" x14ac:dyDescent="0.25">
      <c r="A367" s="5" t="s">
        <v>2981</v>
      </c>
      <c r="B367" s="5" t="s">
        <v>2622</v>
      </c>
      <c r="C367" s="5" t="s">
        <v>1949</v>
      </c>
      <c r="D367" s="5" t="s">
        <v>2623</v>
      </c>
    </row>
    <row r="368" spans="1:4" x14ac:dyDescent="0.25">
      <c r="A368" s="5" t="s">
        <v>2982</v>
      </c>
      <c r="B368" s="5" t="s">
        <v>2605</v>
      </c>
      <c r="C368" s="5" t="s">
        <v>119</v>
      </c>
      <c r="D368" s="5" t="s">
        <v>451</v>
      </c>
    </row>
    <row r="369" spans="1:4" x14ac:dyDescent="0.25">
      <c r="A369" s="5" t="s">
        <v>2983</v>
      </c>
      <c r="B369" s="5" t="s">
        <v>1593</v>
      </c>
      <c r="C369" s="5" t="s">
        <v>1542</v>
      </c>
      <c r="D369" s="5" t="s">
        <v>2621</v>
      </c>
    </row>
    <row r="370" spans="1:4" x14ac:dyDescent="0.25">
      <c r="A370" s="5" t="s">
        <v>2984</v>
      </c>
      <c r="B370" s="5" t="s">
        <v>2622</v>
      </c>
      <c r="C370" s="5" t="s">
        <v>1949</v>
      </c>
      <c r="D370" s="5" t="s">
        <v>2623</v>
      </c>
    </row>
    <row r="371" spans="1:4" x14ac:dyDescent="0.25">
      <c r="A371" s="5" t="s">
        <v>2985</v>
      </c>
      <c r="B371" s="5" t="s">
        <v>2605</v>
      </c>
      <c r="C371" s="5" t="s">
        <v>119</v>
      </c>
      <c r="D371" s="5" t="s">
        <v>451</v>
      </c>
    </row>
    <row r="372" spans="1:4" x14ac:dyDescent="0.25">
      <c r="A372" s="5" t="s">
        <v>2986</v>
      </c>
      <c r="B372" s="5" t="s">
        <v>2605</v>
      </c>
      <c r="C372" s="5" t="s">
        <v>119</v>
      </c>
      <c r="D372" s="5" t="s">
        <v>451</v>
      </c>
    </row>
    <row r="373" spans="1:4" x14ac:dyDescent="0.25">
      <c r="A373" s="5" t="s">
        <v>2987</v>
      </c>
      <c r="B373" s="5" t="s">
        <v>1593</v>
      </c>
      <c r="C373" s="5" t="s">
        <v>1542</v>
      </c>
      <c r="D373" s="5" t="s">
        <v>2621</v>
      </c>
    </row>
    <row r="374" spans="1:4" x14ac:dyDescent="0.25">
      <c r="A374" s="5" t="s">
        <v>2988</v>
      </c>
      <c r="B374" s="5" t="s">
        <v>1593</v>
      </c>
      <c r="C374" s="5" t="s">
        <v>1542</v>
      </c>
      <c r="D374" s="5" t="s">
        <v>2621</v>
      </c>
    </row>
    <row r="375" spans="1:4" x14ac:dyDescent="0.25">
      <c r="A375" s="5" t="s">
        <v>2989</v>
      </c>
      <c r="B375" s="5" t="s">
        <v>2622</v>
      </c>
      <c r="C375" s="5" t="s">
        <v>1949</v>
      </c>
      <c r="D375" s="5" t="s">
        <v>2623</v>
      </c>
    </row>
    <row r="376" spans="1:4" x14ac:dyDescent="0.25">
      <c r="A376" s="5" t="s">
        <v>2990</v>
      </c>
      <c r="B376" s="5" t="s">
        <v>2605</v>
      </c>
      <c r="C376" s="5" t="s">
        <v>119</v>
      </c>
      <c r="D376" s="5" t="s">
        <v>451</v>
      </c>
    </row>
    <row r="377" spans="1:4" x14ac:dyDescent="0.25">
      <c r="A377" s="5" t="s">
        <v>2991</v>
      </c>
      <c r="B377" s="5" t="s">
        <v>2605</v>
      </c>
      <c r="C377" s="5" t="s">
        <v>119</v>
      </c>
      <c r="D377" s="5" t="s">
        <v>451</v>
      </c>
    </row>
    <row r="378" spans="1:4" x14ac:dyDescent="0.25">
      <c r="A378" s="5" t="s">
        <v>2992</v>
      </c>
      <c r="B378" s="5" t="s">
        <v>1593</v>
      </c>
      <c r="C378" s="5" t="s">
        <v>1542</v>
      </c>
      <c r="D378" s="5" t="s">
        <v>2621</v>
      </c>
    </row>
    <row r="379" spans="1:4" x14ac:dyDescent="0.25">
      <c r="A379" s="5" t="s">
        <v>2993</v>
      </c>
      <c r="B379" s="5" t="s">
        <v>2622</v>
      </c>
      <c r="C379" s="5" t="s">
        <v>1949</v>
      </c>
      <c r="D379" s="5" t="s">
        <v>2623</v>
      </c>
    </row>
    <row r="380" spans="1:4" x14ac:dyDescent="0.25">
      <c r="A380" s="5" t="s">
        <v>2994</v>
      </c>
      <c r="B380" s="5" t="s">
        <v>2622</v>
      </c>
      <c r="C380" s="5" t="s">
        <v>1949</v>
      </c>
      <c r="D380" s="5" t="s">
        <v>2623</v>
      </c>
    </row>
    <row r="381" spans="1:4" x14ac:dyDescent="0.25">
      <c r="A381" s="5" t="s">
        <v>2995</v>
      </c>
      <c r="B381" s="5" t="s">
        <v>1593</v>
      </c>
      <c r="C381" s="5" t="s">
        <v>1542</v>
      </c>
      <c r="D381" s="5" t="s">
        <v>2621</v>
      </c>
    </row>
    <row r="382" spans="1:4" x14ac:dyDescent="0.25">
      <c r="A382" s="5" t="s">
        <v>2996</v>
      </c>
      <c r="B382" s="5" t="s">
        <v>2605</v>
      </c>
      <c r="C382" s="5" t="s">
        <v>119</v>
      </c>
      <c r="D382" s="5" t="s">
        <v>451</v>
      </c>
    </row>
    <row r="383" spans="1:4" x14ac:dyDescent="0.25">
      <c r="A383" s="5" t="s">
        <v>2997</v>
      </c>
      <c r="B383" s="5" t="s">
        <v>2622</v>
      </c>
      <c r="C383" s="5" t="s">
        <v>1949</v>
      </c>
      <c r="D383" s="5" t="s">
        <v>2623</v>
      </c>
    </row>
    <row r="384" spans="1:4" x14ac:dyDescent="0.25">
      <c r="A384" s="5" t="s">
        <v>2998</v>
      </c>
      <c r="B384" s="5" t="s">
        <v>1593</v>
      </c>
      <c r="C384" s="5" t="s">
        <v>1542</v>
      </c>
      <c r="D384" s="5" t="s">
        <v>2621</v>
      </c>
    </row>
    <row r="385" spans="1:4" x14ac:dyDescent="0.25">
      <c r="A385" s="5" t="s">
        <v>2999</v>
      </c>
      <c r="B385" s="5" t="s">
        <v>2605</v>
      </c>
      <c r="C385" s="5" t="s">
        <v>119</v>
      </c>
      <c r="D385" s="5" t="s">
        <v>451</v>
      </c>
    </row>
    <row r="386" spans="1:4" x14ac:dyDescent="0.25">
      <c r="A386" s="5" t="s">
        <v>3000</v>
      </c>
      <c r="B386" s="5" t="s">
        <v>2605</v>
      </c>
      <c r="C386" s="5" t="s">
        <v>119</v>
      </c>
      <c r="D386" s="5" t="s">
        <v>451</v>
      </c>
    </row>
    <row r="387" spans="1:4" x14ac:dyDescent="0.25">
      <c r="A387" s="5" t="s">
        <v>3001</v>
      </c>
      <c r="B387" s="5" t="s">
        <v>1593</v>
      </c>
      <c r="C387" s="5" t="s">
        <v>1542</v>
      </c>
      <c r="D387" s="5" t="s">
        <v>2621</v>
      </c>
    </row>
    <row r="388" spans="1:4" x14ac:dyDescent="0.25">
      <c r="A388" s="5" t="s">
        <v>3002</v>
      </c>
      <c r="B388" s="5" t="s">
        <v>2622</v>
      </c>
      <c r="C388" s="5" t="s">
        <v>1949</v>
      </c>
      <c r="D388" s="5" t="s">
        <v>2623</v>
      </c>
    </row>
    <row r="389" spans="1:4" x14ac:dyDescent="0.25">
      <c r="A389" s="5" t="s">
        <v>3003</v>
      </c>
      <c r="B389" s="5" t="s">
        <v>2622</v>
      </c>
      <c r="C389" s="5" t="s">
        <v>1949</v>
      </c>
      <c r="D389" s="5" t="s">
        <v>2623</v>
      </c>
    </row>
    <row r="390" spans="1:4" x14ac:dyDescent="0.25">
      <c r="A390" s="5" t="s">
        <v>3004</v>
      </c>
      <c r="B390" s="5" t="s">
        <v>1593</v>
      </c>
      <c r="C390" s="5" t="s">
        <v>1542</v>
      </c>
      <c r="D390" s="5" t="s">
        <v>2621</v>
      </c>
    </row>
    <row r="391" spans="1:4" x14ac:dyDescent="0.25">
      <c r="A391" s="5" t="s">
        <v>3005</v>
      </c>
      <c r="B391" s="5" t="s">
        <v>2605</v>
      </c>
      <c r="C391" s="5" t="s">
        <v>119</v>
      </c>
      <c r="D391" s="5" t="s">
        <v>451</v>
      </c>
    </row>
    <row r="392" spans="1:4" x14ac:dyDescent="0.25">
      <c r="A392" s="5" t="s">
        <v>3006</v>
      </c>
      <c r="B392" s="5" t="s">
        <v>2605</v>
      </c>
      <c r="C392" s="5" t="s">
        <v>119</v>
      </c>
      <c r="D392" s="5" t="s">
        <v>451</v>
      </c>
    </row>
    <row r="393" spans="1:4" x14ac:dyDescent="0.25">
      <c r="A393" s="5" t="s">
        <v>3007</v>
      </c>
      <c r="B393" s="5" t="s">
        <v>1593</v>
      </c>
      <c r="C393" s="5" t="s">
        <v>1542</v>
      </c>
      <c r="D393" s="5" t="s">
        <v>2621</v>
      </c>
    </row>
    <row r="394" spans="1:4" x14ac:dyDescent="0.25">
      <c r="A394" s="5" t="s">
        <v>3008</v>
      </c>
      <c r="B394" s="5" t="s">
        <v>1593</v>
      </c>
      <c r="C394" s="5" t="s">
        <v>1542</v>
      </c>
      <c r="D394" s="5" t="s">
        <v>2621</v>
      </c>
    </row>
    <row r="395" spans="1:4" x14ac:dyDescent="0.25">
      <c r="A395" s="5" t="s">
        <v>3009</v>
      </c>
      <c r="B395" s="5" t="s">
        <v>2622</v>
      </c>
      <c r="C395" s="5" t="s">
        <v>1949</v>
      </c>
      <c r="D395" s="5" t="s">
        <v>2623</v>
      </c>
    </row>
    <row r="396" spans="1:4" x14ac:dyDescent="0.25">
      <c r="A396" s="5" t="s">
        <v>3010</v>
      </c>
      <c r="B396" s="5" t="s">
        <v>2605</v>
      </c>
      <c r="C396" s="5" t="s">
        <v>119</v>
      </c>
      <c r="D396" s="5" t="s">
        <v>451</v>
      </c>
    </row>
    <row r="397" spans="1:4" x14ac:dyDescent="0.25">
      <c r="A397" s="5" t="s">
        <v>3011</v>
      </c>
      <c r="B397" s="5" t="s">
        <v>1593</v>
      </c>
      <c r="C397" s="5" t="s">
        <v>1542</v>
      </c>
      <c r="D397" s="5" t="s">
        <v>2621</v>
      </c>
    </row>
    <row r="398" spans="1:4" x14ac:dyDescent="0.25">
      <c r="A398" s="5" t="s">
        <v>3012</v>
      </c>
      <c r="B398" s="5" t="s">
        <v>2622</v>
      </c>
      <c r="C398" s="5" t="s">
        <v>1949</v>
      </c>
      <c r="D398" s="5" t="s">
        <v>2623</v>
      </c>
    </row>
    <row r="399" spans="1:4" x14ac:dyDescent="0.25">
      <c r="A399" s="5" t="s">
        <v>3013</v>
      </c>
      <c r="B399" s="5" t="s">
        <v>2605</v>
      </c>
      <c r="C399" s="5" t="s">
        <v>119</v>
      </c>
      <c r="D399" s="5" t="s">
        <v>451</v>
      </c>
    </row>
    <row r="400" spans="1:4" x14ac:dyDescent="0.25">
      <c r="A400" s="5" t="s">
        <v>3014</v>
      </c>
      <c r="B400" s="5" t="s">
        <v>2605</v>
      </c>
      <c r="C400" s="5" t="s">
        <v>119</v>
      </c>
      <c r="D400" s="5" t="s">
        <v>451</v>
      </c>
    </row>
    <row r="401" spans="1:4" x14ac:dyDescent="0.25">
      <c r="A401" s="5" t="s">
        <v>3015</v>
      </c>
      <c r="B401" s="5" t="s">
        <v>2622</v>
      </c>
      <c r="C401" s="5" t="s">
        <v>1949</v>
      </c>
      <c r="D401" s="5" t="s">
        <v>2623</v>
      </c>
    </row>
    <row r="402" spans="1:4" x14ac:dyDescent="0.25">
      <c r="A402" s="5" t="s">
        <v>3016</v>
      </c>
      <c r="B402" s="5" t="s">
        <v>1593</v>
      </c>
      <c r="C402" s="5" t="s">
        <v>1542</v>
      </c>
      <c r="D402" s="5" t="s">
        <v>2621</v>
      </c>
    </row>
    <row r="403" spans="1:4" x14ac:dyDescent="0.25">
      <c r="A403" s="5" t="s">
        <v>3017</v>
      </c>
      <c r="B403" s="5" t="s">
        <v>1593</v>
      </c>
      <c r="C403" s="5" t="s">
        <v>1542</v>
      </c>
      <c r="D403" s="5" t="s">
        <v>2621</v>
      </c>
    </row>
    <row r="404" spans="1:4" x14ac:dyDescent="0.25">
      <c r="A404" s="5" t="s">
        <v>3018</v>
      </c>
      <c r="B404" s="5" t="s">
        <v>2622</v>
      </c>
      <c r="C404" s="5" t="s">
        <v>1949</v>
      </c>
      <c r="D404" s="5" t="s">
        <v>2623</v>
      </c>
    </row>
    <row r="405" spans="1:4" x14ac:dyDescent="0.25">
      <c r="A405" s="5" t="s">
        <v>3019</v>
      </c>
      <c r="B405" s="5" t="s">
        <v>2605</v>
      </c>
      <c r="C405" s="5" t="s">
        <v>119</v>
      </c>
      <c r="D405" s="5" t="s">
        <v>451</v>
      </c>
    </row>
    <row r="406" spans="1:4" x14ac:dyDescent="0.25">
      <c r="A406" s="5" t="s">
        <v>3020</v>
      </c>
      <c r="B406" s="5" t="s">
        <v>2605</v>
      </c>
      <c r="C406" s="5" t="s">
        <v>119</v>
      </c>
      <c r="D406" s="5" t="s">
        <v>451</v>
      </c>
    </row>
    <row r="407" spans="1:4" x14ac:dyDescent="0.25">
      <c r="A407" s="5" t="s">
        <v>3021</v>
      </c>
      <c r="B407" s="5" t="s">
        <v>1593</v>
      </c>
      <c r="C407" s="5" t="s">
        <v>1542</v>
      </c>
      <c r="D407" s="5" t="s">
        <v>2621</v>
      </c>
    </row>
    <row r="408" spans="1:4" x14ac:dyDescent="0.25">
      <c r="A408" s="5" t="s">
        <v>3022</v>
      </c>
      <c r="B408" s="5" t="s">
        <v>2622</v>
      </c>
      <c r="C408" s="5" t="s">
        <v>1949</v>
      </c>
      <c r="D408" s="5" t="s">
        <v>2623</v>
      </c>
    </row>
    <row r="409" spans="1:4" x14ac:dyDescent="0.25">
      <c r="A409" s="5" t="s">
        <v>3023</v>
      </c>
      <c r="B409" s="5" t="s">
        <v>2622</v>
      </c>
      <c r="C409" s="5" t="s">
        <v>1949</v>
      </c>
      <c r="D409" s="5" t="s">
        <v>2623</v>
      </c>
    </row>
    <row r="410" spans="1:4" x14ac:dyDescent="0.25">
      <c r="A410" s="5" t="s">
        <v>3024</v>
      </c>
      <c r="B410" s="5" t="s">
        <v>1593</v>
      </c>
      <c r="C410" s="5" t="s">
        <v>1542</v>
      </c>
      <c r="D410" s="5" t="s">
        <v>2621</v>
      </c>
    </row>
    <row r="411" spans="1:4" x14ac:dyDescent="0.25">
      <c r="A411" s="5" t="s">
        <v>3025</v>
      </c>
      <c r="B411" s="5" t="s">
        <v>2605</v>
      </c>
      <c r="C411" s="5" t="s">
        <v>119</v>
      </c>
      <c r="D411" s="5" t="s">
        <v>451</v>
      </c>
    </row>
    <row r="412" spans="1:4" x14ac:dyDescent="0.25">
      <c r="A412" s="5" t="s">
        <v>3026</v>
      </c>
      <c r="B412" s="5" t="s">
        <v>2622</v>
      </c>
      <c r="C412" s="5" t="s">
        <v>1949</v>
      </c>
      <c r="D412" s="5" t="s">
        <v>2623</v>
      </c>
    </row>
    <row r="413" spans="1:4" x14ac:dyDescent="0.25">
      <c r="A413" s="5" t="s">
        <v>3027</v>
      </c>
      <c r="B413" s="5" t="s">
        <v>2605</v>
      </c>
      <c r="C413" s="5" t="s">
        <v>119</v>
      </c>
      <c r="D413" s="5" t="s">
        <v>451</v>
      </c>
    </row>
    <row r="414" spans="1:4" x14ac:dyDescent="0.25">
      <c r="A414" s="5" t="s">
        <v>3028</v>
      </c>
      <c r="B414" s="5" t="s">
        <v>2605</v>
      </c>
      <c r="C414" s="5" t="s">
        <v>119</v>
      </c>
      <c r="D414" s="5" t="s">
        <v>451</v>
      </c>
    </row>
    <row r="415" spans="1:4" x14ac:dyDescent="0.25">
      <c r="A415" s="5" t="s">
        <v>3029</v>
      </c>
      <c r="B415" s="5" t="s">
        <v>1593</v>
      </c>
      <c r="C415" s="5" t="s">
        <v>1542</v>
      </c>
      <c r="D415" s="5" t="s">
        <v>2621</v>
      </c>
    </row>
    <row r="416" spans="1:4" x14ac:dyDescent="0.25">
      <c r="A416" s="5" t="s">
        <v>3030</v>
      </c>
      <c r="B416" s="5" t="s">
        <v>2622</v>
      </c>
      <c r="C416" s="5" t="s">
        <v>1949</v>
      </c>
      <c r="D416" s="5" t="s">
        <v>2623</v>
      </c>
    </row>
    <row r="417" spans="1:4" x14ac:dyDescent="0.25">
      <c r="A417" s="5" t="s">
        <v>3031</v>
      </c>
      <c r="B417" s="5" t="s">
        <v>2622</v>
      </c>
      <c r="C417" s="5" t="s">
        <v>1949</v>
      </c>
      <c r="D417" s="5" t="s">
        <v>2623</v>
      </c>
    </row>
    <row r="418" spans="1:4" x14ac:dyDescent="0.25">
      <c r="A418" s="5" t="s">
        <v>3032</v>
      </c>
      <c r="B418" s="5" t="s">
        <v>1593</v>
      </c>
      <c r="C418" s="5" t="s">
        <v>1542</v>
      </c>
      <c r="D418" s="5" t="s">
        <v>2621</v>
      </c>
    </row>
    <row r="419" spans="1:4" x14ac:dyDescent="0.25">
      <c r="A419" s="5" t="s">
        <v>3033</v>
      </c>
      <c r="B419" s="5" t="s">
        <v>2605</v>
      </c>
      <c r="C419" s="5" t="s">
        <v>119</v>
      </c>
      <c r="D419" s="5" t="s">
        <v>451</v>
      </c>
    </row>
    <row r="420" spans="1:4" x14ac:dyDescent="0.25">
      <c r="A420" s="5" t="s">
        <v>3034</v>
      </c>
      <c r="B420" s="5" t="s">
        <v>2605</v>
      </c>
      <c r="C420" s="5" t="s">
        <v>119</v>
      </c>
      <c r="D420" s="5" t="s">
        <v>451</v>
      </c>
    </row>
    <row r="421" spans="1:4" x14ac:dyDescent="0.25">
      <c r="A421" s="5" t="s">
        <v>3035</v>
      </c>
      <c r="B421" s="5" t="s">
        <v>2622</v>
      </c>
      <c r="C421" s="5" t="s">
        <v>1949</v>
      </c>
      <c r="D421" s="5" t="s">
        <v>2623</v>
      </c>
    </row>
    <row r="422" spans="1:4" x14ac:dyDescent="0.25">
      <c r="A422" s="5" t="s">
        <v>3036</v>
      </c>
      <c r="B422" s="5" t="s">
        <v>1593</v>
      </c>
      <c r="C422" s="5" t="s">
        <v>1542</v>
      </c>
      <c r="D422" s="5" t="s">
        <v>2621</v>
      </c>
    </row>
    <row r="423" spans="1:4" x14ac:dyDescent="0.25">
      <c r="A423" s="5" t="s">
        <v>3037</v>
      </c>
      <c r="B423" s="5" t="s">
        <v>1593</v>
      </c>
      <c r="C423" s="5" t="s">
        <v>1542</v>
      </c>
      <c r="D423" s="5" t="s">
        <v>2621</v>
      </c>
    </row>
    <row r="424" spans="1:4" x14ac:dyDescent="0.25">
      <c r="A424" s="5" t="s">
        <v>3038</v>
      </c>
      <c r="B424" s="5" t="s">
        <v>2622</v>
      </c>
      <c r="C424" s="5" t="s">
        <v>1949</v>
      </c>
      <c r="D424" s="5" t="s">
        <v>2623</v>
      </c>
    </row>
    <row r="425" spans="1:4" x14ac:dyDescent="0.25">
      <c r="A425" s="5" t="s">
        <v>3039</v>
      </c>
      <c r="B425" s="5" t="s">
        <v>2605</v>
      </c>
      <c r="C425" s="5" t="s">
        <v>119</v>
      </c>
      <c r="D425" s="5" t="s">
        <v>451</v>
      </c>
    </row>
    <row r="426" spans="1:4" x14ac:dyDescent="0.25">
      <c r="A426" s="5" t="s">
        <v>3040</v>
      </c>
      <c r="B426" s="5" t="s">
        <v>1593</v>
      </c>
      <c r="C426" s="5" t="s">
        <v>1542</v>
      </c>
      <c r="D426" s="5" t="s">
        <v>2621</v>
      </c>
    </row>
    <row r="427" spans="1:4" x14ac:dyDescent="0.25">
      <c r="A427" s="5" t="s">
        <v>3041</v>
      </c>
      <c r="B427" s="5" t="s">
        <v>2622</v>
      </c>
      <c r="C427" s="5" t="s">
        <v>1949</v>
      </c>
      <c r="D427" s="5" t="s">
        <v>2623</v>
      </c>
    </row>
    <row r="428" spans="1:4" x14ac:dyDescent="0.25">
      <c r="A428" s="5" t="s">
        <v>3042</v>
      </c>
      <c r="B428" s="5" t="s">
        <v>2605</v>
      </c>
      <c r="C428" s="5" t="s">
        <v>119</v>
      </c>
      <c r="D428" s="5" t="s">
        <v>451</v>
      </c>
    </row>
    <row r="429" spans="1:4" x14ac:dyDescent="0.25">
      <c r="A429" s="5" t="s">
        <v>3043</v>
      </c>
      <c r="B429" s="5" t="s">
        <v>2605</v>
      </c>
      <c r="C429" s="5" t="s">
        <v>119</v>
      </c>
      <c r="D429" s="5" t="s">
        <v>451</v>
      </c>
    </row>
    <row r="430" spans="1:4" x14ac:dyDescent="0.25">
      <c r="A430" s="5" t="s">
        <v>3044</v>
      </c>
      <c r="B430" s="5" t="s">
        <v>2622</v>
      </c>
      <c r="C430" s="5" t="s">
        <v>1949</v>
      </c>
      <c r="D430" s="5" t="s">
        <v>2623</v>
      </c>
    </row>
    <row r="431" spans="1:4" x14ac:dyDescent="0.25">
      <c r="A431" s="5" t="s">
        <v>3045</v>
      </c>
      <c r="B431" s="5" t="s">
        <v>1593</v>
      </c>
      <c r="C431" s="5" t="s">
        <v>1542</v>
      </c>
      <c r="D431" s="5" t="s">
        <v>2621</v>
      </c>
    </row>
    <row r="432" spans="1:4" x14ac:dyDescent="0.25">
      <c r="A432" s="5" t="s">
        <v>3046</v>
      </c>
      <c r="B432" s="5" t="s">
        <v>1593</v>
      </c>
      <c r="C432" s="5" t="s">
        <v>1542</v>
      </c>
      <c r="D432" s="5" t="s">
        <v>2621</v>
      </c>
    </row>
    <row r="433" spans="1:4" x14ac:dyDescent="0.25">
      <c r="A433" s="5" t="s">
        <v>3047</v>
      </c>
      <c r="B433" s="5" t="s">
        <v>2605</v>
      </c>
      <c r="C433" s="5" t="s">
        <v>119</v>
      </c>
      <c r="D433" s="5" t="s">
        <v>451</v>
      </c>
    </row>
    <row r="434" spans="1:4" x14ac:dyDescent="0.25">
      <c r="A434" s="5" t="s">
        <v>3048</v>
      </c>
      <c r="B434" s="5" t="s">
        <v>2605</v>
      </c>
      <c r="C434" s="5" t="s">
        <v>119</v>
      </c>
      <c r="D434" s="5" t="s">
        <v>451</v>
      </c>
    </row>
    <row r="435" spans="1:4" x14ac:dyDescent="0.25">
      <c r="A435" s="5" t="s">
        <v>3049</v>
      </c>
      <c r="B435" s="5" t="s">
        <v>1593</v>
      </c>
      <c r="C435" s="5" t="s">
        <v>1542</v>
      </c>
      <c r="D435" s="5" t="s">
        <v>2621</v>
      </c>
    </row>
    <row r="436" spans="1:4" x14ac:dyDescent="0.25">
      <c r="A436" s="5" t="s">
        <v>3050</v>
      </c>
      <c r="B436" s="5" t="s">
        <v>2622</v>
      </c>
      <c r="C436" s="5" t="s">
        <v>1949</v>
      </c>
      <c r="D436" s="5" t="s">
        <v>2623</v>
      </c>
    </row>
    <row r="437" spans="1:4" x14ac:dyDescent="0.25">
      <c r="A437" s="5" t="s">
        <v>3051</v>
      </c>
      <c r="B437" s="5" t="s">
        <v>2622</v>
      </c>
      <c r="C437" s="5" t="s">
        <v>1949</v>
      </c>
      <c r="D437" s="5" t="s">
        <v>2623</v>
      </c>
    </row>
    <row r="438" spans="1:4" x14ac:dyDescent="0.25">
      <c r="A438" s="5" t="s">
        <v>3052</v>
      </c>
      <c r="B438" s="5" t="s">
        <v>1593</v>
      </c>
      <c r="C438" s="5" t="s">
        <v>1542</v>
      </c>
      <c r="D438" s="5" t="s">
        <v>2621</v>
      </c>
    </row>
    <row r="439" spans="1:4" x14ac:dyDescent="0.25">
      <c r="A439" s="5" t="s">
        <v>3053</v>
      </c>
      <c r="B439" s="5" t="s">
        <v>2605</v>
      </c>
      <c r="C439" s="5" t="s">
        <v>119</v>
      </c>
      <c r="D439" s="5" t="s">
        <v>451</v>
      </c>
    </row>
    <row r="440" spans="1:4" x14ac:dyDescent="0.25">
      <c r="A440" s="5" t="s">
        <v>3054</v>
      </c>
      <c r="B440" s="5" t="s">
        <v>2622</v>
      </c>
      <c r="C440" s="5" t="s">
        <v>1949</v>
      </c>
      <c r="D440" s="5" t="s">
        <v>2623</v>
      </c>
    </row>
    <row r="441" spans="1:4" x14ac:dyDescent="0.25">
      <c r="A441" s="5" t="s">
        <v>3055</v>
      </c>
      <c r="B441" s="5" t="s">
        <v>1593</v>
      </c>
      <c r="C441" s="5" t="s">
        <v>1542</v>
      </c>
      <c r="D441" s="5" t="s">
        <v>2621</v>
      </c>
    </row>
    <row r="442" spans="1:4" x14ac:dyDescent="0.25">
      <c r="A442" s="5" t="s">
        <v>3056</v>
      </c>
      <c r="B442" s="5" t="s">
        <v>2605</v>
      </c>
      <c r="C442" s="5" t="s">
        <v>119</v>
      </c>
      <c r="D442" s="5" t="s">
        <v>451</v>
      </c>
    </row>
    <row r="443" spans="1:4" x14ac:dyDescent="0.25">
      <c r="A443" s="5" t="s">
        <v>3057</v>
      </c>
      <c r="B443" s="5" t="s">
        <v>2605</v>
      </c>
      <c r="C443" s="5" t="s">
        <v>119</v>
      </c>
      <c r="D443" s="5" t="s">
        <v>451</v>
      </c>
    </row>
    <row r="444" spans="1:4" x14ac:dyDescent="0.25">
      <c r="A444" s="5" t="s">
        <v>3058</v>
      </c>
      <c r="B444" s="5" t="s">
        <v>1593</v>
      </c>
      <c r="C444" s="5" t="s">
        <v>1542</v>
      </c>
      <c r="D444" s="5" t="s">
        <v>2621</v>
      </c>
    </row>
    <row r="445" spans="1:4" x14ac:dyDescent="0.25">
      <c r="A445" s="5" t="s">
        <v>3059</v>
      </c>
      <c r="B445" s="5" t="s">
        <v>2622</v>
      </c>
      <c r="C445" s="5" t="s">
        <v>1949</v>
      </c>
      <c r="D445" s="5" t="s">
        <v>2623</v>
      </c>
    </row>
    <row r="446" spans="1:4" x14ac:dyDescent="0.25">
      <c r="A446" s="5" t="s">
        <v>3060</v>
      </c>
      <c r="B446" s="5" t="s">
        <v>2622</v>
      </c>
      <c r="C446" s="5" t="s">
        <v>1949</v>
      </c>
      <c r="D446" s="5" t="s">
        <v>2623</v>
      </c>
    </row>
    <row r="447" spans="1:4" x14ac:dyDescent="0.25">
      <c r="A447" s="5" t="s">
        <v>3061</v>
      </c>
      <c r="B447" s="5" t="s">
        <v>1593</v>
      </c>
      <c r="C447" s="5" t="s">
        <v>1542</v>
      </c>
      <c r="D447" s="5" t="s">
        <v>2621</v>
      </c>
    </row>
    <row r="448" spans="1:4" x14ac:dyDescent="0.25">
      <c r="A448" s="5" t="s">
        <v>3062</v>
      </c>
      <c r="B448" s="5" t="s">
        <v>2605</v>
      </c>
      <c r="C448" s="5" t="s">
        <v>119</v>
      </c>
      <c r="D448" s="5" t="s">
        <v>451</v>
      </c>
    </row>
    <row r="449" spans="1:4" x14ac:dyDescent="0.25">
      <c r="A449" s="5" t="s">
        <v>3063</v>
      </c>
      <c r="B449" s="5" t="s">
        <v>2605</v>
      </c>
      <c r="C449" s="5" t="s">
        <v>119</v>
      </c>
      <c r="D449" s="5" t="s">
        <v>451</v>
      </c>
    </row>
    <row r="450" spans="1:4" x14ac:dyDescent="0.25">
      <c r="A450" s="5" t="s">
        <v>3064</v>
      </c>
      <c r="B450" s="5" t="s">
        <v>2622</v>
      </c>
      <c r="C450" s="5" t="s">
        <v>1949</v>
      </c>
      <c r="D450" s="5" t="s">
        <v>2623</v>
      </c>
    </row>
    <row r="451" spans="1:4" x14ac:dyDescent="0.25">
      <c r="A451" s="5" t="s">
        <v>3065</v>
      </c>
      <c r="B451" s="5" t="s">
        <v>1593</v>
      </c>
      <c r="C451" s="5" t="s">
        <v>1542</v>
      </c>
      <c r="D451" s="5" t="s">
        <v>2621</v>
      </c>
    </row>
    <row r="452" spans="1:4" x14ac:dyDescent="0.25">
      <c r="A452" s="5" t="s">
        <v>3066</v>
      </c>
      <c r="B452" s="5" t="s">
        <v>1593</v>
      </c>
      <c r="C452" s="5" t="s">
        <v>1542</v>
      </c>
      <c r="D452" s="5" t="s">
        <v>2621</v>
      </c>
    </row>
    <row r="453" spans="1:4" x14ac:dyDescent="0.25">
      <c r="A453" s="5" t="s">
        <v>3067</v>
      </c>
      <c r="B453" s="5" t="s">
        <v>2605</v>
      </c>
      <c r="C453" s="5" t="s">
        <v>119</v>
      </c>
      <c r="D453" s="5" t="s">
        <v>451</v>
      </c>
    </row>
    <row r="454" spans="1:4" x14ac:dyDescent="0.25">
      <c r="A454" s="5" t="s">
        <v>3068</v>
      </c>
      <c r="B454" s="5" t="s">
        <v>2605</v>
      </c>
      <c r="C454" s="5" t="s">
        <v>119</v>
      </c>
      <c r="D454" s="5" t="s">
        <v>451</v>
      </c>
    </row>
    <row r="455" spans="1:4" x14ac:dyDescent="0.25">
      <c r="A455" s="5" t="s">
        <v>3069</v>
      </c>
      <c r="B455" s="5" t="s">
        <v>2622</v>
      </c>
      <c r="C455" s="5" t="s">
        <v>1949</v>
      </c>
      <c r="D455" s="5" t="s">
        <v>2623</v>
      </c>
    </row>
    <row r="456" spans="1:4" x14ac:dyDescent="0.25">
      <c r="A456" s="5" t="s">
        <v>3070</v>
      </c>
      <c r="B456" s="5" t="s">
        <v>1593</v>
      </c>
      <c r="C456" s="5" t="s">
        <v>1542</v>
      </c>
      <c r="D456" s="5" t="s">
        <v>2621</v>
      </c>
    </row>
    <row r="457" spans="1:4" x14ac:dyDescent="0.25">
      <c r="A457" s="5" t="s">
        <v>3071</v>
      </c>
      <c r="B457" s="5" t="s">
        <v>1593</v>
      </c>
      <c r="C457" s="5" t="s">
        <v>1542</v>
      </c>
      <c r="D457" s="5" t="s">
        <v>2621</v>
      </c>
    </row>
    <row r="458" spans="1:4" x14ac:dyDescent="0.25">
      <c r="A458" s="5" t="s">
        <v>3072</v>
      </c>
      <c r="B458" s="5" t="s">
        <v>2622</v>
      </c>
      <c r="C458" s="5" t="s">
        <v>1949</v>
      </c>
      <c r="D458" s="5" t="s">
        <v>2623</v>
      </c>
    </row>
    <row r="459" spans="1:4" x14ac:dyDescent="0.25">
      <c r="A459" s="5" t="s">
        <v>3073</v>
      </c>
      <c r="B459" s="5" t="s">
        <v>2605</v>
      </c>
      <c r="C459" s="5" t="s">
        <v>119</v>
      </c>
      <c r="D459" s="5" t="s">
        <v>451</v>
      </c>
    </row>
    <row r="460" spans="1:4" x14ac:dyDescent="0.25">
      <c r="A460" s="5" t="s">
        <v>3074</v>
      </c>
      <c r="B460" s="5" t="s">
        <v>2605</v>
      </c>
      <c r="C460" s="5" t="s">
        <v>119</v>
      </c>
      <c r="D460" s="5" t="s">
        <v>451</v>
      </c>
    </row>
    <row r="461" spans="1:4" x14ac:dyDescent="0.25">
      <c r="A461" s="5" t="s">
        <v>3075</v>
      </c>
      <c r="B461" s="5" t="s">
        <v>1593</v>
      </c>
      <c r="C461" s="5" t="s">
        <v>1542</v>
      </c>
      <c r="D461" s="5" t="s">
        <v>2621</v>
      </c>
    </row>
    <row r="462" spans="1:4" x14ac:dyDescent="0.25">
      <c r="A462" s="5" t="s">
        <v>3076</v>
      </c>
      <c r="B462" s="5" t="s">
        <v>2622</v>
      </c>
      <c r="C462" s="5" t="s">
        <v>1949</v>
      </c>
      <c r="D462" s="5" t="s">
        <v>2623</v>
      </c>
    </row>
    <row r="463" spans="1:4" x14ac:dyDescent="0.25">
      <c r="A463" s="5" t="s">
        <v>3077</v>
      </c>
      <c r="B463" s="5" t="s">
        <v>2622</v>
      </c>
      <c r="C463" s="5" t="s">
        <v>1949</v>
      </c>
      <c r="D463" s="5" t="s">
        <v>2623</v>
      </c>
    </row>
    <row r="464" spans="1:4" x14ac:dyDescent="0.25">
      <c r="A464" s="5" t="s">
        <v>3078</v>
      </c>
      <c r="B464" s="5" t="s">
        <v>1593</v>
      </c>
      <c r="C464" s="5" t="s">
        <v>1542</v>
      </c>
      <c r="D464" s="5" t="s">
        <v>2621</v>
      </c>
    </row>
    <row r="465" spans="1:4" x14ac:dyDescent="0.25">
      <c r="A465" s="5" t="s">
        <v>3079</v>
      </c>
      <c r="B465" s="5" t="s">
        <v>2605</v>
      </c>
      <c r="C465" s="5" t="s">
        <v>119</v>
      </c>
      <c r="D465" s="5" t="s">
        <v>451</v>
      </c>
    </row>
    <row r="466" spans="1:4" x14ac:dyDescent="0.25">
      <c r="A466" s="5" t="s">
        <v>3080</v>
      </c>
      <c r="B466" s="5" t="s">
        <v>2622</v>
      </c>
      <c r="C466" s="5" t="s">
        <v>1949</v>
      </c>
      <c r="D466" s="5" t="s">
        <v>2623</v>
      </c>
    </row>
    <row r="467" spans="1:4" x14ac:dyDescent="0.25">
      <c r="A467" s="5" t="s">
        <v>3081</v>
      </c>
      <c r="B467" s="5" t="s">
        <v>1593</v>
      </c>
      <c r="C467" s="5" t="s">
        <v>1542</v>
      </c>
      <c r="D467" s="5" t="s">
        <v>2621</v>
      </c>
    </row>
    <row r="468" spans="1:4" x14ac:dyDescent="0.25">
      <c r="A468" s="5" t="s">
        <v>3082</v>
      </c>
      <c r="B468" s="5" t="s">
        <v>2605</v>
      </c>
      <c r="C468" s="5" t="s">
        <v>119</v>
      </c>
      <c r="D468" s="5" t="s">
        <v>451</v>
      </c>
    </row>
    <row r="469" spans="1:4" x14ac:dyDescent="0.25">
      <c r="A469" s="5" t="s">
        <v>3083</v>
      </c>
      <c r="B469" s="5" t="s">
        <v>2605</v>
      </c>
      <c r="C469" s="5" t="s">
        <v>119</v>
      </c>
      <c r="D469" s="5" t="s">
        <v>451</v>
      </c>
    </row>
    <row r="470" spans="1:4" x14ac:dyDescent="0.25">
      <c r="A470" s="5" t="s">
        <v>3084</v>
      </c>
      <c r="B470" s="5" t="s">
        <v>1593</v>
      </c>
      <c r="C470" s="5" t="s">
        <v>1542</v>
      </c>
      <c r="D470" s="5" t="s">
        <v>2621</v>
      </c>
    </row>
    <row r="471" spans="1:4" x14ac:dyDescent="0.25">
      <c r="A471" s="5" t="s">
        <v>3085</v>
      </c>
      <c r="B471" s="5" t="s">
        <v>2622</v>
      </c>
      <c r="C471" s="5" t="s">
        <v>1949</v>
      </c>
      <c r="D471" s="5" t="s">
        <v>2623</v>
      </c>
    </row>
    <row r="472" spans="1:4" x14ac:dyDescent="0.25">
      <c r="A472" s="5" t="s">
        <v>3086</v>
      </c>
      <c r="B472" s="5" t="s">
        <v>2622</v>
      </c>
      <c r="C472" s="5" t="s">
        <v>1949</v>
      </c>
      <c r="D472" s="5" t="s">
        <v>2623</v>
      </c>
    </row>
  </sheetData>
  <mergeCells count="9">
    <mergeCell ref="AE6:AH6"/>
    <mergeCell ref="AJ6:AM6"/>
    <mergeCell ref="AO6:AR6"/>
    <mergeCell ref="F6:I6"/>
    <mergeCell ref="A6:D6"/>
    <mergeCell ref="K6:N6"/>
    <mergeCell ref="P6:S6"/>
    <mergeCell ref="U6:X6"/>
    <mergeCell ref="Z6:A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euil12.Decryp_datalog">
                <anchor moveWithCells="1" sizeWithCells="1">
                  <from>
                    <xdr:col>5</xdr:col>
                    <xdr:colOff>335280</xdr:colOff>
                    <xdr:row>0</xdr:row>
                    <xdr:rowOff>121920</xdr:rowOff>
                  </from>
                  <to>
                    <xdr:col>8</xdr:col>
                    <xdr:colOff>533400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rgb="FF00B0F0"/>
  </sheetPr>
  <dimension ref="A1:IV472"/>
  <sheetViews>
    <sheetView workbookViewId="0">
      <selection activeCell="AY6" sqref="AY6:BB6"/>
    </sheetView>
  </sheetViews>
  <sheetFormatPr baseColWidth="10" defaultRowHeight="13.2" x14ac:dyDescent="0.25"/>
  <cols>
    <col min="3" max="3" width="5" customWidth="1"/>
    <col min="4" max="4" width="23.33203125" customWidth="1"/>
    <col min="5" max="5" width="1.6640625" customWidth="1"/>
    <col min="8" max="8" width="4.33203125" customWidth="1"/>
    <col min="9" max="9" width="22.5546875" bestFit="1" customWidth="1"/>
    <col min="10" max="10" width="1.6640625" customWidth="1"/>
    <col min="13" max="13" width="3.88671875" bestFit="1" customWidth="1"/>
    <col min="14" max="14" width="22.6640625" bestFit="1" customWidth="1"/>
    <col min="15" max="15" width="1.6640625" customWidth="1"/>
    <col min="18" max="18" width="3.5546875" bestFit="1" customWidth="1"/>
    <col min="19" max="19" width="22.6640625" bestFit="1" customWidth="1"/>
    <col min="20" max="20" width="1.6640625" customWidth="1"/>
    <col min="25" max="25" width="1.6640625" customWidth="1"/>
    <col min="30" max="30" width="1.6640625" customWidth="1"/>
    <col min="35" max="35" width="1.6640625" customWidth="1"/>
    <col min="40" max="40" width="1.6640625" customWidth="1"/>
    <col min="45" max="45" width="1.6640625" customWidth="1"/>
    <col min="50" max="50" width="1.6640625" customWidth="1"/>
    <col min="55" max="55" width="1.6640625" customWidth="1"/>
    <col min="60" max="60" width="1.6640625" customWidth="1"/>
    <col min="65" max="65" width="1.6640625" customWidth="1"/>
    <col min="70" max="70" width="1.6640625" customWidth="1"/>
    <col min="75" max="75" width="1.6640625" customWidth="1"/>
  </cols>
  <sheetData>
    <row r="1" spans="1:256" x14ac:dyDescent="0.25">
      <c r="E1" s="9" t="s">
        <v>142</v>
      </c>
      <c r="J1" s="9" t="s">
        <v>142</v>
      </c>
      <c r="O1" s="9" t="s">
        <v>142</v>
      </c>
      <c r="T1" s="9" t="s">
        <v>142</v>
      </c>
      <c r="Y1" s="9" t="s">
        <v>142</v>
      </c>
      <c r="AD1" s="9" t="s">
        <v>142</v>
      </c>
      <c r="AI1" s="9" t="s">
        <v>142</v>
      </c>
      <c r="AN1" s="9" t="s">
        <v>142</v>
      </c>
      <c r="AS1" s="9" t="s">
        <v>142</v>
      </c>
      <c r="AX1" s="9" t="s">
        <v>142</v>
      </c>
      <c r="BC1" s="9" t="s">
        <v>142</v>
      </c>
      <c r="BH1" s="9" t="s">
        <v>142</v>
      </c>
      <c r="BM1" s="9" t="s">
        <v>142</v>
      </c>
      <c r="BR1" s="9" t="s">
        <v>142</v>
      </c>
      <c r="BW1" s="9" t="s">
        <v>142</v>
      </c>
    </row>
    <row r="2" spans="1:256" x14ac:dyDescent="0.25">
      <c r="E2" s="9" t="s">
        <v>142</v>
      </c>
      <c r="J2" s="9" t="s">
        <v>142</v>
      </c>
      <c r="O2" s="9" t="s">
        <v>142</v>
      </c>
      <c r="T2" s="9" t="s">
        <v>142</v>
      </c>
      <c r="Y2" s="9" t="s">
        <v>142</v>
      </c>
      <c r="AD2" s="9" t="s">
        <v>142</v>
      </c>
      <c r="AI2" s="9" t="s">
        <v>142</v>
      </c>
      <c r="AN2" s="9" t="s">
        <v>142</v>
      </c>
      <c r="AS2" s="9" t="s">
        <v>142</v>
      </c>
      <c r="AX2" s="9" t="s">
        <v>142</v>
      </c>
      <c r="BC2" s="9" t="s">
        <v>142</v>
      </c>
      <c r="BH2" s="9" t="s">
        <v>142</v>
      </c>
      <c r="BM2" s="9" t="s">
        <v>142</v>
      </c>
      <c r="BR2" s="9" t="s">
        <v>142</v>
      </c>
      <c r="BW2" s="9" t="s">
        <v>142</v>
      </c>
    </row>
    <row r="3" spans="1:256" x14ac:dyDescent="0.25">
      <c r="E3" s="9" t="s">
        <v>142</v>
      </c>
      <c r="J3" s="9" t="s">
        <v>142</v>
      </c>
      <c r="O3" s="9" t="s">
        <v>142</v>
      </c>
      <c r="T3" s="9" t="s">
        <v>142</v>
      </c>
      <c r="Y3" s="9" t="s">
        <v>142</v>
      </c>
      <c r="AD3" s="9" t="s">
        <v>142</v>
      </c>
      <c r="AI3" s="9" t="s">
        <v>142</v>
      </c>
      <c r="AN3" s="9" t="s">
        <v>142</v>
      </c>
      <c r="AS3" s="9" t="s">
        <v>142</v>
      </c>
      <c r="AX3" s="9" t="s">
        <v>142</v>
      </c>
      <c r="BC3" s="9" t="s">
        <v>142</v>
      </c>
      <c r="BH3" s="9" t="s">
        <v>142</v>
      </c>
      <c r="BM3" s="9" t="s">
        <v>142</v>
      </c>
      <c r="BR3" s="9" t="s">
        <v>142</v>
      </c>
      <c r="BW3" s="9" t="s">
        <v>142</v>
      </c>
    </row>
    <row r="4" spans="1:256" x14ac:dyDescent="0.25">
      <c r="E4" s="9" t="s">
        <v>142</v>
      </c>
      <c r="J4" s="9" t="s">
        <v>142</v>
      </c>
      <c r="O4" s="9" t="s">
        <v>142</v>
      </c>
      <c r="T4" s="9" t="s">
        <v>142</v>
      </c>
      <c r="Y4" s="9" t="s">
        <v>142</v>
      </c>
      <c r="AD4" s="9" t="s">
        <v>142</v>
      </c>
      <c r="AI4" s="9" t="s">
        <v>142</v>
      </c>
      <c r="AN4" s="9" t="s">
        <v>142</v>
      </c>
      <c r="AS4" s="9" t="s">
        <v>142</v>
      </c>
      <c r="AX4" s="9" t="s">
        <v>142</v>
      </c>
      <c r="BC4" s="9" t="s">
        <v>142</v>
      </c>
      <c r="BH4" s="9" t="s">
        <v>142</v>
      </c>
      <c r="BM4" s="9" t="s">
        <v>142</v>
      </c>
      <c r="BR4" s="9" t="s">
        <v>142</v>
      </c>
      <c r="BW4" s="9" t="s">
        <v>142</v>
      </c>
    </row>
    <row r="5" spans="1:256" x14ac:dyDescent="0.25">
      <c r="A5" s="533" t="s">
        <v>4574</v>
      </c>
      <c r="B5" s="533"/>
      <c r="C5" s="533"/>
      <c r="D5" s="533"/>
      <c r="E5" s="9" t="s">
        <v>142</v>
      </c>
      <c r="F5" s="533" t="s">
        <v>4575</v>
      </c>
      <c r="G5" s="533"/>
      <c r="H5" s="533"/>
      <c r="I5" s="533"/>
      <c r="J5" s="9" t="s">
        <v>142</v>
      </c>
      <c r="K5" s="533" t="s">
        <v>4576</v>
      </c>
      <c r="L5" s="533"/>
      <c r="M5" s="533"/>
      <c r="N5" s="533"/>
      <c r="O5" s="9"/>
      <c r="P5" s="533" t="s">
        <v>4577</v>
      </c>
      <c r="Q5" s="533"/>
      <c r="R5" s="533"/>
      <c r="S5" s="533"/>
      <c r="T5" s="9"/>
      <c r="U5" s="533" t="s">
        <v>4578</v>
      </c>
      <c r="V5" s="533"/>
      <c r="W5" s="533"/>
      <c r="X5" s="533"/>
      <c r="Y5" s="9" t="s">
        <v>142</v>
      </c>
      <c r="Z5" s="533" t="s">
        <v>4579</v>
      </c>
      <c r="AA5" s="533"/>
      <c r="AB5" s="533"/>
      <c r="AC5" s="533"/>
      <c r="AD5" s="9" t="s">
        <v>142</v>
      </c>
      <c r="AE5" s="533" t="s">
        <v>4580</v>
      </c>
      <c r="AF5" s="533"/>
      <c r="AG5" s="533"/>
      <c r="AH5" s="533"/>
      <c r="AI5" s="9" t="s">
        <v>142</v>
      </c>
      <c r="AJ5" s="533" t="s">
        <v>4581</v>
      </c>
      <c r="AK5" s="533"/>
      <c r="AL5" s="533"/>
      <c r="AM5" s="533"/>
      <c r="AN5" s="9" t="s">
        <v>142</v>
      </c>
      <c r="AO5" s="533" t="s">
        <v>4582</v>
      </c>
      <c r="AP5" s="533"/>
      <c r="AQ5" s="533"/>
      <c r="AR5" s="533"/>
      <c r="AS5" s="9" t="s">
        <v>142</v>
      </c>
      <c r="AT5" s="533" t="s">
        <v>4583</v>
      </c>
      <c r="AU5" s="533"/>
      <c r="AV5" s="533"/>
      <c r="AW5" s="533"/>
      <c r="AX5" s="9" t="s">
        <v>142</v>
      </c>
      <c r="AY5" s="533" t="s">
        <v>4584</v>
      </c>
      <c r="AZ5" s="533"/>
      <c r="BA5" s="533"/>
      <c r="BB5" s="533"/>
      <c r="BC5" s="9" t="s">
        <v>142</v>
      </c>
      <c r="BD5" s="533" t="s">
        <v>4585</v>
      </c>
      <c r="BE5" s="533"/>
      <c r="BF5" s="533"/>
      <c r="BG5" s="533"/>
      <c r="BH5" s="9" t="s">
        <v>142</v>
      </c>
      <c r="BI5" s="533" t="s">
        <v>4586</v>
      </c>
      <c r="BJ5" s="533"/>
      <c r="BK5" s="533"/>
      <c r="BL5" s="533"/>
      <c r="BM5" s="9" t="s">
        <v>142</v>
      </c>
      <c r="BN5" s="533" t="s">
        <v>4587</v>
      </c>
      <c r="BO5" s="533"/>
      <c r="BP5" s="533"/>
      <c r="BQ5" s="533"/>
      <c r="BR5" s="9" t="s">
        <v>142</v>
      </c>
      <c r="BS5" s="533" t="s">
        <v>4588</v>
      </c>
      <c r="BT5" s="533"/>
      <c r="BU5" s="533"/>
      <c r="BV5" s="533"/>
      <c r="BW5" s="9" t="s">
        <v>142</v>
      </c>
    </row>
    <row r="6" spans="1:256" ht="112.5" customHeight="1" x14ac:dyDescent="0.25">
      <c r="A6" s="539" t="s">
        <v>4553</v>
      </c>
      <c r="B6" s="539"/>
      <c r="C6" s="539"/>
      <c r="D6" s="539"/>
      <c r="E6" s="9" t="s">
        <v>142</v>
      </c>
      <c r="F6" s="540" t="s">
        <v>3673</v>
      </c>
      <c r="G6" s="539"/>
      <c r="H6" s="539"/>
      <c r="I6" s="539"/>
      <c r="J6" s="9" t="s">
        <v>142</v>
      </c>
      <c r="K6" s="541" t="s">
        <v>4729</v>
      </c>
      <c r="L6" s="539"/>
      <c r="M6" s="539"/>
      <c r="N6" s="539"/>
      <c r="O6" s="9"/>
      <c r="P6" s="539" t="s">
        <v>4730</v>
      </c>
      <c r="Q6" s="539"/>
      <c r="R6" s="539"/>
      <c r="S6" s="539"/>
      <c r="T6" s="9"/>
      <c r="U6" s="539" t="s">
        <v>4731</v>
      </c>
      <c r="V6" s="539"/>
      <c r="W6" s="539"/>
      <c r="X6" s="539"/>
      <c r="Y6" s="9" t="s">
        <v>142</v>
      </c>
      <c r="Z6" s="539"/>
      <c r="AA6" s="539"/>
      <c r="AB6" s="539"/>
      <c r="AC6" s="539"/>
      <c r="AD6" s="9" t="s">
        <v>142</v>
      </c>
      <c r="AE6" s="539"/>
      <c r="AF6" s="539"/>
      <c r="AG6" s="539"/>
      <c r="AH6" s="539"/>
      <c r="AI6" s="9" t="s">
        <v>142</v>
      </c>
      <c r="AJ6" s="539"/>
      <c r="AK6" s="539"/>
      <c r="AL6" s="539"/>
      <c r="AM6" s="539"/>
      <c r="AN6" s="9" t="s">
        <v>142</v>
      </c>
      <c r="AO6" s="539"/>
      <c r="AP6" s="539"/>
      <c r="AQ6" s="539"/>
      <c r="AR6" s="539"/>
      <c r="AS6" s="9" t="s">
        <v>142</v>
      </c>
      <c r="AT6" s="539"/>
      <c r="AU6" s="539"/>
      <c r="AV6" s="539"/>
      <c r="AW6" s="539"/>
      <c r="AX6" s="9" t="s">
        <v>142</v>
      </c>
      <c r="AY6" s="539"/>
      <c r="AZ6" s="539"/>
      <c r="BA6" s="539"/>
      <c r="BB6" s="539"/>
      <c r="BC6" s="9" t="s">
        <v>142</v>
      </c>
      <c r="BD6" s="539"/>
      <c r="BE6" s="539"/>
      <c r="BF6" s="539"/>
      <c r="BG6" s="539"/>
      <c r="BH6" s="9" t="s">
        <v>142</v>
      </c>
      <c r="BI6" s="539"/>
      <c r="BJ6" s="539"/>
      <c r="BK6" s="539"/>
      <c r="BL6" s="539"/>
      <c r="BM6" s="9" t="s">
        <v>142</v>
      </c>
      <c r="BN6" s="540"/>
      <c r="BO6" s="539"/>
      <c r="BP6" s="539"/>
      <c r="BQ6" s="539"/>
      <c r="BR6" s="9" t="s">
        <v>142</v>
      </c>
      <c r="BS6" s="539"/>
      <c r="BT6" s="539"/>
      <c r="BU6" s="539"/>
      <c r="BV6" s="539"/>
      <c r="BW6" s="9" t="s">
        <v>142</v>
      </c>
      <c r="BX6" t="s">
        <v>5146</v>
      </c>
      <c r="CC6" t="s">
        <v>5147</v>
      </c>
      <c r="CH6" t="s">
        <v>5148</v>
      </c>
      <c r="CM6" t="s">
        <v>5149</v>
      </c>
      <c r="CR6" t="s">
        <v>5150</v>
      </c>
      <c r="CW6" t="s">
        <v>5151</v>
      </c>
      <c r="DB6" t="s">
        <v>5152</v>
      </c>
      <c r="DG6" t="s">
        <v>5153</v>
      </c>
      <c r="DL6" t="s">
        <v>5154</v>
      </c>
      <c r="DQ6" t="s">
        <v>5155</v>
      </c>
      <c r="DV6" t="s">
        <v>5156</v>
      </c>
      <c r="EA6" t="s">
        <v>5157</v>
      </c>
      <c r="EF6" t="s">
        <v>5158</v>
      </c>
      <c r="EK6" t="s">
        <v>5159</v>
      </c>
      <c r="EP6" t="s">
        <v>5160</v>
      </c>
      <c r="EU6" t="s">
        <v>5161</v>
      </c>
      <c r="EZ6" t="s">
        <v>5162</v>
      </c>
      <c r="FE6" t="s">
        <v>5163</v>
      </c>
      <c r="FJ6" t="s">
        <v>5164</v>
      </c>
      <c r="FO6" t="s">
        <v>5165</v>
      </c>
      <c r="FT6" t="s">
        <v>5166</v>
      </c>
      <c r="FY6" t="s">
        <v>5167</v>
      </c>
      <c r="GD6" t="s">
        <v>5168</v>
      </c>
      <c r="GI6" t="s">
        <v>5169</v>
      </c>
      <c r="GN6" t="s">
        <v>5170</v>
      </c>
      <c r="GS6" t="s">
        <v>5171</v>
      </c>
      <c r="GX6" t="s">
        <v>5172</v>
      </c>
      <c r="HC6" t="s">
        <v>5173</v>
      </c>
      <c r="HH6" t="s">
        <v>5174</v>
      </c>
      <c r="HM6" t="s">
        <v>5175</v>
      </c>
      <c r="HR6" t="s">
        <v>5176</v>
      </c>
      <c r="HW6" s="532" t="s">
        <v>5177</v>
      </c>
      <c r="IB6" s="532" t="s">
        <v>5178</v>
      </c>
      <c r="IG6" t="s">
        <v>5179</v>
      </c>
      <c r="IL6" t="s">
        <v>4729</v>
      </c>
      <c r="IQ6" t="s">
        <v>4730</v>
      </c>
      <c r="IV6" t="s">
        <v>4731</v>
      </c>
    </row>
    <row r="7" spans="1:256" x14ac:dyDescent="0.25">
      <c r="A7" t="s">
        <v>2590</v>
      </c>
      <c r="B7" s="5" t="s">
        <v>1544</v>
      </c>
      <c r="E7" s="9" t="s">
        <v>142</v>
      </c>
      <c r="F7" t="s">
        <v>2590</v>
      </c>
      <c r="G7" s="5" t="s">
        <v>3870</v>
      </c>
      <c r="J7" s="9" t="s">
        <v>142</v>
      </c>
      <c r="K7" t="s">
        <v>2590</v>
      </c>
      <c r="L7" s="5" t="s">
        <v>220</v>
      </c>
      <c r="O7" s="9"/>
      <c r="P7" t="s">
        <v>2590</v>
      </c>
      <c r="Q7" s="5" t="s">
        <v>2296</v>
      </c>
      <c r="T7" s="9"/>
      <c r="U7" t="s">
        <v>2590</v>
      </c>
      <c r="V7" s="5" t="s">
        <v>483</v>
      </c>
      <c r="Y7" s="9" t="s">
        <v>142</v>
      </c>
      <c r="AA7" s="5"/>
      <c r="AD7" s="9" t="s">
        <v>142</v>
      </c>
      <c r="AF7" s="5"/>
      <c r="AI7" s="9" t="s">
        <v>142</v>
      </c>
      <c r="AK7" s="5"/>
      <c r="AN7" s="9" t="s">
        <v>142</v>
      </c>
      <c r="AP7" s="5"/>
      <c r="AS7" s="9" t="s">
        <v>142</v>
      </c>
      <c r="AU7" s="5"/>
      <c r="AX7" s="9" t="s">
        <v>142</v>
      </c>
      <c r="AZ7" s="5"/>
      <c r="BC7" s="9" t="s">
        <v>142</v>
      </c>
      <c r="BE7" s="5"/>
      <c r="BH7" s="9" t="s">
        <v>142</v>
      </c>
      <c r="BJ7" s="5"/>
      <c r="BM7" s="9" t="s">
        <v>142</v>
      </c>
      <c r="BO7" s="5"/>
      <c r="BR7" s="9" t="s">
        <v>142</v>
      </c>
      <c r="BT7" s="5"/>
      <c r="BW7" s="9" t="s">
        <v>142</v>
      </c>
      <c r="BX7" t="s">
        <v>2590</v>
      </c>
      <c r="BY7" s="5" t="s">
        <v>220</v>
      </c>
      <c r="CC7" t="s">
        <v>2590</v>
      </c>
      <c r="CD7" s="5" t="s">
        <v>220</v>
      </c>
      <c r="CH7" t="s">
        <v>2590</v>
      </c>
      <c r="CI7" s="5" t="s">
        <v>483</v>
      </c>
      <c r="CM7" t="s">
        <v>2590</v>
      </c>
      <c r="CN7" s="5" t="s">
        <v>483</v>
      </c>
      <c r="CR7" t="s">
        <v>2590</v>
      </c>
      <c r="CS7" s="5" t="s">
        <v>2296</v>
      </c>
    </row>
    <row r="8" spans="1:256" x14ac:dyDescent="0.25">
      <c r="A8" s="5" t="s">
        <v>4554</v>
      </c>
      <c r="B8" s="358" t="s">
        <v>3671</v>
      </c>
      <c r="C8" s="5" t="s">
        <v>2585</v>
      </c>
      <c r="D8" s="5" t="s">
        <v>3668</v>
      </c>
      <c r="E8" s="9" t="s">
        <v>142</v>
      </c>
      <c r="F8" s="5" t="s">
        <v>3674</v>
      </c>
      <c r="G8" s="5" t="s">
        <v>3670</v>
      </c>
      <c r="H8" s="5" t="s">
        <v>2585</v>
      </c>
      <c r="I8" s="5" t="s">
        <v>3675</v>
      </c>
      <c r="J8" s="9" t="s">
        <v>142</v>
      </c>
      <c r="K8" s="5" t="s">
        <v>4732</v>
      </c>
      <c r="L8" s="5" t="s">
        <v>3670</v>
      </c>
      <c r="M8" s="5" t="s">
        <v>2585</v>
      </c>
      <c r="N8" s="5" t="s">
        <v>4733</v>
      </c>
      <c r="O8" s="9"/>
      <c r="P8" s="5" t="s">
        <v>4814</v>
      </c>
      <c r="Q8" s="5" t="s">
        <v>3670</v>
      </c>
      <c r="R8" s="5" t="s">
        <v>2585</v>
      </c>
      <c r="S8" s="5" t="s">
        <v>3668</v>
      </c>
      <c r="T8" s="9"/>
      <c r="U8" s="5" t="s">
        <v>5095</v>
      </c>
      <c r="V8" s="5" t="s">
        <v>3670</v>
      </c>
      <c r="W8" s="5" t="s">
        <v>2585</v>
      </c>
      <c r="X8" s="5" t="s">
        <v>4733</v>
      </c>
      <c r="Y8" s="9" t="s">
        <v>142</v>
      </c>
      <c r="Z8" s="5"/>
      <c r="AA8" s="5"/>
      <c r="AB8" s="5"/>
      <c r="AC8" s="5"/>
      <c r="AD8" s="9" t="s">
        <v>142</v>
      </c>
      <c r="AE8" s="5"/>
      <c r="AF8" s="5"/>
      <c r="AG8" s="5"/>
      <c r="AH8" s="5"/>
      <c r="AI8" s="9" t="s">
        <v>142</v>
      </c>
      <c r="AJ8" s="5"/>
      <c r="AK8" s="5"/>
      <c r="AL8" s="5"/>
      <c r="AM8" s="5"/>
      <c r="AN8" s="9" t="s">
        <v>142</v>
      </c>
      <c r="AO8" s="5"/>
      <c r="AP8" s="5"/>
      <c r="AQ8" s="5"/>
      <c r="AR8" s="5"/>
      <c r="AS8" s="9" t="s">
        <v>142</v>
      </c>
      <c r="AT8" s="5"/>
      <c r="AU8" s="5"/>
      <c r="AV8" s="5"/>
      <c r="AW8" s="5"/>
      <c r="AX8" s="9" t="s">
        <v>142</v>
      </c>
      <c r="AY8" s="5"/>
      <c r="AZ8" s="5"/>
      <c r="BA8" s="5"/>
      <c r="BB8" s="5"/>
      <c r="BC8" s="9" t="s">
        <v>142</v>
      </c>
      <c r="BD8" s="5"/>
      <c r="BE8" s="5"/>
      <c r="BF8" s="5"/>
      <c r="BG8" s="5"/>
      <c r="BH8" s="9" t="s">
        <v>142</v>
      </c>
      <c r="BI8" s="5"/>
      <c r="BJ8" s="5"/>
      <c r="BK8" s="5"/>
      <c r="BL8" s="5"/>
      <c r="BM8" s="9" t="s">
        <v>142</v>
      </c>
      <c r="BN8" s="5"/>
      <c r="BO8" s="5"/>
      <c r="BP8" s="5"/>
      <c r="BQ8" s="5"/>
      <c r="BR8" s="9" t="s">
        <v>142</v>
      </c>
      <c r="BS8" s="5"/>
      <c r="BT8" s="5"/>
      <c r="BU8" s="5"/>
      <c r="BV8" s="5"/>
      <c r="BW8" s="9" t="s">
        <v>142</v>
      </c>
      <c r="BX8" s="5" t="s">
        <v>5182</v>
      </c>
      <c r="BY8" s="5" t="s">
        <v>3670</v>
      </c>
      <c r="BZ8" s="5" t="s">
        <v>2585</v>
      </c>
      <c r="CA8" s="5" t="s">
        <v>4733</v>
      </c>
      <c r="CC8" s="5" t="s">
        <v>5238</v>
      </c>
      <c r="CD8" s="5" t="s">
        <v>3670</v>
      </c>
      <c r="CE8" s="5" t="s">
        <v>2585</v>
      </c>
      <c r="CF8" s="5" t="s">
        <v>4733</v>
      </c>
      <c r="CH8" s="5" t="s">
        <v>5297</v>
      </c>
      <c r="CI8" s="5" t="s">
        <v>3670</v>
      </c>
      <c r="CJ8" s="5" t="s">
        <v>2585</v>
      </c>
      <c r="CK8" s="5" t="s">
        <v>4733</v>
      </c>
      <c r="CM8" s="5" t="s">
        <v>5335</v>
      </c>
      <c r="CN8" s="5" t="s">
        <v>3670</v>
      </c>
      <c r="CO8" s="5" t="s">
        <v>2585</v>
      </c>
      <c r="CP8" s="5" t="s">
        <v>4733</v>
      </c>
      <c r="CR8" s="5" t="s">
        <v>5376</v>
      </c>
      <c r="CS8" s="5" t="s">
        <v>3670</v>
      </c>
      <c r="CT8" s="5" t="s">
        <v>2585</v>
      </c>
      <c r="CU8" s="5" t="s">
        <v>3668</v>
      </c>
    </row>
    <row r="9" spans="1:256" x14ac:dyDescent="0.25">
      <c r="A9" s="5" t="s">
        <v>4555</v>
      </c>
      <c r="B9" s="5" t="s">
        <v>3672</v>
      </c>
      <c r="C9" s="5" t="s">
        <v>2585</v>
      </c>
      <c r="D9" s="5" t="s">
        <v>4556</v>
      </c>
      <c r="E9" s="9" t="s">
        <v>142</v>
      </c>
      <c r="F9" s="5" t="s">
        <v>3676</v>
      </c>
      <c r="G9" s="5" t="s">
        <v>686</v>
      </c>
      <c r="H9" s="5" t="s">
        <v>2585</v>
      </c>
      <c r="I9" s="5" t="s">
        <v>3677</v>
      </c>
      <c r="J9" s="9" t="s">
        <v>142</v>
      </c>
      <c r="K9" s="5" t="s">
        <v>4734</v>
      </c>
      <c r="L9" s="5" t="s">
        <v>686</v>
      </c>
      <c r="M9" s="5" t="s">
        <v>2585</v>
      </c>
      <c r="N9" s="5" t="s">
        <v>4735</v>
      </c>
      <c r="O9" s="9"/>
      <c r="P9" s="5" t="s">
        <v>4815</v>
      </c>
      <c r="Q9" s="5" t="s">
        <v>686</v>
      </c>
      <c r="R9" s="5" t="s">
        <v>2585</v>
      </c>
      <c r="S9" s="5" t="s">
        <v>4816</v>
      </c>
      <c r="T9" s="9"/>
      <c r="U9" s="5" t="s">
        <v>5096</v>
      </c>
      <c r="V9" s="5" t="s">
        <v>686</v>
      </c>
      <c r="W9" s="5" t="s">
        <v>2585</v>
      </c>
      <c r="X9" s="5" t="s">
        <v>5097</v>
      </c>
      <c r="Y9" s="9" t="s">
        <v>142</v>
      </c>
      <c r="Z9" s="5"/>
      <c r="AA9" s="5"/>
      <c r="AB9" s="5"/>
      <c r="AC9" s="5"/>
      <c r="AD9" s="9" t="s">
        <v>142</v>
      </c>
      <c r="AE9" s="5"/>
      <c r="AF9" s="5"/>
      <c r="AG9" s="5"/>
      <c r="AH9" s="5"/>
      <c r="AI9" s="9" t="s">
        <v>142</v>
      </c>
      <c r="AJ9" s="5"/>
      <c r="AK9" s="5"/>
      <c r="AL9" s="5"/>
      <c r="AM9" s="5"/>
      <c r="AN9" s="9" t="s">
        <v>142</v>
      </c>
      <c r="AO9" s="5"/>
      <c r="AP9" s="5"/>
      <c r="AQ9" s="5"/>
      <c r="AR9" s="5"/>
      <c r="AS9" s="9" t="s">
        <v>142</v>
      </c>
      <c r="AT9" s="5"/>
      <c r="AU9" s="5"/>
      <c r="AV9" s="5"/>
      <c r="AW9" s="5"/>
      <c r="AX9" s="9" t="s">
        <v>142</v>
      </c>
      <c r="AY9" s="5"/>
      <c r="AZ9" s="5"/>
      <c r="BA9" s="5"/>
      <c r="BB9" s="5"/>
      <c r="BC9" s="9" t="s">
        <v>142</v>
      </c>
      <c r="BD9" s="5"/>
      <c r="BE9" s="5"/>
      <c r="BF9" s="5"/>
      <c r="BG9" s="5"/>
      <c r="BH9" s="9" t="s">
        <v>142</v>
      </c>
      <c r="BI9" s="5"/>
      <c r="BJ9" s="5"/>
      <c r="BK9" s="5"/>
      <c r="BL9" s="5"/>
      <c r="BM9" s="9" t="s">
        <v>142</v>
      </c>
      <c r="BN9" s="5"/>
      <c r="BO9" s="5"/>
      <c r="BP9" s="5"/>
      <c r="BQ9" s="5"/>
      <c r="BR9" s="9" t="s">
        <v>142</v>
      </c>
      <c r="BS9" s="5"/>
      <c r="BT9" s="5"/>
      <c r="BU9" s="5"/>
      <c r="BV9" s="5"/>
      <c r="BW9" s="9" t="s">
        <v>142</v>
      </c>
      <c r="BX9" s="5" t="s">
        <v>5183</v>
      </c>
      <c r="BY9" s="5" t="s">
        <v>686</v>
      </c>
      <c r="BZ9" s="5" t="s">
        <v>2585</v>
      </c>
      <c r="CA9" s="5" t="s">
        <v>4735</v>
      </c>
      <c r="CC9" s="5" t="s">
        <v>5239</v>
      </c>
      <c r="CD9" s="5" t="s">
        <v>686</v>
      </c>
      <c r="CE9" s="5" t="s">
        <v>2585</v>
      </c>
      <c r="CF9" s="5" t="s">
        <v>4735</v>
      </c>
      <c r="CH9" s="5" t="s">
        <v>5298</v>
      </c>
      <c r="CI9" s="5" t="s">
        <v>686</v>
      </c>
      <c r="CJ9" s="5" t="s">
        <v>2585</v>
      </c>
      <c r="CK9" s="5" t="s">
        <v>5097</v>
      </c>
      <c r="CM9" s="5" t="s">
        <v>5336</v>
      </c>
      <c r="CN9" s="5" t="s">
        <v>686</v>
      </c>
      <c r="CO9" s="5" t="s">
        <v>2585</v>
      </c>
      <c r="CP9" s="5" t="s">
        <v>5097</v>
      </c>
      <c r="CR9" s="5" t="s">
        <v>5377</v>
      </c>
      <c r="CS9" s="5" t="s">
        <v>686</v>
      </c>
      <c r="CT9" s="5" t="s">
        <v>2585</v>
      </c>
      <c r="CU9" s="5" t="s">
        <v>4816</v>
      </c>
    </row>
    <row r="10" spans="1:256" x14ac:dyDescent="0.25">
      <c r="A10" s="5" t="s">
        <v>4557</v>
      </c>
      <c r="B10" s="432" t="s">
        <v>3671</v>
      </c>
      <c r="C10" s="5" t="s">
        <v>2585</v>
      </c>
      <c r="D10" s="5" t="s">
        <v>4558</v>
      </c>
      <c r="E10" s="9" t="s">
        <v>142</v>
      </c>
      <c r="F10" s="5" t="s">
        <v>3678</v>
      </c>
      <c r="G10" s="5" t="s">
        <v>3670</v>
      </c>
      <c r="H10" s="5" t="s">
        <v>2585</v>
      </c>
      <c r="I10" s="5" t="s">
        <v>3679</v>
      </c>
      <c r="J10" s="9" t="s">
        <v>142</v>
      </c>
      <c r="K10" s="5" t="s">
        <v>4736</v>
      </c>
      <c r="L10" s="5" t="s">
        <v>3670</v>
      </c>
      <c r="M10" s="5" t="s">
        <v>2585</v>
      </c>
      <c r="N10" s="5" t="s">
        <v>4737</v>
      </c>
      <c r="O10" s="9"/>
      <c r="P10" s="5" t="s">
        <v>4817</v>
      </c>
      <c r="Q10" s="5" t="s">
        <v>3670</v>
      </c>
      <c r="R10" s="5" t="s">
        <v>2585</v>
      </c>
      <c r="S10" s="5" t="s">
        <v>4558</v>
      </c>
      <c r="T10" s="9"/>
      <c r="U10" s="5" t="s">
        <v>5098</v>
      </c>
      <c r="V10" s="5" t="s">
        <v>3670</v>
      </c>
      <c r="W10" s="5" t="s">
        <v>2585</v>
      </c>
      <c r="X10" s="5" t="s">
        <v>5099</v>
      </c>
      <c r="Y10" s="9" t="s">
        <v>142</v>
      </c>
      <c r="Z10" s="5"/>
      <c r="AA10" s="5"/>
      <c r="AB10" s="5"/>
      <c r="AC10" s="5"/>
      <c r="AD10" s="9" t="s">
        <v>142</v>
      </c>
      <c r="AE10" s="5"/>
      <c r="AF10" s="5"/>
      <c r="AG10" s="5"/>
      <c r="AH10" s="5"/>
      <c r="AI10" s="9" t="s">
        <v>142</v>
      </c>
      <c r="AJ10" s="5"/>
      <c r="AK10" s="5"/>
      <c r="AL10" s="5"/>
      <c r="AM10" s="5"/>
      <c r="AN10" s="9" t="s">
        <v>142</v>
      </c>
      <c r="AO10" s="5"/>
      <c r="AP10" s="5"/>
      <c r="AQ10" s="5"/>
      <c r="AR10" s="5"/>
      <c r="AS10" s="9" t="s">
        <v>142</v>
      </c>
      <c r="AT10" s="5"/>
      <c r="AU10" s="5"/>
      <c r="AV10" s="5"/>
      <c r="AW10" s="5"/>
      <c r="AX10" s="9" t="s">
        <v>142</v>
      </c>
      <c r="AY10" s="5"/>
      <c r="AZ10" s="5"/>
      <c r="BA10" s="5"/>
      <c r="BB10" s="5"/>
      <c r="BC10" s="9" t="s">
        <v>142</v>
      </c>
      <c r="BD10" s="5"/>
      <c r="BE10" s="5"/>
      <c r="BF10" s="5"/>
      <c r="BG10" s="5"/>
      <c r="BH10" s="9" t="s">
        <v>142</v>
      </c>
      <c r="BI10" s="5"/>
      <c r="BJ10" s="5"/>
      <c r="BK10" s="5"/>
      <c r="BL10" s="5"/>
      <c r="BM10" s="9" t="s">
        <v>142</v>
      </c>
      <c r="BN10" s="5"/>
      <c r="BO10" s="5"/>
      <c r="BP10" s="5"/>
      <c r="BQ10" s="5"/>
      <c r="BR10" s="9" t="s">
        <v>142</v>
      </c>
      <c r="BS10" s="5"/>
      <c r="BT10" s="5"/>
      <c r="BU10" s="5"/>
      <c r="BV10" s="5"/>
      <c r="BW10" s="9" t="s">
        <v>142</v>
      </c>
      <c r="BX10" s="5" t="s">
        <v>5184</v>
      </c>
      <c r="BY10" s="5" t="s">
        <v>3670</v>
      </c>
      <c r="BZ10" s="5" t="s">
        <v>2585</v>
      </c>
      <c r="CA10" s="5" t="s">
        <v>4737</v>
      </c>
      <c r="CC10" s="5" t="s">
        <v>5240</v>
      </c>
      <c r="CD10" s="5" t="s">
        <v>3670</v>
      </c>
      <c r="CE10" s="5" t="s">
        <v>2585</v>
      </c>
      <c r="CF10" s="5" t="s">
        <v>4737</v>
      </c>
      <c r="CH10" s="5" t="s">
        <v>5299</v>
      </c>
      <c r="CI10" s="5" t="s">
        <v>3670</v>
      </c>
      <c r="CJ10" s="5" t="s">
        <v>2585</v>
      </c>
      <c r="CK10" s="5" t="s">
        <v>5099</v>
      </c>
      <c r="CM10" s="5" t="s">
        <v>5337</v>
      </c>
      <c r="CN10" s="5" t="s">
        <v>3670</v>
      </c>
      <c r="CO10" s="5" t="s">
        <v>2585</v>
      </c>
      <c r="CP10" s="5" t="s">
        <v>5099</v>
      </c>
      <c r="CR10" s="5" t="s">
        <v>5378</v>
      </c>
      <c r="CS10" s="5" t="s">
        <v>3670</v>
      </c>
      <c r="CT10" s="5" t="s">
        <v>2585</v>
      </c>
      <c r="CU10" s="5" t="s">
        <v>4558</v>
      </c>
    </row>
    <row r="11" spans="1:256" x14ac:dyDescent="0.25">
      <c r="A11" s="5" t="s">
        <v>4559</v>
      </c>
      <c r="B11" s="5" t="s">
        <v>3672</v>
      </c>
      <c r="C11" s="5" t="s">
        <v>2585</v>
      </c>
      <c r="D11" s="5" t="s">
        <v>4560</v>
      </c>
      <c r="E11" s="9" t="s">
        <v>142</v>
      </c>
      <c r="F11" s="5" t="s">
        <v>3680</v>
      </c>
      <c r="G11" s="5" t="s">
        <v>686</v>
      </c>
      <c r="H11" s="5" t="s">
        <v>1542</v>
      </c>
      <c r="I11" s="5" t="s">
        <v>3681</v>
      </c>
      <c r="J11" s="9" t="s">
        <v>142</v>
      </c>
      <c r="K11" s="5" t="s">
        <v>4738</v>
      </c>
      <c r="L11" s="5" t="s">
        <v>686</v>
      </c>
      <c r="M11" s="5" t="s">
        <v>2585</v>
      </c>
      <c r="N11" s="5" t="s">
        <v>4735</v>
      </c>
      <c r="O11" s="9"/>
      <c r="P11" s="5" t="s">
        <v>4818</v>
      </c>
      <c r="Q11" s="5" t="s">
        <v>686</v>
      </c>
      <c r="R11" s="5" t="s">
        <v>2585</v>
      </c>
      <c r="S11" s="5" t="s">
        <v>4819</v>
      </c>
      <c r="T11" s="9"/>
      <c r="U11" s="5" t="s">
        <v>5100</v>
      </c>
      <c r="V11" s="5" t="s">
        <v>686</v>
      </c>
      <c r="W11" s="5" t="s">
        <v>2585</v>
      </c>
      <c r="X11" s="5" t="s">
        <v>4709</v>
      </c>
      <c r="Y11" s="9" t="s">
        <v>142</v>
      </c>
      <c r="Z11" s="5"/>
      <c r="AA11" s="5"/>
      <c r="AB11" s="5"/>
      <c r="AC11" s="5"/>
      <c r="AD11" s="9" t="s">
        <v>142</v>
      </c>
      <c r="AE11" s="5"/>
      <c r="AF11" s="5"/>
      <c r="AG11" s="5"/>
      <c r="AH11" s="5"/>
      <c r="AI11" s="9" t="s">
        <v>142</v>
      </c>
      <c r="AJ11" s="5"/>
      <c r="AK11" s="5"/>
      <c r="AL11" s="5"/>
      <c r="AM11" s="5"/>
      <c r="AN11" s="9" t="s">
        <v>142</v>
      </c>
      <c r="AO11" s="5"/>
      <c r="AP11" s="5"/>
      <c r="AQ11" s="5"/>
      <c r="AR11" s="5"/>
      <c r="AS11" s="9" t="s">
        <v>142</v>
      </c>
      <c r="AT11" s="5"/>
      <c r="AU11" s="5"/>
      <c r="AV11" s="5"/>
      <c r="AW11" s="5"/>
      <c r="AX11" s="9" t="s">
        <v>142</v>
      </c>
      <c r="AY11" s="5"/>
      <c r="AZ11" s="5"/>
      <c r="BA11" s="5"/>
      <c r="BB11" s="5"/>
      <c r="BC11" s="9" t="s">
        <v>142</v>
      </c>
      <c r="BD11" s="5"/>
      <c r="BE11" s="5"/>
      <c r="BF11" s="5"/>
      <c r="BG11" s="5"/>
      <c r="BH11" s="9" t="s">
        <v>142</v>
      </c>
      <c r="BI11" s="5"/>
      <c r="BJ11" s="5"/>
      <c r="BK11" s="5"/>
      <c r="BL11" s="5"/>
      <c r="BM11" s="9" t="s">
        <v>142</v>
      </c>
      <c r="BN11" s="5"/>
      <c r="BO11" s="5"/>
      <c r="BP11" s="5"/>
      <c r="BQ11" s="5"/>
      <c r="BR11" s="9" t="s">
        <v>142</v>
      </c>
      <c r="BS11" s="5"/>
      <c r="BT11" s="5"/>
      <c r="BU11" s="5"/>
      <c r="BV11" s="5"/>
      <c r="BW11" s="9" t="s">
        <v>142</v>
      </c>
      <c r="BX11" s="5" t="s">
        <v>5185</v>
      </c>
      <c r="BY11" s="5" t="s">
        <v>686</v>
      </c>
      <c r="BZ11" s="5" t="s">
        <v>2585</v>
      </c>
      <c r="CA11" s="5" t="s">
        <v>4735</v>
      </c>
      <c r="CC11" s="5" t="s">
        <v>5241</v>
      </c>
      <c r="CD11" s="5" t="s">
        <v>686</v>
      </c>
      <c r="CE11" s="5" t="s">
        <v>2585</v>
      </c>
      <c r="CF11" s="5" t="s">
        <v>4735</v>
      </c>
      <c r="CH11" s="5" t="s">
        <v>5300</v>
      </c>
      <c r="CI11" s="5" t="s">
        <v>686</v>
      </c>
      <c r="CJ11" s="5" t="s">
        <v>2585</v>
      </c>
      <c r="CK11" s="5" t="s">
        <v>4709</v>
      </c>
      <c r="CM11" s="5" t="s">
        <v>5338</v>
      </c>
      <c r="CN11" s="5" t="s">
        <v>686</v>
      </c>
      <c r="CO11" s="5" t="s">
        <v>2585</v>
      </c>
      <c r="CP11" s="5" t="s">
        <v>4709</v>
      </c>
      <c r="CR11" s="5" t="s">
        <v>5379</v>
      </c>
      <c r="CS11" s="5" t="s">
        <v>686</v>
      </c>
      <c r="CT11" s="5" t="s">
        <v>2585</v>
      </c>
      <c r="CU11" s="5" t="s">
        <v>4819</v>
      </c>
    </row>
    <row r="12" spans="1:256" x14ac:dyDescent="0.25">
      <c r="A12" s="5" t="s">
        <v>4561</v>
      </c>
      <c r="B12" s="5" t="s">
        <v>3671</v>
      </c>
      <c r="C12" s="5" t="s">
        <v>2585</v>
      </c>
      <c r="D12" s="5" t="s">
        <v>3666</v>
      </c>
      <c r="E12" s="9" t="s">
        <v>142</v>
      </c>
      <c r="F12" s="5" t="s">
        <v>3682</v>
      </c>
      <c r="G12" s="5" t="s">
        <v>3670</v>
      </c>
      <c r="H12" s="5" t="s">
        <v>2585</v>
      </c>
      <c r="I12" s="5" t="s">
        <v>3683</v>
      </c>
      <c r="J12" s="9" t="s">
        <v>142</v>
      </c>
      <c r="K12" s="5" t="s">
        <v>4739</v>
      </c>
      <c r="L12" s="5" t="s">
        <v>3670</v>
      </c>
      <c r="M12" s="5" t="s">
        <v>2585</v>
      </c>
      <c r="N12" s="5" t="s">
        <v>4740</v>
      </c>
      <c r="O12" s="9"/>
      <c r="P12" s="5" t="s">
        <v>4820</v>
      </c>
      <c r="Q12" s="5" t="s">
        <v>3670</v>
      </c>
      <c r="R12" s="5" t="s">
        <v>2585</v>
      </c>
      <c r="S12" s="5" t="s">
        <v>4756</v>
      </c>
      <c r="T12" s="9"/>
      <c r="U12" s="5" t="s">
        <v>5101</v>
      </c>
      <c r="V12" s="5" t="s">
        <v>3670</v>
      </c>
      <c r="W12" s="5" t="s">
        <v>2585</v>
      </c>
      <c r="X12" s="5" t="s">
        <v>4752</v>
      </c>
      <c r="Y12" s="9" t="s">
        <v>142</v>
      </c>
      <c r="Z12" s="5"/>
      <c r="AA12" s="5"/>
      <c r="AB12" s="5"/>
      <c r="AC12" s="5"/>
      <c r="AD12" s="9" t="s">
        <v>142</v>
      </c>
      <c r="AE12" s="5"/>
      <c r="AF12" s="5"/>
      <c r="AG12" s="5"/>
      <c r="AH12" s="5"/>
      <c r="AI12" s="9" t="s">
        <v>142</v>
      </c>
      <c r="AJ12" s="5"/>
      <c r="AK12" s="5"/>
      <c r="AL12" s="5"/>
      <c r="AM12" s="5"/>
      <c r="AN12" s="9" t="s">
        <v>142</v>
      </c>
      <c r="AO12" s="5"/>
      <c r="AP12" s="5"/>
      <c r="AQ12" s="5"/>
      <c r="AR12" s="5"/>
      <c r="AS12" s="9" t="s">
        <v>142</v>
      </c>
      <c r="AT12" s="5"/>
      <c r="AU12" s="5"/>
      <c r="AV12" s="5"/>
      <c r="AW12" s="5"/>
      <c r="AX12" s="9" t="s">
        <v>142</v>
      </c>
      <c r="AY12" s="5"/>
      <c r="AZ12" s="5"/>
      <c r="BA12" s="5"/>
      <c r="BB12" s="5"/>
      <c r="BC12" s="9" t="s">
        <v>142</v>
      </c>
      <c r="BD12" s="5"/>
      <c r="BE12" s="5"/>
      <c r="BF12" s="5"/>
      <c r="BG12" s="5"/>
      <c r="BH12" s="9" t="s">
        <v>142</v>
      </c>
      <c r="BI12" s="5"/>
      <c r="BJ12" s="5"/>
      <c r="BK12" s="5"/>
      <c r="BL12" s="5"/>
      <c r="BM12" s="9" t="s">
        <v>142</v>
      </c>
      <c r="BN12" s="5"/>
      <c r="BO12" s="5"/>
      <c r="BP12" s="5"/>
      <c r="BQ12" s="5"/>
      <c r="BR12" s="9" t="s">
        <v>142</v>
      </c>
      <c r="BS12" s="5"/>
      <c r="BT12" s="5"/>
      <c r="BU12" s="5"/>
      <c r="BV12" s="5"/>
      <c r="BW12" s="9" t="s">
        <v>142</v>
      </c>
      <c r="BX12" s="5" t="s">
        <v>5186</v>
      </c>
      <c r="BY12" s="5" t="s">
        <v>3670</v>
      </c>
      <c r="BZ12" s="5" t="s">
        <v>2585</v>
      </c>
      <c r="CA12" s="5" t="s">
        <v>4740</v>
      </c>
      <c r="CC12" s="5" t="s">
        <v>5242</v>
      </c>
      <c r="CD12" s="5" t="s">
        <v>3670</v>
      </c>
      <c r="CE12" s="5" t="s">
        <v>2585</v>
      </c>
      <c r="CF12" s="5" t="s">
        <v>4740</v>
      </c>
      <c r="CH12" s="5" t="s">
        <v>5301</v>
      </c>
      <c r="CI12" s="5" t="s">
        <v>3670</v>
      </c>
      <c r="CJ12" s="5" t="s">
        <v>2585</v>
      </c>
      <c r="CK12" s="5" t="s">
        <v>4752</v>
      </c>
      <c r="CM12" s="5" t="s">
        <v>5339</v>
      </c>
      <c r="CN12" s="5" t="s">
        <v>3670</v>
      </c>
      <c r="CO12" s="5" t="s">
        <v>2585</v>
      </c>
      <c r="CP12" s="5" t="s">
        <v>4752</v>
      </c>
      <c r="CR12" s="5" t="s">
        <v>5380</v>
      </c>
      <c r="CS12" s="5" t="s">
        <v>3670</v>
      </c>
      <c r="CT12" s="5" t="s">
        <v>2585</v>
      </c>
      <c r="CU12" s="5" t="s">
        <v>4756</v>
      </c>
    </row>
    <row r="13" spans="1:256" x14ac:dyDescent="0.25">
      <c r="A13" s="5" t="s">
        <v>4562</v>
      </c>
      <c r="B13" s="5" t="s">
        <v>3672</v>
      </c>
      <c r="C13" s="5" t="s">
        <v>2585</v>
      </c>
      <c r="D13" s="5" t="s">
        <v>3667</v>
      </c>
      <c r="E13" s="9" t="s">
        <v>142</v>
      </c>
      <c r="F13" s="5" t="s">
        <v>3684</v>
      </c>
      <c r="G13" s="5" t="s">
        <v>686</v>
      </c>
      <c r="H13" s="5" t="s">
        <v>1542</v>
      </c>
      <c r="I13" s="5" t="s">
        <v>3681</v>
      </c>
      <c r="J13" s="9" t="s">
        <v>142</v>
      </c>
      <c r="K13" s="5" t="s">
        <v>4741</v>
      </c>
      <c r="L13" s="5" t="s">
        <v>686</v>
      </c>
      <c r="M13" s="5" t="s">
        <v>2585</v>
      </c>
      <c r="N13" s="5" t="s">
        <v>4742</v>
      </c>
      <c r="O13" s="9"/>
      <c r="P13" s="5" t="s">
        <v>4821</v>
      </c>
      <c r="Q13" s="5" t="s">
        <v>686</v>
      </c>
      <c r="R13" s="5" t="s">
        <v>2585</v>
      </c>
      <c r="S13" s="5" t="s">
        <v>4822</v>
      </c>
      <c r="T13" s="9"/>
      <c r="U13" s="5" t="s">
        <v>5102</v>
      </c>
      <c r="V13" s="5" t="s">
        <v>686</v>
      </c>
      <c r="W13" s="5" t="s">
        <v>2585</v>
      </c>
      <c r="X13" s="5" t="s">
        <v>5103</v>
      </c>
      <c r="Y13" s="9" t="s">
        <v>142</v>
      </c>
      <c r="Z13" s="5"/>
      <c r="AA13" s="5"/>
      <c r="AB13" s="5"/>
      <c r="AC13" s="5"/>
      <c r="AD13" s="9" t="s">
        <v>142</v>
      </c>
      <c r="AE13" s="5"/>
      <c r="AF13" s="5"/>
      <c r="AG13" s="5"/>
      <c r="AH13" s="5"/>
      <c r="AI13" s="9" t="s">
        <v>142</v>
      </c>
      <c r="AJ13" s="5"/>
      <c r="AK13" s="5"/>
      <c r="AL13" s="5"/>
      <c r="AM13" s="5"/>
      <c r="AN13" s="9" t="s">
        <v>142</v>
      </c>
      <c r="AO13" s="5"/>
      <c r="AP13" s="5"/>
      <c r="AQ13" s="5"/>
      <c r="AR13" s="5"/>
      <c r="AS13" s="9" t="s">
        <v>142</v>
      </c>
      <c r="AT13" s="5"/>
      <c r="AU13" s="5"/>
      <c r="AV13" s="5"/>
      <c r="AW13" s="5"/>
      <c r="AX13" s="9" t="s">
        <v>142</v>
      </c>
      <c r="AY13" s="5"/>
      <c r="AZ13" s="5"/>
      <c r="BA13" s="5"/>
      <c r="BB13" s="5"/>
      <c r="BC13" s="9" t="s">
        <v>142</v>
      </c>
      <c r="BD13" s="5"/>
      <c r="BE13" s="5"/>
      <c r="BF13" s="5"/>
      <c r="BG13" s="5"/>
      <c r="BH13" s="9" t="s">
        <v>142</v>
      </c>
      <c r="BI13" s="5"/>
      <c r="BJ13" s="5"/>
      <c r="BK13" s="5"/>
      <c r="BL13" s="5"/>
      <c r="BM13" s="9" t="s">
        <v>142</v>
      </c>
      <c r="BN13" s="5"/>
      <c r="BO13" s="5"/>
      <c r="BP13" s="5"/>
      <c r="BQ13" s="5"/>
      <c r="BR13" s="9" t="s">
        <v>142</v>
      </c>
      <c r="BS13" s="5"/>
      <c r="BT13" s="5"/>
      <c r="BU13" s="5"/>
      <c r="BV13" s="5"/>
      <c r="BW13" s="9" t="s">
        <v>142</v>
      </c>
      <c r="BX13" s="5" t="s">
        <v>5187</v>
      </c>
      <c r="BY13" s="5" t="s">
        <v>686</v>
      </c>
      <c r="BZ13" s="5" t="s">
        <v>2585</v>
      </c>
      <c r="CA13" s="5" t="s">
        <v>4742</v>
      </c>
      <c r="CC13" s="5" t="s">
        <v>5243</v>
      </c>
      <c r="CD13" s="5" t="s">
        <v>686</v>
      </c>
      <c r="CE13" s="5" t="s">
        <v>2585</v>
      </c>
      <c r="CF13" s="5" t="s">
        <v>4742</v>
      </c>
      <c r="CH13" s="5" t="s">
        <v>5302</v>
      </c>
      <c r="CI13" s="5" t="s">
        <v>686</v>
      </c>
      <c r="CJ13" s="5" t="s">
        <v>2585</v>
      </c>
      <c r="CK13" s="5" t="s">
        <v>5103</v>
      </c>
      <c r="CM13" s="5" t="s">
        <v>5340</v>
      </c>
      <c r="CN13" s="5" t="s">
        <v>686</v>
      </c>
      <c r="CO13" s="5" t="s">
        <v>2585</v>
      </c>
      <c r="CP13" s="5" t="s">
        <v>5103</v>
      </c>
      <c r="CR13" s="5" t="s">
        <v>5381</v>
      </c>
      <c r="CS13" s="5" t="s">
        <v>686</v>
      </c>
      <c r="CT13" s="5" t="s">
        <v>2585</v>
      </c>
      <c r="CU13" s="5" t="s">
        <v>4822</v>
      </c>
    </row>
    <row r="14" spans="1:256" x14ac:dyDescent="0.25">
      <c r="A14" s="5"/>
      <c r="B14" s="5"/>
      <c r="C14" s="5"/>
      <c r="D14" s="5"/>
      <c r="E14" s="9" t="s">
        <v>142</v>
      </c>
      <c r="F14" s="5" t="s">
        <v>3685</v>
      </c>
      <c r="G14" s="5" t="s">
        <v>3670</v>
      </c>
      <c r="H14" s="5" t="s">
        <v>2585</v>
      </c>
      <c r="I14" s="5" t="s">
        <v>3686</v>
      </c>
      <c r="J14" s="9" t="s">
        <v>142</v>
      </c>
      <c r="K14" s="5" t="s">
        <v>4743</v>
      </c>
      <c r="L14" s="5" t="s">
        <v>3670</v>
      </c>
      <c r="M14" s="5" t="s">
        <v>2585</v>
      </c>
      <c r="N14" s="5" t="s">
        <v>4744</v>
      </c>
      <c r="O14" s="9"/>
      <c r="P14" s="5" t="s">
        <v>4823</v>
      </c>
      <c r="Q14" s="5" t="s">
        <v>686</v>
      </c>
      <c r="R14" s="5" t="s">
        <v>2585</v>
      </c>
      <c r="S14" s="5" t="s">
        <v>4824</v>
      </c>
      <c r="T14" s="9"/>
      <c r="U14" s="5" t="s">
        <v>5104</v>
      </c>
      <c r="V14" s="5" t="s">
        <v>3670</v>
      </c>
      <c r="W14" s="5" t="s">
        <v>2585</v>
      </c>
      <c r="X14" s="5" t="s">
        <v>4768</v>
      </c>
      <c r="Y14" s="9" t="s">
        <v>142</v>
      </c>
      <c r="Z14" s="5"/>
      <c r="AA14" s="5"/>
      <c r="AB14" s="5"/>
      <c r="AC14" s="5"/>
      <c r="AD14" s="9" t="s">
        <v>142</v>
      </c>
      <c r="AE14" s="5"/>
      <c r="AF14" s="5"/>
      <c r="AG14" s="5"/>
      <c r="AH14" s="5"/>
      <c r="AI14" s="9" t="s">
        <v>142</v>
      </c>
      <c r="AJ14" s="5"/>
      <c r="AK14" s="5"/>
      <c r="AL14" s="5"/>
      <c r="AM14" s="5"/>
      <c r="AN14" s="9" t="s">
        <v>142</v>
      </c>
      <c r="AO14" s="5"/>
      <c r="AP14" s="5"/>
      <c r="AQ14" s="5"/>
      <c r="AR14" s="5"/>
      <c r="AS14" s="9" t="s">
        <v>142</v>
      </c>
      <c r="AT14" s="5"/>
      <c r="AU14" s="5"/>
      <c r="AV14" s="5"/>
      <c r="AW14" s="5"/>
      <c r="AX14" s="9" t="s">
        <v>142</v>
      </c>
      <c r="AY14" s="5"/>
      <c r="AZ14" s="5"/>
      <c r="BA14" s="5"/>
      <c r="BB14" s="5"/>
      <c r="BC14" s="9" t="s">
        <v>142</v>
      </c>
      <c r="BD14" s="5"/>
      <c r="BE14" s="5"/>
      <c r="BF14" s="5"/>
      <c r="BG14" s="5"/>
      <c r="BH14" s="9" t="s">
        <v>142</v>
      </c>
      <c r="BI14" s="5"/>
      <c r="BJ14" s="5"/>
      <c r="BK14" s="5"/>
      <c r="BL14" s="5"/>
      <c r="BM14" s="9" t="s">
        <v>142</v>
      </c>
      <c r="BN14" s="5"/>
      <c r="BO14" s="5"/>
      <c r="BP14" s="5"/>
      <c r="BQ14" s="5"/>
      <c r="BR14" s="9" t="s">
        <v>142</v>
      </c>
      <c r="BS14" s="5"/>
      <c r="BT14" s="5"/>
      <c r="BU14" s="5"/>
      <c r="BV14" s="5"/>
      <c r="BW14" s="9" t="s">
        <v>142</v>
      </c>
      <c r="BX14" s="5" t="s">
        <v>5188</v>
      </c>
      <c r="BY14" s="5" t="s">
        <v>3670</v>
      </c>
      <c r="BZ14" s="5" t="s">
        <v>2585</v>
      </c>
      <c r="CA14" s="5" t="s">
        <v>4744</v>
      </c>
      <c r="CC14" s="5" t="s">
        <v>5244</v>
      </c>
      <c r="CD14" s="5" t="s">
        <v>3670</v>
      </c>
      <c r="CE14" s="5" t="s">
        <v>2585</v>
      </c>
      <c r="CF14" s="5" t="s">
        <v>4744</v>
      </c>
      <c r="CH14" s="5" t="s">
        <v>5303</v>
      </c>
      <c r="CI14" s="5" t="s">
        <v>3670</v>
      </c>
      <c r="CJ14" s="5" t="s">
        <v>2585</v>
      </c>
      <c r="CK14" s="5" t="s">
        <v>4768</v>
      </c>
      <c r="CM14" s="5" t="s">
        <v>5341</v>
      </c>
      <c r="CN14" s="5" t="s">
        <v>3670</v>
      </c>
      <c r="CO14" s="5" t="s">
        <v>2585</v>
      </c>
      <c r="CP14" s="5" t="s">
        <v>4768</v>
      </c>
      <c r="CR14" s="5" t="s">
        <v>5382</v>
      </c>
      <c r="CS14" s="5" t="s">
        <v>686</v>
      </c>
      <c r="CT14" s="5" t="s">
        <v>2585</v>
      </c>
      <c r="CU14" s="5" t="s">
        <v>4824</v>
      </c>
    </row>
    <row r="15" spans="1:256" x14ac:dyDescent="0.25">
      <c r="A15" s="5"/>
      <c r="B15" s="5"/>
      <c r="C15" s="5"/>
      <c r="D15" s="5"/>
      <c r="E15" s="9" t="s">
        <v>142</v>
      </c>
      <c r="F15" s="5" t="s">
        <v>3687</v>
      </c>
      <c r="G15" s="5" t="s">
        <v>686</v>
      </c>
      <c r="H15" s="5" t="s">
        <v>1542</v>
      </c>
      <c r="I15" s="5" t="s">
        <v>3681</v>
      </c>
      <c r="J15" s="9" t="s">
        <v>142</v>
      </c>
      <c r="K15" s="5" t="s">
        <v>4745</v>
      </c>
      <c r="L15" s="357" t="s">
        <v>686</v>
      </c>
      <c r="M15" s="5" t="s">
        <v>2585</v>
      </c>
      <c r="N15" s="5" t="s">
        <v>4746</v>
      </c>
      <c r="O15" s="9"/>
      <c r="P15" s="5" t="s">
        <v>4825</v>
      </c>
      <c r="Q15" s="5" t="s">
        <v>686</v>
      </c>
      <c r="R15" s="5" t="s">
        <v>2585</v>
      </c>
      <c r="S15" s="5" t="s">
        <v>4826</v>
      </c>
      <c r="T15" s="9"/>
      <c r="U15" s="5" t="s">
        <v>5105</v>
      </c>
      <c r="V15" s="5" t="s">
        <v>686</v>
      </c>
      <c r="W15" s="5" t="s">
        <v>2585</v>
      </c>
      <c r="X15" s="5" t="s">
        <v>5103</v>
      </c>
      <c r="Y15" s="9" t="s">
        <v>142</v>
      </c>
      <c r="Z15" s="5"/>
      <c r="AA15" s="5"/>
      <c r="AB15" s="5"/>
      <c r="AC15" s="5"/>
      <c r="AD15" s="9" t="s">
        <v>142</v>
      </c>
      <c r="AE15" s="5"/>
      <c r="AF15" s="5"/>
      <c r="AG15" s="5"/>
      <c r="AH15" s="5"/>
      <c r="AI15" s="9" t="s">
        <v>142</v>
      </c>
      <c r="AJ15" s="5"/>
      <c r="AK15" s="5"/>
      <c r="AL15" s="5"/>
      <c r="AM15" s="5"/>
      <c r="AN15" s="9" t="s">
        <v>142</v>
      </c>
      <c r="AO15" s="5"/>
      <c r="AP15" s="5"/>
      <c r="AQ15" s="5"/>
      <c r="AR15" s="5"/>
      <c r="AS15" s="9" t="s">
        <v>142</v>
      </c>
      <c r="AT15" s="5"/>
      <c r="AU15" s="5"/>
      <c r="AV15" s="5"/>
      <c r="AW15" s="5"/>
      <c r="AX15" s="9" t="s">
        <v>142</v>
      </c>
      <c r="AY15" s="5"/>
      <c r="AZ15" s="5"/>
      <c r="BA15" s="5"/>
      <c r="BB15" s="5"/>
      <c r="BC15" s="9" t="s">
        <v>142</v>
      </c>
      <c r="BD15" s="5"/>
      <c r="BE15" s="5"/>
      <c r="BF15" s="5"/>
      <c r="BG15" s="5"/>
      <c r="BH15" s="9" t="s">
        <v>142</v>
      </c>
      <c r="BI15" s="5"/>
      <c r="BJ15" s="5"/>
      <c r="BK15" s="5"/>
      <c r="BL15" s="5"/>
      <c r="BM15" s="9" t="s">
        <v>142</v>
      </c>
      <c r="BN15" s="5"/>
      <c r="BO15" s="5"/>
      <c r="BP15" s="5"/>
      <c r="BQ15" s="5"/>
      <c r="BR15" s="9" t="s">
        <v>142</v>
      </c>
      <c r="BS15" s="5"/>
      <c r="BT15" s="5"/>
      <c r="BU15" s="5"/>
      <c r="BV15" s="5"/>
      <c r="BW15" s="9" t="s">
        <v>142</v>
      </c>
      <c r="BX15" s="5" t="s">
        <v>5189</v>
      </c>
      <c r="BY15" s="5" t="s">
        <v>686</v>
      </c>
      <c r="BZ15" s="5" t="s">
        <v>2585</v>
      </c>
      <c r="CA15" s="5" t="s">
        <v>4746</v>
      </c>
      <c r="CC15" s="5" t="s">
        <v>5245</v>
      </c>
      <c r="CD15" s="5" t="s">
        <v>686</v>
      </c>
      <c r="CE15" s="5" t="s">
        <v>2585</v>
      </c>
      <c r="CF15" s="5" t="s">
        <v>4746</v>
      </c>
      <c r="CH15" s="5" t="s">
        <v>5304</v>
      </c>
      <c r="CI15" s="5" t="s">
        <v>686</v>
      </c>
      <c r="CJ15" s="5" t="s">
        <v>2585</v>
      </c>
      <c r="CK15" s="5" t="s">
        <v>5103</v>
      </c>
      <c r="CM15" s="5" t="s">
        <v>5342</v>
      </c>
      <c r="CN15" s="5" t="s">
        <v>686</v>
      </c>
      <c r="CO15" s="5" t="s">
        <v>2585</v>
      </c>
      <c r="CP15" s="5" t="s">
        <v>5103</v>
      </c>
      <c r="CR15" s="5" t="s">
        <v>5383</v>
      </c>
      <c r="CS15" s="5" t="s">
        <v>686</v>
      </c>
      <c r="CT15" s="5" t="s">
        <v>2585</v>
      </c>
      <c r="CU15" s="5" t="s">
        <v>4826</v>
      </c>
    </row>
    <row r="16" spans="1:256" x14ac:dyDescent="0.25">
      <c r="A16" s="5"/>
      <c r="B16" s="5"/>
      <c r="C16" s="5"/>
      <c r="D16" s="5"/>
      <c r="E16" s="9" t="s">
        <v>142</v>
      </c>
      <c r="F16" s="5" t="s">
        <v>3688</v>
      </c>
      <c r="G16" s="5" t="s">
        <v>3670</v>
      </c>
      <c r="H16" s="5" t="s">
        <v>2585</v>
      </c>
      <c r="I16" s="5" t="s">
        <v>3689</v>
      </c>
      <c r="J16" s="9" t="s">
        <v>142</v>
      </c>
      <c r="K16" s="5" t="s">
        <v>4747</v>
      </c>
      <c r="L16" s="5" t="s">
        <v>3670</v>
      </c>
      <c r="M16" s="5" t="s">
        <v>2585</v>
      </c>
      <c r="N16" s="5" t="s">
        <v>4748</v>
      </c>
      <c r="O16" s="9"/>
      <c r="P16" s="5" t="s">
        <v>4827</v>
      </c>
      <c r="Q16" s="5" t="s">
        <v>3670</v>
      </c>
      <c r="R16" s="5" t="s">
        <v>2585</v>
      </c>
      <c r="S16" s="5" t="s">
        <v>4828</v>
      </c>
      <c r="T16" s="9"/>
      <c r="U16" s="5" t="s">
        <v>5106</v>
      </c>
      <c r="V16" s="5" t="s">
        <v>3670</v>
      </c>
      <c r="W16" s="5" t="s">
        <v>2585</v>
      </c>
      <c r="X16" s="5" t="s">
        <v>5107</v>
      </c>
      <c r="Y16" s="9" t="s">
        <v>142</v>
      </c>
      <c r="Z16" s="5"/>
      <c r="AA16" s="5"/>
      <c r="AB16" s="5"/>
      <c r="AC16" s="5"/>
      <c r="AD16" s="9" t="s">
        <v>142</v>
      </c>
      <c r="AE16" s="5"/>
      <c r="AF16" s="5"/>
      <c r="AG16" s="5"/>
      <c r="AH16" s="5"/>
      <c r="AI16" s="9" t="s">
        <v>142</v>
      </c>
      <c r="AJ16" s="5"/>
      <c r="AK16" s="5"/>
      <c r="AL16" s="5"/>
      <c r="AM16" s="5"/>
      <c r="AN16" s="9" t="s">
        <v>142</v>
      </c>
      <c r="AO16" s="5"/>
      <c r="AP16" s="5"/>
      <c r="AQ16" s="5"/>
      <c r="AR16" s="5"/>
      <c r="AS16" s="9" t="s">
        <v>142</v>
      </c>
      <c r="AT16" s="5"/>
      <c r="AU16" s="5"/>
      <c r="AV16" s="5"/>
      <c r="AW16" s="5"/>
      <c r="AX16" s="9" t="s">
        <v>142</v>
      </c>
      <c r="AY16" s="5"/>
      <c r="AZ16" s="5"/>
      <c r="BA16" s="5"/>
      <c r="BB16" s="5"/>
      <c r="BC16" s="9" t="s">
        <v>142</v>
      </c>
      <c r="BD16" s="5"/>
      <c r="BE16" s="5"/>
      <c r="BF16" s="5"/>
      <c r="BG16" s="5"/>
      <c r="BH16" s="9" t="s">
        <v>142</v>
      </c>
      <c r="BI16" s="5"/>
      <c r="BJ16" s="5"/>
      <c r="BK16" s="5"/>
      <c r="BL16" s="5"/>
      <c r="BM16" s="9" t="s">
        <v>142</v>
      </c>
      <c r="BN16" s="5"/>
      <c r="BO16" s="5"/>
      <c r="BP16" s="5"/>
      <c r="BQ16" s="5"/>
      <c r="BR16" s="9" t="s">
        <v>142</v>
      </c>
      <c r="BS16" s="5"/>
      <c r="BT16" s="5"/>
      <c r="BU16" s="5"/>
      <c r="BV16" s="5"/>
      <c r="BW16" s="9" t="s">
        <v>142</v>
      </c>
      <c r="BX16" s="5" t="s">
        <v>5190</v>
      </c>
      <c r="BY16" s="5" t="s">
        <v>3670</v>
      </c>
      <c r="BZ16" s="5" t="s">
        <v>2585</v>
      </c>
      <c r="CA16" s="5" t="s">
        <v>4748</v>
      </c>
      <c r="CC16" s="5" t="s">
        <v>5246</v>
      </c>
      <c r="CD16" s="5" t="s">
        <v>3670</v>
      </c>
      <c r="CE16" s="5" t="s">
        <v>2585</v>
      </c>
      <c r="CF16" s="5" t="s">
        <v>4748</v>
      </c>
      <c r="CH16" s="5" t="s">
        <v>5305</v>
      </c>
      <c r="CI16" s="5" t="s">
        <v>3670</v>
      </c>
      <c r="CJ16" s="5" t="s">
        <v>2585</v>
      </c>
      <c r="CK16" s="5" t="s">
        <v>5107</v>
      </c>
      <c r="CM16" s="5" t="s">
        <v>5343</v>
      </c>
      <c r="CN16" s="5" t="s">
        <v>3670</v>
      </c>
      <c r="CO16" s="5" t="s">
        <v>2585</v>
      </c>
      <c r="CP16" s="5" t="s">
        <v>5107</v>
      </c>
      <c r="CR16" s="5" t="s">
        <v>5384</v>
      </c>
      <c r="CS16" s="5" t="s">
        <v>3670</v>
      </c>
      <c r="CT16" s="5" t="s">
        <v>2585</v>
      </c>
      <c r="CU16" s="5" t="s">
        <v>4828</v>
      </c>
    </row>
    <row r="17" spans="1:99" x14ac:dyDescent="0.25">
      <c r="A17" s="5"/>
      <c r="B17" s="5"/>
      <c r="C17" s="5"/>
      <c r="D17" s="5"/>
      <c r="E17" s="9" t="s">
        <v>142</v>
      </c>
      <c r="F17" s="5" t="s">
        <v>3690</v>
      </c>
      <c r="G17" s="5" t="s">
        <v>686</v>
      </c>
      <c r="H17" s="5" t="s">
        <v>2585</v>
      </c>
      <c r="I17" s="5" t="s">
        <v>3691</v>
      </c>
      <c r="J17" s="9" t="s">
        <v>142</v>
      </c>
      <c r="K17" s="5" t="s">
        <v>4749</v>
      </c>
      <c r="L17" s="5" t="s">
        <v>686</v>
      </c>
      <c r="M17" s="5" t="s">
        <v>2585</v>
      </c>
      <c r="N17" s="5" t="s">
        <v>4750</v>
      </c>
      <c r="O17" s="9"/>
      <c r="P17" s="5" t="s">
        <v>4829</v>
      </c>
      <c r="Q17" s="5" t="s">
        <v>686</v>
      </c>
      <c r="R17" s="5" t="s">
        <v>2585</v>
      </c>
      <c r="S17" s="5" t="s">
        <v>4830</v>
      </c>
      <c r="T17" s="9"/>
      <c r="U17" s="5" t="s">
        <v>5108</v>
      </c>
      <c r="V17" s="5" t="s">
        <v>686</v>
      </c>
      <c r="W17" s="5" t="s">
        <v>2585</v>
      </c>
      <c r="X17" s="5" t="s">
        <v>5109</v>
      </c>
      <c r="Y17" s="9" t="s">
        <v>142</v>
      </c>
      <c r="Z17" s="5"/>
      <c r="AA17" s="5"/>
      <c r="AB17" s="5"/>
      <c r="AC17" s="5"/>
      <c r="AD17" s="9" t="s">
        <v>142</v>
      </c>
      <c r="AE17" s="5"/>
      <c r="AF17" s="5"/>
      <c r="AG17" s="5"/>
      <c r="AH17" s="5"/>
      <c r="AI17" s="9" t="s">
        <v>142</v>
      </c>
      <c r="AJ17" s="5"/>
      <c r="AK17" s="5"/>
      <c r="AL17" s="5"/>
      <c r="AM17" s="5"/>
      <c r="AN17" s="9" t="s">
        <v>142</v>
      </c>
      <c r="AO17" s="5"/>
      <c r="AP17" s="5"/>
      <c r="AQ17" s="5"/>
      <c r="AR17" s="5"/>
      <c r="AS17" s="9" t="s">
        <v>142</v>
      </c>
      <c r="AT17" s="5"/>
      <c r="AU17" s="5"/>
      <c r="AV17" s="5"/>
      <c r="AW17" s="5"/>
      <c r="AX17" s="9" t="s">
        <v>142</v>
      </c>
      <c r="AY17" s="5"/>
      <c r="AZ17" s="5"/>
      <c r="BA17" s="5"/>
      <c r="BB17" s="5"/>
      <c r="BC17" s="9" t="s">
        <v>142</v>
      </c>
      <c r="BD17" s="5"/>
      <c r="BE17" s="5"/>
      <c r="BF17" s="5"/>
      <c r="BG17" s="5"/>
      <c r="BH17" s="9" t="s">
        <v>142</v>
      </c>
      <c r="BI17" s="5"/>
      <c r="BJ17" s="5"/>
      <c r="BK17" s="5"/>
      <c r="BL17" s="5"/>
      <c r="BM17" s="9" t="s">
        <v>142</v>
      </c>
      <c r="BN17" s="5"/>
      <c r="BO17" s="5"/>
      <c r="BP17" s="5"/>
      <c r="BQ17" s="5"/>
      <c r="BR17" s="9" t="s">
        <v>142</v>
      </c>
      <c r="BS17" s="5"/>
      <c r="BT17" s="5"/>
      <c r="BU17" s="5"/>
      <c r="BV17" s="5"/>
      <c r="BW17" s="9" t="s">
        <v>142</v>
      </c>
      <c r="BX17" s="5" t="s">
        <v>5191</v>
      </c>
      <c r="BY17" s="5" t="s">
        <v>686</v>
      </c>
      <c r="BZ17" s="5" t="s">
        <v>2585</v>
      </c>
      <c r="CA17" s="5" t="s">
        <v>4750</v>
      </c>
      <c r="CC17" s="5" t="s">
        <v>5247</v>
      </c>
      <c r="CD17" s="5" t="s">
        <v>686</v>
      </c>
      <c r="CE17" s="5" t="s">
        <v>2585</v>
      </c>
      <c r="CF17" s="5" t="s">
        <v>4750</v>
      </c>
      <c r="CH17" s="5" t="s">
        <v>5306</v>
      </c>
      <c r="CI17" s="5" t="s">
        <v>686</v>
      </c>
      <c r="CJ17" s="5" t="s">
        <v>2585</v>
      </c>
      <c r="CK17" s="5" t="s">
        <v>5109</v>
      </c>
      <c r="CM17" s="5" t="s">
        <v>5344</v>
      </c>
      <c r="CN17" s="5" t="s">
        <v>686</v>
      </c>
      <c r="CO17" s="5" t="s">
        <v>2585</v>
      </c>
      <c r="CP17" s="5" t="s">
        <v>5109</v>
      </c>
      <c r="CR17" s="5" t="s">
        <v>5385</v>
      </c>
      <c r="CS17" s="5" t="s">
        <v>686</v>
      </c>
      <c r="CT17" s="5" t="s">
        <v>2585</v>
      </c>
      <c r="CU17" s="5" t="s">
        <v>4830</v>
      </c>
    </row>
    <row r="18" spans="1:99" x14ac:dyDescent="0.25">
      <c r="A18" s="5"/>
      <c r="B18" s="5"/>
      <c r="C18" s="5"/>
      <c r="D18" s="5"/>
      <c r="E18" s="9" t="s">
        <v>142</v>
      </c>
      <c r="F18" s="5" t="s">
        <v>3692</v>
      </c>
      <c r="G18" s="5" t="s">
        <v>3693</v>
      </c>
      <c r="H18" s="5" t="s">
        <v>2585</v>
      </c>
      <c r="I18" s="5" t="s">
        <v>3675</v>
      </c>
      <c r="J18" s="9" t="s">
        <v>142</v>
      </c>
      <c r="K18" s="5" t="s">
        <v>4751</v>
      </c>
      <c r="L18" s="5" t="s">
        <v>3670</v>
      </c>
      <c r="M18" s="5" t="s">
        <v>2585</v>
      </c>
      <c r="N18" s="5" t="s">
        <v>4752</v>
      </c>
      <c r="O18" s="9" t="s">
        <v>142</v>
      </c>
      <c r="P18" s="5" t="s">
        <v>4831</v>
      </c>
      <c r="Q18" s="5" t="s">
        <v>3670</v>
      </c>
      <c r="R18" s="5" t="s">
        <v>2585</v>
      </c>
      <c r="S18" s="5" t="s">
        <v>4756</v>
      </c>
      <c r="T18" s="9" t="s">
        <v>142</v>
      </c>
      <c r="U18" s="5" t="s">
        <v>5110</v>
      </c>
      <c r="V18" s="5" t="s">
        <v>3670</v>
      </c>
      <c r="W18" s="5" t="s">
        <v>2585</v>
      </c>
      <c r="X18" s="5" t="s">
        <v>4756</v>
      </c>
      <c r="Y18" s="9" t="s">
        <v>142</v>
      </c>
      <c r="Z18" s="5"/>
      <c r="AA18" s="5"/>
      <c r="AB18" s="5"/>
      <c r="AC18" s="5"/>
      <c r="AD18" s="9" t="s">
        <v>142</v>
      </c>
      <c r="AE18" s="5"/>
      <c r="AF18" s="5"/>
      <c r="AG18" s="5"/>
      <c r="AH18" s="5"/>
      <c r="AI18" s="9" t="s">
        <v>142</v>
      </c>
      <c r="AJ18" s="5"/>
      <c r="AK18" s="5"/>
      <c r="AL18" s="5"/>
      <c r="AM18" s="5"/>
      <c r="AN18" s="9" t="s">
        <v>142</v>
      </c>
      <c r="AO18" s="5"/>
      <c r="AP18" s="5"/>
      <c r="AQ18" s="5"/>
      <c r="AR18" s="5"/>
      <c r="AS18" s="9" t="s">
        <v>142</v>
      </c>
      <c r="AT18" s="5"/>
      <c r="AU18" s="5"/>
      <c r="AV18" s="5"/>
      <c r="AW18" s="5"/>
      <c r="AX18" s="9" t="s">
        <v>142</v>
      </c>
      <c r="AY18" s="5"/>
      <c r="AZ18" s="5"/>
      <c r="BA18" s="5"/>
      <c r="BB18" s="5"/>
      <c r="BC18" s="9" t="s">
        <v>142</v>
      </c>
      <c r="BD18" s="5"/>
      <c r="BE18" s="5"/>
      <c r="BF18" s="5"/>
      <c r="BG18" s="5"/>
      <c r="BH18" s="9" t="s">
        <v>142</v>
      </c>
      <c r="BI18" s="5"/>
      <c r="BJ18" s="5"/>
      <c r="BK18" s="5"/>
      <c r="BL18" s="5"/>
      <c r="BM18" s="9" t="s">
        <v>142</v>
      </c>
      <c r="BN18" s="5"/>
      <c r="BO18" s="5"/>
      <c r="BP18" s="5"/>
      <c r="BQ18" s="5"/>
      <c r="BR18" s="9" t="s">
        <v>142</v>
      </c>
      <c r="BS18" s="5"/>
      <c r="BT18" s="5"/>
      <c r="BU18" s="5"/>
      <c r="BV18" s="5"/>
      <c r="BW18" s="9" t="s">
        <v>142</v>
      </c>
      <c r="BX18" s="5" t="s">
        <v>5192</v>
      </c>
      <c r="BY18" s="5" t="s">
        <v>3670</v>
      </c>
      <c r="BZ18" s="5" t="s">
        <v>2585</v>
      </c>
      <c r="CA18" s="5" t="s">
        <v>4752</v>
      </c>
      <c r="CC18" s="5" t="s">
        <v>5248</v>
      </c>
      <c r="CD18" s="5" t="s">
        <v>3670</v>
      </c>
      <c r="CE18" s="5" t="s">
        <v>2585</v>
      </c>
      <c r="CF18" s="5" t="s">
        <v>4752</v>
      </c>
      <c r="CH18" s="5" t="s">
        <v>5307</v>
      </c>
      <c r="CI18" s="5" t="s">
        <v>3670</v>
      </c>
      <c r="CJ18" s="5" t="s">
        <v>2585</v>
      </c>
      <c r="CK18" s="5" t="s">
        <v>4756</v>
      </c>
      <c r="CM18" s="5" t="s">
        <v>5345</v>
      </c>
      <c r="CN18" s="5" t="s">
        <v>3670</v>
      </c>
      <c r="CO18" s="5" t="s">
        <v>2585</v>
      </c>
      <c r="CP18" s="5" t="s">
        <v>4756</v>
      </c>
      <c r="CR18" s="5" t="s">
        <v>5386</v>
      </c>
      <c r="CS18" s="5" t="s">
        <v>3670</v>
      </c>
      <c r="CT18" s="5" t="s">
        <v>2585</v>
      </c>
      <c r="CU18" s="5" t="s">
        <v>4756</v>
      </c>
    </row>
    <row r="19" spans="1:99" x14ac:dyDescent="0.25">
      <c r="A19" s="5"/>
      <c r="B19" s="5"/>
      <c r="C19" s="5"/>
      <c r="D19" s="5"/>
      <c r="E19" s="9" t="s">
        <v>142</v>
      </c>
      <c r="F19" s="5" t="s">
        <v>3694</v>
      </c>
      <c r="G19" s="5" t="s">
        <v>3695</v>
      </c>
      <c r="H19" s="5" t="s">
        <v>2585</v>
      </c>
      <c r="I19" s="5" t="s">
        <v>3675</v>
      </c>
      <c r="J19" s="9" t="s">
        <v>142</v>
      </c>
      <c r="K19" s="5" t="s">
        <v>4753</v>
      </c>
      <c r="L19" s="357" t="s">
        <v>686</v>
      </c>
      <c r="M19" s="5" t="s">
        <v>2585</v>
      </c>
      <c r="N19" s="5" t="s">
        <v>4754</v>
      </c>
      <c r="O19" s="9" t="s">
        <v>142</v>
      </c>
      <c r="P19" s="5" t="s">
        <v>4832</v>
      </c>
      <c r="Q19" s="5" t="s">
        <v>686</v>
      </c>
      <c r="R19" s="5" t="s">
        <v>2585</v>
      </c>
      <c r="S19" s="5" t="s">
        <v>4833</v>
      </c>
      <c r="T19" s="9" t="s">
        <v>142</v>
      </c>
      <c r="U19" s="5" t="s">
        <v>5111</v>
      </c>
      <c r="V19" s="5" t="s">
        <v>686</v>
      </c>
      <c r="W19" s="5" t="s">
        <v>2585</v>
      </c>
      <c r="X19" s="5" t="s">
        <v>5112</v>
      </c>
      <c r="Y19" s="9" t="s">
        <v>142</v>
      </c>
      <c r="Z19" s="5"/>
      <c r="AA19" s="5"/>
      <c r="AB19" s="5"/>
      <c r="AC19" s="5"/>
      <c r="AD19" s="9" t="s">
        <v>142</v>
      </c>
      <c r="AE19" s="5"/>
      <c r="AF19" s="5"/>
      <c r="AG19" s="5"/>
      <c r="AH19" s="5"/>
      <c r="AI19" s="9" t="s">
        <v>142</v>
      </c>
      <c r="AJ19" s="5"/>
      <c r="AK19" s="5"/>
      <c r="AL19" s="5"/>
      <c r="AM19" s="5"/>
      <c r="AN19" s="9" t="s">
        <v>142</v>
      </c>
      <c r="AO19" s="5"/>
      <c r="AP19" s="5"/>
      <c r="AQ19" s="5"/>
      <c r="AR19" s="5"/>
      <c r="AS19" s="9" t="s">
        <v>142</v>
      </c>
      <c r="AT19" s="5"/>
      <c r="AU19" s="5"/>
      <c r="AV19" s="5"/>
      <c r="AW19" s="5"/>
      <c r="AX19" s="9" t="s">
        <v>142</v>
      </c>
      <c r="AY19" s="5"/>
      <c r="AZ19" s="5"/>
      <c r="BA19" s="5"/>
      <c r="BB19" s="5"/>
      <c r="BC19" s="9" t="s">
        <v>142</v>
      </c>
      <c r="BD19" s="5"/>
      <c r="BE19" s="5"/>
      <c r="BF19" s="5"/>
      <c r="BG19" s="5"/>
      <c r="BH19" s="9" t="s">
        <v>142</v>
      </c>
      <c r="BI19" s="5"/>
      <c r="BJ19" s="5"/>
      <c r="BK19" s="5"/>
      <c r="BL19" s="5"/>
      <c r="BM19" s="9" t="s">
        <v>142</v>
      </c>
      <c r="BN19" s="5"/>
      <c r="BO19" s="5"/>
      <c r="BP19" s="5"/>
      <c r="BQ19" s="5"/>
      <c r="BR19" s="9" t="s">
        <v>142</v>
      </c>
      <c r="BS19" s="5"/>
      <c r="BT19" s="5"/>
      <c r="BU19" s="5"/>
      <c r="BV19" s="5"/>
      <c r="BW19" s="9" t="s">
        <v>142</v>
      </c>
      <c r="BX19" s="5" t="s">
        <v>5193</v>
      </c>
      <c r="BY19" s="5" t="s">
        <v>686</v>
      </c>
      <c r="BZ19" s="5" t="s">
        <v>2585</v>
      </c>
      <c r="CA19" s="5" t="s">
        <v>4754</v>
      </c>
      <c r="CC19" s="5" t="s">
        <v>5249</v>
      </c>
      <c r="CD19" s="5" t="s">
        <v>686</v>
      </c>
      <c r="CE19" s="5" t="s">
        <v>2585</v>
      </c>
      <c r="CF19" s="5" t="s">
        <v>4754</v>
      </c>
      <c r="CH19" s="5" t="s">
        <v>5308</v>
      </c>
      <c r="CI19" s="5" t="s">
        <v>686</v>
      </c>
      <c r="CJ19" s="5" t="s">
        <v>2585</v>
      </c>
      <c r="CK19" s="5" t="s">
        <v>5112</v>
      </c>
      <c r="CM19" s="5" t="s">
        <v>5346</v>
      </c>
      <c r="CN19" s="5" t="s">
        <v>686</v>
      </c>
      <c r="CO19" s="5" t="s">
        <v>2585</v>
      </c>
      <c r="CP19" s="5" t="s">
        <v>5347</v>
      </c>
      <c r="CR19" s="5" t="s">
        <v>5387</v>
      </c>
      <c r="CS19" s="5" t="s">
        <v>686</v>
      </c>
      <c r="CT19" s="5" t="s">
        <v>2585</v>
      </c>
      <c r="CU19" s="5" t="s">
        <v>4833</v>
      </c>
    </row>
    <row r="20" spans="1:99" x14ac:dyDescent="0.25">
      <c r="A20" s="5"/>
      <c r="B20" s="5"/>
      <c r="C20" s="5"/>
      <c r="D20" s="5"/>
      <c r="E20" s="9" t="s">
        <v>142</v>
      </c>
      <c r="F20" s="5" t="s">
        <v>3696</v>
      </c>
      <c r="G20" s="5" t="s">
        <v>3697</v>
      </c>
      <c r="H20" s="5" t="s">
        <v>2585</v>
      </c>
      <c r="I20" s="5" t="s">
        <v>3675</v>
      </c>
      <c r="J20" s="9" t="s">
        <v>142</v>
      </c>
      <c r="K20" s="5" t="s">
        <v>4755</v>
      </c>
      <c r="L20" s="5" t="s">
        <v>3670</v>
      </c>
      <c r="M20" s="5" t="s">
        <v>2585</v>
      </c>
      <c r="N20" s="5" t="s">
        <v>4756</v>
      </c>
      <c r="O20" s="9" t="s">
        <v>142</v>
      </c>
      <c r="P20" s="5" t="s">
        <v>4834</v>
      </c>
      <c r="Q20" s="5" t="s">
        <v>686</v>
      </c>
      <c r="R20" s="5" t="s">
        <v>2585</v>
      </c>
      <c r="S20" s="5" t="s">
        <v>4835</v>
      </c>
      <c r="T20" s="9" t="s">
        <v>142</v>
      </c>
      <c r="U20" s="5" t="s">
        <v>5113</v>
      </c>
      <c r="V20" s="5" t="s">
        <v>686</v>
      </c>
      <c r="W20" s="5" t="s">
        <v>2585</v>
      </c>
      <c r="X20" s="5" t="s">
        <v>5114</v>
      </c>
      <c r="Y20" s="9" t="s">
        <v>142</v>
      </c>
      <c r="Z20" s="5"/>
      <c r="AA20" s="5"/>
      <c r="AB20" s="5"/>
      <c r="AC20" s="5"/>
      <c r="AD20" s="9" t="s">
        <v>142</v>
      </c>
      <c r="AE20" s="5"/>
      <c r="AF20" s="5"/>
      <c r="AG20" s="5"/>
      <c r="AH20" s="5"/>
      <c r="AI20" s="9" t="s">
        <v>142</v>
      </c>
      <c r="AJ20" s="5"/>
      <c r="AK20" s="5"/>
      <c r="AL20" s="5"/>
      <c r="AM20" s="5"/>
      <c r="AN20" s="9" t="s">
        <v>142</v>
      </c>
      <c r="AO20" s="5"/>
      <c r="AP20" s="5"/>
      <c r="AQ20" s="5"/>
      <c r="AR20" s="5"/>
      <c r="AS20" s="9" t="s">
        <v>142</v>
      </c>
      <c r="AT20" s="5"/>
      <c r="AU20" s="5"/>
      <c r="AV20" s="5"/>
      <c r="AW20" s="5"/>
      <c r="AX20" s="9" t="s">
        <v>142</v>
      </c>
      <c r="AY20" s="5"/>
      <c r="AZ20" s="5"/>
      <c r="BA20" s="5"/>
      <c r="BB20" s="5"/>
      <c r="BC20" s="9" t="s">
        <v>142</v>
      </c>
      <c r="BD20" s="5"/>
      <c r="BE20" s="5"/>
      <c r="BF20" s="5"/>
      <c r="BG20" s="5"/>
      <c r="BH20" s="9" t="s">
        <v>142</v>
      </c>
      <c r="BI20" s="5"/>
      <c r="BJ20" s="5"/>
      <c r="BK20" s="5"/>
      <c r="BL20" s="5"/>
      <c r="BM20" s="9" t="s">
        <v>142</v>
      </c>
      <c r="BN20" s="5"/>
      <c r="BO20" s="5"/>
      <c r="BP20" s="5"/>
      <c r="BQ20" s="5"/>
      <c r="BR20" s="9" t="s">
        <v>142</v>
      </c>
      <c r="BS20" s="5"/>
      <c r="BT20" s="5"/>
      <c r="BU20" s="5"/>
      <c r="BV20" s="5"/>
      <c r="BW20" s="9" t="s">
        <v>142</v>
      </c>
      <c r="BX20" s="5" t="s">
        <v>5194</v>
      </c>
      <c r="BY20" s="5" t="s">
        <v>3670</v>
      </c>
      <c r="BZ20" s="5" t="s">
        <v>2585</v>
      </c>
      <c r="CA20" s="5" t="s">
        <v>4756</v>
      </c>
      <c r="CC20" s="5" t="s">
        <v>5250</v>
      </c>
      <c r="CD20" s="5" t="s">
        <v>3670</v>
      </c>
      <c r="CE20" s="5" t="s">
        <v>2585</v>
      </c>
      <c r="CF20" s="5" t="s">
        <v>4756</v>
      </c>
      <c r="CH20" s="5" t="s">
        <v>5309</v>
      </c>
      <c r="CI20" s="5" t="s">
        <v>686</v>
      </c>
      <c r="CJ20" s="5" t="s">
        <v>2585</v>
      </c>
      <c r="CK20" s="5" t="s">
        <v>5114</v>
      </c>
      <c r="CM20" s="5" t="s">
        <v>5348</v>
      </c>
      <c r="CN20" s="5" t="s">
        <v>686</v>
      </c>
      <c r="CO20" s="5" t="s">
        <v>2585</v>
      </c>
      <c r="CP20" s="5" t="s">
        <v>5114</v>
      </c>
      <c r="CR20" s="5" t="s">
        <v>5388</v>
      </c>
      <c r="CS20" s="5" t="s">
        <v>686</v>
      </c>
      <c r="CT20" s="5" t="s">
        <v>2585</v>
      </c>
      <c r="CU20" s="5" t="s">
        <v>4835</v>
      </c>
    </row>
    <row r="21" spans="1:99" x14ac:dyDescent="0.25">
      <c r="A21" s="5"/>
      <c r="B21" s="5"/>
      <c r="C21" s="5"/>
      <c r="D21" s="5"/>
      <c r="E21" s="9" t="s">
        <v>142</v>
      </c>
      <c r="F21" s="5" t="s">
        <v>3698</v>
      </c>
      <c r="G21" s="5" t="s">
        <v>3699</v>
      </c>
      <c r="H21" s="5" t="s">
        <v>2585</v>
      </c>
      <c r="I21" s="5" t="s">
        <v>3700</v>
      </c>
      <c r="J21" s="9" t="s">
        <v>142</v>
      </c>
      <c r="K21" s="5" t="s">
        <v>4757</v>
      </c>
      <c r="L21" s="5" t="s">
        <v>686</v>
      </c>
      <c r="M21" s="5" t="s">
        <v>2585</v>
      </c>
      <c r="N21" s="5" t="s">
        <v>4758</v>
      </c>
      <c r="O21" s="9" t="s">
        <v>142</v>
      </c>
      <c r="P21" s="5" t="s">
        <v>4836</v>
      </c>
      <c r="Q21" s="5" t="s">
        <v>3670</v>
      </c>
      <c r="R21" s="5" t="s">
        <v>2585</v>
      </c>
      <c r="S21" s="5" t="s">
        <v>3666</v>
      </c>
      <c r="T21" s="9" t="s">
        <v>142</v>
      </c>
      <c r="U21" s="5" t="s">
        <v>5115</v>
      </c>
      <c r="V21" s="5" t="s">
        <v>686</v>
      </c>
      <c r="W21" s="5" t="s">
        <v>2585</v>
      </c>
      <c r="X21" s="5" t="s">
        <v>5074</v>
      </c>
      <c r="Y21" s="9" t="s">
        <v>142</v>
      </c>
      <c r="Z21" s="5"/>
      <c r="AA21" s="5"/>
      <c r="AB21" s="5"/>
      <c r="AC21" s="5"/>
      <c r="AD21" s="9" t="s">
        <v>142</v>
      </c>
      <c r="AE21" s="5"/>
      <c r="AF21" s="5"/>
      <c r="AG21" s="5"/>
      <c r="AH21" s="5"/>
      <c r="AI21" s="9" t="s">
        <v>142</v>
      </c>
      <c r="AJ21" s="5"/>
      <c r="AK21" s="5"/>
      <c r="AL21" s="5"/>
      <c r="AM21" s="5"/>
      <c r="AN21" s="9" t="s">
        <v>142</v>
      </c>
      <c r="AO21" s="5"/>
      <c r="AP21" s="5"/>
      <c r="AQ21" s="5"/>
      <c r="AR21" s="5"/>
      <c r="AS21" s="9" t="s">
        <v>142</v>
      </c>
      <c r="AT21" s="5"/>
      <c r="AU21" s="5"/>
      <c r="AV21" s="5"/>
      <c r="AW21" s="5"/>
      <c r="AX21" s="9" t="s">
        <v>142</v>
      </c>
      <c r="AY21" s="5"/>
      <c r="AZ21" s="5"/>
      <c r="BA21" s="5"/>
      <c r="BB21" s="5"/>
      <c r="BC21" s="9" t="s">
        <v>142</v>
      </c>
      <c r="BD21" s="5"/>
      <c r="BE21" s="5"/>
      <c r="BF21" s="5"/>
      <c r="BG21" s="5"/>
      <c r="BH21" s="9" t="s">
        <v>142</v>
      </c>
      <c r="BI21" s="5"/>
      <c r="BJ21" s="5"/>
      <c r="BK21" s="5"/>
      <c r="BL21" s="5"/>
      <c r="BM21" s="9" t="s">
        <v>142</v>
      </c>
      <c r="BN21" s="5"/>
      <c r="BO21" s="5"/>
      <c r="BP21" s="5"/>
      <c r="BQ21" s="5"/>
      <c r="BR21" s="9" t="s">
        <v>142</v>
      </c>
      <c r="BS21" s="5"/>
      <c r="BT21" s="5"/>
      <c r="BU21" s="5"/>
      <c r="BV21" s="5"/>
      <c r="BW21" s="9" t="s">
        <v>142</v>
      </c>
      <c r="BX21" s="5" t="s">
        <v>5195</v>
      </c>
      <c r="BY21" s="5" t="s">
        <v>686</v>
      </c>
      <c r="BZ21" s="5" t="s">
        <v>2585</v>
      </c>
      <c r="CA21" s="5" t="s">
        <v>5196</v>
      </c>
      <c r="CC21" s="5" t="s">
        <v>5251</v>
      </c>
      <c r="CD21" s="5" t="s">
        <v>686</v>
      </c>
      <c r="CE21" s="5" t="s">
        <v>2585</v>
      </c>
      <c r="CF21" s="5" t="s">
        <v>5252</v>
      </c>
      <c r="CH21" s="5" t="s">
        <v>5310</v>
      </c>
      <c r="CI21" s="5" t="s">
        <v>686</v>
      </c>
      <c r="CJ21" s="5" t="s">
        <v>2585</v>
      </c>
      <c r="CK21" s="5" t="s">
        <v>5074</v>
      </c>
      <c r="CM21" s="5" t="s">
        <v>5349</v>
      </c>
      <c r="CN21" s="5" t="s">
        <v>686</v>
      </c>
      <c r="CO21" s="5" t="s">
        <v>2585</v>
      </c>
      <c r="CP21" s="5" t="s">
        <v>5074</v>
      </c>
      <c r="CR21" s="5" t="s">
        <v>5389</v>
      </c>
      <c r="CS21" s="5" t="s">
        <v>3670</v>
      </c>
      <c r="CT21" s="5" t="s">
        <v>2585</v>
      </c>
      <c r="CU21" s="5" t="s">
        <v>3666</v>
      </c>
    </row>
    <row r="22" spans="1:99" x14ac:dyDescent="0.25">
      <c r="A22" s="5"/>
      <c r="B22" s="5"/>
      <c r="C22" s="5"/>
      <c r="D22" s="5"/>
      <c r="E22" s="9" t="s">
        <v>142</v>
      </c>
      <c r="F22" s="5" t="s">
        <v>3701</v>
      </c>
      <c r="G22" s="5" t="s">
        <v>3697</v>
      </c>
      <c r="H22" s="5" t="s">
        <v>2585</v>
      </c>
      <c r="I22" s="5" t="s">
        <v>3679</v>
      </c>
      <c r="J22" s="9" t="s">
        <v>142</v>
      </c>
      <c r="K22" s="5" t="s">
        <v>4759</v>
      </c>
      <c r="L22" s="5" t="s">
        <v>686</v>
      </c>
      <c r="M22" s="5" t="s">
        <v>2585</v>
      </c>
      <c r="N22" s="5" t="s">
        <v>4760</v>
      </c>
      <c r="O22" s="9" t="s">
        <v>142</v>
      </c>
      <c r="P22" s="5" t="s">
        <v>4837</v>
      </c>
      <c r="Q22" s="5" t="s">
        <v>686</v>
      </c>
      <c r="R22" s="5" t="s">
        <v>2585</v>
      </c>
      <c r="S22" s="5" t="s">
        <v>4838</v>
      </c>
      <c r="T22" s="9" t="s">
        <v>142</v>
      </c>
      <c r="U22" s="5" t="s">
        <v>5116</v>
      </c>
      <c r="V22" s="5" t="s">
        <v>686</v>
      </c>
      <c r="W22" s="5" t="s">
        <v>2585</v>
      </c>
      <c r="X22" s="5" t="s">
        <v>5117</v>
      </c>
      <c r="Y22" s="9" t="s">
        <v>142</v>
      </c>
      <c r="Z22" s="5"/>
      <c r="AA22" s="5"/>
      <c r="AB22" s="5"/>
      <c r="AC22" s="5"/>
      <c r="AD22" s="9" t="s">
        <v>142</v>
      </c>
      <c r="AE22" s="5"/>
      <c r="AF22" s="5"/>
      <c r="AG22" s="5"/>
      <c r="AH22" s="5"/>
      <c r="AI22" s="9" t="s">
        <v>142</v>
      </c>
      <c r="AJ22" s="5"/>
      <c r="AK22" s="5"/>
      <c r="AL22" s="5"/>
      <c r="AM22" s="5"/>
      <c r="AN22" s="9" t="s">
        <v>142</v>
      </c>
      <c r="AO22" s="5"/>
      <c r="AP22" s="5"/>
      <c r="AQ22" s="5"/>
      <c r="AR22" s="5"/>
      <c r="AS22" s="9" t="s">
        <v>142</v>
      </c>
      <c r="AT22" s="5"/>
      <c r="AU22" s="5"/>
      <c r="AV22" s="5"/>
      <c r="AW22" s="5"/>
      <c r="AX22" s="9" t="s">
        <v>142</v>
      </c>
      <c r="AY22" s="5"/>
      <c r="AZ22" s="5"/>
      <c r="BA22" s="5"/>
      <c r="BB22" s="5"/>
      <c r="BC22" s="9" t="s">
        <v>142</v>
      </c>
      <c r="BD22" s="5"/>
      <c r="BE22" s="5"/>
      <c r="BF22" s="5"/>
      <c r="BG22" s="5"/>
      <c r="BH22" s="9" t="s">
        <v>142</v>
      </c>
      <c r="BI22" s="5"/>
      <c r="BJ22" s="5"/>
      <c r="BK22" s="5"/>
      <c r="BL22" s="5"/>
      <c r="BM22" s="9" t="s">
        <v>142</v>
      </c>
      <c r="BN22" s="5"/>
      <c r="BO22" s="5"/>
      <c r="BP22" s="5"/>
      <c r="BQ22" s="5"/>
      <c r="BR22" s="9" t="s">
        <v>142</v>
      </c>
      <c r="BS22" s="5"/>
      <c r="BT22" s="5"/>
      <c r="BU22" s="5"/>
      <c r="BV22" s="5"/>
      <c r="BW22" s="9" t="s">
        <v>142</v>
      </c>
      <c r="BX22" s="5" t="s">
        <v>5197</v>
      </c>
      <c r="BY22" s="5" t="s">
        <v>686</v>
      </c>
      <c r="BZ22" s="5" t="s">
        <v>2585</v>
      </c>
      <c r="CA22" s="5" t="s">
        <v>5198</v>
      </c>
      <c r="CC22" s="5" t="s">
        <v>5253</v>
      </c>
      <c r="CD22" s="5" t="s">
        <v>686</v>
      </c>
      <c r="CE22" s="5" t="s">
        <v>2585</v>
      </c>
      <c r="CF22" s="5" t="s">
        <v>5254</v>
      </c>
      <c r="CH22" s="5" t="s">
        <v>5311</v>
      </c>
      <c r="CI22" s="5" t="s">
        <v>686</v>
      </c>
      <c r="CJ22" s="5" t="s">
        <v>2585</v>
      </c>
      <c r="CK22" s="5" t="s">
        <v>5117</v>
      </c>
      <c r="CM22" s="5" t="s">
        <v>5350</v>
      </c>
      <c r="CN22" s="5" t="s">
        <v>686</v>
      </c>
      <c r="CO22" s="5" t="s">
        <v>2585</v>
      </c>
      <c r="CP22" s="5" t="s">
        <v>5117</v>
      </c>
      <c r="CR22" s="5" t="s">
        <v>5390</v>
      </c>
      <c r="CS22" s="5" t="s">
        <v>686</v>
      </c>
      <c r="CT22" s="5" t="s">
        <v>2585</v>
      </c>
      <c r="CU22" s="5" t="s">
        <v>4838</v>
      </c>
    </row>
    <row r="23" spans="1:99" x14ac:dyDescent="0.25">
      <c r="A23" s="5"/>
      <c r="B23" s="5"/>
      <c r="C23" s="5"/>
      <c r="D23" s="5"/>
      <c r="E23" s="9" t="s">
        <v>142</v>
      </c>
      <c r="F23" s="5" t="s">
        <v>3702</v>
      </c>
      <c r="G23" s="5" t="s">
        <v>3699</v>
      </c>
      <c r="H23" s="5" t="s">
        <v>2585</v>
      </c>
      <c r="I23" s="5" t="s">
        <v>3703</v>
      </c>
      <c r="J23" s="9" t="s">
        <v>142</v>
      </c>
      <c r="K23" s="5" t="s">
        <v>4761</v>
      </c>
      <c r="L23" s="5" t="s">
        <v>686</v>
      </c>
      <c r="M23" s="5" t="s">
        <v>2585</v>
      </c>
      <c r="N23" s="5" t="s">
        <v>4762</v>
      </c>
      <c r="O23" s="9" t="s">
        <v>142</v>
      </c>
      <c r="P23" s="5" t="s">
        <v>4839</v>
      </c>
      <c r="Q23" s="5" t="s">
        <v>3671</v>
      </c>
      <c r="R23" s="5" t="s">
        <v>2585</v>
      </c>
      <c r="S23" s="5" t="s">
        <v>3668</v>
      </c>
      <c r="T23" s="9" t="s">
        <v>142</v>
      </c>
      <c r="U23" s="5" t="s">
        <v>5118</v>
      </c>
      <c r="V23" s="5" t="s">
        <v>686</v>
      </c>
      <c r="W23" s="5" t="s">
        <v>2585</v>
      </c>
      <c r="X23" s="5" t="s">
        <v>5119</v>
      </c>
      <c r="Y23" s="9" t="s">
        <v>142</v>
      </c>
      <c r="Z23" s="5"/>
      <c r="AA23" s="5"/>
      <c r="AB23" s="5"/>
      <c r="AC23" s="5"/>
      <c r="AD23" s="9" t="s">
        <v>142</v>
      </c>
      <c r="AE23" s="5"/>
      <c r="AF23" s="5"/>
      <c r="AG23" s="5"/>
      <c r="AH23" s="5"/>
      <c r="AI23" s="9" t="s">
        <v>142</v>
      </c>
      <c r="AJ23" s="5"/>
      <c r="AK23" s="5"/>
      <c r="AL23" s="5"/>
      <c r="AM23" s="5"/>
      <c r="AN23" s="9" t="s">
        <v>142</v>
      </c>
      <c r="AO23" s="5"/>
      <c r="AP23" s="5"/>
      <c r="AQ23" s="5"/>
      <c r="AR23" s="5"/>
      <c r="AS23" s="9" t="s">
        <v>142</v>
      </c>
      <c r="AT23" s="5"/>
      <c r="AU23" s="5"/>
      <c r="AV23" s="5"/>
      <c r="AW23" s="5"/>
      <c r="AX23" s="9" t="s">
        <v>142</v>
      </c>
      <c r="AY23" s="5"/>
      <c r="AZ23" s="5"/>
      <c r="BA23" s="5"/>
      <c r="BB23" s="5"/>
      <c r="BC23" s="9" t="s">
        <v>142</v>
      </c>
      <c r="BD23" s="5"/>
      <c r="BE23" s="5"/>
      <c r="BF23" s="5"/>
      <c r="BG23" s="5"/>
      <c r="BH23" s="9" t="s">
        <v>142</v>
      </c>
      <c r="BI23" s="5"/>
      <c r="BJ23" s="5"/>
      <c r="BK23" s="5"/>
      <c r="BL23" s="5"/>
      <c r="BM23" s="9" t="s">
        <v>142</v>
      </c>
      <c r="BN23" s="5"/>
      <c r="BO23" s="5"/>
      <c r="BP23" s="5"/>
      <c r="BQ23" s="5"/>
      <c r="BR23" s="9" t="s">
        <v>142</v>
      </c>
      <c r="BS23" s="5"/>
      <c r="BT23" s="5"/>
      <c r="BU23" s="5"/>
      <c r="BV23" s="5"/>
      <c r="BW23" s="9" t="s">
        <v>142</v>
      </c>
      <c r="BX23" s="5" t="s">
        <v>5199</v>
      </c>
      <c r="BY23" s="5" t="s">
        <v>686</v>
      </c>
      <c r="BZ23" s="5" t="s">
        <v>2585</v>
      </c>
      <c r="CA23" s="5" t="s">
        <v>5200</v>
      </c>
      <c r="CC23" s="5" t="s">
        <v>5255</v>
      </c>
      <c r="CD23" s="5" t="s">
        <v>686</v>
      </c>
      <c r="CE23" s="5" t="s">
        <v>2585</v>
      </c>
      <c r="CF23" s="5" t="s">
        <v>5256</v>
      </c>
      <c r="CH23" s="5" t="s">
        <v>5312</v>
      </c>
      <c r="CI23" s="5" t="s">
        <v>686</v>
      </c>
      <c r="CJ23" s="5" t="s">
        <v>2585</v>
      </c>
      <c r="CK23" s="5" t="s">
        <v>5119</v>
      </c>
      <c r="CM23" s="5" t="s">
        <v>5351</v>
      </c>
      <c r="CN23" s="5" t="s">
        <v>686</v>
      </c>
      <c r="CO23" s="5" t="s">
        <v>2585</v>
      </c>
      <c r="CP23" s="5" t="s">
        <v>5352</v>
      </c>
      <c r="CR23" s="5" t="s">
        <v>5391</v>
      </c>
      <c r="CS23" s="5" t="s">
        <v>3671</v>
      </c>
      <c r="CT23" s="5" t="s">
        <v>2585</v>
      </c>
      <c r="CU23" s="5" t="s">
        <v>3668</v>
      </c>
    </row>
    <row r="24" spans="1:99" x14ac:dyDescent="0.25">
      <c r="A24" s="5"/>
      <c r="B24" s="5"/>
      <c r="C24" s="5"/>
      <c r="D24" s="5"/>
      <c r="E24" s="9" t="s">
        <v>142</v>
      </c>
      <c r="F24" s="5" t="s">
        <v>3704</v>
      </c>
      <c r="G24" s="5" t="s">
        <v>3697</v>
      </c>
      <c r="H24" s="5" t="s">
        <v>2585</v>
      </c>
      <c r="I24" s="5" t="s">
        <v>3705</v>
      </c>
      <c r="J24" s="9" t="s">
        <v>142</v>
      </c>
      <c r="K24" s="5" t="s">
        <v>4763</v>
      </c>
      <c r="L24" s="5" t="s">
        <v>686</v>
      </c>
      <c r="M24" s="5" t="s">
        <v>2585</v>
      </c>
      <c r="N24" s="5" t="s">
        <v>4764</v>
      </c>
      <c r="O24" s="9" t="s">
        <v>142</v>
      </c>
      <c r="P24" s="5" t="s">
        <v>4840</v>
      </c>
      <c r="Q24" s="5" t="s">
        <v>3672</v>
      </c>
      <c r="R24" s="5" t="s">
        <v>2585</v>
      </c>
      <c r="S24" s="5" t="s">
        <v>4841</v>
      </c>
      <c r="T24" s="9" t="s">
        <v>142</v>
      </c>
      <c r="U24" s="5" t="s">
        <v>5120</v>
      </c>
      <c r="V24" s="5" t="s">
        <v>686</v>
      </c>
      <c r="W24" s="5" t="s">
        <v>2585</v>
      </c>
      <c r="X24" s="5" t="s">
        <v>5121</v>
      </c>
      <c r="Y24" s="9" t="s">
        <v>142</v>
      </c>
      <c r="Z24" s="5"/>
      <c r="AA24" s="5"/>
      <c r="AB24" s="5"/>
      <c r="AC24" s="5"/>
      <c r="AD24" s="9" t="s">
        <v>142</v>
      </c>
      <c r="AE24" s="5"/>
      <c r="AF24" s="5"/>
      <c r="AG24" s="5"/>
      <c r="AH24" s="5"/>
      <c r="AI24" s="9" t="s">
        <v>142</v>
      </c>
      <c r="AJ24" s="5"/>
      <c r="AK24" s="5"/>
      <c r="AL24" s="5"/>
      <c r="AM24" s="5"/>
      <c r="AN24" s="9" t="s">
        <v>142</v>
      </c>
      <c r="AO24" s="5"/>
      <c r="AP24" s="5"/>
      <c r="AQ24" s="5"/>
      <c r="AR24" s="5"/>
      <c r="AS24" s="9" t="s">
        <v>142</v>
      </c>
      <c r="AT24" s="5"/>
      <c r="AU24" s="5"/>
      <c r="AV24" s="5"/>
      <c r="AW24" s="5"/>
      <c r="AX24" s="9" t="s">
        <v>142</v>
      </c>
      <c r="AY24" s="5"/>
      <c r="AZ24" s="5"/>
      <c r="BA24" s="5"/>
      <c r="BB24" s="5"/>
      <c r="BC24" s="9" t="s">
        <v>142</v>
      </c>
      <c r="BD24" s="5"/>
      <c r="BE24" s="5"/>
      <c r="BF24" s="5"/>
      <c r="BG24" s="5"/>
      <c r="BH24" s="9" t="s">
        <v>142</v>
      </c>
      <c r="BI24" s="5"/>
      <c r="BJ24" s="5"/>
      <c r="BK24" s="5"/>
      <c r="BL24" s="5"/>
      <c r="BM24" s="9" t="s">
        <v>142</v>
      </c>
      <c r="BN24" s="5"/>
      <c r="BO24" s="5"/>
      <c r="BP24" s="5"/>
      <c r="BQ24" s="5"/>
      <c r="BR24" s="9" t="s">
        <v>142</v>
      </c>
      <c r="BS24" s="5"/>
      <c r="BT24" s="5"/>
      <c r="BU24" s="5"/>
      <c r="BV24" s="5"/>
      <c r="BW24" s="9" t="s">
        <v>142</v>
      </c>
      <c r="BX24" s="5" t="s">
        <v>5201</v>
      </c>
      <c r="BY24" s="5" t="s">
        <v>686</v>
      </c>
      <c r="BZ24" s="5" t="s">
        <v>2585</v>
      </c>
      <c r="CA24" s="5" t="s">
        <v>5202</v>
      </c>
      <c r="CC24" s="5" t="s">
        <v>5257</v>
      </c>
      <c r="CD24" s="5" t="s">
        <v>686</v>
      </c>
      <c r="CE24" s="5" t="s">
        <v>2585</v>
      </c>
      <c r="CF24" s="5" t="s">
        <v>5258</v>
      </c>
      <c r="CH24" s="5" t="s">
        <v>5313</v>
      </c>
      <c r="CI24" s="5" t="s">
        <v>686</v>
      </c>
      <c r="CJ24" s="5" t="s">
        <v>2585</v>
      </c>
      <c r="CK24" s="5" t="s">
        <v>5181</v>
      </c>
      <c r="CM24" s="5" t="s">
        <v>5353</v>
      </c>
      <c r="CN24" s="5" t="s">
        <v>686</v>
      </c>
      <c r="CO24" s="5" t="s">
        <v>2585</v>
      </c>
      <c r="CP24" s="5" t="s">
        <v>5354</v>
      </c>
      <c r="CR24" s="5" t="s">
        <v>5392</v>
      </c>
      <c r="CS24" s="5" t="s">
        <v>3672</v>
      </c>
      <c r="CT24" s="5" t="s">
        <v>2585</v>
      </c>
      <c r="CU24" s="5" t="s">
        <v>4841</v>
      </c>
    </row>
    <row r="25" spans="1:99" x14ac:dyDescent="0.25">
      <c r="A25" s="5"/>
      <c r="B25" s="5"/>
      <c r="C25" s="5"/>
      <c r="D25" s="5"/>
      <c r="E25" s="9" t="s">
        <v>142</v>
      </c>
      <c r="F25" s="5" t="s">
        <v>3706</v>
      </c>
      <c r="G25" s="5" t="s">
        <v>3699</v>
      </c>
      <c r="H25" s="5" t="s">
        <v>2585</v>
      </c>
      <c r="I25" s="5" t="s">
        <v>3707</v>
      </c>
      <c r="J25" s="9" t="s">
        <v>142</v>
      </c>
      <c r="K25" s="5" t="s">
        <v>4765</v>
      </c>
      <c r="L25" s="5" t="s">
        <v>686</v>
      </c>
      <c r="M25" s="5" t="s">
        <v>2585</v>
      </c>
      <c r="N25" s="5" t="s">
        <v>4766</v>
      </c>
      <c r="O25" s="9" t="s">
        <v>142</v>
      </c>
      <c r="P25" s="5" t="s">
        <v>4842</v>
      </c>
      <c r="Q25" s="5" t="s">
        <v>3671</v>
      </c>
      <c r="R25" s="5" t="s">
        <v>2585</v>
      </c>
      <c r="S25" s="5" t="s">
        <v>4558</v>
      </c>
      <c r="T25" s="9" t="s">
        <v>142</v>
      </c>
      <c r="U25" s="5" t="s">
        <v>5122</v>
      </c>
      <c r="V25" s="5" t="s">
        <v>686</v>
      </c>
      <c r="W25" s="5" t="s">
        <v>2585</v>
      </c>
      <c r="X25" s="5" t="s">
        <v>5123</v>
      </c>
      <c r="Y25" s="9" t="s">
        <v>142</v>
      </c>
      <c r="Z25" s="5"/>
      <c r="AA25" s="5"/>
      <c r="AB25" s="5"/>
      <c r="AC25" s="5"/>
      <c r="AD25" s="9" t="s">
        <v>142</v>
      </c>
      <c r="AE25" s="5"/>
      <c r="AF25" s="5"/>
      <c r="AG25" s="5"/>
      <c r="AH25" s="5"/>
      <c r="AI25" s="9" t="s">
        <v>142</v>
      </c>
      <c r="AJ25" s="5"/>
      <c r="AK25" s="5"/>
      <c r="AL25" s="5"/>
      <c r="AM25" s="5"/>
      <c r="AN25" s="9" t="s">
        <v>142</v>
      </c>
      <c r="AO25" s="5"/>
      <c r="AP25" s="5"/>
      <c r="AQ25" s="5"/>
      <c r="AR25" s="5"/>
      <c r="AS25" s="9" t="s">
        <v>142</v>
      </c>
      <c r="AT25" s="5"/>
      <c r="AU25" s="5"/>
      <c r="AV25" s="5"/>
      <c r="AW25" s="5"/>
      <c r="AX25" s="9" t="s">
        <v>142</v>
      </c>
      <c r="AY25" s="5"/>
      <c r="AZ25" s="5"/>
      <c r="BA25" s="5"/>
      <c r="BB25" s="5"/>
      <c r="BC25" s="9" t="s">
        <v>142</v>
      </c>
      <c r="BD25" s="5"/>
      <c r="BE25" s="5"/>
      <c r="BF25" s="5"/>
      <c r="BG25" s="5"/>
      <c r="BH25" s="9" t="s">
        <v>142</v>
      </c>
      <c r="BI25" s="5"/>
      <c r="BJ25" s="5"/>
      <c r="BK25" s="5"/>
      <c r="BL25" s="5"/>
      <c r="BM25" s="9" t="s">
        <v>142</v>
      </c>
      <c r="BN25" s="5"/>
      <c r="BO25" s="5"/>
      <c r="BP25" s="5"/>
      <c r="BQ25" s="5"/>
      <c r="BR25" s="9" t="s">
        <v>142</v>
      </c>
      <c r="BS25" s="5"/>
      <c r="BT25" s="5"/>
      <c r="BU25" s="5"/>
      <c r="BV25" s="5"/>
      <c r="BW25" s="9" t="s">
        <v>142</v>
      </c>
      <c r="BX25" s="5" t="s">
        <v>5203</v>
      </c>
      <c r="BY25" s="5" t="s">
        <v>686</v>
      </c>
      <c r="BZ25" s="5" t="s">
        <v>2585</v>
      </c>
      <c r="CA25" s="5" t="s">
        <v>5204</v>
      </c>
      <c r="CC25" s="5" t="s">
        <v>5259</v>
      </c>
      <c r="CD25" s="5" t="s">
        <v>686</v>
      </c>
      <c r="CE25" s="5" t="s">
        <v>2585</v>
      </c>
      <c r="CF25" s="5" t="s">
        <v>5260</v>
      </c>
      <c r="CH25" s="5" t="s">
        <v>5314</v>
      </c>
      <c r="CI25" s="5" t="s">
        <v>686</v>
      </c>
      <c r="CJ25" s="5" t="s">
        <v>2585</v>
      </c>
      <c r="CK25" s="5" t="s">
        <v>5315</v>
      </c>
      <c r="CM25" s="5" t="s">
        <v>5355</v>
      </c>
      <c r="CN25" s="5" t="s">
        <v>686</v>
      </c>
      <c r="CO25" s="5" t="s">
        <v>2585</v>
      </c>
      <c r="CP25" s="5" t="s">
        <v>5356</v>
      </c>
      <c r="CR25" s="5" t="s">
        <v>5393</v>
      </c>
      <c r="CS25" s="5" t="s">
        <v>3671</v>
      </c>
      <c r="CT25" s="5" t="s">
        <v>2585</v>
      </c>
      <c r="CU25" s="5" t="s">
        <v>4558</v>
      </c>
    </row>
    <row r="26" spans="1:99" x14ac:dyDescent="0.25">
      <c r="A26" s="5"/>
      <c r="B26" s="5"/>
      <c r="C26" s="5"/>
      <c r="D26" s="5"/>
      <c r="E26" s="9" t="s">
        <v>142</v>
      </c>
      <c r="F26" s="5" t="s">
        <v>3708</v>
      </c>
      <c r="G26" s="5" t="s">
        <v>3699</v>
      </c>
      <c r="H26" s="5" t="s">
        <v>2585</v>
      </c>
      <c r="I26" s="5" t="s">
        <v>3709</v>
      </c>
      <c r="J26" s="9" t="s">
        <v>142</v>
      </c>
      <c r="K26" s="5" t="s">
        <v>4767</v>
      </c>
      <c r="L26" s="5" t="s">
        <v>3670</v>
      </c>
      <c r="M26" s="5" t="s">
        <v>2585</v>
      </c>
      <c r="N26" s="5" t="s">
        <v>4768</v>
      </c>
      <c r="O26" s="9" t="s">
        <v>142</v>
      </c>
      <c r="P26" s="5" t="s">
        <v>4843</v>
      </c>
      <c r="Q26" s="5" t="s">
        <v>3672</v>
      </c>
      <c r="R26" s="5" t="s">
        <v>2585</v>
      </c>
      <c r="S26" s="5" t="s">
        <v>4844</v>
      </c>
      <c r="T26" s="9" t="s">
        <v>142</v>
      </c>
      <c r="U26" s="5" t="s">
        <v>5124</v>
      </c>
      <c r="V26" s="5" t="s">
        <v>686</v>
      </c>
      <c r="W26" s="5" t="s">
        <v>2585</v>
      </c>
      <c r="X26" s="5" t="s">
        <v>5125</v>
      </c>
      <c r="Y26" s="9" t="s">
        <v>142</v>
      </c>
      <c r="Z26" s="5"/>
      <c r="AA26" s="5"/>
      <c r="AB26" s="5"/>
      <c r="AC26" s="5"/>
      <c r="AD26" s="9" t="s">
        <v>142</v>
      </c>
      <c r="AE26" s="5"/>
      <c r="AF26" s="5"/>
      <c r="AG26" s="5"/>
      <c r="AH26" s="5"/>
      <c r="AI26" s="9" t="s">
        <v>142</v>
      </c>
      <c r="AJ26" s="5"/>
      <c r="AK26" s="5"/>
      <c r="AL26" s="5"/>
      <c r="AM26" s="5"/>
      <c r="AN26" s="9" t="s">
        <v>142</v>
      </c>
      <c r="AO26" s="5"/>
      <c r="AP26" s="5"/>
      <c r="AQ26" s="5"/>
      <c r="AR26" s="5"/>
      <c r="AS26" s="9" t="s">
        <v>142</v>
      </c>
      <c r="AT26" s="5"/>
      <c r="AU26" s="5"/>
      <c r="AV26" s="5"/>
      <c r="AW26" s="5"/>
      <c r="AX26" s="9" t="s">
        <v>142</v>
      </c>
      <c r="AY26" s="5"/>
      <c r="AZ26" s="5"/>
      <c r="BA26" s="5"/>
      <c r="BB26" s="5"/>
      <c r="BC26" s="9" t="s">
        <v>142</v>
      </c>
      <c r="BD26" s="5"/>
      <c r="BE26" s="5"/>
      <c r="BF26" s="5"/>
      <c r="BG26" s="5"/>
      <c r="BH26" s="9" t="s">
        <v>142</v>
      </c>
      <c r="BI26" s="5"/>
      <c r="BJ26" s="5"/>
      <c r="BK26" s="5"/>
      <c r="BL26" s="5"/>
      <c r="BM26" s="9" t="s">
        <v>142</v>
      </c>
      <c r="BN26" s="5"/>
      <c r="BO26" s="5"/>
      <c r="BP26" s="5"/>
      <c r="BQ26" s="5"/>
      <c r="BR26" s="9" t="s">
        <v>142</v>
      </c>
      <c r="BS26" s="5"/>
      <c r="BT26" s="5"/>
      <c r="BU26" s="5"/>
      <c r="BV26" s="5"/>
      <c r="BW26" s="9" t="s">
        <v>142</v>
      </c>
      <c r="BX26" s="5" t="s">
        <v>5205</v>
      </c>
      <c r="BY26" s="5" t="s">
        <v>3670</v>
      </c>
      <c r="BZ26" s="5" t="s">
        <v>2585</v>
      </c>
      <c r="CA26" s="5" t="s">
        <v>4768</v>
      </c>
      <c r="CC26" s="5" t="s">
        <v>5261</v>
      </c>
      <c r="CD26" s="5" t="s">
        <v>3670</v>
      </c>
      <c r="CE26" s="5" t="s">
        <v>2585</v>
      </c>
      <c r="CF26" s="5" t="s">
        <v>4768</v>
      </c>
      <c r="CH26" s="5" t="s">
        <v>5316</v>
      </c>
      <c r="CI26" s="5" t="s">
        <v>686</v>
      </c>
      <c r="CJ26" s="5" t="s">
        <v>2585</v>
      </c>
      <c r="CK26" s="5" t="s">
        <v>5317</v>
      </c>
      <c r="CM26" s="5" t="s">
        <v>5357</v>
      </c>
      <c r="CN26" s="5" t="s">
        <v>686</v>
      </c>
      <c r="CO26" s="5" t="s">
        <v>2585</v>
      </c>
      <c r="CP26" s="5" t="s">
        <v>5358</v>
      </c>
      <c r="CR26" s="5" t="s">
        <v>5394</v>
      </c>
      <c r="CS26" s="5" t="s">
        <v>3672</v>
      </c>
      <c r="CT26" s="5" t="s">
        <v>2585</v>
      </c>
      <c r="CU26" s="5" t="s">
        <v>4844</v>
      </c>
    </row>
    <row r="27" spans="1:99" x14ac:dyDescent="0.25">
      <c r="A27" s="5"/>
      <c r="B27" s="5"/>
      <c r="C27" s="5"/>
      <c r="D27" s="5"/>
      <c r="E27" s="9" t="s">
        <v>142</v>
      </c>
      <c r="F27" s="5" t="s">
        <v>3710</v>
      </c>
      <c r="G27" s="5" t="s">
        <v>3697</v>
      </c>
      <c r="H27" s="5" t="s">
        <v>2585</v>
      </c>
      <c r="I27" s="5" t="s">
        <v>3711</v>
      </c>
      <c r="J27" s="9" t="s">
        <v>142</v>
      </c>
      <c r="K27" s="5" t="s">
        <v>4769</v>
      </c>
      <c r="L27" s="5" t="s">
        <v>686</v>
      </c>
      <c r="M27" s="5" t="s">
        <v>2585</v>
      </c>
      <c r="N27" s="5" t="s">
        <v>4770</v>
      </c>
      <c r="O27" s="9" t="s">
        <v>142</v>
      </c>
      <c r="P27" s="5" t="s">
        <v>4845</v>
      </c>
      <c r="Q27" s="5" t="s">
        <v>3671</v>
      </c>
      <c r="R27" s="5" t="s">
        <v>2585</v>
      </c>
      <c r="S27" s="5" t="s">
        <v>4756</v>
      </c>
      <c r="T27" s="9" t="s">
        <v>142</v>
      </c>
      <c r="U27" s="5" t="s">
        <v>5126</v>
      </c>
      <c r="V27" s="5" t="s">
        <v>686</v>
      </c>
      <c r="W27" s="5" t="s">
        <v>2585</v>
      </c>
      <c r="X27" s="5" t="s">
        <v>5127</v>
      </c>
      <c r="Y27" s="9" t="s">
        <v>142</v>
      </c>
      <c r="Z27" s="5"/>
      <c r="AA27" s="5"/>
      <c r="AB27" s="5"/>
      <c r="AC27" s="5"/>
      <c r="AD27" s="9" t="s">
        <v>142</v>
      </c>
      <c r="AE27" s="5"/>
      <c r="AF27" s="5"/>
      <c r="AG27" s="5"/>
      <c r="AH27" s="5"/>
      <c r="AI27" s="9" t="s">
        <v>142</v>
      </c>
      <c r="AJ27" s="5"/>
      <c r="AK27" s="5"/>
      <c r="AL27" s="5"/>
      <c r="AM27" s="5"/>
      <c r="AN27" s="9" t="s">
        <v>142</v>
      </c>
      <c r="AO27" s="5"/>
      <c r="AP27" s="5"/>
      <c r="AQ27" s="5"/>
      <c r="AR27" s="5"/>
      <c r="AS27" s="9" t="s">
        <v>142</v>
      </c>
      <c r="AT27" s="5"/>
      <c r="AU27" s="5"/>
      <c r="AV27" s="5"/>
      <c r="AW27" s="5"/>
      <c r="AX27" s="9" t="s">
        <v>142</v>
      </c>
      <c r="AY27" s="5"/>
      <c r="AZ27" s="5"/>
      <c r="BA27" s="5"/>
      <c r="BB27" s="5"/>
      <c r="BC27" s="9" t="s">
        <v>142</v>
      </c>
      <c r="BD27" s="5"/>
      <c r="BE27" s="5"/>
      <c r="BF27" s="5"/>
      <c r="BG27" s="5"/>
      <c r="BH27" s="9" t="s">
        <v>142</v>
      </c>
      <c r="BI27" s="5"/>
      <c r="BJ27" s="5"/>
      <c r="BK27" s="5"/>
      <c r="BL27" s="5"/>
      <c r="BM27" s="9" t="s">
        <v>142</v>
      </c>
      <c r="BN27" s="5"/>
      <c r="BO27" s="5"/>
      <c r="BP27" s="5"/>
      <c r="BQ27" s="5"/>
      <c r="BR27" s="9" t="s">
        <v>142</v>
      </c>
      <c r="BS27" s="5"/>
      <c r="BT27" s="5"/>
      <c r="BU27" s="5"/>
      <c r="BV27" s="5"/>
      <c r="BW27" s="9" t="s">
        <v>142</v>
      </c>
      <c r="BX27" s="5" t="s">
        <v>5206</v>
      </c>
      <c r="BY27" s="5" t="s">
        <v>686</v>
      </c>
      <c r="BZ27" s="5" t="s">
        <v>2585</v>
      </c>
      <c r="CA27" s="5" t="s">
        <v>4770</v>
      </c>
      <c r="CC27" s="5" t="s">
        <v>5262</v>
      </c>
      <c r="CD27" s="5" t="s">
        <v>686</v>
      </c>
      <c r="CE27" s="5" t="s">
        <v>2585</v>
      </c>
      <c r="CF27" s="5" t="s">
        <v>4770</v>
      </c>
      <c r="CH27" s="5" t="s">
        <v>5318</v>
      </c>
      <c r="CI27" s="5" t="s">
        <v>686</v>
      </c>
      <c r="CJ27" s="5" t="s">
        <v>2585</v>
      </c>
      <c r="CK27" s="5" t="s">
        <v>5127</v>
      </c>
      <c r="CM27" s="5" t="s">
        <v>5359</v>
      </c>
      <c r="CN27" s="5" t="s">
        <v>686</v>
      </c>
      <c r="CO27" s="5" t="s">
        <v>2585</v>
      </c>
      <c r="CP27" s="5" t="s">
        <v>5127</v>
      </c>
      <c r="CR27" s="5" t="s">
        <v>5395</v>
      </c>
      <c r="CS27" s="5" t="s">
        <v>3671</v>
      </c>
      <c r="CT27" s="5" t="s">
        <v>2585</v>
      </c>
      <c r="CU27" s="5" t="s">
        <v>4756</v>
      </c>
    </row>
    <row r="28" spans="1:99" x14ac:dyDescent="0.25">
      <c r="A28" s="5"/>
      <c r="B28" s="5"/>
      <c r="C28" s="5"/>
      <c r="D28" s="5"/>
      <c r="E28" s="9" t="s">
        <v>142</v>
      </c>
      <c r="F28" s="5" t="s">
        <v>3712</v>
      </c>
      <c r="G28" s="5" t="s">
        <v>3699</v>
      </c>
      <c r="H28" s="5" t="s">
        <v>2585</v>
      </c>
      <c r="I28" s="5" t="s">
        <v>3713</v>
      </c>
      <c r="J28" s="9" t="s">
        <v>142</v>
      </c>
      <c r="K28" s="5" t="s">
        <v>4771</v>
      </c>
      <c r="L28" s="5" t="s">
        <v>3670</v>
      </c>
      <c r="M28" s="5" t="s">
        <v>2585</v>
      </c>
      <c r="N28" s="5" t="s">
        <v>4756</v>
      </c>
      <c r="O28" s="9" t="s">
        <v>142</v>
      </c>
      <c r="P28" s="5" t="s">
        <v>4846</v>
      </c>
      <c r="Q28" s="5" t="s">
        <v>3672</v>
      </c>
      <c r="R28" s="5" t="s">
        <v>2585</v>
      </c>
      <c r="S28" s="5" t="s">
        <v>4847</v>
      </c>
      <c r="T28" s="9" t="s">
        <v>142</v>
      </c>
      <c r="U28" s="5" t="s">
        <v>5128</v>
      </c>
      <c r="V28" s="5" t="s">
        <v>3670</v>
      </c>
      <c r="W28" s="5" t="s">
        <v>2585</v>
      </c>
      <c r="X28" s="5" t="s">
        <v>4786</v>
      </c>
      <c r="Y28" s="9" t="s">
        <v>142</v>
      </c>
      <c r="Z28" s="5"/>
      <c r="AA28" s="5"/>
      <c r="AB28" s="5"/>
      <c r="AC28" s="5"/>
      <c r="AD28" s="9" t="s">
        <v>142</v>
      </c>
      <c r="AE28" s="5"/>
      <c r="AF28" s="5"/>
      <c r="AG28" s="5"/>
      <c r="AH28" s="5"/>
      <c r="AI28" s="9" t="s">
        <v>142</v>
      </c>
      <c r="AJ28" s="5"/>
      <c r="AK28" s="5"/>
      <c r="AL28" s="5"/>
      <c r="AM28" s="5"/>
      <c r="AN28" s="9" t="s">
        <v>142</v>
      </c>
      <c r="AO28" s="5"/>
      <c r="AP28" s="5"/>
      <c r="AQ28" s="5"/>
      <c r="AR28" s="5"/>
      <c r="AS28" s="9" t="s">
        <v>142</v>
      </c>
      <c r="AT28" s="5"/>
      <c r="AU28" s="5"/>
      <c r="AV28" s="5"/>
      <c r="AW28" s="5"/>
      <c r="AX28" s="9" t="s">
        <v>142</v>
      </c>
      <c r="AY28" s="5"/>
      <c r="AZ28" s="5"/>
      <c r="BA28" s="5"/>
      <c r="BB28" s="5"/>
      <c r="BC28" s="9" t="s">
        <v>142</v>
      </c>
      <c r="BD28" s="5"/>
      <c r="BE28" s="5"/>
      <c r="BF28" s="5"/>
      <c r="BG28" s="5"/>
      <c r="BH28" s="9" t="s">
        <v>142</v>
      </c>
      <c r="BI28" s="5"/>
      <c r="BJ28" s="5"/>
      <c r="BK28" s="5"/>
      <c r="BL28" s="5"/>
      <c r="BM28" s="9" t="s">
        <v>142</v>
      </c>
      <c r="BN28" s="5"/>
      <c r="BO28" s="5"/>
      <c r="BP28" s="5"/>
      <c r="BQ28" s="5"/>
      <c r="BR28" s="9" t="s">
        <v>142</v>
      </c>
      <c r="BS28" s="5"/>
      <c r="BT28" s="5"/>
      <c r="BU28" s="5"/>
      <c r="BV28" s="5"/>
      <c r="BW28" s="9" t="s">
        <v>142</v>
      </c>
      <c r="BX28" s="5" t="s">
        <v>5207</v>
      </c>
      <c r="BY28" s="5" t="s">
        <v>3670</v>
      </c>
      <c r="BZ28" s="5" t="s">
        <v>2585</v>
      </c>
      <c r="CA28" s="5" t="s">
        <v>4756</v>
      </c>
      <c r="CC28" s="5" t="s">
        <v>5263</v>
      </c>
      <c r="CD28" s="5" t="s">
        <v>3670</v>
      </c>
      <c r="CE28" s="5" t="s">
        <v>2585</v>
      </c>
      <c r="CF28" s="5" t="s">
        <v>4756</v>
      </c>
      <c r="CH28" s="5" t="s">
        <v>5319</v>
      </c>
      <c r="CI28" s="5" t="s">
        <v>3670</v>
      </c>
      <c r="CJ28" s="5" t="s">
        <v>2585</v>
      </c>
      <c r="CK28" s="5" t="s">
        <v>4786</v>
      </c>
      <c r="CM28" s="5" t="s">
        <v>5360</v>
      </c>
      <c r="CN28" s="5" t="s">
        <v>3670</v>
      </c>
      <c r="CO28" s="5" t="s">
        <v>2585</v>
      </c>
      <c r="CP28" s="5" t="s">
        <v>4786</v>
      </c>
      <c r="CR28" s="5" t="s">
        <v>5396</v>
      </c>
      <c r="CS28" s="5" t="s">
        <v>3672</v>
      </c>
      <c r="CT28" s="5" t="s">
        <v>2585</v>
      </c>
      <c r="CU28" s="5" t="s">
        <v>4847</v>
      </c>
    </row>
    <row r="29" spans="1:99" x14ac:dyDescent="0.25">
      <c r="A29" s="5"/>
      <c r="B29" s="5"/>
      <c r="C29" s="5"/>
      <c r="D29" s="5"/>
      <c r="E29" s="9" t="s">
        <v>142</v>
      </c>
      <c r="F29" s="5" t="s">
        <v>3714</v>
      </c>
      <c r="G29" s="5" t="s">
        <v>3697</v>
      </c>
      <c r="H29" s="5" t="s">
        <v>2585</v>
      </c>
      <c r="I29" s="5" t="s">
        <v>3715</v>
      </c>
      <c r="J29" s="9" t="s">
        <v>142</v>
      </c>
      <c r="K29" s="5" t="s">
        <v>4772</v>
      </c>
      <c r="L29" s="5" t="s">
        <v>686</v>
      </c>
      <c r="M29" s="5" t="s">
        <v>2585</v>
      </c>
      <c r="N29" s="5" t="s">
        <v>4773</v>
      </c>
      <c r="O29" s="9" t="s">
        <v>142</v>
      </c>
      <c r="P29" s="5" t="s">
        <v>4848</v>
      </c>
      <c r="Q29" s="5" t="s">
        <v>3672</v>
      </c>
      <c r="R29" s="5" t="s">
        <v>2585</v>
      </c>
      <c r="S29" s="5" t="s">
        <v>4849</v>
      </c>
      <c r="T29" s="9" t="s">
        <v>142</v>
      </c>
      <c r="U29" s="5" t="s">
        <v>5129</v>
      </c>
      <c r="V29" s="5" t="s">
        <v>686</v>
      </c>
      <c r="W29" s="5" t="s">
        <v>2585</v>
      </c>
      <c r="X29" s="5" t="s">
        <v>5103</v>
      </c>
      <c r="Y29" s="9" t="s">
        <v>142</v>
      </c>
      <c r="Z29" s="5"/>
      <c r="AA29" s="5"/>
      <c r="AB29" s="5"/>
      <c r="AC29" s="5"/>
      <c r="AD29" s="9" t="s">
        <v>142</v>
      </c>
      <c r="AE29" s="5"/>
      <c r="AF29" s="5"/>
      <c r="AG29" s="5"/>
      <c r="AH29" s="5"/>
      <c r="AI29" s="9" t="s">
        <v>142</v>
      </c>
      <c r="AJ29" s="5"/>
      <c r="AK29" s="5"/>
      <c r="AL29" s="5"/>
      <c r="AM29" s="5"/>
      <c r="AN29" s="9" t="s">
        <v>142</v>
      </c>
      <c r="AO29" s="5"/>
      <c r="AP29" s="5"/>
      <c r="AQ29" s="5"/>
      <c r="AR29" s="5"/>
      <c r="AS29" s="9" t="s">
        <v>142</v>
      </c>
      <c r="AT29" s="5"/>
      <c r="AU29" s="5"/>
      <c r="AV29" s="5"/>
      <c r="AW29" s="5"/>
      <c r="AX29" s="9" t="s">
        <v>142</v>
      </c>
      <c r="AY29" s="5"/>
      <c r="AZ29" s="5"/>
      <c r="BA29" s="5"/>
      <c r="BB29" s="5"/>
      <c r="BC29" s="9" t="s">
        <v>142</v>
      </c>
      <c r="BD29" s="5"/>
      <c r="BE29" s="5"/>
      <c r="BF29" s="5"/>
      <c r="BG29" s="5"/>
      <c r="BH29" s="9" t="s">
        <v>142</v>
      </c>
      <c r="BM29" s="9" t="s">
        <v>142</v>
      </c>
      <c r="BN29" s="5"/>
      <c r="BO29" s="5"/>
      <c r="BP29" s="5"/>
      <c r="BQ29" s="5"/>
      <c r="BR29" s="9" t="s">
        <v>142</v>
      </c>
      <c r="BS29" s="5"/>
      <c r="BT29" s="5"/>
      <c r="BU29" s="5"/>
      <c r="BV29" s="5"/>
      <c r="BW29" s="9" t="s">
        <v>142</v>
      </c>
      <c r="BX29" s="5" t="s">
        <v>5208</v>
      </c>
      <c r="BY29" s="5" t="s">
        <v>686</v>
      </c>
      <c r="BZ29" s="5" t="s">
        <v>2585</v>
      </c>
      <c r="CA29" s="5" t="s">
        <v>5209</v>
      </c>
      <c r="CC29" s="5" t="s">
        <v>5264</v>
      </c>
      <c r="CD29" s="5" t="s">
        <v>686</v>
      </c>
      <c r="CE29" s="5" t="s">
        <v>2585</v>
      </c>
      <c r="CF29" s="5" t="s">
        <v>5265</v>
      </c>
      <c r="CH29" s="5" t="s">
        <v>5320</v>
      </c>
      <c r="CI29" s="5" t="s">
        <v>686</v>
      </c>
      <c r="CJ29" s="5" t="s">
        <v>2585</v>
      </c>
      <c r="CK29" s="5" t="s">
        <v>5103</v>
      </c>
      <c r="CM29" s="5" t="s">
        <v>5361</v>
      </c>
      <c r="CN29" s="5" t="s">
        <v>686</v>
      </c>
      <c r="CO29" s="5" t="s">
        <v>2585</v>
      </c>
      <c r="CP29" s="5" t="s">
        <v>5103</v>
      </c>
      <c r="CR29" s="5" t="s">
        <v>5397</v>
      </c>
      <c r="CS29" s="5" t="s">
        <v>3672</v>
      </c>
      <c r="CT29" s="5" t="s">
        <v>2585</v>
      </c>
      <c r="CU29" s="5" t="s">
        <v>4849</v>
      </c>
    </row>
    <row r="30" spans="1:99" x14ac:dyDescent="0.25">
      <c r="A30" s="5"/>
      <c r="B30" s="5"/>
      <c r="C30" s="5"/>
      <c r="D30" s="5"/>
      <c r="E30" s="9" t="s">
        <v>142</v>
      </c>
      <c r="F30" s="5" t="s">
        <v>3716</v>
      </c>
      <c r="G30" s="5" t="s">
        <v>3699</v>
      </c>
      <c r="H30" s="5" t="s">
        <v>2585</v>
      </c>
      <c r="I30" s="5" t="s">
        <v>3717</v>
      </c>
      <c r="J30" s="9" t="s">
        <v>142</v>
      </c>
      <c r="K30" s="5" t="s">
        <v>4774</v>
      </c>
      <c r="L30" s="5" t="s">
        <v>686</v>
      </c>
      <c r="M30" s="5" t="s">
        <v>2585</v>
      </c>
      <c r="N30" s="5" t="s">
        <v>4775</v>
      </c>
      <c r="O30" s="9" t="s">
        <v>142</v>
      </c>
      <c r="P30" s="5" t="s">
        <v>4850</v>
      </c>
      <c r="Q30" s="5" t="s">
        <v>3672</v>
      </c>
      <c r="R30" s="5" t="s">
        <v>2585</v>
      </c>
      <c r="S30" s="5" t="s">
        <v>4851</v>
      </c>
      <c r="T30" s="9" t="s">
        <v>142</v>
      </c>
      <c r="U30" s="5" t="s">
        <v>5130</v>
      </c>
      <c r="V30" s="5" t="s">
        <v>3670</v>
      </c>
      <c r="W30" s="5" t="s">
        <v>2585</v>
      </c>
      <c r="X30" s="5" t="s">
        <v>5131</v>
      </c>
      <c r="Y30" s="9" t="s">
        <v>142</v>
      </c>
      <c r="Z30" s="5"/>
      <c r="AA30" s="5"/>
      <c r="AB30" s="5"/>
      <c r="AC30" s="5"/>
      <c r="AD30" s="9" t="s">
        <v>142</v>
      </c>
      <c r="AE30" s="5"/>
      <c r="AF30" s="5"/>
      <c r="AG30" s="5"/>
      <c r="AH30" s="5"/>
      <c r="AI30" s="9" t="s">
        <v>142</v>
      </c>
      <c r="AJ30" s="5"/>
      <c r="AK30" s="5"/>
      <c r="AL30" s="5"/>
      <c r="AM30" s="5"/>
      <c r="AN30" s="9" t="s">
        <v>142</v>
      </c>
      <c r="AO30" s="5"/>
      <c r="AP30" s="5"/>
      <c r="AQ30" s="5"/>
      <c r="AR30" s="5"/>
      <c r="AS30" s="9" t="s">
        <v>142</v>
      </c>
      <c r="AT30" s="5"/>
      <c r="AU30" s="5"/>
      <c r="AV30" s="5"/>
      <c r="AW30" s="5"/>
      <c r="AX30" s="9" t="s">
        <v>142</v>
      </c>
      <c r="AY30" s="5"/>
      <c r="AZ30" s="5"/>
      <c r="BA30" s="5"/>
      <c r="BB30" s="5"/>
      <c r="BC30" s="9" t="s">
        <v>142</v>
      </c>
      <c r="BD30" s="5"/>
      <c r="BE30" s="5"/>
      <c r="BF30" s="5"/>
      <c r="BG30" s="5"/>
      <c r="BH30" s="9" t="s">
        <v>142</v>
      </c>
      <c r="BM30" s="9" t="s">
        <v>142</v>
      </c>
      <c r="BN30" s="5"/>
      <c r="BO30" s="5"/>
      <c r="BP30" s="5"/>
      <c r="BQ30" s="5"/>
      <c r="BR30" s="9" t="s">
        <v>142</v>
      </c>
      <c r="BS30" s="5"/>
      <c r="BT30" s="5"/>
      <c r="BU30" s="5"/>
      <c r="BV30" s="5"/>
      <c r="BW30" s="9" t="s">
        <v>142</v>
      </c>
      <c r="BX30" s="5" t="s">
        <v>5210</v>
      </c>
      <c r="BY30" s="5" t="s">
        <v>686</v>
      </c>
      <c r="BZ30" s="5" t="s">
        <v>2585</v>
      </c>
      <c r="CA30" s="5" t="s">
        <v>5211</v>
      </c>
      <c r="CC30" s="5" t="s">
        <v>5266</v>
      </c>
      <c r="CD30" s="5" t="s">
        <v>686</v>
      </c>
      <c r="CE30" s="5" t="s">
        <v>2585</v>
      </c>
      <c r="CF30" s="5" t="s">
        <v>5267</v>
      </c>
      <c r="CH30" s="5" t="s">
        <v>5321</v>
      </c>
      <c r="CI30" s="5" t="s">
        <v>3670</v>
      </c>
      <c r="CJ30" s="5" t="s">
        <v>2585</v>
      </c>
      <c r="CK30" s="5" t="s">
        <v>5131</v>
      </c>
      <c r="CM30" s="5" t="s">
        <v>5362</v>
      </c>
      <c r="CN30" s="5" t="s">
        <v>3670</v>
      </c>
      <c r="CO30" s="5" t="s">
        <v>2585</v>
      </c>
      <c r="CP30" s="5" t="s">
        <v>5131</v>
      </c>
      <c r="CR30" s="5" t="s">
        <v>5398</v>
      </c>
      <c r="CS30" s="5" t="s">
        <v>3672</v>
      </c>
      <c r="CT30" s="5" t="s">
        <v>2585</v>
      </c>
      <c r="CU30" s="5" t="s">
        <v>4851</v>
      </c>
    </row>
    <row r="31" spans="1:99" x14ac:dyDescent="0.25">
      <c r="A31" s="5"/>
      <c r="B31" s="5"/>
      <c r="C31" s="5"/>
      <c r="D31" s="5"/>
      <c r="E31" s="9" t="s">
        <v>142</v>
      </c>
      <c r="F31" s="5" t="s">
        <v>3718</v>
      </c>
      <c r="G31" s="5" t="s">
        <v>3697</v>
      </c>
      <c r="H31" s="5" t="s">
        <v>2585</v>
      </c>
      <c r="I31" s="5" t="s">
        <v>3715</v>
      </c>
      <c r="J31" s="9" t="s">
        <v>142</v>
      </c>
      <c r="K31" s="5" t="s">
        <v>4776</v>
      </c>
      <c r="L31" s="5" t="s">
        <v>686</v>
      </c>
      <c r="M31" s="5" t="s">
        <v>2585</v>
      </c>
      <c r="N31" s="5" t="s">
        <v>4777</v>
      </c>
      <c r="O31" s="9" t="s">
        <v>142</v>
      </c>
      <c r="P31" s="5" t="s">
        <v>4852</v>
      </c>
      <c r="Q31" s="5" t="s">
        <v>3671</v>
      </c>
      <c r="R31" s="5" t="s">
        <v>2585</v>
      </c>
      <c r="S31" s="5" t="s">
        <v>4828</v>
      </c>
      <c r="T31" s="9" t="s">
        <v>142</v>
      </c>
      <c r="U31" s="5" t="s">
        <v>5132</v>
      </c>
      <c r="V31" s="5" t="s">
        <v>686</v>
      </c>
      <c r="W31" s="5" t="s">
        <v>2585</v>
      </c>
      <c r="X31" s="5" t="s">
        <v>5133</v>
      </c>
      <c r="Y31" s="9" t="s">
        <v>142</v>
      </c>
      <c r="Z31" s="5"/>
      <c r="AA31" s="5"/>
      <c r="AB31" s="5"/>
      <c r="AC31" s="5"/>
      <c r="AD31" s="9" t="s">
        <v>142</v>
      </c>
      <c r="AE31" s="5"/>
      <c r="AF31" s="5"/>
      <c r="AG31" s="5"/>
      <c r="AH31" s="5"/>
      <c r="AI31" s="9" t="s">
        <v>142</v>
      </c>
      <c r="AJ31" s="5"/>
      <c r="AK31" s="5"/>
      <c r="AL31" s="5"/>
      <c r="AM31" s="5"/>
      <c r="AN31" s="9" t="s">
        <v>142</v>
      </c>
      <c r="AO31" s="5"/>
      <c r="AP31" s="5"/>
      <c r="AQ31" s="5"/>
      <c r="AR31" s="5"/>
      <c r="AS31" s="9" t="s">
        <v>142</v>
      </c>
      <c r="AT31" s="5"/>
      <c r="AU31" s="5"/>
      <c r="AV31" s="5"/>
      <c r="AW31" s="5"/>
      <c r="AX31" s="9" t="s">
        <v>142</v>
      </c>
      <c r="AY31" s="5"/>
      <c r="AZ31" s="5"/>
      <c r="BA31" s="5"/>
      <c r="BB31" s="5"/>
      <c r="BC31" s="9" t="s">
        <v>142</v>
      </c>
      <c r="BD31" s="5"/>
      <c r="BE31" s="5"/>
      <c r="BF31" s="5"/>
      <c r="BG31" s="5"/>
      <c r="BH31" s="9" t="s">
        <v>142</v>
      </c>
      <c r="BM31" s="9" t="s">
        <v>142</v>
      </c>
      <c r="BN31" s="5"/>
      <c r="BO31" s="5"/>
      <c r="BP31" s="5"/>
      <c r="BQ31" s="5"/>
      <c r="BR31" s="9" t="s">
        <v>142</v>
      </c>
      <c r="BS31" s="5"/>
      <c r="BT31" s="5"/>
      <c r="BU31" s="5"/>
      <c r="BV31" s="5"/>
      <c r="BW31" s="9" t="s">
        <v>142</v>
      </c>
      <c r="BX31" s="5" t="s">
        <v>5212</v>
      </c>
      <c r="BY31" s="5" t="s">
        <v>686</v>
      </c>
      <c r="BZ31" s="5" t="s">
        <v>2585</v>
      </c>
      <c r="CA31" s="5" t="s">
        <v>4777</v>
      </c>
      <c r="CC31" s="5" t="s">
        <v>5268</v>
      </c>
      <c r="CD31" s="5" t="s">
        <v>686</v>
      </c>
      <c r="CE31" s="5" t="s">
        <v>2585</v>
      </c>
      <c r="CF31" s="5" t="s">
        <v>4777</v>
      </c>
      <c r="CH31" s="5" t="s">
        <v>5322</v>
      </c>
      <c r="CI31" s="5" t="s">
        <v>686</v>
      </c>
      <c r="CJ31" s="5" t="s">
        <v>2585</v>
      </c>
      <c r="CK31" s="5" t="s">
        <v>5133</v>
      </c>
      <c r="CM31" s="5" t="s">
        <v>5363</v>
      </c>
      <c r="CN31" s="5" t="s">
        <v>686</v>
      </c>
      <c r="CO31" s="5" t="s">
        <v>2585</v>
      </c>
      <c r="CP31" s="5" t="s">
        <v>5133</v>
      </c>
      <c r="CR31" s="5" t="s">
        <v>5399</v>
      </c>
      <c r="CS31" s="5" t="s">
        <v>3671</v>
      </c>
      <c r="CT31" s="5" t="s">
        <v>2585</v>
      </c>
      <c r="CU31" s="5" t="s">
        <v>4828</v>
      </c>
    </row>
    <row r="32" spans="1:99" x14ac:dyDescent="0.25">
      <c r="A32" s="5"/>
      <c r="B32" s="5"/>
      <c r="C32" s="5"/>
      <c r="D32" s="5"/>
      <c r="E32" s="9" t="s">
        <v>142</v>
      </c>
      <c r="F32" s="5" t="s">
        <v>3719</v>
      </c>
      <c r="G32" s="5" t="s">
        <v>3699</v>
      </c>
      <c r="H32" s="5" t="s">
        <v>2585</v>
      </c>
      <c r="I32" s="5" t="s">
        <v>3717</v>
      </c>
      <c r="J32" s="9" t="s">
        <v>142</v>
      </c>
      <c r="K32" s="5" t="s">
        <v>4778</v>
      </c>
      <c r="L32" s="5" t="s">
        <v>686</v>
      </c>
      <c r="M32" s="5" t="s">
        <v>2585</v>
      </c>
      <c r="N32" s="5" t="s">
        <v>4779</v>
      </c>
      <c r="O32" s="9" t="s">
        <v>142</v>
      </c>
      <c r="P32" s="5" t="s">
        <v>4853</v>
      </c>
      <c r="Q32" s="5" t="s">
        <v>3672</v>
      </c>
      <c r="R32" s="5" t="s">
        <v>2585</v>
      </c>
      <c r="S32" s="5" t="s">
        <v>4854</v>
      </c>
      <c r="T32" s="9" t="s">
        <v>142</v>
      </c>
      <c r="U32" s="5" t="s">
        <v>5134</v>
      </c>
      <c r="V32" s="5" t="s">
        <v>3670</v>
      </c>
      <c r="W32" s="5" t="s">
        <v>2585</v>
      </c>
      <c r="X32" s="5" t="s">
        <v>4756</v>
      </c>
      <c r="Y32" s="9" t="s">
        <v>142</v>
      </c>
      <c r="Z32" s="5"/>
      <c r="AA32" s="5"/>
      <c r="AB32" s="5"/>
      <c r="AC32" s="5"/>
      <c r="AD32" s="9" t="s">
        <v>142</v>
      </c>
      <c r="AE32" s="5"/>
      <c r="AF32" s="5"/>
      <c r="AG32" s="5"/>
      <c r="AH32" s="5"/>
      <c r="AI32" s="9" t="s">
        <v>142</v>
      </c>
      <c r="AJ32" s="5"/>
      <c r="AK32" s="5"/>
      <c r="AL32" s="5"/>
      <c r="AM32" s="5"/>
      <c r="AN32" s="9" t="s">
        <v>142</v>
      </c>
      <c r="AO32" s="5"/>
      <c r="AP32" s="5"/>
      <c r="AQ32" s="5"/>
      <c r="AR32" s="5"/>
      <c r="AS32" s="9" t="s">
        <v>142</v>
      </c>
      <c r="AT32" s="5"/>
      <c r="AU32" s="5"/>
      <c r="AV32" s="5"/>
      <c r="AW32" s="5"/>
      <c r="AX32" s="9" t="s">
        <v>142</v>
      </c>
      <c r="AY32" s="5"/>
      <c r="AZ32" s="5"/>
      <c r="BA32" s="5"/>
      <c r="BB32" s="5"/>
      <c r="BC32" s="9" t="s">
        <v>142</v>
      </c>
      <c r="BD32" s="5"/>
      <c r="BE32" s="5"/>
      <c r="BF32" s="5"/>
      <c r="BG32" s="5"/>
      <c r="BH32" s="9" t="s">
        <v>142</v>
      </c>
      <c r="BM32" s="9" t="s">
        <v>142</v>
      </c>
      <c r="BN32" s="5"/>
      <c r="BO32" s="5"/>
      <c r="BP32" s="5"/>
      <c r="BQ32" s="5"/>
      <c r="BR32" s="9" t="s">
        <v>142</v>
      </c>
      <c r="BS32" s="5"/>
      <c r="BT32" s="5"/>
      <c r="BU32" s="5"/>
      <c r="BV32" s="5"/>
      <c r="BW32" s="9" t="s">
        <v>142</v>
      </c>
      <c r="BX32" s="5" t="s">
        <v>5213</v>
      </c>
      <c r="BY32" s="5" t="s">
        <v>686</v>
      </c>
      <c r="BZ32" s="5" t="s">
        <v>2585</v>
      </c>
      <c r="CA32" s="5" t="s">
        <v>5214</v>
      </c>
      <c r="CC32" s="5" t="s">
        <v>5269</v>
      </c>
      <c r="CD32" s="5" t="s">
        <v>686</v>
      </c>
      <c r="CE32" s="5" t="s">
        <v>2585</v>
      </c>
      <c r="CF32" s="5" t="s">
        <v>5270</v>
      </c>
      <c r="CH32" s="5" t="s">
        <v>5323</v>
      </c>
      <c r="CI32" s="5" t="s">
        <v>3670</v>
      </c>
      <c r="CJ32" s="5" t="s">
        <v>2585</v>
      </c>
      <c r="CK32" s="5" t="s">
        <v>4756</v>
      </c>
      <c r="CM32" s="5" t="s">
        <v>5364</v>
      </c>
      <c r="CN32" s="5" t="s">
        <v>3670</v>
      </c>
      <c r="CO32" s="5" t="s">
        <v>2585</v>
      </c>
      <c r="CP32" s="5" t="s">
        <v>4756</v>
      </c>
      <c r="CR32" s="5" t="s">
        <v>5400</v>
      </c>
      <c r="CS32" s="5" t="s">
        <v>3672</v>
      </c>
      <c r="CT32" s="5" t="s">
        <v>2585</v>
      </c>
      <c r="CU32" s="5" t="s">
        <v>4854</v>
      </c>
    </row>
    <row r="33" spans="1:99" x14ac:dyDescent="0.25">
      <c r="A33" s="5"/>
      <c r="B33" s="5"/>
      <c r="C33" s="5"/>
      <c r="D33" s="5"/>
      <c r="E33" s="9" t="s">
        <v>142</v>
      </c>
      <c r="F33" s="5" t="s">
        <v>3720</v>
      </c>
      <c r="G33" s="5" t="s">
        <v>3697</v>
      </c>
      <c r="H33" s="5" t="s">
        <v>2585</v>
      </c>
      <c r="I33" s="5" t="s">
        <v>3715</v>
      </c>
      <c r="J33" s="9" t="s">
        <v>142</v>
      </c>
      <c r="K33" s="5" t="s">
        <v>4780</v>
      </c>
      <c r="L33" s="5" t="s">
        <v>686</v>
      </c>
      <c r="M33" s="5" t="s">
        <v>2585</v>
      </c>
      <c r="N33" s="5" t="s">
        <v>4781</v>
      </c>
      <c r="O33" s="9" t="s">
        <v>142</v>
      </c>
      <c r="P33" s="5" t="s">
        <v>4855</v>
      </c>
      <c r="Q33" s="5" t="s">
        <v>3671</v>
      </c>
      <c r="R33" s="5" t="s">
        <v>2585</v>
      </c>
      <c r="S33" s="5" t="s">
        <v>4756</v>
      </c>
      <c r="T33" s="9" t="s">
        <v>142</v>
      </c>
      <c r="U33" s="5" t="s">
        <v>5135</v>
      </c>
      <c r="V33" s="5" t="s">
        <v>686</v>
      </c>
      <c r="W33" s="5" t="s">
        <v>2585</v>
      </c>
      <c r="X33" s="5" t="s">
        <v>5136</v>
      </c>
      <c r="Y33" s="9" t="s">
        <v>142</v>
      </c>
      <c r="Z33" s="5"/>
      <c r="AA33" s="5"/>
      <c r="AB33" s="5"/>
      <c r="AC33" s="5"/>
      <c r="AD33" s="9" t="s">
        <v>142</v>
      </c>
      <c r="AE33" s="5"/>
      <c r="AF33" s="5"/>
      <c r="AG33" s="5"/>
      <c r="AH33" s="5"/>
      <c r="AI33" s="9" t="s">
        <v>142</v>
      </c>
      <c r="AJ33" s="5"/>
      <c r="AK33" s="5"/>
      <c r="AL33" s="5"/>
      <c r="AM33" s="5"/>
      <c r="AN33" s="9" t="s">
        <v>142</v>
      </c>
      <c r="AO33" s="5"/>
      <c r="AP33" s="5"/>
      <c r="AQ33" s="5"/>
      <c r="AR33" s="5"/>
      <c r="AS33" s="9" t="s">
        <v>142</v>
      </c>
      <c r="AT33" s="5"/>
      <c r="AU33" s="5"/>
      <c r="AV33" s="5"/>
      <c r="AW33" s="5"/>
      <c r="AX33" s="9" t="s">
        <v>142</v>
      </c>
      <c r="AY33" s="5"/>
      <c r="AZ33" s="5"/>
      <c r="BA33" s="5"/>
      <c r="BB33" s="5"/>
      <c r="BC33" s="9" t="s">
        <v>142</v>
      </c>
      <c r="BD33" s="5"/>
      <c r="BE33" s="5"/>
      <c r="BF33" s="5"/>
      <c r="BG33" s="5"/>
      <c r="BH33" s="9" t="s">
        <v>142</v>
      </c>
      <c r="BM33" s="9" t="s">
        <v>142</v>
      </c>
      <c r="BN33" s="5"/>
      <c r="BO33" s="5"/>
      <c r="BP33" s="5"/>
      <c r="BQ33" s="5"/>
      <c r="BR33" s="9" t="s">
        <v>142</v>
      </c>
      <c r="BS33" s="5"/>
      <c r="BT33" s="5"/>
      <c r="BU33" s="5"/>
      <c r="BV33" s="5"/>
      <c r="BW33" s="9" t="s">
        <v>142</v>
      </c>
      <c r="BX33" s="5" t="s">
        <v>5215</v>
      </c>
      <c r="BY33" s="5" t="s">
        <v>686</v>
      </c>
      <c r="BZ33" s="5" t="s">
        <v>2585</v>
      </c>
      <c r="CA33" s="5" t="s">
        <v>4781</v>
      </c>
      <c r="CC33" s="5" t="s">
        <v>5271</v>
      </c>
      <c r="CD33" s="5" t="s">
        <v>686</v>
      </c>
      <c r="CE33" s="5" t="s">
        <v>2585</v>
      </c>
      <c r="CF33" s="5" t="s">
        <v>4781</v>
      </c>
      <c r="CH33" s="5" t="s">
        <v>5324</v>
      </c>
      <c r="CI33" s="5" t="s">
        <v>686</v>
      </c>
      <c r="CJ33" s="5" t="s">
        <v>2585</v>
      </c>
      <c r="CK33" s="5" t="s">
        <v>5325</v>
      </c>
      <c r="CM33" s="5" t="s">
        <v>5365</v>
      </c>
      <c r="CN33" s="5" t="s">
        <v>686</v>
      </c>
      <c r="CO33" s="5" t="s">
        <v>2585</v>
      </c>
      <c r="CP33" s="5" t="s">
        <v>5366</v>
      </c>
      <c r="CR33" s="5" t="s">
        <v>5401</v>
      </c>
      <c r="CS33" s="5" t="s">
        <v>3671</v>
      </c>
      <c r="CT33" s="5" t="s">
        <v>2585</v>
      </c>
      <c r="CU33" s="5" t="s">
        <v>4756</v>
      </c>
    </row>
    <row r="34" spans="1:99" x14ac:dyDescent="0.25">
      <c r="A34" s="5"/>
      <c r="B34" s="5"/>
      <c r="C34" s="5"/>
      <c r="D34" s="5"/>
      <c r="E34" s="9" t="s">
        <v>142</v>
      </c>
      <c r="F34" s="5" t="s">
        <v>3721</v>
      </c>
      <c r="G34" s="5" t="s">
        <v>3699</v>
      </c>
      <c r="H34" s="5" t="s">
        <v>2585</v>
      </c>
      <c r="I34" s="5" t="s">
        <v>3717</v>
      </c>
      <c r="J34" s="9" t="s">
        <v>142</v>
      </c>
      <c r="K34" s="5" t="s">
        <v>4782</v>
      </c>
      <c r="L34" s="5" t="s">
        <v>3670</v>
      </c>
      <c r="M34" s="5" t="s">
        <v>2585</v>
      </c>
      <c r="N34" s="5" t="s">
        <v>4783</v>
      </c>
      <c r="O34" s="9" t="s">
        <v>142</v>
      </c>
      <c r="P34" s="5" t="s">
        <v>4856</v>
      </c>
      <c r="Q34" s="5" t="s">
        <v>3672</v>
      </c>
      <c r="R34" s="5" t="s">
        <v>2585</v>
      </c>
      <c r="S34" s="5" t="s">
        <v>4857</v>
      </c>
      <c r="T34" s="9" t="s">
        <v>142</v>
      </c>
      <c r="U34" s="5" t="s">
        <v>5137</v>
      </c>
      <c r="V34" s="5" t="s">
        <v>686</v>
      </c>
      <c r="W34" s="5" t="s">
        <v>2585</v>
      </c>
      <c r="X34" s="5" t="s">
        <v>5138</v>
      </c>
      <c r="Y34" s="9" t="s">
        <v>142</v>
      </c>
      <c r="Z34" s="5"/>
      <c r="AA34" s="5"/>
      <c r="AB34" s="5"/>
      <c r="AC34" s="5"/>
      <c r="AD34" s="9" t="s">
        <v>142</v>
      </c>
      <c r="AE34" s="5"/>
      <c r="AF34" s="5"/>
      <c r="AG34" s="5"/>
      <c r="AH34" s="5"/>
      <c r="AI34" s="9" t="s">
        <v>142</v>
      </c>
      <c r="AJ34" s="5"/>
      <c r="AK34" s="5"/>
      <c r="AL34" s="5"/>
      <c r="AM34" s="5"/>
      <c r="AN34" s="9" t="s">
        <v>142</v>
      </c>
      <c r="AO34" s="5"/>
      <c r="AP34" s="5"/>
      <c r="AQ34" s="5"/>
      <c r="AR34" s="5"/>
      <c r="AS34" s="9" t="s">
        <v>142</v>
      </c>
      <c r="AT34" s="5"/>
      <c r="AU34" s="5"/>
      <c r="AV34" s="5"/>
      <c r="AW34" s="5"/>
      <c r="AX34" s="9" t="s">
        <v>142</v>
      </c>
      <c r="AY34" s="5"/>
      <c r="AZ34" s="5"/>
      <c r="BA34" s="5"/>
      <c r="BB34" s="5"/>
      <c r="BC34" s="9" t="s">
        <v>142</v>
      </c>
      <c r="BD34" s="5"/>
      <c r="BE34" s="5"/>
      <c r="BF34" s="5"/>
      <c r="BG34" s="5"/>
      <c r="BH34" s="9" t="s">
        <v>142</v>
      </c>
      <c r="BM34" s="9" t="s">
        <v>142</v>
      </c>
      <c r="BN34" s="5"/>
      <c r="BO34" s="5"/>
      <c r="BP34" s="5"/>
      <c r="BQ34" s="5"/>
      <c r="BR34" s="9" t="s">
        <v>142</v>
      </c>
      <c r="BS34" s="5"/>
      <c r="BT34" s="5"/>
      <c r="BU34" s="5"/>
      <c r="BV34" s="5"/>
      <c r="BW34" s="9" t="s">
        <v>142</v>
      </c>
      <c r="BX34" s="5" t="s">
        <v>5216</v>
      </c>
      <c r="BY34" s="5" t="s">
        <v>3670</v>
      </c>
      <c r="BZ34" s="5" t="s">
        <v>2585</v>
      </c>
      <c r="CA34" s="5" t="s">
        <v>4783</v>
      </c>
      <c r="CC34" s="5" t="s">
        <v>5272</v>
      </c>
      <c r="CD34" s="5" t="s">
        <v>3670</v>
      </c>
      <c r="CE34" s="5" t="s">
        <v>2585</v>
      </c>
      <c r="CF34" s="5" t="s">
        <v>4783</v>
      </c>
      <c r="CH34" s="5" t="s">
        <v>5326</v>
      </c>
      <c r="CI34" s="5" t="s">
        <v>686</v>
      </c>
      <c r="CJ34" s="5" t="s">
        <v>2585</v>
      </c>
      <c r="CK34" s="5" t="s">
        <v>5327</v>
      </c>
      <c r="CM34" s="5" t="s">
        <v>5367</v>
      </c>
      <c r="CN34" s="5" t="s">
        <v>686</v>
      </c>
      <c r="CO34" s="5" t="s">
        <v>2585</v>
      </c>
      <c r="CP34" s="5" t="s">
        <v>5368</v>
      </c>
      <c r="CR34" s="5" t="s">
        <v>5402</v>
      </c>
      <c r="CS34" s="5" t="s">
        <v>3672</v>
      </c>
      <c r="CT34" s="5" t="s">
        <v>2585</v>
      </c>
      <c r="CU34" s="5" t="s">
        <v>4857</v>
      </c>
    </row>
    <row r="35" spans="1:99" x14ac:dyDescent="0.25">
      <c r="A35" s="5"/>
      <c r="B35" s="5"/>
      <c r="C35" s="5"/>
      <c r="D35" s="5"/>
      <c r="E35" s="9" t="s">
        <v>142</v>
      </c>
      <c r="F35" s="5" t="s">
        <v>3722</v>
      </c>
      <c r="G35" s="357" t="s">
        <v>3697</v>
      </c>
      <c r="H35" s="5" t="s">
        <v>2585</v>
      </c>
      <c r="I35" s="5" t="s">
        <v>3715</v>
      </c>
      <c r="J35" s="9" t="s">
        <v>142</v>
      </c>
      <c r="K35" s="5" t="s">
        <v>4784</v>
      </c>
      <c r="L35" s="5" t="s">
        <v>686</v>
      </c>
      <c r="M35" s="5" t="s">
        <v>2585</v>
      </c>
      <c r="N35" s="5" t="s">
        <v>4750</v>
      </c>
      <c r="O35" s="9" t="s">
        <v>142</v>
      </c>
      <c r="P35" s="5" t="s">
        <v>4858</v>
      </c>
      <c r="Q35" s="5" t="s">
        <v>3672</v>
      </c>
      <c r="R35" s="5" t="s">
        <v>2585</v>
      </c>
      <c r="S35" s="5" t="s">
        <v>4859</v>
      </c>
      <c r="T35" s="9" t="s">
        <v>142</v>
      </c>
      <c r="U35" s="5" t="s">
        <v>5139</v>
      </c>
      <c r="V35" s="5" t="s">
        <v>686</v>
      </c>
      <c r="W35" s="5" t="s">
        <v>2585</v>
      </c>
      <c r="X35" s="5" t="s">
        <v>5140</v>
      </c>
      <c r="Y35" s="9" t="s">
        <v>142</v>
      </c>
      <c r="Z35" s="5"/>
      <c r="AA35" s="5"/>
      <c r="AB35" s="5"/>
      <c r="AC35" s="5"/>
      <c r="AD35" s="9" t="s">
        <v>142</v>
      </c>
      <c r="AE35" s="5"/>
      <c r="AF35" s="5"/>
      <c r="AG35" s="5"/>
      <c r="AH35" s="5"/>
      <c r="AI35" s="9" t="s">
        <v>142</v>
      </c>
      <c r="AJ35" s="5"/>
      <c r="AK35" s="5"/>
      <c r="AL35" s="5"/>
      <c r="AM35" s="5"/>
      <c r="AN35" s="9" t="s">
        <v>142</v>
      </c>
      <c r="AO35" s="5"/>
      <c r="AP35" s="5"/>
      <c r="AQ35" s="5"/>
      <c r="AR35" s="5"/>
      <c r="AS35" s="9" t="s">
        <v>142</v>
      </c>
      <c r="AT35" s="5"/>
      <c r="AU35" s="5"/>
      <c r="AV35" s="5"/>
      <c r="AW35" s="5"/>
      <c r="AX35" s="9" t="s">
        <v>142</v>
      </c>
      <c r="AY35" s="5"/>
      <c r="AZ35" s="5"/>
      <c r="BA35" s="5"/>
      <c r="BB35" s="5"/>
      <c r="BC35" s="9" t="s">
        <v>142</v>
      </c>
      <c r="BD35" s="5"/>
      <c r="BE35" s="5"/>
      <c r="BF35" s="5"/>
      <c r="BG35" s="5"/>
      <c r="BH35" s="9" t="s">
        <v>142</v>
      </c>
      <c r="BM35" s="9" t="s">
        <v>142</v>
      </c>
      <c r="BN35" s="5"/>
      <c r="BO35" s="5"/>
      <c r="BP35" s="5"/>
      <c r="BQ35" s="5"/>
      <c r="BR35" s="9" t="s">
        <v>142</v>
      </c>
      <c r="BS35" s="5"/>
      <c r="BT35" s="5"/>
      <c r="BU35" s="5"/>
      <c r="BV35" s="5"/>
      <c r="BW35" s="9" t="s">
        <v>142</v>
      </c>
      <c r="BX35" s="5" t="s">
        <v>5217</v>
      </c>
      <c r="BY35" s="5" t="s">
        <v>686</v>
      </c>
      <c r="BZ35" s="5" t="s">
        <v>2585</v>
      </c>
      <c r="CA35" s="5" t="s">
        <v>4750</v>
      </c>
      <c r="CC35" s="5" t="s">
        <v>5273</v>
      </c>
      <c r="CD35" s="5" t="s">
        <v>686</v>
      </c>
      <c r="CE35" s="5" t="s">
        <v>2585</v>
      </c>
      <c r="CF35" s="5" t="s">
        <v>4750</v>
      </c>
      <c r="CH35" s="5" t="s">
        <v>5328</v>
      </c>
      <c r="CI35" s="5" t="s">
        <v>686</v>
      </c>
      <c r="CJ35" s="5" t="s">
        <v>2585</v>
      </c>
      <c r="CK35" s="5" t="s">
        <v>5329</v>
      </c>
      <c r="CM35" s="5" t="s">
        <v>5369</v>
      </c>
      <c r="CN35" s="5" t="s">
        <v>686</v>
      </c>
      <c r="CO35" s="5" t="s">
        <v>2585</v>
      </c>
      <c r="CP35" s="5" t="s">
        <v>5370</v>
      </c>
      <c r="CR35" s="5" t="s">
        <v>5403</v>
      </c>
      <c r="CS35" s="5" t="s">
        <v>3672</v>
      </c>
      <c r="CT35" s="5" t="s">
        <v>2585</v>
      </c>
      <c r="CU35" s="5" t="s">
        <v>4859</v>
      </c>
    </row>
    <row r="36" spans="1:99" x14ac:dyDescent="0.25">
      <c r="A36" s="5"/>
      <c r="B36" s="5"/>
      <c r="C36" s="5"/>
      <c r="D36" s="5"/>
      <c r="E36" s="9" t="s">
        <v>142</v>
      </c>
      <c r="F36" s="5" t="s">
        <v>3723</v>
      </c>
      <c r="G36" s="5" t="s">
        <v>3699</v>
      </c>
      <c r="H36" s="5" t="s">
        <v>2585</v>
      </c>
      <c r="I36" s="5" t="s">
        <v>3717</v>
      </c>
      <c r="J36" s="9" t="s">
        <v>142</v>
      </c>
      <c r="K36" s="5" t="s">
        <v>4785</v>
      </c>
      <c r="L36" s="5" t="s">
        <v>3670</v>
      </c>
      <c r="M36" s="5" t="s">
        <v>2585</v>
      </c>
      <c r="N36" s="5" t="s">
        <v>4786</v>
      </c>
      <c r="O36" s="9" t="s">
        <v>142</v>
      </c>
      <c r="P36" s="5" t="s">
        <v>4860</v>
      </c>
      <c r="Q36" s="5" t="s">
        <v>3672</v>
      </c>
      <c r="R36" s="5" t="s">
        <v>2585</v>
      </c>
      <c r="S36" s="5" t="s">
        <v>4861</v>
      </c>
      <c r="T36" s="9" t="s">
        <v>142</v>
      </c>
      <c r="U36" s="5" t="s">
        <v>5141</v>
      </c>
      <c r="V36" s="5" t="s">
        <v>686</v>
      </c>
      <c r="W36" s="5" t="s">
        <v>2585</v>
      </c>
      <c r="X36" s="5" t="s">
        <v>5142</v>
      </c>
      <c r="Y36" s="9" t="s">
        <v>142</v>
      </c>
      <c r="Z36" s="5"/>
      <c r="AA36" s="5"/>
      <c r="AB36" s="5"/>
      <c r="AC36" s="5"/>
      <c r="AD36" s="9" t="s">
        <v>142</v>
      </c>
      <c r="AE36" s="5"/>
      <c r="AF36" s="5"/>
      <c r="AG36" s="5"/>
      <c r="AH36" s="5"/>
      <c r="AI36" s="9" t="s">
        <v>142</v>
      </c>
      <c r="AJ36" s="5"/>
      <c r="AK36" s="5"/>
      <c r="AL36" s="5"/>
      <c r="AM36" s="5"/>
      <c r="AN36" s="9" t="s">
        <v>142</v>
      </c>
      <c r="AO36" s="5"/>
      <c r="AP36" s="5"/>
      <c r="AQ36" s="5"/>
      <c r="AR36" s="5"/>
      <c r="AS36" s="9" t="s">
        <v>142</v>
      </c>
      <c r="AT36" s="5"/>
      <c r="AU36" s="5"/>
      <c r="AV36" s="5"/>
      <c r="AW36" s="5"/>
      <c r="AX36" s="9" t="s">
        <v>142</v>
      </c>
      <c r="AY36" s="5"/>
      <c r="AZ36" s="5"/>
      <c r="BA36" s="5"/>
      <c r="BB36" s="5"/>
      <c r="BC36" s="9" t="s">
        <v>142</v>
      </c>
      <c r="BD36" s="5"/>
      <c r="BE36" s="5"/>
      <c r="BF36" s="5"/>
      <c r="BG36" s="5"/>
      <c r="BH36" s="9" t="s">
        <v>142</v>
      </c>
      <c r="BM36" s="9" t="s">
        <v>142</v>
      </c>
      <c r="BN36" s="5"/>
      <c r="BO36" s="5"/>
      <c r="BP36" s="5"/>
      <c r="BQ36" s="5"/>
      <c r="BR36" s="9" t="s">
        <v>142</v>
      </c>
      <c r="BS36" s="5"/>
      <c r="BT36" s="5"/>
      <c r="BU36" s="5"/>
      <c r="BV36" s="5"/>
      <c r="BW36" s="9" t="s">
        <v>142</v>
      </c>
      <c r="BX36" s="5" t="s">
        <v>5218</v>
      </c>
      <c r="BY36" s="5" t="s">
        <v>3670</v>
      </c>
      <c r="BZ36" s="5" t="s">
        <v>2585</v>
      </c>
      <c r="CA36" s="5" t="s">
        <v>4786</v>
      </c>
      <c r="CC36" s="5" t="s">
        <v>5274</v>
      </c>
      <c r="CD36" s="5" t="s">
        <v>3670</v>
      </c>
      <c r="CE36" s="5" t="s">
        <v>2585</v>
      </c>
      <c r="CF36" s="5" t="s">
        <v>4786</v>
      </c>
      <c r="CH36" s="5" t="s">
        <v>5330</v>
      </c>
      <c r="CI36" s="5" t="s">
        <v>686</v>
      </c>
      <c r="CJ36" s="5" t="s">
        <v>2585</v>
      </c>
      <c r="CK36" s="5" t="s">
        <v>5331</v>
      </c>
      <c r="CM36" s="5" t="s">
        <v>5371</v>
      </c>
      <c r="CN36" s="5" t="s">
        <v>686</v>
      </c>
      <c r="CO36" s="5" t="s">
        <v>2585</v>
      </c>
      <c r="CP36" s="5" t="s">
        <v>5372</v>
      </c>
      <c r="CR36" s="5" t="s">
        <v>5404</v>
      </c>
      <c r="CS36" s="5" t="s">
        <v>3672</v>
      </c>
      <c r="CT36" s="5" t="s">
        <v>2585</v>
      </c>
      <c r="CU36" s="5" t="s">
        <v>4861</v>
      </c>
    </row>
    <row r="37" spans="1:99" x14ac:dyDescent="0.25">
      <c r="A37" s="5"/>
      <c r="B37" s="5"/>
      <c r="C37" s="5"/>
      <c r="D37" s="5"/>
      <c r="E37" s="9" t="s">
        <v>142</v>
      </c>
      <c r="F37" s="5" t="s">
        <v>3724</v>
      </c>
      <c r="G37" s="5" t="s">
        <v>3697</v>
      </c>
      <c r="H37" s="5" t="s">
        <v>2585</v>
      </c>
      <c r="I37" s="5" t="s">
        <v>3715</v>
      </c>
      <c r="J37" s="9" t="s">
        <v>142</v>
      </c>
      <c r="K37" s="5" t="s">
        <v>4787</v>
      </c>
      <c r="L37" s="5" t="s">
        <v>686</v>
      </c>
      <c r="M37" s="5" t="s">
        <v>2585</v>
      </c>
      <c r="N37" s="5" t="s">
        <v>4788</v>
      </c>
      <c r="O37" s="9" t="s">
        <v>142</v>
      </c>
      <c r="P37" s="5" t="s">
        <v>4862</v>
      </c>
      <c r="Q37" s="5" t="s">
        <v>3672</v>
      </c>
      <c r="R37" s="5" t="s">
        <v>2585</v>
      </c>
      <c r="S37" s="5" t="s">
        <v>4863</v>
      </c>
      <c r="T37" s="9" t="s">
        <v>142</v>
      </c>
      <c r="U37" s="5" t="s">
        <v>5143</v>
      </c>
      <c r="V37" s="5" t="s">
        <v>686</v>
      </c>
      <c r="W37" s="5" t="s">
        <v>2585</v>
      </c>
      <c r="X37" s="5" t="s">
        <v>5144</v>
      </c>
      <c r="Y37" s="9" t="s">
        <v>142</v>
      </c>
      <c r="Z37" s="5"/>
      <c r="AA37" s="5"/>
      <c r="AB37" s="5"/>
      <c r="AC37" s="5"/>
      <c r="AD37" s="9" t="s">
        <v>142</v>
      </c>
      <c r="AE37" s="5"/>
      <c r="AF37" s="5"/>
      <c r="AG37" s="5"/>
      <c r="AH37" s="5"/>
      <c r="AI37" s="9" t="s">
        <v>142</v>
      </c>
      <c r="AJ37" s="5"/>
      <c r="AK37" s="5"/>
      <c r="AL37" s="5"/>
      <c r="AM37" s="5"/>
      <c r="AN37" s="9" t="s">
        <v>142</v>
      </c>
      <c r="AO37" s="5"/>
      <c r="AP37" s="5"/>
      <c r="AQ37" s="5"/>
      <c r="AR37" s="5"/>
      <c r="AS37" s="9" t="s">
        <v>142</v>
      </c>
      <c r="AT37" s="5"/>
      <c r="AU37" s="5"/>
      <c r="AV37" s="5"/>
      <c r="AW37" s="5"/>
      <c r="AX37" s="9" t="s">
        <v>142</v>
      </c>
      <c r="AY37" s="5"/>
      <c r="AZ37" s="5"/>
      <c r="BA37" s="5"/>
      <c r="BB37" s="5"/>
      <c r="BC37" s="9" t="s">
        <v>142</v>
      </c>
      <c r="BD37" s="5"/>
      <c r="BE37" s="5"/>
      <c r="BF37" s="5"/>
      <c r="BG37" s="5"/>
      <c r="BH37" s="9" t="s">
        <v>142</v>
      </c>
      <c r="BM37" s="9" t="s">
        <v>142</v>
      </c>
      <c r="BN37" s="5"/>
      <c r="BO37" s="5"/>
      <c r="BP37" s="5"/>
      <c r="BQ37" s="5"/>
      <c r="BR37" s="9" t="s">
        <v>142</v>
      </c>
      <c r="BS37" s="5"/>
      <c r="BT37" s="5"/>
      <c r="BU37" s="5"/>
      <c r="BV37" s="5"/>
      <c r="BW37" s="9" t="s">
        <v>142</v>
      </c>
      <c r="BX37" s="5" t="s">
        <v>5219</v>
      </c>
      <c r="BY37" s="5" t="s">
        <v>686</v>
      </c>
      <c r="BZ37" s="5" t="s">
        <v>2585</v>
      </c>
      <c r="CA37" s="5" t="s">
        <v>4788</v>
      </c>
      <c r="CC37" s="5" t="s">
        <v>5275</v>
      </c>
      <c r="CD37" s="5" t="s">
        <v>686</v>
      </c>
      <c r="CE37" s="5" t="s">
        <v>2585</v>
      </c>
      <c r="CF37" s="5" t="s">
        <v>4788</v>
      </c>
      <c r="CH37" s="5" t="s">
        <v>5332</v>
      </c>
      <c r="CI37" s="5" t="s">
        <v>686</v>
      </c>
      <c r="CJ37" s="5" t="s">
        <v>2585</v>
      </c>
      <c r="CK37" s="5" t="s">
        <v>5333</v>
      </c>
      <c r="CM37" s="5" t="s">
        <v>5373</v>
      </c>
      <c r="CN37" s="5" t="s">
        <v>686</v>
      </c>
      <c r="CO37" s="5" t="s">
        <v>2585</v>
      </c>
      <c r="CP37" s="5" t="s">
        <v>5374</v>
      </c>
      <c r="CR37" s="5" t="s">
        <v>5405</v>
      </c>
      <c r="CS37" s="5" t="s">
        <v>3672</v>
      </c>
      <c r="CT37" s="5" t="s">
        <v>2585</v>
      </c>
      <c r="CU37" s="5" t="s">
        <v>4863</v>
      </c>
    </row>
    <row r="38" spans="1:99" x14ac:dyDescent="0.25">
      <c r="A38" s="5"/>
      <c r="B38" s="5"/>
      <c r="C38" s="5"/>
      <c r="D38" s="5"/>
      <c r="E38" s="9" t="s">
        <v>142</v>
      </c>
      <c r="F38" s="5" t="s">
        <v>3725</v>
      </c>
      <c r="G38" s="5" t="s">
        <v>3699</v>
      </c>
      <c r="H38" s="5" t="s">
        <v>2585</v>
      </c>
      <c r="I38" s="5" t="s">
        <v>3717</v>
      </c>
      <c r="J38" s="9" t="s">
        <v>142</v>
      </c>
      <c r="K38" s="5" t="s">
        <v>4789</v>
      </c>
      <c r="L38" s="5" t="s">
        <v>3670</v>
      </c>
      <c r="M38" s="5" t="s">
        <v>2585</v>
      </c>
      <c r="N38" s="5" t="s">
        <v>4756</v>
      </c>
      <c r="O38" s="9" t="s">
        <v>142</v>
      </c>
      <c r="P38" s="5" t="s">
        <v>4864</v>
      </c>
      <c r="Q38" s="5" t="s">
        <v>3672</v>
      </c>
      <c r="R38" s="5" t="s">
        <v>2585</v>
      </c>
      <c r="S38" s="5" t="s">
        <v>4865</v>
      </c>
      <c r="T38" s="9" t="s">
        <v>142</v>
      </c>
      <c r="U38" s="5" t="s">
        <v>5145</v>
      </c>
      <c r="V38" s="5" t="s">
        <v>3670</v>
      </c>
      <c r="W38" s="5" t="s">
        <v>2585</v>
      </c>
      <c r="X38" s="5" t="s">
        <v>4811</v>
      </c>
      <c r="Y38" s="9" t="s">
        <v>142</v>
      </c>
      <c r="Z38" s="5"/>
      <c r="AA38" s="5"/>
      <c r="AB38" s="5"/>
      <c r="AC38" s="5"/>
      <c r="AD38" s="9" t="s">
        <v>142</v>
      </c>
      <c r="AE38" s="5"/>
      <c r="AF38" s="5"/>
      <c r="AG38" s="5"/>
      <c r="AH38" s="5"/>
      <c r="AI38" s="9" t="s">
        <v>142</v>
      </c>
      <c r="AJ38" s="5"/>
      <c r="AK38" s="5"/>
      <c r="AL38" s="5"/>
      <c r="AM38" s="5"/>
      <c r="AN38" s="9" t="s">
        <v>142</v>
      </c>
      <c r="AO38" s="5"/>
      <c r="AP38" s="5"/>
      <c r="AQ38" s="5"/>
      <c r="AR38" s="5"/>
      <c r="AS38" s="9" t="s">
        <v>142</v>
      </c>
      <c r="AT38" s="5"/>
      <c r="AU38" s="5"/>
      <c r="AV38" s="5"/>
      <c r="AW38" s="5"/>
      <c r="AX38" s="9" t="s">
        <v>142</v>
      </c>
      <c r="AY38" s="5"/>
      <c r="AZ38" s="5"/>
      <c r="BA38" s="5"/>
      <c r="BB38" s="5"/>
      <c r="BC38" s="9" t="s">
        <v>142</v>
      </c>
      <c r="BD38" s="5"/>
      <c r="BE38" s="5"/>
      <c r="BF38" s="5"/>
      <c r="BG38" s="5"/>
      <c r="BH38" s="9" t="s">
        <v>142</v>
      </c>
      <c r="BM38" s="9" t="s">
        <v>142</v>
      </c>
      <c r="BN38" s="5"/>
      <c r="BO38" s="5"/>
      <c r="BP38" s="5"/>
      <c r="BQ38" s="5"/>
      <c r="BR38" s="9" t="s">
        <v>142</v>
      </c>
      <c r="BS38" s="5"/>
      <c r="BT38" s="5"/>
      <c r="BU38" s="5"/>
      <c r="BV38" s="5"/>
      <c r="BW38" s="9" t="s">
        <v>142</v>
      </c>
      <c r="BX38" s="5" t="s">
        <v>5220</v>
      </c>
      <c r="BY38" s="5" t="s">
        <v>3670</v>
      </c>
      <c r="BZ38" s="5" t="s">
        <v>2585</v>
      </c>
      <c r="CA38" s="5" t="s">
        <v>4756</v>
      </c>
      <c r="CC38" s="5" t="s">
        <v>5276</v>
      </c>
      <c r="CD38" s="5" t="s">
        <v>3670</v>
      </c>
      <c r="CE38" s="5" t="s">
        <v>2585</v>
      </c>
      <c r="CF38" s="5" t="s">
        <v>4756</v>
      </c>
      <c r="CH38" s="5" t="s">
        <v>5334</v>
      </c>
      <c r="CI38" s="5" t="s">
        <v>3670</v>
      </c>
      <c r="CJ38" s="5" t="s">
        <v>2585</v>
      </c>
      <c r="CK38" s="5" t="s">
        <v>4811</v>
      </c>
      <c r="CM38" s="5" t="s">
        <v>5375</v>
      </c>
      <c r="CN38" s="5" t="s">
        <v>3670</v>
      </c>
      <c r="CO38" s="5" t="s">
        <v>2585</v>
      </c>
      <c r="CP38" s="5" t="s">
        <v>4811</v>
      </c>
      <c r="CR38" s="5" t="s">
        <v>5406</v>
      </c>
      <c r="CS38" s="5" t="s">
        <v>3672</v>
      </c>
      <c r="CT38" s="5" t="s">
        <v>2585</v>
      </c>
      <c r="CU38" s="5" t="s">
        <v>4865</v>
      </c>
    </row>
    <row r="39" spans="1:99" x14ac:dyDescent="0.25">
      <c r="A39" s="5"/>
      <c r="B39" s="5"/>
      <c r="C39" s="5"/>
      <c r="D39" s="5"/>
      <c r="E39" s="9" t="s">
        <v>142</v>
      </c>
      <c r="F39" s="5" t="s">
        <v>3726</v>
      </c>
      <c r="G39" s="5" t="s">
        <v>3697</v>
      </c>
      <c r="H39" s="5" t="s">
        <v>2585</v>
      </c>
      <c r="I39" s="5" t="s">
        <v>3727</v>
      </c>
      <c r="J39" s="9" t="s">
        <v>142</v>
      </c>
      <c r="K39" s="5" t="s">
        <v>4790</v>
      </c>
      <c r="L39" s="5" t="s">
        <v>686</v>
      </c>
      <c r="M39" s="5" t="s">
        <v>2585</v>
      </c>
      <c r="N39" s="5" t="s">
        <v>4791</v>
      </c>
      <c r="O39" s="9" t="s">
        <v>142</v>
      </c>
      <c r="P39" s="5" t="s">
        <v>4866</v>
      </c>
      <c r="Q39" s="5" t="s">
        <v>3671</v>
      </c>
      <c r="R39" s="5" t="s">
        <v>2585</v>
      </c>
      <c r="S39" s="5" t="s">
        <v>4867</v>
      </c>
      <c r="T39" s="9" t="s">
        <v>142</v>
      </c>
      <c r="U39" s="5"/>
      <c r="V39" s="5"/>
      <c r="W39" s="5"/>
      <c r="X39" s="5"/>
      <c r="Y39" s="9" t="s">
        <v>142</v>
      </c>
      <c r="Z39" s="5"/>
      <c r="AA39" s="5"/>
      <c r="AB39" s="5"/>
      <c r="AC39" s="5"/>
      <c r="AD39" s="9" t="s">
        <v>142</v>
      </c>
      <c r="AE39" s="5"/>
      <c r="AF39" s="5"/>
      <c r="AG39" s="5"/>
      <c r="AH39" s="5"/>
      <c r="AI39" s="9" t="s">
        <v>142</v>
      </c>
      <c r="AJ39" s="5"/>
      <c r="AK39" s="5"/>
      <c r="AL39" s="5"/>
      <c r="AM39" s="5"/>
      <c r="AN39" s="9" t="s">
        <v>142</v>
      </c>
      <c r="AO39" s="5"/>
      <c r="AP39" s="5"/>
      <c r="AQ39" s="5"/>
      <c r="AR39" s="5"/>
      <c r="AS39" s="9" t="s">
        <v>142</v>
      </c>
      <c r="AT39" s="5"/>
      <c r="AU39" s="5"/>
      <c r="AV39" s="5"/>
      <c r="AW39" s="5"/>
      <c r="AX39" s="9" t="s">
        <v>142</v>
      </c>
      <c r="AY39" s="5"/>
      <c r="AZ39" s="5"/>
      <c r="BA39" s="5"/>
      <c r="BB39" s="5"/>
      <c r="BC39" s="9" t="s">
        <v>142</v>
      </c>
      <c r="BD39" s="5"/>
      <c r="BE39" s="5"/>
      <c r="BF39" s="5"/>
      <c r="BG39" s="5"/>
      <c r="BH39" s="9" t="s">
        <v>142</v>
      </c>
      <c r="BM39" s="9" t="s">
        <v>142</v>
      </c>
      <c r="BR39" s="9" t="s">
        <v>142</v>
      </c>
      <c r="BW39" s="9" t="s">
        <v>142</v>
      </c>
      <c r="BX39" s="5" t="s">
        <v>5221</v>
      </c>
      <c r="BY39" s="5" t="s">
        <v>686</v>
      </c>
      <c r="BZ39" s="5" t="s">
        <v>2585</v>
      </c>
      <c r="CA39" s="5" t="s">
        <v>4791</v>
      </c>
      <c r="CC39" s="5" t="s">
        <v>5277</v>
      </c>
      <c r="CD39" s="5" t="s">
        <v>686</v>
      </c>
      <c r="CE39" s="5" t="s">
        <v>2585</v>
      </c>
      <c r="CF39" s="5" t="s">
        <v>4791</v>
      </c>
      <c r="CR39" s="5" t="s">
        <v>5407</v>
      </c>
      <c r="CS39" s="5" t="s">
        <v>3671</v>
      </c>
      <c r="CT39" s="5" t="s">
        <v>2585</v>
      </c>
      <c r="CU39" s="5" t="s">
        <v>4867</v>
      </c>
    </row>
    <row r="40" spans="1:99" x14ac:dyDescent="0.25">
      <c r="A40" s="5"/>
      <c r="B40" s="5"/>
      <c r="C40" s="5"/>
      <c r="D40" s="5"/>
      <c r="E40" s="9" t="s">
        <v>142</v>
      </c>
      <c r="F40" s="5" t="s">
        <v>3728</v>
      </c>
      <c r="G40" s="5" t="s">
        <v>3699</v>
      </c>
      <c r="H40" s="5" t="s">
        <v>2585</v>
      </c>
      <c r="I40" s="5" t="s">
        <v>3729</v>
      </c>
      <c r="J40" s="9" t="s">
        <v>142</v>
      </c>
      <c r="K40" s="5" t="s">
        <v>4792</v>
      </c>
      <c r="L40" s="5" t="s">
        <v>686</v>
      </c>
      <c r="M40" s="5" t="s">
        <v>2585</v>
      </c>
      <c r="N40" s="5" t="s">
        <v>4793</v>
      </c>
      <c r="O40" s="9" t="s">
        <v>142</v>
      </c>
      <c r="P40" s="5" t="s">
        <v>4868</v>
      </c>
      <c r="Q40" s="5" t="s">
        <v>3672</v>
      </c>
      <c r="R40" s="5" t="s">
        <v>2585</v>
      </c>
      <c r="S40" s="5" t="s">
        <v>4869</v>
      </c>
      <c r="T40" s="9" t="s">
        <v>142</v>
      </c>
      <c r="U40" s="5"/>
      <c r="V40" s="5"/>
      <c r="W40" s="5"/>
      <c r="X40" s="5"/>
      <c r="Y40" s="9" t="s">
        <v>142</v>
      </c>
      <c r="Z40" s="5"/>
      <c r="AA40" s="5"/>
      <c r="AB40" s="5"/>
      <c r="AC40" s="5"/>
      <c r="AD40" s="9" t="s">
        <v>142</v>
      </c>
      <c r="AE40" s="5"/>
      <c r="AF40" s="5"/>
      <c r="AG40" s="5"/>
      <c r="AH40" s="5"/>
      <c r="AI40" s="9" t="s">
        <v>142</v>
      </c>
      <c r="AJ40" s="5"/>
      <c r="AK40" s="5"/>
      <c r="AL40" s="5"/>
      <c r="AM40" s="5"/>
      <c r="AN40" s="9" t="s">
        <v>142</v>
      </c>
      <c r="AO40" s="5"/>
      <c r="AP40" s="5"/>
      <c r="AQ40" s="5"/>
      <c r="AR40" s="5"/>
      <c r="AS40" s="9" t="s">
        <v>142</v>
      </c>
      <c r="AT40" s="5"/>
      <c r="AU40" s="5"/>
      <c r="AV40" s="5"/>
      <c r="AW40" s="5"/>
      <c r="AX40" s="9" t="s">
        <v>142</v>
      </c>
      <c r="AY40" s="5"/>
      <c r="AZ40" s="5"/>
      <c r="BA40" s="5"/>
      <c r="BB40" s="5"/>
      <c r="BC40" s="9" t="s">
        <v>142</v>
      </c>
      <c r="BD40" s="5"/>
      <c r="BE40" s="5"/>
      <c r="BF40" s="5"/>
      <c r="BG40" s="5"/>
      <c r="BH40" s="9" t="s">
        <v>142</v>
      </c>
      <c r="BM40" s="9" t="s">
        <v>142</v>
      </c>
      <c r="BR40" s="9" t="s">
        <v>142</v>
      </c>
      <c r="BW40" s="9" t="s">
        <v>142</v>
      </c>
      <c r="BX40" s="5" t="s">
        <v>5222</v>
      </c>
      <c r="BY40" s="5" t="s">
        <v>686</v>
      </c>
      <c r="BZ40" s="5" t="s">
        <v>2585</v>
      </c>
      <c r="CA40" s="5" t="s">
        <v>4793</v>
      </c>
      <c r="CC40" s="5" t="s">
        <v>5278</v>
      </c>
      <c r="CD40" s="5" t="s">
        <v>686</v>
      </c>
      <c r="CE40" s="5" t="s">
        <v>2585</v>
      </c>
      <c r="CF40" s="5" t="s">
        <v>4793</v>
      </c>
      <c r="CR40" s="5" t="s">
        <v>5408</v>
      </c>
      <c r="CS40" s="5" t="s">
        <v>3672</v>
      </c>
      <c r="CT40" s="5" t="s">
        <v>2585</v>
      </c>
      <c r="CU40" s="5" t="s">
        <v>5180</v>
      </c>
    </row>
    <row r="41" spans="1:99" x14ac:dyDescent="0.25">
      <c r="A41" s="5"/>
      <c r="B41" s="5"/>
      <c r="C41" s="5"/>
      <c r="D41" s="5"/>
      <c r="E41" s="9" t="s">
        <v>142</v>
      </c>
      <c r="F41" s="5" t="s">
        <v>3730</v>
      </c>
      <c r="G41" s="5" t="s">
        <v>3697</v>
      </c>
      <c r="H41" s="5" t="s">
        <v>2585</v>
      </c>
      <c r="I41" s="5" t="s">
        <v>3705</v>
      </c>
      <c r="J41" s="9" t="s">
        <v>142</v>
      </c>
      <c r="K41" s="5" t="s">
        <v>4794</v>
      </c>
      <c r="L41" s="5" t="s">
        <v>686</v>
      </c>
      <c r="M41" s="5" t="s">
        <v>2585</v>
      </c>
      <c r="N41" s="5" t="s">
        <v>4795</v>
      </c>
      <c r="O41" s="9" t="s">
        <v>142</v>
      </c>
      <c r="P41" s="5" t="s">
        <v>4870</v>
      </c>
      <c r="Q41" s="5" t="s">
        <v>3671</v>
      </c>
      <c r="R41" s="5" t="s">
        <v>2585</v>
      </c>
      <c r="S41" s="5" t="s">
        <v>4756</v>
      </c>
      <c r="T41" s="9" t="s">
        <v>142</v>
      </c>
      <c r="U41" s="5"/>
      <c r="V41" s="5"/>
      <c r="W41" s="5"/>
      <c r="X41" s="5"/>
      <c r="Y41" s="9" t="s">
        <v>142</v>
      </c>
      <c r="Z41" s="5"/>
      <c r="AA41" s="5"/>
      <c r="AB41" s="5"/>
      <c r="AC41" s="5"/>
      <c r="AD41" s="9" t="s">
        <v>142</v>
      </c>
      <c r="AE41" s="5"/>
      <c r="AF41" s="5"/>
      <c r="AG41" s="5"/>
      <c r="AH41" s="5"/>
      <c r="AI41" s="9" t="s">
        <v>142</v>
      </c>
      <c r="AJ41" s="5"/>
      <c r="AK41" s="5"/>
      <c r="AL41" s="5"/>
      <c r="AM41" s="5"/>
      <c r="AN41" s="9" t="s">
        <v>142</v>
      </c>
      <c r="AO41" s="5"/>
      <c r="AP41" s="5"/>
      <c r="AQ41" s="5"/>
      <c r="AR41" s="5"/>
      <c r="AS41" s="9" t="s">
        <v>142</v>
      </c>
      <c r="AT41" s="5"/>
      <c r="AU41" s="5"/>
      <c r="AV41" s="5"/>
      <c r="AW41" s="5"/>
      <c r="AX41" s="9" t="s">
        <v>142</v>
      </c>
      <c r="AY41" s="5"/>
      <c r="AZ41" s="5"/>
      <c r="BA41" s="5"/>
      <c r="BB41" s="5"/>
      <c r="BC41" s="9" t="s">
        <v>142</v>
      </c>
      <c r="BD41" s="5"/>
      <c r="BE41" s="5"/>
      <c r="BF41" s="5"/>
      <c r="BG41" s="5"/>
      <c r="BH41" s="9" t="s">
        <v>142</v>
      </c>
      <c r="BM41" s="9" t="s">
        <v>142</v>
      </c>
      <c r="BR41" s="9" t="s">
        <v>142</v>
      </c>
      <c r="BW41" s="9" t="s">
        <v>142</v>
      </c>
      <c r="BX41" s="5" t="s">
        <v>5223</v>
      </c>
      <c r="BY41" s="5" t="s">
        <v>686</v>
      </c>
      <c r="BZ41" s="5" t="s">
        <v>2585</v>
      </c>
      <c r="CA41" s="5" t="s">
        <v>4795</v>
      </c>
      <c r="CC41" s="5" t="s">
        <v>5279</v>
      </c>
      <c r="CD41" s="5" t="s">
        <v>686</v>
      </c>
      <c r="CE41" s="5" t="s">
        <v>2585</v>
      </c>
      <c r="CF41" s="5" t="s">
        <v>4795</v>
      </c>
      <c r="CR41" s="5" t="s">
        <v>5409</v>
      </c>
      <c r="CS41" s="5" t="s">
        <v>3671</v>
      </c>
      <c r="CT41" s="5" t="s">
        <v>2585</v>
      </c>
      <c r="CU41" s="5" t="s">
        <v>4756</v>
      </c>
    </row>
    <row r="42" spans="1:99" x14ac:dyDescent="0.25">
      <c r="A42" s="5"/>
      <c r="B42" s="5"/>
      <c r="C42" s="5"/>
      <c r="D42" s="5"/>
      <c r="E42" s="9" t="s">
        <v>142</v>
      </c>
      <c r="F42" s="5" t="s">
        <v>3731</v>
      </c>
      <c r="G42" s="5" t="s">
        <v>3699</v>
      </c>
      <c r="H42" s="5" t="s">
        <v>2585</v>
      </c>
      <c r="I42" s="5" t="s">
        <v>3732</v>
      </c>
      <c r="J42" s="9" t="s">
        <v>142</v>
      </c>
      <c r="K42" s="5" t="s">
        <v>4796</v>
      </c>
      <c r="L42" s="5" t="s">
        <v>686</v>
      </c>
      <c r="M42" s="5" t="s">
        <v>2585</v>
      </c>
      <c r="N42" s="5" t="s">
        <v>4797</v>
      </c>
      <c r="O42" s="9" t="s">
        <v>142</v>
      </c>
      <c r="P42" s="5" t="s">
        <v>4871</v>
      </c>
      <c r="Q42" s="5" t="s">
        <v>3672</v>
      </c>
      <c r="R42" s="5" t="s">
        <v>2585</v>
      </c>
      <c r="S42" s="5" t="s">
        <v>4872</v>
      </c>
      <c r="T42" s="9" t="s">
        <v>142</v>
      </c>
      <c r="U42" s="5"/>
      <c r="V42" s="5"/>
      <c r="W42" s="5"/>
      <c r="X42" s="5"/>
      <c r="Y42" s="9" t="s">
        <v>142</v>
      </c>
      <c r="Z42" s="5"/>
      <c r="AA42" s="5"/>
      <c r="AB42" s="5"/>
      <c r="AC42" s="5"/>
      <c r="AD42" s="9" t="s">
        <v>142</v>
      </c>
      <c r="AE42" s="5"/>
      <c r="AF42" s="5"/>
      <c r="AG42" s="5"/>
      <c r="AH42" s="5"/>
      <c r="AI42" s="9" t="s">
        <v>142</v>
      </c>
      <c r="AJ42" s="5"/>
      <c r="AK42" s="5"/>
      <c r="AL42" s="5"/>
      <c r="AM42" s="5"/>
      <c r="AN42" s="9" t="s">
        <v>142</v>
      </c>
      <c r="AO42" s="5"/>
      <c r="AP42" s="5"/>
      <c r="AQ42" s="5"/>
      <c r="AR42" s="5"/>
      <c r="AS42" s="9" t="s">
        <v>142</v>
      </c>
      <c r="AT42" s="5"/>
      <c r="AU42" s="5"/>
      <c r="AV42" s="5"/>
      <c r="AW42" s="5"/>
      <c r="AX42" s="9" t="s">
        <v>142</v>
      </c>
      <c r="AY42" s="5"/>
      <c r="AZ42" s="5"/>
      <c r="BA42" s="5"/>
      <c r="BB42" s="5"/>
      <c r="BC42" s="9" t="s">
        <v>142</v>
      </c>
      <c r="BD42" s="5"/>
      <c r="BE42" s="5"/>
      <c r="BF42" s="5"/>
      <c r="BG42" s="5"/>
      <c r="BH42" s="9" t="s">
        <v>142</v>
      </c>
      <c r="BM42" s="9" t="s">
        <v>142</v>
      </c>
      <c r="BR42" s="9" t="s">
        <v>142</v>
      </c>
      <c r="BW42" s="9" t="s">
        <v>142</v>
      </c>
      <c r="BX42" s="5" t="s">
        <v>5224</v>
      </c>
      <c r="BY42" s="5" t="s">
        <v>686</v>
      </c>
      <c r="BZ42" s="5" t="s">
        <v>2585</v>
      </c>
      <c r="CA42" s="5" t="s">
        <v>4797</v>
      </c>
      <c r="CC42" s="5" t="s">
        <v>5280</v>
      </c>
      <c r="CD42" s="5" t="s">
        <v>686</v>
      </c>
      <c r="CE42" s="5" t="s">
        <v>2585</v>
      </c>
      <c r="CF42" s="5" t="s">
        <v>4797</v>
      </c>
      <c r="CR42" s="5" t="s">
        <v>5410</v>
      </c>
      <c r="CS42" s="5" t="s">
        <v>3672</v>
      </c>
      <c r="CT42" s="5" t="s">
        <v>2585</v>
      </c>
      <c r="CU42" s="5" t="s">
        <v>5411</v>
      </c>
    </row>
    <row r="43" spans="1:99" x14ac:dyDescent="0.25">
      <c r="A43" s="5"/>
      <c r="B43" s="5"/>
      <c r="C43" s="5"/>
      <c r="D43" s="5"/>
      <c r="E43" s="9" t="s">
        <v>142</v>
      </c>
      <c r="F43" s="5" t="s">
        <v>3733</v>
      </c>
      <c r="G43" s="5" t="s">
        <v>3699</v>
      </c>
      <c r="H43" s="5" t="s">
        <v>2585</v>
      </c>
      <c r="I43" s="5" t="s">
        <v>3734</v>
      </c>
      <c r="J43" s="9" t="s">
        <v>142</v>
      </c>
      <c r="K43" s="5" t="s">
        <v>4798</v>
      </c>
      <c r="L43" s="5" t="s">
        <v>686</v>
      </c>
      <c r="M43" s="5" t="s">
        <v>2585</v>
      </c>
      <c r="N43" s="5" t="s">
        <v>4799</v>
      </c>
      <c r="O43" s="9" t="s">
        <v>142</v>
      </c>
      <c r="P43" s="5" t="s">
        <v>4873</v>
      </c>
      <c r="Q43" s="5" t="s">
        <v>3672</v>
      </c>
      <c r="R43" s="5" t="s">
        <v>2585</v>
      </c>
      <c r="S43" s="5" t="s">
        <v>4874</v>
      </c>
      <c r="T43" s="9" t="s">
        <v>142</v>
      </c>
      <c r="U43" s="5"/>
      <c r="V43" s="5"/>
      <c r="W43" s="5"/>
      <c r="X43" s="5"/>
      <c r="Y43" s="9" t="s">
        <v>142</v>
      </c>
      <c r="Z43" s="5"/>
      <c r="AA43" s="5"/>
      <c r="AB43" s="5"/>
      <c r="AC43" s="5"/>
      <c r="AD43" s="9" t="s">
        <v>142</v>
      </c>
      <c r="AE43" s="5"/>
      <c r="AF43" s="5"/>
      <c r="AG43" s="5"/>
      <c r="AH43" s="5"/>
      <c r="AI43" s="9" t="s">
        <v>142</v>
      </c>
      <c r="AJ43" s="5"/>
      <c r="AK43" s="5"/>
      <c r="AL43" s="5"/>
      <c r="AM43" s="5"/>
      <c r="AN43" s="9" t="s">
        <v>142</v>
      </c>
      <c r="AO43" s="5"/>
      <c r="AP43" s="5"/>
      <c r="AQ43" s="5"/>
      <c r="AR43" s="5"/>
      <c r="AS43" s="9" t="s">
        <v>142</v>
      </c>
      <c r="AT43" s="5"/>
      <c r="AU43" s="5"/>
      <c r="AV43" s="5"/>
      <c r="AW43" s="5"/>
      <c r="AX43" s="9" t="s">
        <v>142</v>
      </c>
      <c r="AY43" s="5"/>
      <c r="AZ43" s="5"/>
      <c r="BA43" s="5"/>
      <c r="BB43" s="5"/>
      <c r="BC43" s="9" t="s">
        <v>142</v>
      </c>
      <c r="BD43" s="5"/>
      <c r="BE43" s="5"/>
      <c r="BF43" s="5"/>
      <c r="BG43" s="5"/>
      <c r="BH43" s="9" t="s">
        <v>142</v>
      </c>
      <c r="BM43" s="9" t="s">
        <v>142</v>
      </c>
      <c r="BR43" s="9" t="s">
        <v>142</v>
      </c>
      <c r="BW43" s="9" t="s">
        <v>142</v>
      </c>
      <c r="BX43" s="5" t="s">
        <v>5225</v>
      </c>
      <c r="BY43" s="5" t="s">
        <v>686</v>
      </c>
      <c r="BZ43" s="5" t="s">
        <v>2585</v>
      </c>
      <c r="CA43" s="5" t="s">
        <v>4799</v>
      </c>
      <c r="CC43" s="5" t="s">
        <v>5281</v>
      </c>
      <c r="CD43" s="5" t="s">
        <v>686</v>
      </c>
      <c r="CE43" s="5" t="s">
        <v>2585</v>
      </c>
      <c r="CF43" s="5" t="s">
        <v>4799</v>
      </c>
      <c r="CR43" s="5" t="s">
        <v>5412</v>
      </c>
      <c r="CS43" s="5" t="s">
        <v>3672</v>
      </c>
      <c r="CT43" s="5" t="s">
        <v>2585</v>
      </c>
      <c r="CU43" s="5" t="s">
        <v>5413</v>
      </c>
    </row>
    <row r="44" spans="1:99" x14ac:dyDescent="0.25">
      <c r="A44" s="5"/>
      <c r="B44" s="5"/>
      <c r="C44" s="5"/>
      <c r="D44" s="5"/>
      <c r="E44" s="9" t="s">
        <v>142</v>
      </c>
      <c r="F44" s="5" t="s">
        <v>3735</v>
      </c>
      <c r="G44" s="5" t="s">
        <v>3699</v>
      </c>
      <c r="H44" s="5" t="s">
        <v>2585</v>
      </c>
      <c r="I44" s="5" t="s">
        <v>3736</v>
      </c>
      <c r="J44" s="9" t="s">
        <v>142</v>
      </c>
      <c r="K44" s="5" t="s">
        <v>4800</v>
      </c>
      <c r="L44" s="5" t="s">
        <v>3670</v>
      </c>
      <c r="M44" s="5" t="s">
        <v>2585</v>
      </c>
      <c r="N44" s="5" t="s">
        <v>4752</v>
      </c>
      <c r="O44" s="9" t="s">
        <v>142</v>
      </c>
      <c r="P44" s="5" t="s">
        <v>4875</v>
      </c>
      <c r="Q44" s="5" t="s">
        <v>3671</v>
      </c>
      <c r="R44" s="5" t="s">
        <v>2585</v>
      </c>
      <c r="S44" s="5" t="s">
        <v>4876</v>
      </c>
      <c r="T44" s="9" t="s">
        <v>142</v>
      </c>
      <c r="U44" s="5"/>
      <c r="V44" s="5"/>
      <c r="W44" s="5"/>
      <c r="X44" s="5"/>
      <c r="Y44" s="9" t="s">
        <v>142</v>
      </c>
      <c r="Z44" s="5"/>
      <c r="AA44" s="5"/>
      <c r="AB44" s="5"/>
      <c r="AC44" s="5"/>
      <c r="AD44" s="9" t="s">
        <v>142</v>
      </c>
      <c r="AE44" s="5"/>
      <c r="AF44" s="5"/>
      <c r="AG44" s="5"/>
      <c r="AH44" s="5"/>
      <c r="AI44" s="9" t="s">
        <v>142</v>
      </c>
      <c r="AJ44" s="5"/>
      <c r="AK44" s="5"/>
      <c r="AL44" s="5"/>
      <c r="AM44" s="5"/>
      <c r="AN44" s="9" t="s">
        <v>142</v>
      </c>
      <c r="AO44" s="5"/>
      <c r="AP44" s="5"/>
      <c r="AQ44" s="5"/>
      <c r="AR44" s="5"/>
      <c r="AS44" s="9" t="s">
        <v>142</v>
      </c>
      <c r="AT44" s="5"/>
      <c r="AU44" s="5"/>
      <c r="AV44" s="5"/>
      <c r="AW44" s="5"/>
      <c r="AX44" s="9" t="s">
        <v>142</v>
      </c>
      <c r="AY44" s="5"/>
      <c r="AZ44" s="5"/>
      <c r="BA44" s="5"/>
      <c r="BB44" s="5"/>
      <c r="BC44" s="9" t="s">
        <v>142</v>
      </c>
      <c r="BD44" s="5"/>
      <c r="BE44" s="5"/>
      <c r="BF44" s="5"/>
      <c r="BG44" s="5"/>
      <c r="BH44" s="9" t="s">
        <v>142</v>
      </c>
      <c r="BM44" s="9" t="s">
        <v>142</v>
      </c>
      <c r="BR44" s="9" t="s">
        <v>142</v>
      </c>
      <c r="BW44" s="9" t="s">
        <v>142</v>
      </c>
      <c r="BX44" s="5" t="s">
        <v>5226</v>
      </c>
      <c r="BY44" s="5" t="s">
        <v>3670</v>
      </c>
      <c r="BZ44" s="5" t="s">
        <v>2585</v>
      </c>
      <c r="CA44" s="5" t="s">
        <v>4752</v>
      </c>
      <c r="CC44" s="5" t="s">
        <v>5282</v>
      </c>
      <c r="CD44" s="5" t="s">
        <v>3670</v>
      </c>
      <c r="CE44" s="5" t="s">
        <v>2585</v>
      </c>
      <c r="CF44" s="5" t="s">
        <v>4752</v>
      </c>
      <c r="CR44" s="5" t="s">
        <v>5414</v>
      </c>
      <c r="CS44" s="5" t="s">
        <v>3671</v>
      </c>
      <c r="CT44" s="5" t="s">
        <v>2585</v>
      </c>
      <c r="CU44" s="5" t="s">
        <v>4876</v>
      </c>
    </row>
    <row r="45" spans="1:99" x14ac:dyDescent="0.25">
      <c r="A45" s="5"/>
      <c r="B45" s="5"/>
      <c r="C45" s="5"/>
      <c r="D45" s="5"/>
      <c r="E45" s="9" t="s">
        <v>142</v>
      </c>
      <c r="F45" s="5" t="s">
        <v>3737</v>
      </c>
      <c r="G45" s="5" t="s">
        <v>3699</v>
      </c>
      <c r="H45" s="5" t="s">
        <v>2585</v>
      </c>
      <c r="I45" s="5" t="s">
        <v>3738</v>
      </c>
      <c r="J45" s="9" t="s">
        <v>142</v>
      </c>
      <c r="K45" s="5" t="s">
        <v>4801</v>
      </c>
      <c r="L45" s="5" t="s">
        <v>686</v>
      </c>
      <c r="M45" s="5" t="s">
        <v>2585</v>
      </c>
      <c r="N45" s="5" t="s">
        <v>4754</v>
      </c>
      <c r="O45" s="9" t="s">
        <v>142</v>
      </c>
      <c r="P45" s="5" t="s">
        <v>4877</v>
      </c>
      <c r="Q45" s="5" t="s">
        <v>3672</v>
      </c>
      <c r="R45" s="5" t="s">
        <v>2585</v>
      </c>
      <c r="S45" s="5" t="s">
        <v>4878</v>
      </c>
      <c r="T45" s="9" t="s">
        <v>142</v>
      </c>
      <c r="U45" s="5"/>
      <c r="V45" s="5"/>
      <c r="W45" s="5"/>
      <c r="X45" s="5"/>
      <c r="Y45" s="9" t="s">
        <v>142</v>
      </c>
      <c r="Z45" s="5"/>
      <c r="AA45" s="5"/>
      <c r="AB45" s="5"/>
      <c r="AC45" s="5"/>
      <c r="AD45" s="9" t="s">
        <v>142</v>
      </c>
      <c r="AE45" s="5"/>
      <c r="AF45" s="5"/>
      <c r="AG45" s="5"/>
      <c r="AH45" s="5"/>
      <c r="AI45" s="9" t="s">
        <v>142</v>
      </c>
      <c r="AJ45" s="5"/>
      <c r="AK45" s="5"/>
      <c r="AL45" s="5"/>
      <c r="AM45" s="5"/>
      <c r="AN45" s="9" t="s">
        <v>142</v>
      </c>
      <c r="AO45" s="5"/>
      <c r="AP45" s="5"/>
      <c r="AQ45" s="5"/>
      <c r="AR45" s="5"/>
      <c r="AS45" s="9" t="s">
        <v>142</v>
      </c>
      <c r="AT45" s="5"/>
      <c r="AU45" s="5"/>
      <c r="AV45" s="5"/>
      <c r="AW45" s="5"/>
      <c r="AX45" s="9" t="s">
        <v>142</v>
      </c>
      <c r="AY45" s="5"/>
      <c r="AZ45" s="5"/>
      <c r="BA45" s="5"/>
      <c r="BB45" s="5"/>
      <c r="BC45" s="9" t="s">
        <v>142</v>
      </c>
      <c r="BD45" s="5"/>
      <c r="BE45" s="5"/>
      <c r="BF45" s="5"/>
      <c r="BG45" s="5"/>
      <c r="BH45" s="9" t="s">
        <v>142</v>
      </c>
      <c r="BM45" s="9" t="s">
        <v>142</v>
      </c>
      <c r="BR45" s="9" t="s">
        <v>142</v>
      </c>
      <c r="BW45" s="9" t="s">
        <v>142</v>
      </c>
      <c r="BX45" s="5" t="s">
        <v>5227</v>
      </c>
      <c r="BY45" s="5" t="s">
        <v>686</v>
      </c>
      <c r="BZ45" s="5" t="s">
        <v>2585</v>
      </c>
      <c r="CA45" s="5" t="s">
        <v>4754</v>
      </c>
      <c r="CC45" s="5" t="s">
        <v>5283</v>
      </c>
      <c r="CD45" s="5" t="s">
        <v>686</v>
      </c>
      <c r="CE45" s="5" t="s">
        <v>2585</v>
      </c>
      <c r="CF45" s="5" t="s">
        <v>4754</v>
      </c>
      <c r="CR45" s="5" t="s">
        <v>5415</v>
      </c>
      <c r="CS45" s="5" t="s">
        <v>3672</v>
      </c>
      <c r="CT45" s="5" t="s">
        <v>2585</v>
      </c>
      <c r="CU45" s="5" t="s">
        <v>5416</v>
      </c>
    </row>
    <row r="46" spans="1:99" x14ac:dyDescent="0.25">
      <c r="A46" s="5"/>
      <c r="B46" s="5"/>
      <c r="C46" s="5"/>
      <c r="D46" s="5"/>
      <c r="E46" s="9" t="s">
        <v>142</v>
      </c>
      <c r="F46" s="5" t="s">
        <v>3739</v>
      </c>
      <c r="G46" s="5" t="s">
        <v>3699</v>
      </c>
      <c r="H46" s="5" t="s">
        <v>2585</v>
      </c>
      <c r="I46" s="5" t="s">
        <v>3740</v>
      </c>
      <c r="J46" s="9" t="s">
        <v>142</v>
      </c>
      <c r="K46" s="5" t="s">
        <v>4802</v>
      </c>
      <c r="L46" s="5" t="s">
        <v>3670</v>
      </c>
      <c r="M46" s="5" t="s">
        <v>2585</v>
      </c>
      <c r="N46" s="5" t="s">
        <v>4756</v>
      </c>
      <c r="O46" s="9" t="s">
        <v>142</v>
      </c>
      <c r="P46" s="5" t="s">
        <v>4879</v>
      </c>
      <c r="Q46" s="5" t="s">
        <v>3671</v>
      </c>
      <c r="R46" s="5" t="s">
        <v>2585</v>
      </c>
      <c r="S46" s="5" t="s">
        <v>4880</v>
      </c>
      <c r="T46" s="9" t="s">
        <v>142</v>
      </c>
      <c r="U46" s="5"/>
      <c r="V46" s="5"/>
      <c r="W46" s="5"/>
      <c r="X46" s="5"/>
      <c r="Y46" s="9" t="s">
        <v>142</v>
      </c>
      <c r="Z46" s="5"/>
      <c r="AA46" s="5"/>
      <c r="AB46" s="5"/>
      <c r="AC46" s="5"/>
      <c r="AD46" s="9" t="s">
        <v>142</v>
      </c>
      <c r="AE46" s="5"/>
      <c r="AF46" s="5"/>
      <c r="AG46" s="5"/>
      <c r="AH46" s="5"/>
      <c r="AI46" s="9" t="s">
        <v>142</v>
      </c>
      <c r="AJ46" s="5"/>
      <c r="AK46" s="5"/>
      <c r="AL46" s="5"/>
      <c r="AM46" s="5"/>
      <c r="AN46" s="9" t="s">
        <v>142</v>
      </c>
      <c r="AO46" s="5"/>
      <c r="AP46" s="5"/>
      <c r="AQ46" s="5"/>
      <c r="AR46" s="5"/>
      <c r="AS46" s="9" t="s">
        <v>142</v>
      </c>
      <c r="AT46" s="5"/>
      <c r="AU46" s="5"/>
      <c r="AV46" s="5"/>
      <c r="AW46" s="5"/>
      <c r="AX46" s="9" t="s">
        <v>142</v>
      </c>
      <c r="AY46" s="5"/>
      <c r="AZ46" s="5"/>
      <c r="BA46" s="5"/>
      <c r="BB46" s="5"/>
      <c r="BC46" s="9" t="s">
        <v>142</v>
      </c>
      <c r="BD46" s="5"/>
      <c r="BE46" s="5"/>
      <c r="BF46" s="5"/>
      <c r="BG46" s="5"/>
      <c r="BH46" s="9" t="s">
        <v>142</v>
      </c>
      <c r="BM46" s="9" t="s">
        <v>142</v>
      </c>
      <c r="BR46" s="9" t="s">
        <v>142</v>
      </c>
      <c r="BW46" s="9" t="s">
        <v>142</v>
      </c>
      <c r="BX46" s="5" t="s">
        <v>5228</v>
      </c>
      <c r="BY46" s="5" t="s">
        <v>3670</v>
      </c>
      <c r="BZ46" s="5" t="s">
        <v>2585</v>
      </c>
      <c r="CA46" s="5" t="s">
        <v>4756</v>
      </c>
      <c r="CC46" s="5" t="s">
        <v>5284</v>
      </c>
      <c r="CD46" s="5" t="s">
        <v>3670</v>
      </c>
      <c r="CE46" s="5" t="s">
        <v>2585</v>
      </c>
      <c r="CF46" s="5" t="s">
        <v>4756</v>
      </c>
      <c r="CR46" s="5" t="s">
        <v>5417</v>
      </c>
      <c r="CS46" s="5" t="s">
        <v>3671</v>
      </c>
      <c r="CT46" s="5" t="s">
        <v>2585</v>
      </c>
      <c r="CU46" s="5" t="s">
        <v>4880</v>
      </c>
    </row>
    <row r="47" spans="1:99" x14ac:dyDescent="0.25">
      <c r="A47" s="5"/>
      <c r="B47" s="5"/>
      <c r="C47" s="5"/>
      <c r="D47" s="5"/>
      <c r="E47" s="9" t="s">
        <v>142</v>
      </c>
      <c r="F47" s="5" t="s">
        <v>3741</v>
      </c>
      <c r="G47" s="5" t="s">
        <v>3699</v>
      </c>
      <c r="H47" s="5" t="s">
        <v>2585</v>
      </c>
      <c r="I47" s="5" t="s">
        <v>3742</v>
      </c>
      <c r="J47" s="9" t="s">
        <v>142</v>
      </c>
      <c r="K47" s="5" t="s">
        <v>4803</v>
      </c>
      <c r="L47" s="5" t="s">
        <v>686</v>
      </c>
      <c r="M47" s="5" t="s">
        <v>2585</v>
      </c>
      <c r="N47" s="5" t="s">
        <v>4804</v>
      </c>
      <c r="O47" s="9" t="s">
        <v>142</v>
      </c>
      <c r="P47" s="5" t="s">
        <v>4881</v>
      </c>
      <c r="Q47" s="5" t="s">
        <v>3672</v>
      </c>
      <c r="R47" s="5" t="s">
        <v>2585</v>
      </c>
      <c r="S47" s="5" t="s">
        <v>4882</v>
      </c>
      <c r="T47" s="9" t="s">
        <v>142</v>
      </c>
      <c r="U47" s="5"/>
      <c r="V47" s="5"/>
      <c r="W47" s="5"/>
      <c r="X47" s="5"/>
      <c r="Y47" s="9" t="s">
        <v>142</v>
      </c>
      <c r="Z47" s="5"/>
      <c r="AA47" s="5"/>
      <c r="AB47" s="5"/>
      <c r="AC47" s="5"/>
      <c r="AD47" s="9" t="s">
        <v>142</v>
      </c>
      <c r="AE47" s="5"/>
      <c r="AF47" s="5"/>
      <c r="AG47" s="5"/>
      <c r="AH47" s="5"/>
      <c r="AI47" s="9" t="s">
        <v>142</v>
      </c>
      <c r="AJ47" s="5"/>
      <c r="AK47" s="5"/>
      <c r="AL47" s="5"/>
      <c r="AM47" s="5"/>
      <c r="AN47" s="9" t="s">
        <v>142</v>
      </c>
      <c r="AO47" s="5"/>
      <c r="AP47" s="5"/>
      <c r="AQ47" s="5"/>
      <c r="AR47" s="5"/>
      <c r="AS47" s="9" t="s">
        <v>142</v>
      </c>
      <c r="AT47" s="5"/>
      <c r="AU47" s="5"/>
      <c r="AV47" s="5"/>
      <c r="AW47" s="5"/>
      <c r="AX47" s="9" t="s">
        <v>142</v>
      </c>
      <c r="AY47" s="5"/>
      <c r="AZ47" s="5"/>
      <c r="BA47" s="5"/>
      <c r="BB47" s="5"/>
      <c r="BC47" s="9" t="s">
        <v>142</v>
      </c>
      <c r="BD47" s="5"/>
      <c r="BE47" s="5"/>
      <c r="BF47" s="5"/>
      <c r="BG47" s="5"/>
      <c r="BH47" s="9" t="s">
        <v>142</v>
      </c>
      <c r="BM47" s="9" t="s">
        <v>142</v>
      </c>
      <c r="BR47" s="9" t="s">
        <v>142</v>
      </c>
      <c r="BW47" s="9" t="s">
        <v>142</v>
      </c>
      <c r="BX47" s="5" t="s">
        <v>5229</v>
      </c>
      <c r="BY47" s="5" t="s">
        <v>686</v>
      </c>
      <c r="BZ47" s="5" t="s">
        <v>2585</v>
      </c>
      <c r="CA47" s="5" t="s">
        <v>5196</v>
      </c>
      <c r="CC47" s="5" t="s">
        <v>5285</v>
      </c>
      <c r="CD47" s="5" t="s">
        <v>686</v>
      </c>
      <c r="CE47" s="5" t="s">
        <v>2585</v>
      </c>
      <c r="CF47" s="5" t="s">
        <v>5286</v>
      </c>
      <c r="CR47" s="5" t="s">
        <v>5418</v>
      </c>
      <c r="CS47" s="5" t="s">
        <v>3672</v>
      </c>
      <c r="CT47" s="5" t="s">
        <v>2585</v>
      </c>
      <c r="CU47" s="5" t="s">
        <v>4882</v>
      </c>
    </row>
    <row r="48" spans="1:99" x14ac:dyDescent="0.25">
      <c r="A48" s="5"/>
      <c r="B48" s="5"/>
      <c r="C48" s="5"/>
      <c r="D48" s="5"/>
      <c r="E48" s="9" t="s">
        <v>142</v>
      </c>
      <c r="F48" s="5" t="s">
        <v>3743</v>
      </c>
      <c r="G48" s="5" t="s">
        <v>3699</v>
      </c>
      <c r="H48" s="5" t="s">
        <v>2585</v>
      </c>
      <c r="I48" s="5" t="s">
        <v>3744</v>
      </c>
      <c r="J48" s="9" t="s">
        <v>142</v>
      </c>
      <c r="K48" s="5" t="s">
        <v>4805</v>
      </c>
      <c r="L48" s="5" t="s">
        <v>686</v>
      </c>
      <c r="M48" s="5" t="s">
        <v>2585</v>
      </c>
      <c r="N48" s="5" t="s">
        <v>4760</v>
      </c>
      <c r="O48" s="9" t="s">
        <v>142</v>
      </c>
      <c r="P48" s="5" t="s">
        <v>4883</v>
      </c>
      <c r="Q48" s="5" t="s">
        <v>3671</v>
      </c>
      <c r="R48" s="5" t="s">
        <v>2585</v>
      </c>
      <c r="S48" s="5" t="s">
        <v>3666</v>
      </c>
      <c r="T48" s="9" t="s">
        <v>142</v>
      </c>
      <c r="U48" s="5"/>
      <c r="V48" s="5"/>
      <c r="W48" s="5"/>
      <c r="X48" s="5"/>
      <c r="Y48" s="9" t="s">
        <v>142</v>
      </c>
      <c r="Z48" s="5"/>
      <c r="AA48" s="5"/>
      <c r="AB48" s="5"/>
      <c r="AC48" s="5"/>
      <c r="AD48" s="9" t="s">
        <v>142</v>
      </c>
      <c r="AE48" s="5"/>
      <c r="AF48" s="5"/>
      <c r="AG48" s="5"/>
      <c r="AH48" s="5"/>
      <c r="AI48" s="9" t="s">
        <v>142</v>
      </c>
      <c r="AJ48" s="5"/>
      <c r="AK48" s="5"/>
      <c r="AL48" s="5"/>
      <c r="AM48" s="5"/>
      <c r="AN48" s="9" t="s">
        <v>142</v>
      </c>
      <c r="AO48" s="5"/>
      <c r="AP48" s="5"/>
      <c r="AQ48" s="5"/>
      <c r="AR48" s="5"/>
      <c r="AS48" s="9" t="s">
        <v>142</v>
      </c>
      <c r="AT48" s="5"/>
      <c r="AU48" s="5"/>
      <c r="AV48" s="5"/>
      <c r="AW48" s="5"/>
      <c r="AX48" s="9" t="s">
        <v>142</v>
      </c>
      <c r="AY48" s="5"/>
      <c r="AZ48" s="5"/>
      <c r="BA48" s="5"/>
      <c r="BB48" s="5"/>
      <c r="BC48" s="9" t="s">
        <v>142</v>
      </c>
      <c r="BD48" s="5"/>
      <c r="BE48" s="5"/>
      <c r="BF48" s="5"/>
      <c r="BG48" s="5"/>
      <c r="BH48" s="9" t="s">
        <v>142</v>
      </c>
      <c r="BM48" s="9" t="s">
        <v>142</v>
      </c>
      <c r="BR48" s="9" t="s">
        <v>142</v>
      </c>
      <c r="BW48" s="9" t="s">
        <v>142</v>
      </c>
      <c r="BX48" s="5" t="s">
        <v>5230</v>
      </c>
      <c r="BY48" s="5" t="s">
        <v>686</v>
      </c>
      <c r="BZ48" s="5" t="s">
        <v>2585</v>
      </c>
      <c r="CA48" s="5" t="s">
        <v>5231</v>
      </c>
      <c r="CC48" s="5" t="s">
        <v>5287</v>
      </c>
      <c r="CD48" s="5" t="s">
        <v>686</v>
      </c>
      <c r="CE48" s="5" t="s">
        <v>2585</v>
      </c>
      <c r="CF48" s="5" t="s">
        <v>5288</v>
      </c>
      <c r="CR48" s="5" t="s">
        <v>5419</v>
      </c>
      <c r="CS48" s="5" t="s">
        <v>3671</v>
      </c>
      <c r="CT48" s="5" t="s">
        <v>2585</v>
      </c>
      <c r="CU48" s="5" t="s">
        <v>3666</v>
      </c>
    </row>
    <row r="49" spans="1:99" x14ac:dyDescent="0.25">
      <c r="A49" s="5"/>
      <c r="B49" s="5"/>
      <c r="C49" s="5"/>
      <c r="D49" s="5"/>
      <c r="E49" s="9" t="s">
        <v>142</v>
      </c>
      <c r="F49" s="5" t="s">
        <v>3745</v>
      </c>
      <c r="G49" s="5" t="s">
        <v>3699</v>
      </c>
      <c r="H49" s="5" t="s">
        <v>2585</v>
      </c>
      <c r="I49" s="5" t="s">
        <v>3746</v>
      </c>
      <c r="J49" s="9" t="s">
        <v>142</v>
      </c>
      <c r="K49" s="5" t="s">
        <v>4806</v>
      </c>
      <c r="L49" s="5" t="s">
        <v>686</v>
      </c>
      <c r="M49" s="5" t="s">
        <v>2585</v>
      </c>
      <c r="N49" s="5" t="s">
        <v>4762</v>
      </c>
      <c r="O49" s="9" t="s">
        <v>142</v>
      </c>
      <c r="P49" s="5" t="s">
        <v>4884</v>
      </c>
      <c r="Q49" s="5" t="s">
        <v>3672</v>
      </c>
      <c r="R49" s="5" t="s">
        <v>2585</v>
      </c>
      <c r="S49" s="5" t="s">
        <v>4885</v>
      </c>
      <c r="T49" s="9" t="s">
        <v>142</v>
      </c>
      <c r="U49" s="5"/>
      <c r="V49" s="5"/>
      <c r="W49" s="5"/>
      <c r="X49" s="5"/>
      <c r="Y49" s="9" t="s">
        <v>142</v>
      </c>
      <c r="Z49" s="5"/>
      <c r="AA49" s="5"/>
      <c r="AB49" s="5"/>
      <c r="AC49" s="5"/>
      <c r="AD49" s="9" t="s">
        <v>142</v>
      </c>
      <c r="AE49" s="5"/>
      <c r="AF49" s="5"/>
      <c r="AG49" s="5"/>
      <c r="AH49" s="5"/>
      <c r="AI49" s="9" t="s">
        <v>142</v>
      </c>
      <c r="AJ49" s="5"/>
      <c r="AK49" s="5"/>
      <c r="AL49" s="5"/>
      <c r="AM49" s="5"/>
      <c r="AN49" s="9" t="s">
        <v>142</v>
      </c>
      <c r="AO49" s="5"/>
      <c r="AP49" s="5"/>
      <c r="AQ49" s="5"/>
      <c r="AR49" s="5"/>
      <c r="AS49" s="9" t="s">
        <v>142</v>
      </c>
      <c r="AT49" s="5"/>
      <c r="AU49" s="5"/>
      <c r="AV49" s="5"/>
      <c r="AW49" s="5"/>
      <c r="AX49" s="9" t="s">
        <v>142</v>
      </c>
      <c r="AY49" s="5"/>
      <c r="AZ49" s="5"/>
      <c r="BA49" s="5"/>
      <c r="BB49" s="5"/>
      <c r="BC49" s="9" t="s">
        <v>142</v>
      </c>
      <c r="BD49" s="5"/>
      <c r="BE49" s="5"/>
      <c r="BF49" s="5"/>
      <c r="BG49" s="5"/>
      <c r="BH49" s="9" t="s">
        <v>142</v>
      </c>
      <c r="BM49" s="9" t="s">
        <v>142</v>
      </c>
      <c r="BR49" s="9" t="s">
        <v>142</v>
      </c>
      <c r="BW49" s="9" t="s">
        <v>142</v>
      </c>
      <c r="BX49" s="5" t="s">
        <v>5232</v>
      </c>
      <c r="BY49" s="5" t="s">
        <v>686</v>
      </c>
      <c r="BZ49" s="5" t="s">
        <v>2585</v>
      </c>
      <c r="CA49" s="5" t="s">
        <v>5233</v>
      </c>
      <c r="CC49" s="5" t="s">
        <v>5289</v>
      </c>
      <c r="CD49" s="5" t="s">
        <v>686</v>
      </c>
      <c r="CE49" s="5" t="s">
        <v>2585</v>
      </c>
      <c r="CF49" s="5" t="s">
        <v>5290</v>
      </c>
      <c r="CR49" s="5" t="s">
        <v>5420</v>
      </c>
      <c r="CS49" s="5" t="s">
        <v>3672</v>
      </c>
      <c r="CT49" s="5" t="s">
        <v>2585</v>
      </c>
      <c r="CU49" s="5" t="s">
        <v>4885</v>
      </c>
    </row>
    <row r="50" spans="1:99" x14ac:dyDescent="0.25">
      <c r="A50" s="5"/>
      <c r="B50" s="5"/>
      <c r="C50" s="5"/>
      <c r="D50" s="5"/>
      <c r="E50" s="9" t="s">
        <v>142</v>
      </c>
      <c r="F50" s="5" t="s">
        <v>3747</v>
      </c>
      <c r="G50" s="5" t="s">
        <v>3697</v>
      </c>
      <c r="H50" s="5" t="s">
        <v>2585</v>
      </c>
      <c r="I50" s="5" t="s">
        <v>3748</v>
      </c>
      <c r="J50" s="9" t="s">
        <v>142</v>
      </c>
      <c r="K50" s="5" t="s">
        <v>4807</v>
      </c>
      <c r="L50" s="5" t="s">
        <v>686</v>
      </c>
      <c r="M50" s="5" t="s">
        <v>2585</v>
      </c>
      <c r="N50" s="5" t="s">
        <v>4808</v>
      </c>
      <c r="O50" s="9" t="s">
        <v>142</v>
      </c>
      <c r="P50" s="5" t="s">
        <v>4886</v>
      </c>
      <c r="Q50" s="5" t="s">
        <v>2606</v>
      </c>
      <c r="R50" s="5" t="s">
        <v>2585</v>
      </c>
      <c r="S50" s="5" t="s">
        <v>3668</v>
      </c>
      <c r="T50" s="9" t="s">
        <v>142</v>
      </c>
      <c r="U50" s="5"/>
      <c r="V50" s="5"/>
      <c r="W50" s="5"/>
      <c r="X50" s="5"/>
      <c r="Y50" s="9" t="s">
        <v>142</v>
      </c>
      <c r="Z50" s="5"/>
      <c r="AA50" s="5"/>
      <c r="AB50" s="5"/>
      <c r="AC50" s="5"/>
      <c r="AD50" s="9" t="s">
        <v>142</v>
      </c>
      <c r="AE50" s="5"/>
      <c r="AF50" s="5"/>
      <c r="AG50" s="5"/>
      <c r="AH50" s="5"/>
      <c r="AI50" s="9" t="s">
        <v>142</v>
      </c>
      <c r="AJ50" s="5"/>
      <c r="AK50" s="5"/>
      <c r="AL50" s="5"/>
      <c r="AM50" s="5"/>
      <c r="AN50" s="9" t="s">
        <v>142</v>
      </c>
      <c r="AO50" s="5"/>
      <c r="AP50" s="5"/>
      <c r="AQ50" s="5"/>
      <c r="AR50" s="5"/>
      <c r="AS50" s="9" t="s">
        <v>142</v>
      </c>
      <c r="AT50" s="5"/>
      <c r="AU50" s="5"/>
      <c r="AV50" s="5"/>
      <c r="AW50" s="5"/>
      <c r="AX50" s="9" t="s">
        <v>142</v>
      </c>
      <c r="AY50" s="5"/>
      <c r="AZ50" s="5"/>
      <c r="BA50" s="5"/>
      <c r="BB50" s="5"/>
      <c r="BC50" s="9" t="s">
        <v>142</v>
      </c>
      <c r="BD50" s="5"/>
      <c r="BE50" s="5"/>
      <c r="BF50" s="5"/>
      <c r="BG50" s="5"/>
      <c r="BH50" s="9" t="s">
        <v>142</v>
      </c>
      <c r="BM50" s="9" t="s">
        <v>142</v>
      </c>
      <c r="BR50" s="9" t="s">
        <v>142</v>
      </c>
      <c r="BW50" s="9" t="s">
        <v>142</v>
      </c>
      <c r="BX50" s="5" t="s">
        <v>5234</v>
      </c>
      <c r="BY50" s="5" t="s">
        <v>686</v>
      </c>
      <c r="BZ50" s="5" t="s">
        <v>2585</v>
      </c>
      <c r="CA50" s="5" t="s">
        <v>5202</v>
      </c>
      <c r="CC50" s="5" t="s">
        <v>5291</v>
      </c>
      <c r="CD50" s="5" t="s">
        <v>686</v>
      </c>
      <c r="CE50" s="5" t="s">
        <v>2585</v>
      </c>
      <c r="CF50" s="5" t="s">
        <v>5292</v>
      </c>
      <c r="CR50" s="5" t="s">
        <v>5421</v>
      </c>
      <c r="CS50" s="5" t="s">
        <v>2606</v>
      </c>
      <c r="CT50" s="5" t="s">
        <v>2585</v>
      </c>
      <c r="CU50" s="5" t="s">
        <v>3668</v>
      </c>
    </row>
    <row r="51" spans="1:99" x14ac:dyDescent="0.25">
      <c r="A51" s="5"/>
      <c r="B51" s="5"/>
      <c r="C51" s="5"/>
      <c r="D51" s="5"/>
      <c r="E51" s="9" t="s">
        <v>142</v>
      </c>
      <c r="F51" s="5" t="s">
        <v>3749</v>
      </c>
      <c r="G51" s="5" t="s">
        <v>3699</v>
      </c>
      <c r="H51" s="5" t="s">
        <v>2585</v>
      </c>
      <c r="I51" s="5" t="s">
        <v>3750</v>
      </c>
      <c r="J51" s="9" t="s">
        <v>142</v>
      </c>
      <c r="K51" s="5" t="s">
        <v>4809</v>
      </c>
      <c r="L51" s="5" t="s">
        <v>686</v>
      </c>
      <c r="M51" s="5" t="s">
        <v>2585</v>
      </c>
      <c r="N51" s="5" t="s">
        <v>4766</v>
      </c>
      <c r="O51" s="9" t="s">
        <v>142</v>
      </c>
      <c r="P51" s="5" t="s">
        <v>4887</v>
      </c>
      <c r="Q51" s="5" t="s">
        <v>4888</v>
      </c>
      <c r="R51" s="5" t="s">
        <v>2585</v>
      </c>
      <c r="S51" s="5" t="s">
        <v>4889</v>
      </c>
      <c r="T51" s="9" t="s">
        <v>142</v>
      </c>
      <c r="U51" s="5"/>
      <c r="V51" s="5"/>
      <c r="W51" s="5"/>
      <c r="X51" s="5"/>
      <c r="Y51" s="9" t="s">
        <v>142</v>
      </c>
      <c r="Z51" s="5"/>
      <c r="AA51" s="5"/>
      <c r="AB51" s="5"/>
      <c r="AC51" s="5"/>
      <c r="AD51" s="9" t="s">
        <v>142</v>
      </c>
      <c r="AE51" s="5"/>
      <c r="AF51" s="5"/>
      <c r="AG51" s="5"/>
      <c r="AH51" s="5"/>
      <c r="AI51" s="9" t="s">
        <v>142</v>
      </c>
      <c r="AJ51" s="5"/>
      <c r="AK51" s="5"/>
      <c r="AL51" s="5"/>
      <c r="AM51" s="5"/>
      <c r="AN51" s="9" t="s">
        <v>142</v>
      </c>
      <c r="AO51" s="5"/>
      <c r="AP51" s="5"/>
      <c r="AQ51" s="5"/>
      <c r="AR51" s="5"/>
      <c r="AS51" s="9" t="s">
        <v>142</v>
      </c>
      <c r="AT51" s="5"/>
      <c r="AU51" s="5"/>
      <c r="AV51" s="5"/>
      <c r="AW51" s="5"/>
      <c r="AX51" s="9" t="s">
        <v>142</v>
      </c>
      <c r="AY51" s="5"/>
      <c r="AZ51" s="5"/>
      <c r="BA51" s="5"/>
      <c r="BB51" s="5"/>
      <c r="BC51" s="9" t="s">
        <v>142</v>
      </c>
      <c r="BD51" s="5"/>
      <c r="BE51" s="5"/>
      <c r="BF51" s="5"/>
      <c r="BG51" s="5"/>
      <c r="BH51" s="9" t="s">
        <v>142</v>
      </c>
      <c r="BM51" s="9" t="s">
        <v>142</v>
      </c>
      <c r="BR51" s="9" t="s">
        <v>142</v>
      </c>
      <c r="BW51" s="9" t="s">
        <v>142</v>
      </c>
      <c r="BX51" s="5" t="s">
        <v>5235</v>
      </c>
      <c r="BY51" s="5" t="s">
        <v>686</v>
      </c>
      <c r="BZ51" s="5" t="s">
        <v>2585</v>
      </c>
      <c r="CA51" s="5" t="s">
        <v>5204</v>
      </c>
      <c r="CC51" s="5" t="s">
        <v>5293</v>
      </c>
      <c r="CD51" s="5" t="s">
        <v>686</v>
      </c>
      <c r="CE51" s="5" t="s">
        <v>2585</v>
      </c>
      <c r="CF51" s="5" t="s">
        <v>5294</v>
      </c>
      <c r="CR51" s="5" t="s">
        <v>5422</v>
      </c>
      <c r="CS51" s="5" t="s">
        <v>4888</v>
      </c>
      <c r="CT51" s="5" t="s">
        <v>2585</v>
      </c>
      <c r="CU51" s="5" t="s">
        <v>4889</v>
      </c>
    </row>
    <row r="52" spans="1:99" x14ac:dyDescent="0.25">
      <c r="A52" s="5"/>
      <c r="B52" s="5"/>
      <c r="C52" s="5"/>
      <c r="D52" s="5"/>
      <c r="E52" s="9" t="s">
        <v>142</v>
      </c>
      <c r="F52" s="5" t="s">
        <v>3751</v>
      </c>
      <c r="G52" s="5" t="s">
        <v>3697</v>
      </c>
      <c r="H52" s="5" t="s">
        <v>2585</v>
      </c>
      <c r="I52" s="5" t="s">
        <v>3752</v>
      </c>
      <c r="J52" s="9" t="s">
        <v>142</v>
      </c>
      <c r="K52" s="5" t="s">
        <v>4810</v>
      </c>
      <c r="L52" s="5" t="s">
        <v>3670</v>
      </c>
      <c r="M52" s="5" t="s">
        <v>2585</v>
      </c>
      <c r="N52" s="5" t="s">
        <v>4811</v>
      </c>
      <c r="O52" s="9" t="s">
        <v>142</v>
      </c>
      <c r="P52" s="5" t="s">
        <v>4890</v>
      </c>
      <c r="Q52" s="5" t="s">
        <v>2606</v>
      </c>
      <c r="R52" s="5" t="s">
        <v>2585</v>
      </c>
      <c r="S52" s="5" t="s">
        <v>4558</v>
      </c>
      <c r="T52" s="9" t="s">
        <v>142</v>
      </c>
      <c r="U52" s="5"/>
      <c r="V52" s="5"/>
      <c r="W52" s="5"/>
      <c r="X52" s="5"/>
      <c r="Y52" s="9" t="s">
        <v>142</v>
      </c>
      <c r="Z52" s="5"/>
      <c r="AA52" s="5"/>
      <c r="AB52" s="5"/>
      <c r="AC52" s="5"/>
      <c r="AD52" s="9" t="s">
        <v>142</v>
      </c>
      <c r="AE52" s="5"/>
      <c r="AF52" s="5"/>
      <c r="AG52" s="5"/>
      <c r="AH52" s="5"/>
      <c r="AI52" s="9" t="s">
        <v>142</v>
      </c>
      <c r="AJ52" s="5"/>
      <c r="AK52" s="5"/>
      <c r="AL52" s="5"/>
      <c r="AM52" s="5"/>
      <c r="AN52" s="9" t="s">
        <v>142</v>
      </c>
      <c r="AO52" s="5"/>
      <c r="AP52" s="5"/>
      <c r="AQ52" s="5"/>
      <c r="AR52" s="5"/>
      <c r="AS52" s="9" t="s">
        <v>142</v>
      </c>
      <c r="AT52" s="5"/>
      <c r="AU52" s="5"/>
      <c r="AV52" s="5"/>
      <c r="AW52" s="5"/>
      <c r="AX52" s="9" t="s">
        <v>142</v>
      </c>
      <c r="AY52" s="5"/>
      <c r="AZ52" s="5"/>
      <c r="BA52" s="5"/>
      <c r="BB52" s="5"/>
      <c r="BC52" s="9" t="s">
        <v>142</v>
      </c>
      <c r="BD52" s="5"/>
      <c r="BE52" s="5"/>
      <c r="BF52" s="5"/>
      <c r="BG52" s="5"/>
      <c r="BH52" s="9" t="s">
        <v>142</v>
      </c>
      <c r="BM52" s="9" t="s">
        <v>142</v>
      </c>
      <c r="BR52" s="9" t="s">
        <v>142</v>
      </c>
      <c r="BW52" s="9" t="s">
        <v>142</v>
      </c>
      <c r="BX52" s="5" t="s">
        <v>5236</v>
      </c>
      <c r="BY52" s="5" t="s">
        <v>3670</v>
      </c>
      <c r="BZ52" s="5" t="s">
        <v>2585</v>
      </c>
      <c r="CA52" s="5" t="s">
        <v>4811</v>
      </c>
      <c r="CC52" s="5" t="s">
        <v>5295</v>
      </c>
      <c r="CD52" s="5" t="s">
        <v>3670</v>
      </c>
      <c r="CE52" s="5" t="s">
        <v>2585</v>
      </c>
      <c r="CF52" s="5" t="s">
        <v>4811</v>
      </c>
      <c r="CR52" s="5" t="s">
        <v>5423</v>
      </c>
      <c r="CS52" s="5" t="s">
        <v>2606</v>
      </c>
      <c r="CT52" s="5" t="s">
        <v>2585</v>
      </c>
      <c r="CU52" s="5" t="s">
        <v>4558</v>
      </c>
    </row>
    <row r="53" spans="1:99" x14ac:dyDescent="0.25">
      <c r="A53" s="5"/>
      <c r="B53" s="5"/>
      <c r="C53" s="5"/>
      <c r="D53" s="5"/>
      <c r="E53" s="9" t="s">
        <v>142</v>
      </c>
      <c r="F53" s="5" t="s">
        <v>3753</v>
      </c>
      <c r="G53" s="5" t="s">
        <v>3699</v>
      </c>
      <c r="H53" s="5" t="s">
        <v>2585</v>
      </c>
      <c r="I53" s="5" t="s">
        <v>3750</v>
      </c>
      <c r="J53" s="9" t="s">
        <v>142</v>
      </c>
      <c r="K53" s="5" t="s">
        <v>4812</v>
      </c>
      <c r="L53" s="5" t="s">
        <v>686</v>
      </c>
      <c r="M53" s="5" t="s">
        <v>2585</v>
      </c>
      <c r="N53" s="5" t="s">
        <v>4813</v>
      </c>
      <c r="O53" s="9" t="s">
        <v>142</v>
      </c>
      <c r="P53" s="5" t="s">
        <v>4891</v>
      </c>
      <c r="Q53" s="5" t="s">
        <v>4888</v>
      </c>
      <c r="R53" s="5" t="s">
        <v>2585</v>
      </c>
      <c r="S53" s="5" t="s">
        <v>4892</v>
      </c>
      <c r="T53" s="9" t="s">
        <v>142</v>
      </c>
      <c r="U53" s="5"/>
      <c r="V53" s="5"/>
      <c r="W53" s="5"/>
      <c r="X53" s="5"/>
      <c r="Y53" s="9" t="s">
        <v>142</v>
      </c>
      <c r="Z53" s="5"/>
      <c r="AA53" s="5"/>
      <c r="AB53" s="5"/>
      <c r="AC53" s="5"/>
      <c r="AD53" s="9" t="s">
        <v>142</v>
      </c>
      <c r="AE53" s="5"/>
      <c r="AF53" s="5"/>
      <c r="AG53" s="5"/>
      <c r="AH53" s="5"/>
      <c r="AI53" s="9" t="s">
        <v>142</v>
      </c>
      <c r="AJ53" s="5"/>
      <c r="AK53" s="5"/>
      <c r="AL53" s="5"/>
      <c r="AM53" s="5"/>
      <c r="AN53" s="9" t="s">
        <v>142</v>
      </c>
      <c r="AO53" s="5"/>
      <c r="AP53" s="5"/>
      <c r="AQ53" s="5"/>
      <c r="AR53" s="5"/>
      <c r="AS53" s="9" t="s">
        <v>142</v>
      </c>
      <c r="AT53" s="5"/>
      <c r="AU53" s="5"/>
      <c r="AV53" s="5"/>
      <c r="AW53" s="5"/>
      <c r="AX53" s="9" t="s">
        <v>142</v>
      </c>
      <c r="AY53" s="5"/>
      <c r="AZ53" s="5"/>
      <c r="BA53" s="5"/>
      <c r="BB53" s="5"/>
      <c r="BC53" s="9" t="s">
        <v>142</v>
      </c>
      <c r="BD53" s="5"/>
      <c r="BE53" s="5"/>
      <c r="BF53" s="5"/>
      <c r="BG53" s="5"/>
      <c r="BH53" s="9" t="s">
        <v>142</v>
      </c>
      <c r="BM53" s="9" t="s">
        <v>142</v>
      </c>
      <c r="BR53" s="9" t="s">
        <v>142</v>
      </c>
      <c r="BW53" s="9" t="s">
        <v>142</v>
      </c>
      <c r="BX53" s="5" t="s">
        <v>5237</v>
      </c>
      <c r="BY53" s="5" t="s">
        <v>686</v>
      </c>
      <c r="BZ53" s="5" t="s">
        <v>2585</v>
      </c>
      <c r="CA53" s="5" t="s">
        <v>4813</v>
      </c>
      <c r="CC53" s="5" t="s">
        <v>5296</v>
      </c>
      <c r="CD53" s="5" t="s">
        <v>686</v>
      </c>
      <c r="CE53" s="5" t="s">
        <v>2585</v>
      </c>
      <c r="CF53" s="5" t="s">
        <v>4813</v>
      </c>
      <c r="CR53" s="5" t="s">
        <v>5424</v>
      </c>
      <c r="CS53" s="5" t="s">
        <v>4888</v>
      </c>
      <c r="CT53" s="5" t="s">
        <v>2585</v>
      </c>
      <c r="CU53" s="5" t="s">
        <v>4892</v>
      </c>
    </row>
    <row r="54" spans="1:99" x14ac:dyDescent="0.25">
      <c r="A54" s="5"/>
      <c r="B54" s="5"/>
      <c r="C54" s="5"/>
      <c r="D54" s="5"/>
      <c r="E54" s="9" t="s">
        <v>142</v>
      </c>
      <c r="F54" s="5" t="s">
        <v>3754</v>
      </c>
      <c r="G54" s="5" t="s">
        <v>3697</v>
      </c>
      <c r="H54" s="5" t="s">
        <v>2585</v>
      </c>
      <c r="I54" s="5" t="s">
        <v>3755</v>
      </c>
      <c r="J54" s="9" t="s">
        <v>142</v>
      </c>
      <c r="K54" s="5"/>
      <c r="L54" s="5"/>
      <c r="M54" s="5"/>
      <c r="N54" s="5"/>
      <c r="O54" s="9" t="s">
        <v>142</v>
      </c>
      <c r="P54" s="5" t="s">
        <v>4893</v>
      </c>
      <c r="Q54" s="5" t="s">
        <v>2606</v>
      </c>
      <c r="R54" s="5" t="s">
        <v>2585</v>
      </c>
      <c r="S54" s="5" t="s">
        <v>4756</v>
      </c>
      <c r="T54" s="9" t="s">
        <v>142</v>
      </c>
      <c r="U54" s="5"/>
      <c r="V54" s="5"/>
      <c r="W54" s="5"/>
      <c r="X54" s="5"/>
      <c r="Y54" s="9" t="s">
        <v>142</v>
      </c>
      <c r="Z54" s="5"/>
      <c r="AA54" s="5"/>
      <c r="AB54" s="5"/>
      <c r="AC54" s="5"/>
      <c r="AD54" s="9" t="s">
        <v>142</v>
      </c>
      <c r="AE54" s="5"/>
      <c r="AF54" s="5"/>
      <c r="AG54" s="5"/>
      <c r="AH54" s="5"/>
      <c r="AI54" s="9" t="s">
        <v>142</v>
      </c>
      <c r="AJ54" s="5"/>
      <c r="AK54" s="5"/>
      <c r="AL54" s="5"/>
      <c r="AM54" s="5"/>
      <c r="AN54" s="9" t="s">
        <v>142</v>
      </c>
      <c r="AO54" s="5"/>
      <c r="AP54" s="5"/>
      <c r="AQ54" s="5"/>
      <c r="AR54" s="5"/>
      <c r="AS54" s="9" t="s">
        <v>142</v>
      </c>
      <c r="AT54" s="5"/>
      <c r="AU54" s="5"/>
      <c r="AV54" s="5"/>
      <c r="AW54" s="5"/>
      <c r="AX54" s="9" t="s">
        <v>142</v>
      </c>
      <c r="AY54" s="5"/>
      <c r="AZ54" s="5"/>
      <c r="BA54" s="5"/>
      <c r="BB54" s="5"/>
      <c r="BC54" s="9" t="s">
        <v>142</v>
      </c>
      <c r="BD54" s="5"/>
      <c r="BE54" s="5"/>
      <c r="BF54" s="5"/>
      <c r="BG54" s="5"/>
      <c r="BH54" s="9" t="s">
        <v>142</v>
      </c>
      <c r="BM54" s="9" t="s">
        <v>142</v>
      </c>
      <c r="BR54" s="9" t="s">
        <v>142</v>
      </c>
      <c r="BW54" s="9" t="s">
        <v>142</v>
      </c>
      <c r="CR54" s="5" t="s">
        <v>5425</v>
      </c>
      <c r="CS54" s="5" t="s">
        <v>2606</v>
      </c>
      <c r="CT54" s="5" t="s">
        <v>2585</v>
      </c>
      <c r="CU54" s="5" t="s">
        <v>4756</v>
      </c>
    </row>
    <row r="55" spans="1:99" x14ac:dyDescent="0.25">
      <c r="A55" s="5"/>
      <c r="B55" s="5"/>
      <c r="C55" s="5"/>
      <c r="D55" s="5"/>
      <c r="E55" s="9" t="s">
        <v>142</v>
      </c>
      <c r="F55" s="5" t="s">
        <v>3756</v>
      </c>
      <c r="G55" s="5" t="s">
        <v>3699</v>
      </c>
      <c r="H55" s="5" t="s">
        <v>2585</v>
      </c>
      <c r="I55" s="5" t="s">
        <v>3750</v>
      </c>
      <c r="J55" s="9" t="s">
        <v>142</v>
      </c>
      <c r="K55" s="5"/>
      <c r="L55" s="5"/>
      <c r="M55" s="5"/>
      <c r="N55" s="5"/>
      <c r="O55" s="9" t="s">
        <v>142</v>
      </c>
      <c r="P55" s="5" t="s">
        <v>4894</v>
      </c>
      <c r="Q55" s="5" t="s">
        <v>4888</v>
      </c>
      <c r="R55" s="5" t="s">
        <v>2585</v>
      </c>
      <c r="S55" s="5" t="s">
        <v>4895</v>
      </c>
      <c r="T55" s="9" t="s">
        <v>142</v>
      </c>
      <c r="U55" s="5"/>
      <c r="V55" s="5"/>
      <c r="W55" s="5"/>
      <c r="X55" s="5"/>
      <c r="Y55" s="9" t="s">
        <v>142</v>
      </c>
      <c r="Z55" s="5"/>
      <c r="AA55" s="5"/>
      <c r="AB55" s="5"/>
      <c r="AC55" s="5"/>
      <c r="AD55" s="9" t="s">
        <v>142</v>
      </c>
      <c r="AE55" s="5"/>
      <c r="AF55" s="5"/>
      <c r="AG55" s="5"/>
      <c r="AH55" s="5"/>
      <c r="AI55" s="9" t="s">
        <v>142</v>
      </c>
      <c r="AJ55" s="5"/>
      <c r="AK55" s="5"/>
      <c r="AL55" s="5"/>
      <c r="AM55" s="5"/>
      <c r="AN55" s="9" t="s">
        <v>142</v>
      </c>
      <c r="AO55" s="5"/>
      <c r="AP55" s="5"/>
      <c r="AQ55" s="5"/>
      <c r="AR55" s="5"/>
      <c r="AS55" s="9" t="s">
        <v>142</v>
      </c>
      <c r="AT55" s="5"/>
      <c r="AU55" s="5"/>
      <c r="AV55" s="5"/>
      <c r="AW55" s="5"/>
      <c r="AX55" s="9" t="s">
        <v>142</v>
      </c>
      <c r="AY55" s="5"/>
      <c r="AZ55" s="5"/>
      <c r="BA55" s="5"/>
      <c r="BB55" s="5"/>
      <c r="BC55" s="9" t="s">
        <v>142</v>
      </c>
      <c r="BD55" s="5"/>
      <c r="BE55" s="5"/>
      <c r="BF55" s="5"/>
      <c r="BG55" s="5"/>
      <c r="BH55" s="9" t="s">
        <v>142</v>
      </c>
      <c r="BM55" s="9" t="s">
        <v>142</v>
      </c>
      <c r="BR55" s="9" t="s">
        <v>142</v>
      </c>
      <c r="BW55" s="9" t="s">
        <v>142</v>
      </c>
      <c r="CR55" s="5" t="s">
        <v>5426</v>
      </c>
      <c r="CS55" s="5" t="s">
        <v>4888</v>
      </c>
      <c r="CT55" s="5" t="s">
        <v>2585</v>
      </c>
      <c r="CU55" s="5" t="s">
        <v>4895</v>
      </c>
    </row>
    <row r="56" spans="1:99" x14ac:dyDescent="0.25">
      <c r="A56" s="5"/>
      <c r="B56" s="5"/>
      <c r="C56" s="5"/>
      <c r="D56" s="5"/>
      <c r="E56" s="9" t="s">
        <v>142</v>
      </c>
      <c r="F56" s="5" t="s">
        <v>3757</v>
      </c>
      <c r="G56" s="5" t="s">
        <v>3697</v>
      </c>
      <c r="H56" s="5" t="s">
        <v>2585</v>
      </c>
      <c r="I56" s="5" t="s">
        <v>3758</v>
      </c>
      <c r="J56" s="9" t="s">
        <v>142</v>
      </c>
      <c r="K56" s="5"/>
      <c r="L56" s="5"/>
      <c r="M56" s="5"/>
      <c r="N56" s="5"/>
      <c r="O56" s="9" t="s">
        <v>142</v>
      </c>
      <c r="P56" s="5" t="s">
        <v>4896</v>
      </c>
      <c r="Q56" s="5" t="s">
        <v>4888</v>
      </c>
      <c r="R56" s="5" t="s">
        <v>2585</v>
      </c>
      <c r="S56" s="5" t="s">
        <v>4897</v>
      </c>
      <c r="T56" s="9" t="s">
        <v>142</v>
      </c>
      <c r="U56" s="5"/>
      <c r="V56" s="5"/>
      <c r="W56" s="5"/>
      <c r="X56" s="5"/>
      <c r="Y56" s="9" t="s">
        <v>142</v>
      </c>
      <c r="Z56" s="5"/>
      <c r="AA56" s="5"/>
      <c r="AB56" s="5"/>
      <c r="AC56" s="5"/>
      <c r="AD56" s="9" t="s">
        <v>142</v>
      </c>
      <c r="AE56" s="5"/>
      <c r="AF56" s="5"/>
      <c r="AG56" s="5"/>
      <c r="AH56" s="5"/>
      <c r="AI56" s="9" t="s">
        <v>142</v>
      </c>
      <c r="AJ56" s="5"/>
      <c r="AK56" s="5"/>
      <c r="AL56" s="5"/>
      <c r="AM56" s="5"/>
      <c r="AN56" s="9" t="s">
        <v>142</v>
      </c>
      <c r="AO56" s="5"/>
      <c r="AP56" s="5"/>
      <c r="AQ56" s="5"/>
      <c r="AR56" s="5"/>
      <c r="AS56" s="9" t="s">
        <v>142</v>
      </c>
      <c r="AT56" s="5"/>
      <c r="AU56" s="5"/>
      <c r="AV56" s="5"/>
      <c r="AW56" s="5"/>
      <c r="AX56" s="9" t="s">
        <v>142</v>
      </c>
      <c r="AY56" s="5"/>
      <c r="AZ56" s="5"/>
      <c r="BA56" s="5"/>
      <c r="BB56" s="5"/>
      <c r="BC56" s="9" t="s">
        <v>142</v>
      </c>
      <c r="BD56" s="5"/>
      <c r="BE56" s="5"/>
      <c r="BF56" s="5"/>
      <c r="BG56" s="5"/>
      <c r="BH56" s="9" t="s">
        <v>142</v>
      </c>
      <c r="BM56" s="9" t="s">
        <v>142</v>
      </c>
      <c r="BR56" s="9" t="s">
        <v>142</v>
      </c>
      <c r="BW56" s="9" t="s">
        <v>142</v>
      </c>
      <c r="CR56" s="5" t="s">
        <v>5427</v>
      </c>
      <c r="CS56" s="5" t="s">
        <v>4888</v>
      </c>
      <c r="CT56" s="5" t="s">
        <v>2585</v>
      </c>
      <c r="CU56" s="5" t="s">
        <v>4897</v>
      </c>
    </row>
    <row r="57" spans="1:99" x14ac:dyDescent="0.25">
      <c r="A57" s="5"/>
      <c r="B57" s="5"/>
      <c r="C57" s="5"/>
      <c r="D57" s="5"/>
      <c r="E57" s="9" t="s">
        <v>142</v>
      </c>
      <c r="F57" s="5" t="s">
        <v>3759</v>
      </c>
      <c r="G57" s="5" t="s">
        <v>3699</v>
      </c>
      <c r="H57" s="5" t="s">
        <v>2585</v>
      </c>
      <c r="I57" s="5" t="s">
        <v>3760</v>
      </c>
      <c r="J57" s="9" t="s">
        <v>142</v>
      </c>
      <c r="K57" s="5"/>
      <c r="L57" s="5"/>
      <c r="M57" s="5"/>
      <c r="N57" s="5"/>
      <c r="O57" s="9" t="s">
        <v>142</v>
      </c>
      <c r="P57" s="5" t="s">
        <v>4898</v>
      </c>
      <c r="Q57" s="5" t="s">
        <v>4888</v>
      </c>
      <c r="R57" s="5" t="s">
        <v>2585</v>
      </c>
      <c r="S57" s="5" t="s">
        <v>4899</v>
      </c>
      <c r="T57" s="9" t="s">
        <v>142</v>
      </c>
      <c r="U57" s="5"/>
      <c r="V57" s="5"/>
      <c r="W57" s="5"/>
      <c r="X57" s="5"/>
      <c r="Y57" s="9" t="s">
        <v>142</v>
      </c>
      <c r="Z57" s="5"/>
      <c r="AA57" s="5"/>
      <c r="AB57" s="5"/>
      <c r="AC57" s="5"/>
      <c r="AD57" s="9" t="s">
        <v>142</v>
      </c>
      <c r="AE57" s="5"/>
      <c r="AF57" s="5"/>
      <c r="AG57" s="5"/>
      <c r="AH57" s="5"/>
      <c r="AI57" s="9" t="s">
        <v>142</v>
      </c>
      <c r="AJ57" s="5"/>
      <c r="AK57" s="5"/>
      <c r="AL57" s="5"/>
      <c r="AM57" s="5"/>
      <c r="AN57" s="9" t="s">
        <v>142</v>
      </c>
      <c r="AO57" s="5"/>
      <c r="AP57" s="5"/>
      <c r="AQ57" s="5"/>
      <c r="AR57" s="5"/>
      <c r="AS57" s="9" t="s">
        <v>142</v>
      </c>
      <c r="AT57" s="5"/>
      <c r="AU57" s="5"/>
      <c r="AV57" s="5"/>
      <c r="AW57" s="5"/>
      <c r="AX57" s="9" t="s">
        <v>142</v>
      </c>
      <c r="AY57" s="5"/>
      <c r="AZ57" s="5"/>
      <c r="BA57" s="5"/>
      <c r="BB57" s="5"/>
      <c r="BC57" s="9" t="s">
        <v>142</v>
      </c>
      <c r="BD57" s="5"/>
      <c r="BE57" s="5"/>
      <c r="BF57" s="5"/>
      <c r="BG57" s="5"/>
      <c r="BH57" s="9" t="s">
        <v>142</v>
      </c>
      <c r="BM57" s="9" t="s">
        <v>142</v>
      </c>
      <c r="BR57" s="9" t="s">
        <v>142</v>
      </c>
      <c r="BW57" s="9" t="s">
        <v>142</v>
      </c>
      <c r="CR57" s="5" t="s">
        <v>5428</v>
      </c>
      <c r="CS57" s="5" t="s">
        <v>4888</v>
      </c>
      <c r="CT57" s="5" t="s">
        <v>2585</v>
      </c>
      <c r="CU57" s="5" t="s">
        <v>4899</v>
      </c>
    </row>
    <row r="58" spans="1:99" x14ac:dyDescent="0.25">
      <c r="A58" s="5"/>
      <c r="B58" s="5"/>
      <c r="C58" s="5"/>
      <c r="D58" s="5"/>
      <c r="E58" s="9" t="s">
        <v>142</v>
      </c>
      <c r="F58" s="5" t="s">
        <v>3761</v>
      </c>
      <c r="G58" s="5" t="s">
        <v>3697</v>
      </c>
      <c r="H58" s="5" t="s">
        <v>2585</v>
      </c>
      <c r="I58" s="5" t="s">
        <v>3762</v>
      </c>
      <c r="J58" s="9" t="s">
        <v>142</v>
      </c>
      <c r="K58" s="5"/>
      <c r="L58" s="5"/>
      <c r="M58" s="5"/>
      <c r="N58" s="5"/>
      <c r="O58" s="9" t="s">
        <v>142</v>
      </c>
      <c r="P58" s="5" t="s">
        <v>4900</v>
      </c>
      <c r="Q58" s="5" t="s">
        <v>2606</v>
      </c>
      <c r="R58" s="5" t="s">
        <v>2585</v>
      </c>
      <c r="S58" s="5" t="s">
        <v>4828</v>
      </c>
      <c r="T58" s="9" t="s">
        <v>142</v>
      </c>
      <c r="U58" s="5"/>
      <c r="V58" s="5"/>
      <c r="W58" s="5"/>
      <c r="X58" s="5"/>
      <c r="Y58" s="9" t="s">
        <v>142</v>
      </c>
      <c r="Z58" s="5"/>
      <c r="AA58" s="5"/>
      <c r="AB58" s="5"/>
      <c r="AC58" s="5"/>
      <c r="AD58" s="9" t="s">
        <v>142</v>
      </c>
      <c r="AE58" s="5"/>
      <c r="AF58" s="5"/>
      <c r="AG58" s="5"/>
      <c r="AH58" s="5"/>
      <c r="AI58" s="9" t="s">
        <v>142</v>
      </c>
      <c r="AJ58" s="5"/>
      <c r="AK58" s="5"/>
      <c r="AL58" s="5"/>
      <c r="AM58" s="5"/>
      <c r="AN58" s="9" t="s">
        <v>142</v>
      </c>
      <c r="AO58" s="5"/>
      <c r="AP58" s="5"/>
      <c r="AQ58" s="5"/>
      <c r="AR58" s="5"/>
      <c r="AS58" s="9" t="s">
        <v>142</v>
      </c>
      <c r="AT58" s="5"/>
      <c r="AU58" s="5"/>
      <c r="AV58" s="5"/>
      <c r="AW58" s="5"/>
      <c r="AX58" s="9" t="s">
        <v>142</v>
      </c>
      <c r="AY58" s="5"/>
      <c r="AZ58" s="5"/>
      <c r="BA58" s="5"/>
      <c r="BB58" s="5"/>
      <c r="BC58" s="9" t="s">
        <v>142</v>
      </c>
      <c r="BD58" s="5"/>
      <c r="BE58" s="5"/>
      <c r="BF58" s="5"/>
      <c r="BG58" s="5"/>
      <c r="BH58" s="9" t="s">
        <v>142</v>
      </c>
      <c r="BM58" s="9" t="s">
        <v>142</v>
      </c>
      <c r="BR58" s="9" t="s">
        <v>142</v>
      </c>
      <c r="BW58" s="9" t="s">
        <v>142</v>
      </c>
      <c r="CR58" s="5" t="s">
        <v>5429</v>
      </c>
      <c r="CS58" s="5" t="s">
        <v>2606</v>
      </c>
      <c r="CT58" s="5" t="s">
        <v>2585</v>
      </c>
      <c r="CU58" s="5" t="s">
        <v>4828</v>
      </c>
    </row>
    <row r="59" spans="1:99" x14ac:dyDescent="0.25">
      <c r="A59" s="5"/>
      <c r="B59" s="5"/>
      <c r="C59" s="5"/>
      <c r="D59" s="5"/>
      <c r="E59" s="9" t="s">
        <v>142</v>
      </c>
      <c r="F59" s="5" t="s">
        <v>3763</v>
      </c>
      <c r="G59" s="5" t="s">
        <v>3699</v>
      </c>
      <c r="H59" s="5" t="s">
        <v>2585</v>
      </c>
      <c r="I59" s="5" t="s">
        <v>3750</v>
      </c>
      <c r="J59" s="9" t="s">
        <v>142</v>
      </c>
      <c r="K59" s="5"/>
      <c r="L59" s="5"/>
      <c r="M59" s="5"/>
      <c r="N59" s="5"/>
      <c r="O59" s="9" t="s">
        <v>142</v>
      </c>
      <c r="P59" s="5" t="s">
        <v>4901</v>
      </c>
      <c r="Q59" s="5" t="s">
        <v>4888</v>
      </c>
      <c r="R59" s="5" t="s">
        <v>2585</v>
      </c>
      <c r="S59" s="5" t="s">
        <v>4902</v>
      </c>
      <c r="T59" s="9" t="s">
        <v>142</v>
      </c>
      <c r="U59" s="5"/>
      <c r="V59" s="5"/>
      <c r="W59" s="5"/>
      <c r="X59" s="5"/>
      <c r="Y59" s="9" t="s">
        <v>142</v>
      </c>
      <c r="Z59" s="5"/>
      <c r="AA59" s="5"/>
      <c r="AB59" s="5"/>
      <c r="AC59" s="5"/>
      <c r="AD59" s="9" t="s">
        <v>142</v>
      </c>
      <c r="AE59" s="5"/>
      <c r="AF59" s="5"/>
      <c r="AG59" s="5"/>
      <c r="AH59" s="5"/>
      <c r="AI59" s="9" t="s">
        <v>142</v>
      </c>
      <c r="AJ59" s="5"/>
      <c r="AK59" s="5"/>
      <c r="AL59" s="5"/>
      <c r="AM59" s="5"/>
      <c r="AN59" s="9" t="s">
        <v>142</v>
      </c>
      <c r="AO59" s="5"/>
      <c r="AP59" s="5"/>
      <c r="AQ59" s="5"/>
      <c r="AR59" s="5"/>
      <c r="AS59" s="9" t="s">
        <v>142</v>
      </c>
      <c r="AT59" s="5"/>
      <c r="AU59" s="5"/>
      <c r="AV59" s="5"/>
      <c r="AW59" s="5"/>
      <c r="AX59" s="9" t="s">
        <v>142</v>
      </c>
      <c r="AY59" s="5"/>
      <c r="AZ59" s="5"/>
      <c r="BA59" s="5"/>
      <c r="BB59" s="5"/>
      <c r="BC59" s="9" t="s">
        <v>142</v>
      </c>
      <c r="BD59" s="5"/>
      <c r="BE59" s="5"/>
      <c r="BF59" s="5"/>
      <c r="BG59" s="5"/>
      <c r="BH59" s="9" t="s">
        <v>142</v>
      </c>
      <c r="BM59" s="9" t="s">
        <v>142</v>
      </c>
      <c r="BR59" s="9" t="s">
        <v>142</v>
      </c>
      <c r="BW59" s="9" t="s">
        <v>142</v>
      </c>
      <c r="CR59" s="5" t="s">
        <v>5430</v>
      </c>
      <c r="CS59" s="5" t="s">
        <v>4888</v>
      </c>
      <c r="CT59" s="5" t="s">
        <v>2585</v>
      </c>
      <c r="CU59" s="5" t="s">
        <v>4902</v>
      </c>
    </row>
    <row r="60" spans="1:99" x14ac:dyDescent="0.25">
      <c r="A60" s="5"/>
      <c r="B60" s="5"/>
      <c r="C60" s="5"/>
      <c r="D60" s="5"/>
      <c r="E60" s="9" t="s">
        <v>142</v>
      </c>
      <c r="F60" s="5" t="s">
        <v>3764</v>
      </c>
      <c r="G60" s="5" t="s">
        <v>3697</v>
      </c>
      <c r="H60" s="5" t="s">
        <v>2585</v>
      </c>
      <c r="I60" s="5" t="s">
        <v>3765</v>
      </c>
      <c r="J60" s="9" t="s">
        <v>142</v>
      </c>
      <c r="K60" s="5"/>
      <c r="L60" s="5"/>
      <c r="M60" s="5"/>
      <c r="N60" s="5"/>
      <c r="O60" s="9" t="s">
        <v>142</v>
      </c>
      <c r="P60" s="5" t="s">
        <v>4903</v>
      </c>
      <c r="Q60" s="5" t="s">
        <v>2606</v>
      </c>
      <c r="R60" s="5" t="s">
        <v>2585</v>
      </c>
      <c r="S60" s="5" t="s">
        <v>3666</v>
      </c>
      <c r="T60" s="9" t="s">
        <v>142</v>
      </c>
      <c r="U60" s="5"/>
      <c r="V60" s="5"/>
      <c r="W60" s="5"/>
      <c r="X60" s="5"/>
      <c r="Y60" s="9" t="s">
        <v>142</v>
      </c>
      <c r="Z60" s="5"/>
      <c r="AA60" s="5"/>
      <c r="AB60" s="5"/>
      <c r="AC60" s="5"/>
      <c r="AD60" s="9" t="s">
        <v>142</v>
      </c>
      <c r="AE60" s="5"/>
      <c r="AF60" s="5"/>
      <c r="AG60" s="5"/>
      <c r="AH60" s="5"/>
      <c r="AI60" s="9" t="s">
        <v>142</v>
      </c>
      <c r="AJ60" s="5"/>
      <c r="AK60" s="5"/>
      <c r="AL60" s="5"/>
      <c r="AM60" s="5"/>
      <c r="AN60" s="9" t="s">
        <v>142</v>
      </c>
      <c r="AO60" s="5"/>
      <c r="AP60" s="5"/>
      <c r="AQ60" s="5"/>
      <c r="AR60" s="5"/>
      <c r="AS60" s="9" t="s">
        <v>142</v>
      </c>
      <c r="AT60" s="5"/>
      <c r="AU60" s="5"/>
      <c r="AV60" s="5"/>
      <c r="AW60" s="5"/>
      <c r="AX60" s="9" t="s">
        <v>142</v>
      </c>
      <c r="AY60" s="5"/>
      <c r="AZ60" s="5"/>
      <c r="BA60" s="5"/>
      <c r="BB60" s="5"/>
      <c r="BC60" s="9" t="s">
        <v>142</v>
      </c>
      <c r="BD60" s="5"/>
      <c r="BE60" s="5"/>
      <c r="BF60" s="5"/>
      <c r="BG60" s="5"/>
      <c r="BH60" s="9" t="s">
        <v>142</v>
      </c>
      <c r="BM60" s="9" t="s">
        <v>142</v>
      </c>
      <c r="BR60" s="9" t="s">
        <v>142</v>
      </c>
      <c r="BW60" s="9" t="s">
        <v>142</v>
      </c>
      <c r="CR60" s="5" t="s">
        <v>5431</v>
      </c>
      <c r="CS60" s="5" t="s">
        <v>2606</v>
      </c>
      <c r="CT60" s="5" t="s">
        <v>2585</v>
      </c>
      <c r="CU60" s="5" t="s">
        <v>3666</v>
      </c>
    </row>
    <row r="61" spans="1:99" x14ac:dyDescent="0.25">
      <c r="A61" s="5"/>
      <c r="B61" s="5"/>
      <c r="C61" s="5"/>
      <c r="D61" s="5"/>
      <c r="E61" s="9" t="s">
        <v>142</v>
      </c>
      <c r="F61" s="5" t="s">
        <v>3766</v>
      </c>
      <c r="G61" s="5" t="s">
        <v>3699</v>
      </c>
      <c r="H61" s="5" t="s">
        <v>2585</v>
      </c>
      <c r="I61" s="5" t="s">
        <v>3767</v>
      </c>
      <c r="J61" s="9" t="s">
        <v>142</v>
      </c>
      <c r="K61" s="5"/>
      <c r="L61" s="5"/>
      <c r="M61" s="5"/>
      <c r="N61" s="5"/>
      <c r="O61" s="9" t="s">
        <v>142</v>
      </c>
      <c r="P61" s="5" t="s">
        <v>4904</v>
      </c>
      <c r="Q61" s="5" t="s">
        <v>4888</v>
      </c>
      <c r="R61" s="5" t="s">
        <v>2585</v>
      </c>
      <c r="S61" s="5" t="s">
        <v>4905</v>
      </c>
      <c r="T61" s="9" t="s">
        <v>142</v>
      </c>
      <c r="U61" s="5"/>
      <c r="V61" s="5"/>
      <c r="W61" s="5"/>
      <c r="X61" s="5"/>
      <c r="Y61" s="9" t="s">
        <v>142</v>
      </c>
      <c r="Z61" s="5"/>
      <c r="AA61" s="5"/>
      <c r="AB61" s="5"/>
      <c r="AC61" s="5"/>
      <c r="AD61" s="9" t="s">
        <v>142</v>
      </c>
      <c r="AE61" s="5"/>
      <c r="AF61" s="5"/>
      <c r="AG61" s="5"/>
      <c r="AH61" s="5"/>
      <c r="AI61" s="9" t="s">
        <v>142</v>
      </c>
      <c r="AJ61" s="5"/>
      <c r="AK61" s="5"/>
      <c r="AL61" s="5"/>
      <c r="AM61" s="5"/>
      <c r="AN61" s="9" t="s">
        <v>142</v>
      </c>
      <c r="AO61" s="5"/>
      <c r="AP61" s="5"/>
      <c r="AQ61" s="5"/>
      <c r="AR61" s="5"/>
      <c r="AS61" s="9" t="s">
        <v>142</v>
      </c>
      <c r="AT61" s="5"/>
      <c r="AU61" s="5"/>
      <c r="AV61" s="5"/>
      <c r="AW61" s="5"/>
      <c r="AX61" s="9" t="s">
        <v>142</v>
      </c>
      <c r="AY61" s="5"/>
      <c r="AZ61" s="5"/>
      <c r="BA61" s="5"/>
      <c r="BB61" s="5"/>
      <c r="BC61" s="9" t="s">
        <v>142</v>
      </c>
      <c r="BD61" s="5"/>
      <c r="BE61" s="5"/>
      <c r="BF61" s="5"/>
      <c r="BG61" s="5"/>
      <c r="BH61" s="9" t="s">
        <v>142</v>
      </c>
      <c r="BM61" s="9" t="s">
        <v>142</v>
      </c>
      <c r="BR61" s="9" t="s">
        <v>142</v>
      </c>
      <c r="BW61" s="9" t="s">
        <v>142</v>
      </c>
      <c r="CR61" s="5" t="s">
        <v>5432</v>
      </c>
      <c r="CS61" s="5" t="s">
        <v>4888</v>
      </c>
      <c r="CT61" s="5" t="s">
        <v>2585</v>
      </c>
      <c r="CU61" s="5" t="s">
        <v>4905</v>
      </c>
    </row>
    <row r="62" spans="1:99" x14ac:dyDescent="0.25">
      <c r="A62" s="5"/>
      <c r="B62" s="5"/>
      <c r="C62" s="5"/>
      <c r="D62" s="5"/>
      <c r="E62" s="9" t="s">
        <v>142</v>
      </c>
      <c r="F62" s="5" t="s">
        <v>3768</v>
      </c>
      <c r="G62" s="5" t="s">
        <v>3697</v>
      </c>
      <c r="H62" s="5" t="s">
        <v>2585</v>
      </c>
      <c r="I62" s="5" t="s">
        <v>3769</v>
      </c>
      <c r="J62" s="9" t="s">
        <v>142</v>
      </c>
      <c r="K62" s="5"/>
      <c r="L62" s="5"/>
      <c r="M62" s="5"/>
      <c r="N62" s="5"/>
      <c r="O62" s="9" t="s">
        <v>142</v>
      </c>
      <c r="P62" s="5" t="s">
        <v>4906</v>
      </c>
      <c r="Q62" s="5" t="s">
        <v>4907</v>
      </c>
      <c r="R62" s="5" t="s">
        <v>2585</v>
      </c>
      <c r="S62" s="5" t="s">
        <v>3668</v>
      </c>
      <c r="T62" s="9" t="s">
        <v>142</v>
      </c>
      <c r="U62" s="5"/>
      <c r="V62" s="5"/>
      <c r="W62" s="5"/>
      <c r="X62" s="5"/>
      <c r="Y62" s="9" t="s">
        <v>142</v>
      </c>
      <c r="Z62" s="5"/>
      <c r="AA62" s="5"/>
      <c r="AB62" s="5"/>
      <c r="AC62" s="5"/>
      <c r="AD62" s="9" t="s">
        <v>142</v>
      </c>
      <c r="AE62" s="5"/>
      <c r="AF62" s="5"/>
      <c r="AG62" s="5"/>
      <c r="AH62" s="5"/>
      <c r="AI62" s="9" t="s">
        <v>142</v>
      </c>
      <c r="AJ62" s="5"/>
      <c r="AK62" s="5"/>
      <c r="AL62" s="5"/>
      <c r="AM62" s="5"/>
      <c r="AN62" s="9" t="s">
        <v>142</v>
      </c>
      <c r="AO62" s="5"/>
      <c r="AP62" s="5"/>
      <c r="AQ62" s="5"/>
      <c r="AR62" s="5"/>
      <c r="AS62" s="9" t="s">
        <v>142</v>
      </c>
      <c r="AT62" s="5"/>
      <c r="AU62" s="5"/>
      <c r="AV62" s="5"/>
      <c r="AW62" s="5"/>
      <c r="AX62" s="9" t="s">
        <v>142</v>
      </c>
      <c r="AY62" s="5"/>
      <c r="AZ62" s="5"/>
      <c r="BA62" s="5"/>
      <c r="BB62" s="5"/>
      <c r="BC62" s="9" t="s">
        <v>142</v>
      </c>
      <c r="BD62" s="5"/>
      <c r="BE62" s="5"/>
      <c r="BF62" s="5"/>
      <c r="BG62" s="5"/>
      <c r="BH62" s="9" t="s">
        <v>142</v>
      </c>
      <c r="BM62" s="9" t="s">
        <v>142</v>
      </c>
      <c r="BR62" s="9" t="s">
        <v>142</v>
      </c>
      <c r="BW62" s="9" t="s">
        <v>142</v>
      </c>
      <c r="CR62" s="5" t="s">
        <v>5433</v>
      </c>
      <c r="CS62" s="5" t="s">
        <v>4907</v>
      </c>
      <c r="CT62" s="5" t="s">
        <v>2585</v>
      </c>
      <c r="CU62" s="5" t="s">
        <v>3668</v>
      </c>
    </row>
    <row r="63" spans="1:99" x14ac:dyDescent="0.25">
      <c r="A63" s="5"/>
      <c r="B63" s="5"/>
      <c r="C63" s="5"/>
      <c r="D63" s="5"/>
      <c r="E63" s="9" t="s">
        <v>142</v>
      </c>
      <c r="F63" s="5" t="s">
        <v>3770</v>
      </c>
      <c r="G63" s="5" t="s">
        <v>3699</v>
      </c>
      <c r="H63" s="5" t="s">
        <v>2585</v>
      </c>
      <c r="I63" s="5" t="s">
        <v>3771</v>
      </c>
      <c r="J63" s="9" t="s">
        <v>142</v>
      </c>
      <c r="K63" s="5"/>
      <c r="L63" s="5"/>
      <c r="M63" s="5"/>
      <c r="N63" s="5"/>
      <c r="O63" s="9" t="s">
        <v>142</v>
      </c>
      <c r="P63" s="5" t="s">
        <v>4908</v>
      </c>
      <c r="Q63" s="5" t="s">
        <v>4909</v>
      </c>
      <c r="R63" s="5" t="s">
        <v>2585</v>
      </c>
      <c r="S63" s="5" t="s">
        <v>4889</v>
      </c>
      <c r="T63" s="9" t="s">
        <v>142</v>
      </c>
      <c r="U63" s="5"/>
      <c r="V63" s="5"/>
      <c r="W63" s="5"/>
      <c r="X63" s="5"/>
      <c r="Y63" s="9" t="s">
        <v>142</v>
      </c>
      <c r="Z63" s="5"/>
      <c r="AA63" s="5"/>
      <c r="AB63" s="5"/>
      <c r="AC63" s="5"/>
      <c r="AD63" s="9" t="s">
        <v>142</v>
      </c>
      <c r="AE63" s="5"/>
      <c r="AF63" s="5"/>
      <c r="AG63" s="5"/>
      <c r="AH63" s="5"/>
      <c r="AI63" s="9" t="s">
        <v>142</v>
      </c>
      <c r="AJ63" s="5"/>
      <c r="AK63" s="5"/>
      <c r="AL63" s="5"/>
      <c r="AM63" s="5"/>
      <c r="AN63" s="9" t="s">
        <v>142</v>
      </c>
      <c r="AO63" s="5"/>
      <c r="AP63" s="5"/>
      <c r="AQ63" s="5"/>
      <c r="AR63" s="5"/>
      <c r="AS63" s="9" t="s">
        <v>142</v>
      </c>
      <c r="AT63" s="5"/>
      <c r="AU63" s="5"/>
      <c r="AV63" s="5"/>
      <c r="AW63" s="5"/>
      <c r="AX63" s="9" t="s">
        <v>142</v>
      </c>
      <c r="AY63" s="5"/>
      <c r="AZ63" s="5"/>
      <c r="BA63" s="5"/>
      <c r="BB63" s="5"/>
      <c r="BC63" s="9" t="s">
        <v>142</v>
      </c>
      <c r="BD63" s="5"/>
      <c r="BE63" s="5"/>
      <c r="BF63" s="5"/>
      <c r="BG63" s="5"/>
      <c r="BH63" s="9" t="s">
        <v>142</v>
      </c>
      <c r="BM63" s="9" t="s">
        <v>142</v>
      </c>
      <c r="BR63" s="9" t="s">
        <v>142</v>
      </c>
      <c r="BW63" s="9" t="s">
        <v>142</v>
      </c>
      <c r="CR63" s="5" t="s">
        <v>5434</v>
      </c>
      <c r="CS63" s="5" t="s">
        <v>4909</v>
      </c>
      <c r="CT63" s="5" t="s">
        <v>2585</v>
      </c>
      <c r="CU63" s="5" t="s">
        <v>4889</v>
      </c>
    </row>
    <row r="64" spans="1:99" x14ac:dyDescent="0.25">
      <c r="A64" s="5"/>
      <c r="B64" s="5"/>
      <c r="C64" s="5"/>
      <c r="D64" s="5"/>
      <c r="E64" s="9" t="s">
        <v>142</v>
      </c>
      <c r="F64" s="5" t="s">
        <v>3772</v>
      </c>
      <c r="G64" s="5" t="s">
        <v>3697</v>
      </c>
      <c r="H64" s="5" t="s">
        <v>2585</v>
      </c>
      <c r="I64" s="5" t="s">
        <v>3773</v>
      </c>
      <c r="J64" s="9" t="s">
        <v>142</v>
      </c>
      <c r="K64" s="5"/>
      <c r="L64" s="5"/>
      <c r="M64" s="5"/>
      <c r="N64" s="5"/>
      <c r="O64" s="9" t="s">
        <v>142</v>
      </c>
      <c r="P64" s="5" t="s">
        <v>4910</v>
      </c>
      <c r="Q64" s="5" t="s">
        <v>4907</v>
      </c>
      <c r="R64" s="5" t="s">
        <v>2585</v>
      </c>
      <c r="S64" s="5" t="s">
        <v>4558</v>
      </c>
      <c r="T64" s="9" t="s">
        <v>142</v>
      </c>
      <c r="U64" s="5"/>
      <c r="V64" s="5"/>
      <c r="W64" s="5"/>
      <c r="X64" s="5"/>
      <c r="Y64" s="9" t="s">
        <v>142</v>
      </c>
      <c r="Z64" s="5"/>
      <c r="AA64" s="5"/>
      <c r="AB64" s="5"/>
      <c r="AC64" s="5"/>
      <c r="AD64" s="9" t="s">
        <v>142</v>
      </c>
      <c r="AE64" s="5"/>
      <c r="AF64" s="5"/>
      <c r="AG64" s="5"/>
      <c r="AH64" s="5"/>
      <c r="AI64" s="9" t="s">
        <v>142</v>
      </c>
      <c r="AJ64" s="5"/>
      <c r="AK64" s="5"/>
      <c r="AL64" s="5"/>
      <c r="AM64" s="5"/>
      <c r="AN64" s="9" t="s">
        <v>142</v>
      </c>
      <c r="AO64" s="5"/>
      <c r="AP64" s="5"/>
      <c r="AQ64" s="5"/>
      <c r="AR64" s="5"/>
      <c r="AS64" s="9" t="s">
        <v>142</v>
      </c>
      <c r="AT64" s="5"/>
      <c r="AU64" s="5"/>
      <c r="AV64" s="5"/>
      <c r="AW64" s="5"/>
      <c r="AX64" s="9" t="s">
        <v>142</v>
      </c>
      <c r="AY64" s="5"/>
      <c r="AZ64" s="5"/>
      <c r="BA64" s="5"/>
      <c r="BB64" s="5"/>
      <c r="BC64" s="9" t="s">
        <v>142</v>
      </c>
      <c r="BD64" s="5"/>
      <c r="BE64" s="5"/>
      <c r="BF64" s="5"/>
      <c r="BG64" s="5"/>
      <c r="BH64" s="9" t="s">
        <v>142</v>
      </c>
      <c r="BM64" s="9" t="s">
        <v>142</v>
      </c>
      <c r="BR64" s="9" t="s">
        <v>142</v>
      </c>
      <c r="BW64" s="9" t="s">
        <v>142</v>
      </c>
      <c r="CR64" s="5" t="s">
        <v>5435</v>
      </c>
      <c r="CS64" s="5" t="s">
        <v>4907</v>
      </c>
      <c r="CT64" s="5" t="s">
        <v>2585</v>
      </c>
      <c r="CU64" s="5" t="s">
        <v>4558</v>
      </c>
    </row>
    <row r="65" spans="1:99" x14ac:dyDescent="0.25">
      <c r="A65" s="5"/>
      <c r="B65" s="5"/>
      <c r="C65" s="5"/>
      <c r="D65" s="5"/>
      <c r="E65" s="9" t="s">
        <v>142</v>
      </c>
      <c r="F65" s="5" t="s">
        <v>3774</v>
      </c>
      <c r="G65" s="5" t="s">
        <v>3699</v>
      </c>
      <c r="H65" s="5" t="s">
        <v>2585</v>
      </c>
      <c r="I65" s="5" t="s">
        <v>3775</v>
      </c>
      <c r="J65" s="9" t="s">
        <v>142</v>
      </c>
      <c r="K65" s="5"/>
      <c r="L65" s="5"/>
      <c r="M65" s="5"/>
      <c r="N65" s="5"/>
      <c r="O65" s="9" t="s">
        <v>142</v>
      </c>
      <c r="P65" s="5" t="s">
        <v>4911</v>
      </c>
      <c r="Q65" s="5" t="s">
        <v>4909</v>
      </c>
      <c r="R65" s="5" t="s">
        <v>2585</v>
      </c>
      <c r="S65" s="5" t="s">
        <v>4912</v>
      </c>
      <c r="T65" s="9" t="s">
        <v>142</v>
      </c>
      <c r="U65" s="5"/>
      <c r="V65" s="5"/>
      <c r="W65" s="5"/>
      <c r="X65" s="5"/>
      <c r="Y65" s="9" t="s">
        <v>142</v>
      </c>
      <c r="Z65" s="5"/>
      <c r="AA65" s="5"/>
      <c r="AB65" s="5"/>
      <c r="AC65" s="5"/>
      <c r="AD65" s="9" t="s">
        <v>142</v>
      </c>
      <c r="AE65" s="5"/>
      <c r="AF65" s="5"/>
      <c r="AG65" s="5"/>
      <c r="AH65" s="5"/>
      <c r="AI65" s="9" t="s">
        <v>142</v>
      </c>
      <c r="AJ65" s="5"/>
      <c r="AK65" s="5"/>
      <c r="AL65" s="5"/>
      <c r="AM65" s="5"/>
      <c r="AN65" s="9" t="s">
        <v>142</v>
      </c>
      <c r="AO65" s="5"/>
      <c r="AP65" s="5"/>
      <c r="AQ65" s="5"/>
      <c r="AR65" s="5"/>
      <c r="AS65" s="9" t="s">
        <v>142</v>
      </c>
      <c r="AT65" s="5"/>
      <c r="AU65" s="5"/>
      <c r="AV65" s="5"/>
      <c r="AW65" s="5"/>
      <c r="AX65" s="9" t="s">
        <v>142</v>
      </c>
      <c r="AY65" s="5"/>
      <c r="AZ65" s="5"/>
      <c r="BA65" s="5"/>
      <c r="BB65" s="5"/>
      <c r="BC65" s="9" t="s">
        <v>142</v>
      </c>
      <c r="BD65" s="5"/>
      <c r="BE65" s="5"/>
      <c r="BF65" s="5"/>
      <c r="BG65" s="5"/>
      <c r="BH65" s="9" t="s">
        <v>142</v>
      </c>
      <c r="BM65" s="9" t="s">
        <v>142</v>
      </c>
      <c r="BR65" s="9" t="s">
        <v>142</v>
      </c>
      <c r="BW65" s="9" t="s">
        <v>142</v>
      </c>
      <c r="CR65" s="5" t="s">
        <v>5436</v>
      </c>
      <c r="CS65" s="5" t="s">
        <v>4909</v>
      </c>
      <c r="CT65" s="5" t="s">
        <v>2585</v>
      </c>
      <c r="CU65" s="5" t="s">
        <v>4912</v>
      </c>
    </row>
    <row r="66" spans="1:99" x14ac:dyDescent="0.25">
      <c r="A66" s="5"/>
      <c r="B66" s="5"/>
      <c r="C66" s="5"/>
      <c r="D66" s="5"/>
      <c r="F66" s="5" t="s">
        <v>3776</v>
      </c>
      <c r="G66" s="5" t="s">
        <v>3697</v>
      </c>
      <c r="H66" s="5" t="s">
        <v>2585</v>
      </c>
      <c r="I66" s="5" t="s">
        <v>3777</v>
      </c>
      <c r="K66" s="5"/>
      <c r="L66" s="5"/>
      <c r="M66" s="5"/>
      <c r="N66" s="5"/>
      <c r="P66" s="5" t="s">
        <v>4913</v>
      </c>
      <c r="Q66" s="5" t="s">
        <v>4907</v>
      </c>
      <c r="R66" s="5" t="s">
        <v>2585</v>
      </c>
      <c r="S66" s="5" t="s">
        <v>4756</v>
      </c>
      <c r="U66" s="5"/>
      <c r="V66" s="5"/>
      <c r="W66" s="5"/>
      <c r="X66" s="5"/>
      <c r="Z66" s="5"/>
      <c r="AA66" s="5"/>
      <c r="AB66" s="5"/>
      <c r="AC66" s="5"/>
      <c r="AE66" s="5"/>
      <c r="AF66" s="5"/>
      <c r="AG66" s="5"/>
      <c r="AH66" s="5"/>
      <c r="AJ66" s="5"/>
      <c r="AK66" s="5"/>
      <c r="AL66" s="5"/>
      <c r="AM66" s="5"/>
      <c r="AO66" s="5"/>
      <c r="AP66" s="5"/>
      <c r="AQ66" s="5"/>
      <c r="AR66" s="5"/>
      <c r="AT66" s="5"/>
      <c r="AU66" s="5"/>
      <c r="AV66" s="5"/>
      <c r="AW66" s="5"/>
      <c r="AY66" s="5"/>
      <c r="AZ66" s="5"/>
      <c r="BA66" s="5"/>
      <c r="BB66" s="5"/>
      <c r="BD66" s="5"/>
      <c r="BE66" s="5"/>
      <c r="BF66" s="5"/>
      <c r="BG66" s="5"/>
      <c r="CR66" s="5" t="s">
        <v>5437</v>
      </c>
      <c r="CS66" s="5" t="s">
        <v>4907</v>
      </c>
      <c r="CT66" s="5" t="s">
        <v>2585</v>
      </c>
      <c r="CU66" s="5" t="s">
        <v>4756</v>
      </c>
    </row>
    <row r="67" spans="1:99" x14ac:dyDescent="0.25">
      <c r="A67" s="5"/>
      <c r="B67" s="5"/>
      <c r="C67" s="5"/>
      <c r="D67" s="5"/>
      <c r="F67" s="5" t="s">
        <v>3778</v>
      </c>
      <c r="G67" s="5" t="s">
        <v>3699</v>
      </c>
      <c r="H67" s="5" t="s">
        <v>2585</v>
      </c>
      <c r="I67" s="5" t="s">
        <v>3779</v>
      </c>
      <c r="K67" s="5"/>
      <c r="L67" s="5"/>
      <c r="M67" s="5"/>
      <c r="N67" s="5"/>
      <c r="P67" s="5" t="s">
        <v>4914</v>
      </c>
      <c r="Q67" s="5" t="s">
        <v>4909</v>
      </c>
      <c r="R67" s="5" t="s">
        <v>2585</v>
      </c>
      <c r="S67" s="5" t="s">
        <v>4915</v>
      </c>
      <c r="U67" s="5"/>
      <c r="V67" s="5"/>
      <c r="W67" s="5"/>
      <c r="X67" s="5"/>
      <c r="Z67" s="5"/>
      <c r="AA67" s="5"/>
      <c r="AB67" s="5"/>
      <c r="AC67" s="5"/>
      <c r="AE67" s="5"/>
      <c r="AF67" s="5"/>
      <c r="AG67" s="5"/>
      <c r="AH67" s="5"/>
      <c r="AJ67" s="5"/>
      <c r="AK67" s="5"/>
      <c r="AL67" s="5"/>
      <c r="AM67" s="5"/>
      <c r="AO67" s="5"/>
      <c r="AP67" s="5"/>
      <c r="AQ67" s="5"/>
      <c r="AR67" s="5"/>
      <c r="AT67" s="5"/>
      <c r="AU67" s="5"/>
      <c r="AV67" s="5"/>
      <c r="AW67" s="5"/>
      <c r="AY67" s="5"/>
      <c r="AZ67" s="5"/>
      <c r="BA67" s="5"/>
      <c r="BB67" s="5"/>
      <c r="BD67" s="5"/>
      <c r="BE67" s="5"/>
      <c r="BF67" s="5"/>
      <c r="BG67" s="5"/>
      <c r="CR67" s="5" t="s">
        <v>5438</v>
      </c>
      <c r="CS67" s="5" t="s">
        <v>4909</v>
      </c>
      <c r="CT67" s="5" t="s">
        <v>2585</v>
      </c>
      <c r="CU67" s="5" t="s">
        <v>4915</v>
      </c>
    </row>
    <row r="68" spans="1:99" x14ac:dyDescent="0.25">
      <c r="A68" s="5"/>
      <c r="B68" s="5"/>
      <c r="C68" s="5"/>
      <c r="D68" s="5"/>
      <c r="F68" s="5" t="s">
        <v>3780</v>
      </c>
      <c r="G68" s="5" t="s">
        <v>3697</v>
      </c>
      <c r="H68" s="5" t="s">
        <v>2585</v>
      </c>
      <c r="I68" s="5" t="s">
        <v>3781</v>
      </c>
      <c r="K68" s="5"/>
      <c r="L68" s="5"/>
      <c r="M68" s="5"/>
      <c r="N68" s="5"/>
      <c r="P68" s="5" t="s">
        <v>4916</v>
      </c>
      <c r="Q68" s="5" t="s">
        <v>4909</v>
      </c>
      <c r="R68" s="5" t="s">
        <v>2585</v>
      </c>
      <c r="S68" s="5" t="s">
        <v>4917</v>
      </c>
      <c r="U68" s="5"/>
      <c r="V68" s="5"/>
      <c r="W68" s="5"/>
      <c r="X68" s="5"/>
      <c r="Z68" s="5"/>
      <c r="AA68" s="5"/>
      <c r="AB68" s="5"/>
      <c r="AC68" s="5"/>
      <c r="AE68" s="5"/>
      <c r="AF68" s="5"/>
      <c r="AG68" s="5"/>
      <c r="AH68" s="5"/>
      <c r="AJ68" s="5"/>
      <c r="AK68" s="5"/>
      <c r="AL68" s="5"/>
      <c r="AM68" s="5"/>
      <c r="AO68" s="5"/>
      <c r="AP68" s="5"/>
      <c r="AQ68" s="5"/>
      <c r="AR68" s="5"/>
      <c r="AT68" s="5"/>
      <c r="AU68" s="5"/>
      <c r="AV68" s="5"/>
      <c r="AW68" s="5"/>
      <c r="AY68" s="5"/>
      <c r="AZ68" s="5"/>
      <c r="BA68" s="5"/>
      <c r="BB68" s="5"/>
      <c r="BD68" s="5"/>
      <c r="BE68" s="5"/>
      <c r="BF68" s="5"/>
      <c r="BG68" s="5"/>
      <c r="CR68" s="5" t="s">
        <v>5439</v>
      </c>
      <c r="CS68" s="5" t="s">
        <v>4909</v>
      </c>
      <c r="CT68" s="5" t="s">
        <v>2585</v>
      </c>
      <c r="CU68" s="5" t="s">
        <v>4917</v>
      </c>
    </row>
    <row r="69" spans="1:99" x14ac:dyDescent="0.25">
      <c r="A69" s="5"/>
      <c r="B69" s="5"/>
      <c r="C69" s="5"/>
      <c r="D69" s="5"/>
      <c r="F69" s="5" t="s">
        <v>3782</v>
      </c>
      <c r="G69" s="5" t="s">
        <v>3699</v>
      </c>
      <c r="H69" s="5" t="s">
        <v>2585</v>
      </c>
      <c r="I69" s="5" t="s">
        <v>3783</v>
      </c>
      <c r="K69" s="5"/>
      <c r="L69" s="5"/>
      <c r="M69" s="5"/>
      <c r="N69" s="5"/>
      <c r="P69" s="5" t="s">
        <v>4918</v>
      </c>
      <c r="Q69" s="5" t="s">
        <v>4909</v>
      </c>
      <c r="R69" s="5" t="s">
        <v>2585</v>
      </c>
      <c r="S69" s="5" t="s">
        <v>4919</v>
      </c>
      <c r="U69" s="5"/>
      <c r="V69" s="5"/>
      <c r="W69" s="5"/>
      <c r="X69" s="5"/>
      <c r="Z69" s="5"/>
      <c r="AA69" s="5"/>
      <c r="AB69" s="5"/>
      <c r="AC69" s="5"/>
      <c r="AE69" s="5"/>
      <c r="AF69" s="5"/>
      <c r="AG69" s="5"/>
      <c r="AH69" s="5"/>
      <c r="AJ69" s="5"/>
      <c r="AK69" s="5"/>
      <c r="AL69" s="5"/>
      <c r="AM69" s="5"/>
      <c r="AO69" s="5"/>
      <c r="AP69" s="5"/>
      <c r="AQ69" s="5"/>
      <c r="AR69" s="5"/>
      <c r="AT69" s="5"/>
      <c r="AU69" s="5"/>
      <c r="AV69" s="5"/>
      <c r="AW69" s="5"/>
      <c r="AY69" s="5"/>
      <c r="AZ69" s="5"/>
      <c r="BA69" s="5"/>
      <c r="BB69" s="5"/>
      <c r="BD69" s="5"/>
      <c r="BE69" s="5"/>
      <c r="BF69" s="5"/>
      <c r="BG69" s="5"/>
      <c r="CR69" s="5" t="s">
        <v>5440</v>
      </c>
      <c r="CS69" s="5" t="s">
        <v>4909</v>
      </c>
      <c r="CT69" s="5" t="s">
        <v>2585</v>
      </c>
      <c r="CU69" s="5" t="s">
        <v>4919</v>
      </c>
    </row>
    <row r="70" spans="1:99" x14ac:dyDescent="0.25">
      <c r="A70" s="5"/>
      <c r="B70" s="5"/>
      <c r="C70" s="5"/>
      <c r="D70" s="5"/>
      <c r="F70" s="5" t="s">
        <v>3784</v>
      </c>
      <c r="G70" s="5" t="s">
        <v>3697</v>
      </c>
      <c r="H70" s="5" t="s">
        <v>2585</v>
      </c>
      <c r="I70" s="5" t="s">
        <v>3785</v>
      </c>
      <c r="K70" s="5"/>
      <c r="L70" s="5"/>
      <c r="M70" s="5"/>
      <c r="N70" s="5"/>
      <c r="P70" s="5" t="s">
        <v>4920</v>
      </c>
      <c r="Q70" s="5" t="s">
        <v>4907</v>
      </c>
      <c r="R70" s="5" t="s">
        <v>2585</v>
      </c>
      <c r="S70" s="5" t="s">
        <v>4828</v>
      </c>
      <c r="U70" s="5"/>
      <c r="V70" s="5"/>
      <c r="W70" s="5"/>
      <c r="X70" s="5"/>
      <c r="Z70" s="5"/>
      <c r="AA70" s="5"/>
      <c r="AB70" s="5"/>
      <c r="AC70" s="5"/>
      <c r="AE70" s="5"/>
      <c r="AF70" s="5"/>
      <c r="AG70" s="5"/>
      <c r="AH70" s="5"/>
      <c r="AJ70" s="5"/>
      <c r="AK70" s="5"/>
      <c r="AL70" s="5"/>
      <c r="AM70" s="5"/>
      <c r="AO70" s="5"/>
      <c r="AP70" s="5"/>
      <c r="AQ70" s="5"/>
      <c r="AR70" s="5"/>
      <c r="AT70" s="5"/>
      <c r="AU70" s="5"/>
      <c r="AV70" s="5"/>
      <c r="AW70" s="5"/>
      <c r="AY70" s="5"/>
      <c r="AZ70" s="5"/>
      <c r="BA70" s="5"/>
      <c r="BB70" s="5"/>
      <c r="BD70" s="5"/>
      <c r="BE70" s="5"/>
      <c r="BF70" s="5"/>
      <c r="BG70" s="5"/>
      <c r="CR70" s="5" t="s">
        <v>5441</v>
      </c>
      <c r="CS70" s="5" t="s">
        <v>4907</v>
      </c>
      <c r="CT70" s="5" t="s">
        <v>2585</v>
      </c>
      <c r="CU70" s="5" t="s">
        <v>4828</v>
      </c>
    </row>
    <row r="71" spans="1:99" x14ac:dyDescent="0.25">
      <c r="A71" s="5"/>
      <c r="B71" s="5"/>
      <c r="C71" s="5"/>
      <c r="D71" s="5"/>
      <c r="F71" s="5" t="s">
        <v>3786</v>
      </c>
      <c r="G71" s="5" t="s">
        <v>3699</v>
      </c>
      <c r="H71" s="5" t="s">
        <v>2585</v>
      </c>
      <c r="I71" s="5" t="s">
        <v>3787</v>
      </c>
      <c r="K71" s="5"/>
      <c r="L71" s="5"/>
      <c r="M71" s="5"/>
      <c r="N71" s="5"/>
      <c r="P71" s="5" t="s">
        <v>4921</v>
      </c>
      <c r="Q71" s="5" t="s">
        <v>4909</v>
      </c>
      <c r="R71" s="5" t="s">
        <v>2585</v>
      </c>
      <c r="S71" s="5" t="s">
        <v>4922</v>
      </c>
      <c r="U71" s="5"/>
      <c r="V71" s="5"/>
      <c r="W71" s="5"/>
      <c r="X71" s="5"/>
      <c r="Z71" s="5"/>
      <c r="AA71" s="5"/>
      <c r="AB71" s="5"/>
      <c r="AC71" s="5"/>
      <c r="AE71" s="5"/>
      <c r="AF71" s="5"/>
      <c r="AG71" s="5"/>
      <c r="AH71" s="5"/>
      <c r="AJ71" s="5"/>
      <c r="AK71" s="5"/>
      <c r="AL71" s="5"/>
      <c r="AM71" s="5"/>
      <c r="AO71" s="5"/>
      <c r="AP71" s="5"/>
      <c r="AQ71" s="5"/>
      <c r="AR71" s="5"/>
      <c r="AT71" s="5"/>
      <c r="AU71" s="5"/>
      <c r="AV71" s="5"/>
      <c r="AW71" s="5"/>
      <c r="AY71" s="5"/>
      <c r="AZ71" s="5"/>
      <c r="BA71" s="5"/>
      <c r="BB71" s="5"/>
      <c r="BD71" s="5"/>
      <c r="BE71" s="5"/>
      <c r="BF71" s="5"/>
      <c r="BG71" s="5"/>
      <c r="CR71" s="5" t="s">
        <v>5442</v>
      </c>
      <c r="CS71" s="5" t="s">
        <v>4909</v>
      </c>
      <c r="CT71" s="5" t="s">
        <v>2585</v>
      </c>
      <c r="CU71" s="5" t="s">
        <v>4922</v>
      </c>
    </row>
    <row r="72" spans="1:99" x14ac:dyDescent="0.25">
      <c r="A72" s="5"/>
      <c r="B72" s="5"/>
      <c r="C72" s="5"/>
      <c r="D72" s="5"/>
      <c r="F72" s="5" t="s">
        <v>3788</v>
      </c>
      <c r="G72" s="5" t="s">
        <v>3697</v>
      </c>
      <c r="H72" s="5" t="s">
        <v>2585</v>
      </c>
      <c r="I72" s="5" t="s">
        <v>3683</v>
      </c>
      <c r="K72" s="5"/>
      <c r="L72" s="5"/>
      <c r="M72" s="5"/>
      <c r="N72" s="5"/>
      <c r="P72" s="5" t="s">
        <v>4923</v>
      </c>
      <c r="Q72" s="5" t="s">
        <v>4907</v>
      </c>
      <c r="R72" s="5" t="s">
        <v>2585</v>
      </c>
      <c r="S72" s="5" t="s">
        <v>4756</v>
      </c>
      <c r="U72" s="5"/>
      <c r="V72" s="5"/>
      <c r="W72" s="5"/>
      <c r="X72" s="5"/>
      <c r="Z72" s="5"/>
      <c r="AA72" s="5"/>
      <c r="AB72" s="5"/>
      <c r="AC72" s="5"/>
      <c r="AE72" s="5"/>
      <c r="AF72" s="5"/>
      <c r="AG72" s="5"/>
      <c r="AH72" s="5"/>
      <c r="AJ72" s="5"/>
      <c r="AK72" s="5"/>
      <c r="AL72" s="5"/>
      <c r="AM72" s="5"/>
      <c r="AO72" s="5"/>
      <c r="AP72" s="5"/>
      <c r="AQ72" s="5"/>
      <c r="AR72" s="5"/>
      <c r="AT72" s="5"/>
      <c r="AU72" s="5"/>
      <c r="AV72" s="5"/>
      <c r="AW72" s="5"/>
      <c r="AY72" s="5"/>
      <c r="AZ72" s="5"/>
      <c r="BA72" s="5"/>
      <c r="BB72" s="5"/>
      <c r="BD72" s="5"/>
      <c r="BE72" s="5"/>
      <c r="BF72" s="5"/>
      <c r="BG72" s="5"/>
      <c r="CR72" s="5" t="s">
        <v>5443</v>
      </c>
      <c r="CS72" s="5" t="s">
        <v>4907</v>
      </c>
      <c r="CT72" s="5" t="s">
        <v>2585</v>
      </c>
      <c r="CU72" s="5" t="s">
        <v>4756</v>
      </c>
    </row>
    <row r="73" spans="1:99" x14ac:dyDescent="0.25">
      <c r="A73" s="5"/>
      <c r="B73" s="5"/>
      <c r="C73" s="5"/>
      <c r="D73" s="5"/>
      <c r="F73" s="5" t="s">
        <v>3789</v>
      </c>
      <c r="G73" s="5" t="s">
        <v>3699</v>
      </c>
      <c r="H73" s="5" t="s">
        <v>2585</v>
      </c>
      <c r="I73" s="5" t="s">
        <v>3790</v>
      </c>
      <c r="K73" s="5"/>
      <c r="L73" s="5"/>
      <c r="M73" s="5"/>
      <c r="N73" s="5"/>
      <c r="P73" s="5" t="s">
        <v>4924</v>
      </c>
      <c r="Q73" s="5" t="s">
        <v>4909</v>
      </c>
      <c r="R73" s="5" t="s">
        <v>2585</v>
      </c>
      <c r="S73" s="5" t="s">
        <v>4925</v>
      </c>
      <c r="U73" s="5"/>
      <c r="V73" s="5"/>
      <c r="W73" s="5"/>
      <c r="X73" s="5"/>
      <c r="Z73" s="5"/>
      <c r="AA73" s="5"/>
      <c r="AB73" s="5"/>
      <c r="AC73" s="5"/>
      <c r="AE73" s="5"/>
      <c r="AF73" s="5"/>
      <c r="AG73" s="5"/>
      <c r="AH73" s="5"/>
      <c r="AJ73" s="5"/>
      <c r="AK73" s="5"/>
      <c r="AL73" s="5"/>
      <c r="AM73" s="5"/>
      <c r="AO73" s="5"/>
      <c r="AP73" s="5"/>
      <c r="AQ73" s="5"/>
      <c r="AR73" s="5"/>
      <c r="AT73" s="5"/>
      <c r="AU73" s="5"/>
      <c r="AV73" s="5"/>
      <c r="AW73" s="5"/>
      <c r="AY73" s="5"/>
      <c r="AZ73" s="5"/>
      <c r="BA73" s="5"/>
      <c r="BB73" s="5"/>
      <c r="BD73" s="5"/>
      <c r="BE73" s="5"/>
      <c r="BF73" s="5"/>
      <c r="BG73" s="5"/>
      <c r="CR73" s="5" t="s">
        <v>5444</v>
      </c>
      <c r="CS73" s="5" t="s">
        <v>4909</v>
      </c>
      <c r="CT73" s="5" t="s">
        <v>2585</v>
      </c>
      <c r="CU73" s="5" t="s">
        <v>4925</v>
      </c>
    </row>
    <row r="74" spans="1:99" x14ac:dyDescent="0.25">
      <c r="A74" s="5"/>
      <c r="B74" s="5"/>
      <c r="C74" s="5"/>
      <c r="D74" s="5"/>
      <c r="F74" s="5" t="s">
        <v>3791</v>
      </c>
      <c r="G74" s="5" t="s">
        <v>3697</v>
      </c>
      <c r="H74" s="5" t="s">
        <v>2585</v>
      </c>
      <c r="I74" s="5" t="s">
        <v>3705</v>
      </c>
      <c r="K74" s="5"/>
      <c r="L74" s="5"/>
      <c r="M74" s="5"/>
      <c r="N74" s="5"/>
      <c r="P74" s="5" t="s">
        <v>4926</v>
      </c>
      <c r="Q74" s="5" t="s">
        <v>4909</v>
      </c>
      <c r="R74" s="5" t="s">
        <v>2585</v>
      </c>
      <c r="S74" s="5" t="s">
        <v>4927</v>
      </c>
      <c r="U74" s="5"/>
      <c r="V74" s="5"/>
      <c r="W74" s="5"/>
      <c r="X74" s="5"/>
      <c r="Z74" s="5"/>
      <c r="AA74" s="5"/>
      <c r="AB74" s="5"/>
      <c r="AC74" s="5"/>
      <c r="AE74" s="5"/>
      <c r="AF74" s="5"/>
      <c r="AG74" s="5"/>
      <c r="AH74" s="5"/>
      <c r="AJ74" s="5"/>
      <c r="AK74" s="5"/>
      <c r="AL74" s="5"/>
      <c r="AM74" s="5"/>
      <c r="AO74" s="5"/>
      <c r="AP74" s="5"/>
      <c r="AQ74" s="5"/>
      <c r="AR74" s="5"/>
      <c r="AT74" s="5"/>
      <c r="AU74" s="5"/>
      <c r="AV74" s="5"/>
      <c r="AW74" s="5"/>
      <c r="AY74" s="5"/>
      <c r="AZ74" s="5"/>
      <c r="BA74" s="5"/>
      <c r="BB74" s="5"/>
      <c r="BD74" s="5"/>
      <c r="BE74" s="5"/>
      <c r="BF74" s="5"/>
      <c r="BG74" s="5"/>
      <c r="CR74" s="5" t="s">
        <v>5445</v>
      </c>
      <c r="CS74" s="5" t="s">
        <v>4909</v>
      </c>
      <c r="CT74" s="5" t="s">
        <v>2585</v>
      </c>
      <c r="CU74" s="5" t="s">
        <v>4927</v>
      </c>
    </row>
    <row r="75" spans="1:99" x14ac:dyDescent="0.25">
      <c r="A75" s="5"/>
      <c r="B75" s="5"/>
      <c r="C75" s="5"/>
      <c r="D75" s="5"/>
      <c r="F75" s="5" t="s">
        <v>3792</v>
      </c>
      <c r="G75" s="5" t="s">
        <v>3699</v>
      </c>
      <c r="H75" s="5" t="s">
        <v>2585</v>
      </c>
      <c r="I75" s="5" t="s">
        <v>3793</v>
      </c>
      <c r="K75" s="5"/>
      <c r="L75" s="5"/>
      <c r="M75" s="5"/>
      <c r="N75" s="5"/>
      <c r="P75" s="5" t="s">
        <v>4928</v>
      </c>
      <c r="Q75" s="5" t="s">
        <v>4909</v>
      </c>
      <c r="R75" s="5" t="s">
        <v>2585</v>
      </c>
      <c r="S75" s="5" t="s">
        <v>4929</v>
      </c>
      <c r="U75" s="5"/>
      <c r="V75" s="5"/>
      <c r="W75" s="5"/>
      <c r="X75" s="5"/>
      <c r="Z75" s="5"/>
      <c r="AA75" s="5"/>
      <c r="AB75" s="5"/>
      <c r="AC75" s="5"/>
      <c r="AE75" s="5"/>
      <c r="AF75" s="5"/>
      <c r="AG75" s="5"/>
      <c r="AH75" s="5"/>
      <c r="AJ75" s="5"/>
      <c r="AK75" s="5"/>
      <c r="AL75" s="5"/>
      <c r="AM75" s="5"/>
      <c r="AO75" s="5"/>
      <c r="AP75" s="5"/>
      <c r="AQ75" s="5"/>
      <c r="AR75" s="5"/>
      <c r="AT75" s="5"/>
      <c r="AU75" s="5"/>
      <c r="AV75" s="5"/>
      <c r="AW75" s="5"/>
      <c r="AY75" s="5"/>
      <c r="AZ75" s="5"/>
      <c r="BA75" s="5"/>
      <c r="BB75" s="5"/>
      <c r="BD75" s="5"/>
      <c r="BE75" s="5"/>
      <c r="BF75" s="5"/>
      <c r="BG75" s="5"/>
      <c r="CR75" s="5" t="s">
        <v>5446</v>
      </c>
      <c r="CS75" s="5" t="s">
        <v>4909</v>
      </c>
      <c r="CT75" s="5" t="s">
        <v>2585</v>
      </c>
      <c r="CU75" s="5" t="s">
        <v>4929</v>
      </c>
    </row>
    <row r="76" spans="1:99" x14ac:dyDescent="0.25">
      <c r="A76" s="5"/>
      <c r="B76" s="5"/>
      <c r="C76" s="5"/>
      <c r="D76" s="5"/>
      <c r="F76" s="5" t="s">
        <v>3794</v>
      </c>
      <c r="G76" s="5" t="s">
        <v>3699</v>
      </c>
      <c r="H76" s="5" t="s">
        <v>2585</v>
      </c>
      <c r="I76" s="5" t="s">
        <v>3795</v>
      </c>
      <c r="K76" s="5"/>
      <c r="L76" s="5"/>
      <c r="M76" s="5"/>
      <c r="N76" s="5"/>
      <c r="P76" s="5" t="s">
        <v>4930</v>
      </c>
      <c r="Q76" s="5" t="s">
        <v>4909</v>
      </c>
      <c r="R76" s="5" t="s">
        <v>2585</v>
      </c>
      <c r="S76" s="5" t="s">
        <v>4931</v>
      </c>
      <c r="U76" s="5"/>
      <c r="V76" s="5"/>
      <c r="W76" s="5"/>
      <c r="X76" s="5"/>
      <c r="Z76" s="5"/>
      <c r="AA76" s="5"/>
      <c r="AB76" s="5"/>
      <c r="AC76" s="5"/>
      <c r="AE76" s="5"/>
      <c r="AF76" s="5"/>
      <c r="AG76" s="5"/>
      <c r="AH76" s="5"/>
      <c r="AJ76" s="5"/>
      <c r="AK76" s="5"/>
      <c r="AL76" s="5"/>
      <c r="AM76" s="5"/>
      <c r="AO76" s="5"/>
      <c r="AP76" s="5"/>
      <c r="AQ76" s="5"/>
      <c r="AR76" s="5"/>
      <c r="AT76" s="5"/>
      <c r="AU76" s="5"/>
      <c r="AV76" s="5"/>
      <c r="AW76" s="5"/>
      <c r="AY76" s="5"/>
      <c r="AZ76" s="5"/>
      <c r="BA76" s="5"/>
      <c r="BB76" s="5"/>
      <c r="BD76" s="5"/>
      <c r="BE76" s="5"/>
      <c r="BF76" s="5"/>
      <c r="BG76" s="5"/>
      <c r="CR76" s="5" t="s">
        <v>5447</v>
      </c>
      <c r="CS76" s="5" t="s">
        <v>4909</v>
      </c>
      <c r="CT76" s="5" t="s">
        <v>2585</v>
      </c>
      <c r="CU76" s="5" t="s">
        <v>4931</v>
      </c>
    </row>
    <row r="77" spans="1:99" x14ac:dyDescent="0.25">
      <c r="A77" s="5"/>
      <c r="B77" s="5"/>
      <c r="C77" s="5"/>
      <c r="D77" s="5"/>
      <c r="F77" s="5" t="s">
        <v>3796</v>
      </c>
      <c r="G77" s="5" t="s">
        <v>3699</v>
      </c>
      <c r="H77" s="5" t="s">
        <v>2585</v>
      </c>
      <c r="I77" s="5" t="s">
        <v>3797</v>
      </c>
      <c r="K77" s="5"/>
      <c r="L77" s="5"/>
      <c r="M77" s="5"/>
      <c r="N77" s="5"/>
      <c r="P77" s="5" t="s">
        <v>4932</v>
      </c>
      <c r="Q77" s="5" t="s">
        <v>4909</v>
      </c>
      <c r="R77" s="5" t="s">
        <v>2585</v>
      </c>
      <c r="S77" s="5" t="s">
        <v>4933</v>
      </c>
      <c r="U77" s="5"/>
      <c r="V77" s="5"/>
      <c r="W77" s="5"/>
      <c r="X77" s="5"/>
      <c r="Z77" s="5"/>
      <c r="AA77" s="5"/>
      <c r="AB77" s="5"/>
      <c r="AC77" s="5"/>
      <c r="AE77" s="5"/>
      <c r="AF77" s="5"/>
      <c r="AG77" s="5"/>
      <c r="AH77" s="5"/>
      <c r="AJ77" s="5"/>
      <c r="AK77" s="5"/>
      <c r="AL77" s="5"/>
      <c r="AM77" s="5"/>
      <c r="AO77" s="5"/>
      <c r="AP77" s="5"/>
      <c r="AQ77" s="5"/>
      <c r="AR77" s="5"/>
      <c r="AT77" s="5"/>
      <c r="AU77" s="5"/>
      <c r="AV77" s="5"/>
      <c r="AW77" s="5"/>
      <c r="AY77" s="5"/>
      <c r="AZ77" s="5"/>
      <c r="BA77" s="5"/>
      <c r="BB77" s="5"/>
      <c r="BD77" s="5"/>
      <c r="BE77" s="5"/>
      <c r="BF77" s="5"/>
      <c r="BG77" s="5"/>
      <c r="CR77" s="5" t="s">
        <v>5448</v>
      </c>
      <c r="CS77" s="5" t="s">
        <v>4909</v>
      </c>
      <c r="CT77" s="5" t="s">
        <v>2585</v>
      </c>
      <c r="CU77" s="5" t="s">
        <v>4933</v>
      </c>
    </row>
    <row r="78" spans="1:99" x14ac:dyDescent="0.25">
      <c r="A78" s="5"/>
      <c r="B78" s="5"/>
      <c r="C78" s="5"/>
      <c r="D78" s="5"/>
      <c r="F78" s="5" t="s">
        <v>3798</v>
      </c>
      <c r="G78" s="5" t="s">
        <v>3697</v>
      </c>
      <c r="H78" s="5" t="s">
        <v>2585</v>
      </c>
      <c r="I78" s="5" t="s">
        <v>3686</v>
      </c>
      <c r="K78" s="5"/>
      <c r="L78" s="5"/>
      <c r="M78" s="5"/>
      <c r="N78" s="5"/>
      <c r="P78" s="5" t="s">
        <v>4934</v>
      </c>
      <c r="Q78" s="5" t="s">
        <v>4909</v>
      </c>
      <c r="R78" s="5" t="s">
        <v>2585</v>
      </c>
      <c r="S78" s="5" t="s">
        <v>4935</v>
      </c>
      <c r="U78" s="5"/>
      <c r="V78" s="5"/>
      <c r="W78" s="5"/>
      <c r="X78" s="5"/>
      <c r="Z78" s="5"/>
      <c r="AA78" s="5"/>
      <c r="AB78" s="5"/>
      <c r="AC78" s="5"/>
      <c r="AE78" s="5"/>
      <c r="AF78" s="5"/>
      <c r="AG78" s="5"/>
      <c r="AH78" s="5"/>
      <c r="AJ78" s="5"/>
      <c r="AK78" s="5"/>
      <c r="AL78" s="5"/>
      <c r="AM78" s="5"/>
      <c r="AO78" s="5"/>
      <c r="AP78" s="5"/>
      <c r="AQ78" s="5"/>
      <c r="AR78" s="5"/>
      <c r="AT78" s="5"/>
      <c r="AU78" s="5"/>
      <c r="AV78" s="5"/>
      <c r="AW78" s="5"/>
      <c r="AY78" s="5"/>
      <c r="AZ78" s="5"/>
      <c r="BA78" s="5"/>
      <c r="BB78" s="5"/>
      <c r="BD78" s="5"/>
      <c r="BE78" s="5"/>
      <c r="BF78" s="5"/>
      <c r="BG78" s="5"/>
      <c r="CR78" s="5" t="s">
        <v>5449</v>
      </c>
      <c r="CS78" s="5" t="s">
        <v>4909</v>
      </c>
      <c r="CT78" s="5" t="s">
        <v>2585</v>
      </c>
      <c r="CU78" s="5" t="s">
        <v>4935</v>
      </c>
    </row>
    <row r="79" spans="1:99" x14ac:dyDescent="0.25">
      <c r="A79" s="5"/>
      <c r="B79" s="5"/>
      <c r="C79" s="5"/>
      <c r="D79" s="5"/>
      <c r="F79" s="5" t="s">
        <v>3799</v>
      </c>
      <c r="G79" s="5" t="s">
        <v>3699</v>
      </c>
      <c r="H79" s="5" t="s">
        <v>2585</v>
      </c>
      <c r="I79" s="5" t="s">
        <v>3800</v>
      </c>
      <c r="K79" s="5"/>
      <c r="L79" s="5"/>
      <c r="M79" s="5"/>
      <c r="N79" s="5"/>
      <c r="P79" s="5" t="s">
        <v>4936</v>
      </c>
      <c r="Q79" s="5" t="s">
        <v>4909</v>
      </c>
      <c r="R79" s="5" t="s">
        <v>2585</v>
      </c>
      <c r="S79" s="5" t="s">
        <v>4937</v>
      </c>
      <c r="U79" s="5"/>
      <c r="V79" s="5"/>
      <c r="W79" s="5"/>
      <c r="X79" s="5"/>
      <c r="Z79" s="5"/>
      <c r="AA79" s="5"/>
      <c r="AB79" s="5"/>
      <c r="AC79" s="5"/>
      <c r="AE79" s="5"/>
      <c r="AF79" s="5"/>
      <c r="AG79" s="5"/>
      <c r="AH79" s="5"/>
      <c r="AJ79" s="5"/>
      <c r="AK79" s="5"/>
      <c r="AL79" s="5"/>
      <c r="AM79" s="5"/>
      <c r="AO79" s="5"/>
      <c r="AP79" s="5"/>
      <c r="AQ79" s="5"/>
      <c r="AR79" s="5"/>
      <c r="AT79" s="5"/>
      <c r="AU79" s="5"/>
      <c r="AV79" s="5"/>
      <c r="AW79" s="5"/>
      <c r="AY79" s="5"/>
      <c r="AZ79" s="5"/>
      <c r="BA79" s="5"/>
      <c r="BB79" s="5"/>
      <c r="BD79" s="5"/>
      <c r="BE79" s="5"/>
      <c r="BF79" s="5"/>
      <c r="BG79" s="5"/>
      <c r="CR79" s="5" t="s">
        <v>5450</v>
      </c>
      <c r="CS79" s="5" t="s">
        <v>4909</v>
      </c>
      <c r="CT79" s="5" t="s">
        <v>2585</v>
      </c>
      <c r="CU79" s="5" t="s">
        <v>4937</v>
      </c>
    </row>
    <row r="80" spans="1:99" x14ac:dyDescent="0.25">
      <c r="A80" s="5"/>
      <c r="B80" s="5"/>
      <c r="C80" s="5"/>
      <c r="D80" s="5"/>
      <c r="F80" s="5" t="s">
        <v>3801</v>
      </c>
      <c r="G80" s="5" t="s">
        <v>3697</v>
      </c>
      <c r="H80" s="5" t="s">
        <v>2585</v>
      </c>
      <c r="I80" s="5" t="s">
        <v>3705</v>
      </c>
      <c r="K80" s="5"/>
      <c r="L80" s="5"/>
      <c r="M80" s="5"/>
      <c r="N80" s="5"/>
      <c r="P80" s="5" t="s">
        <v>4938</v>
      </c>
      <c r="Q80" s="5" t="s">
        <v>4907</v>
      </c>
      <c r="R80" s="5" t="s">
        <v>2585</v>
      </c>
      <c r="S80" s="5" t="s">
        <v>3666</v>
      </c>
      <c r="U80" s="5"/>
      <c r="V80" s="5"/>
      <c r="W80" s="5"/>
      <c r="X80" s="5"/>
      <c r="Z80" s="5"/>
      <c r="AA80" s="5"/>
      <c r="AB80" s="5"/>
      <c r="AC80" s="5"/>
      <c r="AE80" s="5"/>
      <c r="AF80" s="5"/>
      <c r="AG80" s="5"/>
      <c r="AH80" s="5"/>
      <c r="AJ80" s="5"/>
      <c r="AK80" s="5"/>
      <c r="AL80" s="5"/>
      <c r="AM80" s="5"/>
      <c r="AO80" s="5"/>
      <c r="AP80" s="5"/>
      <c r="AQ80" s="5"/>
      <c r="AR80" s="5"/>
      <c r="AT80" s="5"/>
      <c r="AU80" s="5"/>
      <c r="AV80" s="5"/>
      <c r="AW80" s="5"/>
      <c r="AY80" s="5"/>
      <c r="AZ80" s="5"/>
      <c r="BA80" s="5"/>
      <c r="BB80" s="5"/>
      <c r="BD80" s="5"/>
      <c r="BE80" s="5"/>
      <c r="BF80" s="5"/>
      <c r="BG80" s="5"/>
      <c r="CR80" s="5" t="s">
        <v>5451</v>
      </c>
      <c r="CS80" s="5" t="s">
        <v>4907</v>
      </c>
      <c r="CT80" s="5" t="s">
        <v>2585</v>
      </c>
      <c r="CU80" s="5" t="s">
        <v>3666</v>
      </c>
    </row>
    <row r="81" spans="1:99" x14ac:dyDescent="0.25">
      <c r="A81" s="5"/>
      <c r="B81" s="5"/>
      <c r="C81" s="5"/>
      <c r="D81" s="5"/>
      <c r="F81" s="5" t="s">
        <v>3802</v>
      </c>
      <c r="G81" s="5" t="s">
        <v>3699</v>
      </c>
      <c r="H81" s="5" t="s">
        <v>2585</v>
      </c>
      <c r="I81" s="5" t="s">
        <v>3803</v>
      </c>
      <c r="K81" s="5"/>
      <c r="L81" s="5"/>
      <c r="M81" s="5"/>
      <c r="N81" s="5"/>
      <c r="P81" s="5" t="s">
        <v>4939</v>
      </c>
      <c r="Q81" s="5" t="s">
        <v>4909</v>
      </c>
      <c r="R81" s="5" t="s">
        <v>2585</v>
      </c>
      <c r="S81" s="5" t="s">
        <v>4940</v>
      </c>
      <c r="U81" s="5"/>
      <c r="V81" s="5"/>
      <c r="W81" s="5"/>
      <c r="X81" s="5"/>
      <c r="Z81" s="5"/>
      <c r="AA81" s="5"/>
      <c r="AB81" s="5"/>
      <c r="AC81" s="5"/>
      <c r="AE81" s="5"/>
      <c r="AF81" s="5"/>
      <c r="AG81" s="5"/>
      <c r="AH81" s="5"/>
      <c r="AJ81" s="5"/>
      <c r="AK81" s="5"/>
      <c r="AL81" s="5"/>
      <c r="AM81" s="5"/>
      <c r="AO81" s="5"/>
      <c r="AP81" s="5"/>
      <c r="AQ81" s="5"/>
      <c r="AR81" s="5"/>
      <c r="AT81" s="5"/>
      <c r="AU81" s="5"/>
      <c r="AV81" s="5"/>
      <c r="AW81" s="5"/>
      <c r="AY81" s="5"/>
      <c r="AZ81" s="5"/>
      <c r="BA81" s="5"/>
      <c r="BB81" s="5"/>
      <c r="BD81" s="5"/>
      <c r="BE81" s="5"/>
      <c r="BF81" s="5"/>
      <c r="BG81" s="5"/>
      <c r="CR81" s="5" t="s">
        <v>5452</v>
      </c>
      <c r="CS81" s="5" t="s">
        <v>4909</v>
      </c>
      <c r="CT81" s="5" t="s">
        <v>2585</v>
      </c>
      <c r="CU81" s="5" t="s">
        <v>4940</v>
      </c>
    </row>
    <row r="82" spans="1:99" x14ac:dyDescent="0.25">
      <c r="A82" s="5"/>
      <c r="B82" s="5"/>
      <c r="C82" s="5"/>
      <c r="D82" s="5"/>
      <c r="F82" s="5" t="s">
        <v>3804</v>
      </c>
      <c r="G82" s="5" t="s">
        <v>3697</v>
      </c>
      <c r="H82" s="5" t="s">
        <v>2585</v>
      </c>
      <c r="I82" s="5" t="s">
        <v>3805</v>
      </c>
      <c r="K82" s="5"/>
      <c r="L82" s="5"/>
      <c r="M82" s="5"/>
      <c r="N82" s="5"/>
      <c r="P82" s="5" t="s">
        <v>4941</v>
      </c>
      <c r="Q82" s="5" t="s">
        <v>4942</v>
      </c>
      <c r="R82" s="5" t="s">
        <v>2585</v>
      </c>
      <c r="S82" s="5" t="s">
        <v>3668</v>
      </c>
      <c r="U82" s="5"/>
      <c r="V82" s="5"/>
      <c r="W82" s="5"/>
      <c r="X82" s="5"/>
      <c r="Z82" s="5"/>
      <c r="AA82" s="5"/>
      <c r="AB82" s="5"/>
      <c r="AC82" s="5"/>
      <c r="AE82" s="5"/>
      <c r="AF82" s="5"/>
      <c r="AG82" s="5"/>
      <c r="AH82" s="5"/>
      <c r="AJ82" s="5"/>
      <c r="AK82" s="5"/>
      <c r="AL82" s="5"/>
      <c r="AM82" s="5"/>
      <c r="AO82" s="5"/>
      <c r="AP82" s="5"/>
      <c r="AQ82" s="5"/>
      <c r="AR82" s="5"/>
      <c r="AT82" s="5"/>
      <c r="AU82" s="5"/>
      <c r="AV82" s="5"/>
      <c r="AW82" s="5"/>
      <c r="AY82" s="5"/>
      <c r="AZ82" s="5"/>
      <c r="BA82" s="5"/>
      <c r="BB82" s="5"/>
      <c r="BD82" s="5"/>
      <c r="BE82" s="5"/>
      <c r="BF82" s="5"/>
      <c r="BG82" s="5"/>
      <c r="CR82" s="5" t="s">
        <v>5453</v>
      </c>
      <c r="CS82" s="5" t="s">
        <v>4942</v>
      </c>
      <c r="CT82" s="5" t="s">
        <v>2585</v>
      </c>
      <c r="CU82" s="5" t="s">
        <v>3668</v>
      </c>
    </row>
    <row r="83" spans="1:99" x14ac:dyDescent="0.25">
      <c r="A83" s="5"/>
      <c r="B83" s="5"/>
      <c r="C83" s="5"/>
      <c r="D83" s="5"/>
      <c r="F83" s="5" t="s">
        <v>3806</v>
      </c>
      <c r="G83" s="5" t="s">
        <v>3699</v>
      </c>
      <c r="H83" s="5" t="s">
        <v>2585</v>
      </c>
      <c r="I83" s="5" t="s">
        <v>3807</v>
      </c>
      <c r="K83" s="5"/>
      <c r="L83" s="5"/>
      <c r="M83" s="5"/>
      <c r="N83" s="5"/>
      <c r="P83" s="5" t="s">
        <v>4943</v>
      </c>
      <c r="Q83" s="5" t="s">
        <v>4942</v>
      </c>
      <c r="R83" s="5" t="s">
        <v>2585</v>
      </c>
      <c r="S83" s="5" t="s">
        <v>3668</v>
      </c>
      <c r="U83" s="5"/>
      <c r="V83" s="5"/>
      <c r="W83" s="5"/>
      <c r="X83" s="5"/>
      <c r="Z83" s="5"/>
      <c r="AA83" s="5"/>
      <c r="AB83" s="5"/>
      <c r="AC83" s="5"/>
      <c r="AE83" s="5"/>
      <c r="AF83" s="5"/>
      <c r="AG83" s="5"/>
      <c r="AH83" s="5"/>
      <c r="AJ83" s="5"/>
      <c r="AK83" s="5"/>
      <c r="AL83" s="5"/>
      <c r="AM83" s="5"/>
      <c r="AO83" s="5"/>
      <c r="AP83" s="5"/>
      <c r="AQ83" s="5"/>
      <c r="AR83" s="5"/>
      <c r="AT83" s="5"/>
      <c r="AU83" s="5"/>
      <c r="AV83" s="5"/>
      <c r="AW83" s="5"/>
      <c r="AY83" s="5"/>
      <c r="AZ83" s="5"/>
      <c r="BA83" s="5"/>
      <c r="BB83" s="5"/>
      <c r="BD83" s="5"/>
      <c r="BE83" s="5"/>
      <c r="BF83" s="5"/>
      <c r="BG83" s="5"/>
      <c r="CR83" s="5" t="s">
        <v>5454</v>
      </c>
      <c r="CS83" s="5" t="s">
        <v>4942</v>
      </c>
      <c r="CT83" s="5" t="s">
        <v>2585</v>
      </c>
      <c r="CU83" s="5" t="s">
        <v>3668</v>
      </c>
    </row>
    <row r="84" spans="1:99" x14ac:dyDescent="0.25">
      <c r="A84" s="5"/>
      <c r="B84" s="5"/>
      <c r="C84" s="5"/>
      <c r="D84" s="5"/>
      <c r="F84" s="5" t="s">
        <v>3808</v>
      </c>
      <c r="G84" s="5" t="s">
        <v>3697</v>
      </c>
      <c r="H84" s="5" t="s">
        <v>2585</v>
      </c>
      <c r="I84" s="5" t="s">
        <v>3689</v>
      </c>
      <c r="K84" s="5"/>
      <c r="L84" s="5"/>
      <c r="M84" s="5"/>
      <c r="N84" s="5"/>
      <c r="P84" s="5" t="s">
        <v>4944</v>
      </c>
      <c r="Q84" s="5" t="s">
        <v>4942</v>
      </c>
      <c r="R84" s="5" t="s">
        <v>2585</v>
      </c>
      <c r="S84" s="5" t="s">
        <v>3668</v>
      </c>
      <c r="U84" s="5"/>
      <c r="V84" s="5"/>
      <c r="W84" s="5"/>
      <c r="X84" s="5"/>
      <c r="Z84" s="5"/>
      <c r="AA84" s="5"/>
      <c r="AB84" s="5"/>
      <c r="AC84" s="5"/>
      <c r="AE84" s="5"/>
      <c r="AF84" s="5"/>
      <c r="AG84" s="5"/>
      <c r="AH84" s="5"/>
      <c r="AJ84" s="5"/>
      <c r="AK84" s="5"/>
      <c r="AL84" s="5"/>
      <c r="AM84" s="5"/>
      <c r="AO84" s="5"/>
      <c r="AP84" s="5"/>
      <c r="AQ84" s="5"/>
      <c r="AR84" s="5"/>
      <c r="AT84" s="5"/>
      <c r="AU84" s="5"/>
      <c r="AV84" s="5"/>
      <c r="AW84" s="5"/>
      <c r="AY84" s="5"/>
      <c r="AZ84" s="5"/>
      <c r="BA84" s="5"/>
      <c r="BB84" s="5"/>
      <c r="BD84" s="5"/>
      <c r="BE84" s="5"/>
      <c r="BF84" s="5"/>
      <c r="BG84" s="5"/>
      <c r="CR84" s="5" t="s">
        <v>5455</v>
      </c>
      <c r="CS84" s="5" t="s">
        <v>4942</v>
      </c>
      <c r="CT84" s="5" t="s">
        <v>2585</v>
      </c>
      <c r="CU84" s="5" t="s">
        <v>3668</v>
      </c>
    </row>
    <row r="85" spans="1:99" x14ac:dyDescent="0.25">
      <c r="A85" s="5"/>
      <c r="B85" s="5"/>
      <c r="C85" s="5"/>
      <c r="D85" s="5"/>
      <c r="F85" s="5" t="s">
        <v>3809</v>
      </c>
      <c r="G85" s="5" t="s">
        <v>3699</v>
      </c>
      <c r="H85" s="5" t="s">
        <v>2585</v>
      </c>
      <c r="I85" s="5" t="s">
        <v>3810</v>
      </c>
      <c r="K85" s="5"/>
      <c r="L85" s="5"/>
      <c r="M85" s="5"/>
      <c r="N85" s="5"/>
      <c r="P85" s="5" t="s">
        <v>4945</v>
      </c>
      <c r="Q85" s="5" t="s">
        <v>4942</v>
      </c>
      <c r="R85" s="5" t="s">
        <v>2585</v>
      </c>
      <c r="S85" s="5" t="s">
        <v>3668</v>
      </c>
      <c r="U85" s="5"/>
      <c r="V85" s="5"/>
      <c r="W85" s="5"/>
      <c r="X85" s="5"/>
      <c r="Z85" s="5"/>
      <c r="AA85" s="5"/>
      <c r="AB85" s="5"/>
      <c r="AC85" s="5"/>
      <c r="AE85" s="5"/>
      <c r="AF85" s="5"/>
      <c r="AG85" s="5"/>
      <c r="AH85" s="5"/>
      <c r="AJ85" s="5"/>
      <c r="AK85" s="5"/>
      <c r="AL85" s="5"/>
      <c r="AM85" s="5"/>
      <c r="AO85" s="5"/>
      <c r="AP85" s="5"/>
      <c r="AQ85" s="5"/>
      <c r="AR85" s="5"/>
      <c r="AT85" s="5"/>
      <c r="AU85" s="5"/>
      <c r="AV85" s="5"/>
      <c r="AW85" s="5"/>
      <c r="AY85" s="5"/>
      <c r="AZ85" s="5"/>
      <c r="BA85" s="5"/>
      <c r="BB85" s="5"/>
      <c r="BD85" s="5"/>
      <c r="BE85" s="5"/>
      <c r="BF85" s="5"/>
      <c r="BG85" s="5"/>
      <c r="CR85" s="5" t="s">
        <v>5456</v>
      </c>
      <c r="CS85" s="5" t="s">
        <v>4942</v>
      </c>
      <c r="CT85" s="5" t="s">
        <v>2585</v>
      </c>
      <c r="CU85" s="5" t="s">
        <v>3668</v>
      </c>
    </row>
    <row r="86" spans="1:99" x14ac:dyDescent="0.25">
      <c r="A86" s="5"/>
      <c r="B86" s="5"/>
      <c r="C86" s="5"/>
      <c r="D86" s="5"/>
      <c r="F86" s="5" t="s">
        <v>3811</v>
      </c>
      <c r="G86" s="5" t="s">
        <v>3697</v>
      </c>
      <c r="H86" s="5" t="s">
        <v>2585</v>
      </c>
      <c r="I86" s="5" t="s">
        <v>3705</v>
      </c>
      <c r="K86" s="5"/>
      <c r="L86" s="5"/>
      <c r="M86" s="5"/>
      <c r="N86" s="5"/>
      <c r="P86" s="5" t="s">
        <v>4946</v>
      </c>
      <c r="Q86" s="5" t="s">
        <v>4942</v>
      </c>
      <c r="R86" s="5" t="s">
        <v>2585</v>
      </c>
      <c r="S86" s="5" t="s">
        <v>4733</v>
      </c>
      <c r="U86" s="5"/>
      <c r="V86" s="5"/>
      <c r="W86" s="5"/>
      <c r="X86" s="5"/>
      <c r="Z86" s="5"/>
      <c r="AA86" s="5"/>
      <c r="AB86" s="5"/>
      <c r="AC86" s="5"/>
      <c r="AE86" s="5"/>
      <c r="AF86" s="5"/>
      <c r="AG86" s="5"/>
      <c r="AH86" s="5"/>
      <c r="AJ86" s="5"/>
      <c r="AK86" s="5"/>
      <c r="AL86" s="5"/>
      <c r="AM86" s="5"/>
      <c r="AO86" s="5"/>
      <c r="AP86" s="5"/>
      <c r="AQ86" s="5"/>
      <c r="AR86" s="5"/>
      <c r="AT86" s="5"/>
      <c r="AU86" s="5"/>
      <c r="AV86" s="5"/>
      <c r="AW86" s="5"/>
      <c r="AY86" s="5"/>
      <c r="AZ86" s="5"/>
      <c r="BA86" s="5"/>
      <c r="BB86" s="5"/>
      <c r="BD86" s="5"/>
      <c r="BE86" s="5"/>
      <c r="BF86" s="5"/>
      <c r="BG86" s="5"/>
      <c r="CR86" s="5" t="s">
        <v>5457</v>
      </c>
      <c r="CS86" s="5" t="s">
        <v>4942</v>
      </c>
      <c r="CT86" s="5" t="s">
        <v>2585</v>
      </c>
      <c r="CU86" s="5" t="s">
        <v>4733</v>
      </c>
    </row>
    <row r="87" spans="1:99" x14ac:dyDescent="0.25">
      <c r="A87" s="5"/>
      <c r="B87" s="5"/>
      <c r="C87" s="5"/>
      <c r="D87" s="5"/>
      <c r="F87" s="5" t="s">
        <v>3812</v>
      </c>
      <c r="G87" s="5" t="s">
        <v>3699</v>
      </c>
      <c r="H87" s="5" t="s">
        <v>2585</v>
      </c>
      <c r="I87" s="5" t="s">
        <v>3813</v>
      </c>
      <c r="K87" s="5"/>
      <c r="L87" s="5"/>
      <c r="M87" s="5"/>
      <c r="N87" s="5"/>
      <c r="P87" s="5" t="s">
        <v>4947</v>
      </c>
      <c r="Q87" s="5" t="s">
        <v>4942</v>
      </c>
      <c r="R87" s="5" t="s">
        <v>2585</v>
      </c>
      <c r="S87" s="5" t="s">
        <v>4733</v>
      </c>
      <c r="U87" s="5"/>
      <c r="V87" s="5"/>
      <c r="W87" s="5"/>
      <c r="X87" s="5"/>
      <c r="Z87" s="5"/>
      <c r="AA87" s="5"/>
      <c r="AB87" s="5"/>
      <c r="AC87" s="5"/>
      <c r="AE87" s="5"/>
      <c r="AF87" s="5"/>
      <c r="AG87" s="5"/>
      <c r="AH87" s="5"/>
      <c r="AJ87" s="5"/>
      <c r="AK87" s="5"/>
      <c r="AL87" s="5"/>
      <c r="AM87" s="5"/>
      <c r="AO87" s="5"/>
      <c r="AP87" s="5"/>
      <c r="AQ87" s="5"/>
      <c r="AR87" s="5"/>
      <c r="AT87" s="5"/>
      <c r="AU87" s="5"/>
      <c r="AV87" s="5"/>
      <c r="AW87" s="5"/>
      <c r="AY87" s="5"/>
      <c r="AZ87" s="5"/>
      <c r="BA87" s="5"/>
      <c r="BB87" s="5"/>
      <c r="BD87" s="5"/>
      <c r="BE87" s="5"/>
      <c r="BF87" s="5"/>
      <c r="BG87" s="5"/>
      <c r="CR87" s="5" t="s">
        <v>5458</v>
      </c>
      <c r="CS87" s="5" t="s">
        <v>4942</v>
      </c>
      <c r="CT87" s="5" t="s">
        <v>2585</v>
      </c>
      <c r="CU87" s="5" t="s">
        <v>4733</v>
      </c>
    </row>
    <row r="88" spans="1:99" x14ac:dyDescent="0.25">
      <c r="A88" s="5"/>
      <c r="B88" s="5"/>
      <c r="C88" s="5"/>
      <c r="D88" s="5"/>
      <c r="F88" s="5" t="s">
        <v>3814</v>
      </c>
      <c r="G88" s="5" t="s">
        <v>3699</v>
      </c>
      <c r="H88" s="5" t="s">
        <v>2585</v>
      </c>
      <c r="I88" s="5" t="s">
        <v>3815</v>
      </c>
      <c r="K88" s="5"/>
      <c r="L88" s="5"/>
      <c r="M88" s="5"/>
      <c r="N88" s="5"/>
      <c r="P88" s="5" t="s">
        <v>4948</v>
      </c>
      <c r="Q88" s="5" t="s">
        <v>4942</v>
      </c>
      <c r="R88" s="5" t="s">
        <v>2585</v>
      </c>
      <c r="S88" s="5" t="s">
        <v>4733</v>
      </c>
      <c r="U88" s="5"/>
      <c r="V88" s="5"/>
      <c r="W88" s="5"/>
      <c r="X88" s="5"/>
      <c r="Z88" s="5"/>
      <c r="AA88" s="5"/>
      <c r="AB88" s="5"/>
      <c r="AC88" s="5"/>
      <c r="AE88" s="5"/>
      <c r="AF88" s="5"/>
      <c r="AG88" s="5"/>
      <c r="AH88" s="5"/>
      <c r="AJ88" s="5"/>
      <c r="AK88" s="5"/>
      <c r="AL88" s="5"/>
      <c r="AM88" s="5"/>
      <c r="AO88" s="5"/>
      <c r="AP88" s="5"/>
      <c r="AQ88" s="5"/>
      <c r="AR88" s="5"/>
      <c r="AT88" s="5"/>
      <c r="AU88" s="5"/>
      <c r="AV88" s="5"/>
      <c r="AW88" s="5"/>
      <c r="AY88" s="5"/>
      <c r="AZ88" s="5"/>
      <c r="BA88" s="5"/>
      <c r="BB88" s="5"/>
      <c r="BD88" s="5"/>
      <c r="BE88" s="5"/>
      <c r="BF88" s="5"/>
      <c r="BG88" s="5"/>
      <c r="CR88" s="5" t="s">
        <v>5459</v>
      </c>
      <c r="CS88" s="5" t="s">
        <v>4942</v>
      </c>
      <c r="CT88" s="5" t="s">
        <v>2585</v>
      </c>
      <c r="CU88" s="5" t="s">
        <v>4733</v>
      </c>
    </row>
    <row r="89" spans="1:99" x14ac:dyDescent="0.25">
      <c r="A89" s="5"/>
      <c r="B89" s="5"/>
      <c r="C89" s="5"/>
      <c r="D89" s="5"/>
      <c r="F89" s="5" t="s">
        <v>3816</v>
      </c>
      <c r="G89" s="5" t="s">
        <v>3699</v>
      </c>
      <c r="H89" s="5" t="s">
        <v>2585</v>
      </c>
      <c r="I89" s="5" t="s">
        <v>3817</v>
      </c>
      <c r="K89" s="5"/>
      <c r="L89" s="5"/>
      <c r="M89" s="5"/>
      <c r="N89" s="5"/>
      <c r="P89" s="5" t="s">
        <v>4949</v>
      </c>
      <c r="Q89" s="5" t="s">
        <v>4942</v>
      </c>
      <c r="R89" s="5" t="s">
        <v>2585</v>
      </c>
      <c r="S89" s="5" t="s">
        <v>4733</v>
      </c>
      <c r="U89" s="5"/>
      <c r="V89" s="5"/>
      <c r="W89" s="5"/>
      <c r="X89" s="5"/>
      <c r="Z89" s="5"/>
      <c r="AA89" s="5"/>
      <c r="AB89" s="5"/>
      <c r="AC89" s="5"/>
      <c r="AE89" s="5"/>
      <c r="AF89" s="5"/>
      <c r="AG89" s="5"/>
      <c r="AH89" s="5"/>
      <c r="AJ89" s="5"/>
      <c r="AK89" s="5"/>
      <c r="AL89" s="5"/>
      <c r="AM89" s="5"/>
      <c r="AO89" s="5"/>
      <c r="AP89" s="5"/>
      <c r="AQ89" s="5"/>
      <c r="AR89" s="5"/>
      <c r="AT89" s="5"/>
      <c r="AU89" s="5"/>
      <c r="AV89" s="5"/>
      <c r="AW89" s="5"/>
      <c r="AY89" s="5"/>
      <c r="AZ89" s="5"/>
      <c r="BA89" s="5"/>
      <c r="BB89" s="5"/>
      <c r="BD89" s="5"/>
      <c r="BE89" s="5"/>
      <c r="BF89" s="5"/>
      <c r="BG89" s="5"/>
      <c r="CR89" s="5" t="s">
        <v>5460</v>
      </c>
      <c r="CS89" s="5" t="s">
        <v>4942</v>
      </c>
      <c r="CT89" s="5" t="s">
        <v>2585</v>
      </c>
      <c r="CU89" s="5" t="s">
        <v>4733</v>
      </c>
    </row>
    <row r="90" spans="1:99" x14ac:dyDescent="0.25">
      <c r="A90" s="5"/>
      <c r="B90" s="5"/>
      <c r="C90" s="5"/>
      <c r="D90" s="5"/>
      <c r="F90" s="5" t="s">
        <v>3818</v>
      </c>
      <c r="G90" s="5" t="s">
        <v>3699</v>
      </c>
      <c r="H90" s="5" t="s">
        <v>2585</v>
      </c>
      <c r="I90" s="5" t="s">
        <v>3819</v>
      </c>
      <c r="K90" s="5"/>
      <c r="L90" s="5"/>
      <c r="M90" s="5"/>
      <c r="N90" s="5"/>
      <c r="P90" s="5" t="s">
        <v>4950</v>
      </c>
      <c r="Q90" s="5" t="s">
        <v>4942</v>
      </c>
      <c r="R90" s="5" t="s">
        <v>2585</v>
      </c>
      <c r="S90" s="5" t="s">
        <v>4737</v>
      </c>
      <c r="U90" s="5"/>
      <c r="V90" s="5"/>
      <c r="W90" s="5"/>
      <c r="X90" s="5"/>
      <c r="Z90" s="5"/>
      <c r="AA90" s="5"/>
      <c r="AB90" s="5"/>
      <c r="AC90" s="5"/>
      <c r="AE90" s="5"/>
      <c r="AF90" s="5"/>
      <c r="AG90" s="5"/>
      <c r="AH90" s="5"/>
      <c r="AJ90" s="5"/>
      <c r="AK90" s="5"/>
      <c r="AL90" s="5"/>
      <c r="AM90" s="5"/>
      <c r="AO90" s="5"/>
      <c r="AP90" s="5"/>
      <c r="AQ90" s="5"/>
      <c r="AR90" s="5"/>
      <c r="AT90" s="5"/>
      <c r="AU90" s="5"/>
      <c r="AV90" s="5"/>
      <c r="AW90" s="5"/>
      <c r="AY90" s="5"/>
      <c r="AZ90" s="5"/>
      <c r="BA90" s="5"/>
      <c r="BB90" s="5"/>
      <c r="BD90" s="5"/>
      <c r="BE90" s="5"/>
      <c r="BF90" s="5"/>
      <c r="BG90" s="5"/>
      <c r="CR90" s="5" t="s">
        <v>5461</v>
      </c>
      <c r="CS90" s="5" t="s">
        <v>4942</v>
      </c>
      <c r="CT90" s="5" t="s">
        <v>2585</v>
      </c>
      <c r="CU90" s="5" t="s">
        <v>4737</v>
      </c>
    </row>
    <row r="91" spans="1:99" x14ac:dyDescent="0.25">
      <c r="A91" s="5"/>
      <c r="B91" s="5"/>
      <c r="C91" s="5"/>
      <c r="D91" s="5"/>
      <c r="F91" s="5" t="s">
        <v>3820</v>
      </c>
      <c r="G91" s="5" t="s">
        <v>3699</v>
      </c>
      <c r="H91" s="5" t="s">
        <v>2585</v>
      </c>
      <c r="I91" s="5" t="s">
        <v>3821</v>
      </c>
      <c r="K91" s="5"/>
      <c r="L91" s="5"/>
      <c r="M91" s="5"/>
      <c r="N91" s="5"/>
      <c r="P91" s="5" t="s">
        <v>4951</v>
      </c>
      <c r="Q91" s="5" t="s">
        <v>4952</v>
      </c>
      <c r="R91" s="5" t="s">
        <v>2585</v>
      </c>
      <c r="S91" s="5" t="s">
        <v>3668</v>
      </c>
      <c r="U91" s="5"/>
      <c r="V91" s="5"/>
      <c r="W91" s="5"/>
      <c r="X91" s="5"/>
      <c r="Z91" s="5"/>
      <c r="AA91" s="5"/>
      <c r="AB91" s="5"/>
      <c r="AC91" s="5"/>
      <c r="AE91" s="5"/>
      <c r="AF91" s="5"/>
      <c r="AG91" s="5"/>
      <c r="AH91" s="5"/>
      <c r="AJ91" s="5"/>
      <c r="AK91" s="5"/>
      <c r="AL91" s="5"/>
      <c r="AM91" s="5"/>
      <c r="AO91" s="5"/>
      <c r="AP91" s="5"/>
      <c r="AQ91" s="5"/>
      <c r="AR91" s="5"/>
      <c r="AT91" s="5"/>
      <c r="AU91" s="5"/>
      <c r="AV91" s="5"/>
      <c r="AW91" s="5"/>
      <c r="AY91" s="5"/>
      <c r="AZ91" s="5"/>
      <c r="BA91" s="5"/>
      <c r="BB91" s="5"/>
      <c r="BD91" s="5"/>
      <c r="BE91" s="5"/>
      <c r="BF91" s="5"/>
      <c r="BG91" s="5"/>
      <c r="CR91" s="5" t="s">
        <v>5462</v>
      </c>
      <c r="CS91" s="5" t="s">
        <v>4952</v>
      </c>
      <c r="CT91" s="5" t="s">
        <v>2585</v>
      </c>
      <c r="CU91" s="5" t="s">
        <v>3668</v>
      </c>
    </row>
    <row r="92" spans="1:99" x14ac:dyDescent="0.25">
      <c r="A92" s="5"/>
      <c r="B92" s="5"/>
      <c r="C92" s="5"/>
      <c r="D92" s="5"/>
      <c r="F92" s="5" t="s">
        <v>3822</v>
      </c>
      <c r="G92" s="5" t="s">
        <v>3699</v>
      </c>
      <c r="H92" s="5" t="s">
        <v>2585</v>
      </c>
      <c r="I92" s="5" t="s">
        <v>3823</v>
      </c>
      <c r="K92" s="5"/>
      <c r="L92" s="5"/>
      <c r="M92" s="5"/>
      <c r="N92" s="5"/>
      <c r="P92" s="5" t="s">
        <v>4953</v>
      </c>
      <c r="Q92" s="5" t="s">
        <v>4952</v>
      </c>
      <c r="R92" s="5" t="s">
        <v>2585</v>
      </c>
      <c r="S92" s="5" t="s">
        <v>3668</v>
      </c>
      <c r="U92" s="5"/>
      <c r="V92" s="5"/>
      <c r="W92" s="5"/>
      <c r="X92" s="5"/>
      <c r="Z92" s="5"/>
      <c r="AA92" s="5"/>
      <c r="AB92" s="5"/>
      <c r="AC92" s="5"/>
      <c r="AE92" s="5"/>
      <c r="AF92" s="5"/>
      <c r="AG92" s="5"/>
      <c r="AH92" s="5"/>
      <c r="AJ92" s="5"/>
      <c r="AK92" s="5"/>
      <c r="AL92" s="5"/>
      <c r="AM92" s="5"/>
      <c r="AO92" s="5"/>
      <c r="AP92" s="5"/>
      <c r="AQ92" s="5"/>
      <c r="AR92" s="5"/>
      <c r="AT92" s="5"/>
      <c r="AU92" s="5"/>
      <c r="AV92" s="5"/>
      <c r="AW92" s="5"/>
      <c r="AY92" s="5"/>
      <c r="AZ92" s="5"/>
      <c r="BA92" s="5"/>
      <c r="BB92" s="5"/>
      <c r="BD92" s="5"/>
      <c r="BE92" s="5"/>
      <c r="BF92" s="5"/>
      <c r="BG92" s="5"/>
      <c r="CR92" s="5" t="s">
        <v>5463</v>
      </c>
      <c r="CS92" s="5" t="s">
        <v>4952</v>
      </c>
      <c r="CT92" s="5" t="s">
        <v>2585</v>
      </c>
      <c r="CU92" s="5" t="s">
        <v>3668</v>
      </c>
    </row>
    <row r="93" spans="1:99" x14ac:dyDescent="0.25">
      <c r="A93" s="5"/>
      <c r="B93" s="5"/>
      <c r="C93" s="5"/>
      <c r="D93" s="5"/>
      <c r="F93" s="5" t="s">
        <v>3824</v>
      </c>
      <c r="G93" s="5" t="s">
        <v>3699</v>
      </c>
      <c r="H93" s="5" t="s">
        <v>2585</v>
      </c>
      <c r="I93" s="5" t="s">
        <v>3825</v>
      </c>
      <c r="K93" s="5"/>
      <c r="L93" s="5"/>
      <c r="M93" s="5"/>
      <c r="N93" s="5"/>
      <c r="P93" s="5" t="s">
        <v>4954</v>
      </c>
      <c r="Q93" s="5" t="s">
        <v>4952</v>
      </c>
      <c r="R93" s="5" t="s">
        <v>2585</v>
      </c>
      <c r="S93" s="5" t="s">
        <v>3668</v>
      </c>
      <c r="U93" s="5"/>
      <c r="V93" s="5"/>
      <c r="W93" s="5"/>
      <c r="X93" s="5"/>
      <c r="Z93" s="5"/>
      <c r="AA93" s="5"/>
      <c r="AB93" s="5"/>
      <c r="AC93" s="5"/>
      <c r="AE93" s="5"/>
      <c r="AF93" s="5"/>
      <c r="AG93" s="5"/>
      <c r="AH93" s="5"/>
      <c r="AJ93" s="5"/>
      <c r="AK93" s="5"/>
      <c r="AL93" s="5"/>
      <c r="AM93" s="5"/>
      <c r="AO93" s="5"/>
      <c r="AP93" s="5"/>
      <c r="AQ93" s="5"/>
      <c r="AR93" s="5"/>
      <c r="AT93" s="5"/>
      <c r="AU93" s="5"/>
      <c r="AV93" s="5"/>
      <c r="AW93" s="5"/>
      <c r="AY93" s="5"/>
      <c r="AZ93" s="5"/>
      <c r="BA93" s="5"/>
      <c r="BB93" s="5"/>
      <c r="BD93" s="5"/>
      <c r="BE93" s="5"/>
      <c r="BF93" s="5"/>
      <c r="BG93" s="5"/>
      <c r="CR93" s="5" t="s">
        <v>5464</v>
      </c>
      <c r="CS93" s="5" t="s">
        <v>4952</v>
      </c>
      <c r="CT93" s="5" t="s">
        <v>2585</v>
      </c>
      <c r="CU93" s="5" t="s">
        <v>3668</v>
      </c>
    </row>
    <row r="94" spans="1:99" x14ac:dyDescent="0.25">
      <c r="A94" s="5"/>
      <c r="B94" s="5"/>
      <c r="C94" s="5"/>
      <c r="D94" s="5"/>
      <c r="F94" s="5" t="s">
        <v>3826</v>
      </c>
      <c r="G94" s="5" t="s">
        <v>3699</v>
      </c>
      <c r="H94" s="5" t="s">
        <v>2585</v>
      </c>
      <c r="I94" s="5" t="s">
        <v>3827</v>
      </c>
      <c r="K94" s="5"/>
      <c r="L94" s="5"/>
      <c r="M94" s="5"/>
      <c r="N94" s="5"/>
      <c r="P94" s="5" t="s">
        <v>4955</v>
      </c>
      <c r="Q94" s="5" t="s">
        <v>4952</v>
      </c>
      <c r="R94" s="5" t="s">
        <v>2585</v>
      </c>
      <c r="S94" s="5" t="s">
        <v>3668</v>
      </c>
      <c r="U94" s="5"/>
      <c r="V94" s="5"/>
      <c r="W94" s="5"/>
      <c r="X94" s="5"/>
      <c r="Z94" s="5"/>
      <c r="AA94" s="5"/>
      <c r="AB94" s="5"/>
      <c r="AC94" s="5"/>
      <c r="AE94" s="5"/>
      <c r="AF94" s="5"/>
      <c r="AG94" s="5"/>
      <c r="AH94" s="5"/>
      <c r="AJ94" s="5"/>
      <c r="AK94" s="5"/>
      <c r="AL94" s="5"/>
      <c r="AM94" s="5"/>
      <c r="AO94" s="5"/>
      <c r="AP94" s="5"/>
      <c r="AQ94" s="5"/>
      <c r="AR94" s="5"/>
      <c r="AT94" s="5"/>
      <c r="AU94" s="5"/>
      <c r="AV94" s="5"/>
      <c r="AW94" s="5"/>
      <c r="AY94" s="5"/>
      <c r="AZ94" s="5"/>
      <c r="BA94" s="5"/>
      <c r="BB94" s="5"/>
      <c r="BD94" s="5"/>
      <c r="BE94" s="5"/>
      <c r="BF94" s="5"/>
      <c r="BG94" s="5"/>
      <c r="CR94" s="5" t="s">
        <v>5465</v>
      </c>
      <c r="CS94" s="5" t="s">
        <v>4952</v>
      </c>
      <c r="CT94" s="5" t="s">
        <v>2585</v>
      </c>
      <c r="CU94" s="5" t="s">
        <v>3668</v>
      </c>
    </row>
    <row r="95" spans="1:99" x14ac:dyDescent="0.25">
      <c r="A95" s="5"/>
      <c r="B95" s="5"/>
      <c r="C95" s="5"/>
      <c r="D95" s="5"/>
      <c r="F95" s="5" t="s">
        <v>3828</v>
      </c>
      <c r="G95" s="5" t="s">
        <v>3699</v>
      </c>
      <c r="H95" s="5" t="s">
        <v>2585</v>
      </c>
      <c r="I95" s="5" t="s">
        <v>3829</v>
      </c>
      <c r="K95" s="5"/>
      <c r="L95" s="5"/>
      <c r="M95" s="5"/>
      <c r="N95" s="5"/>
      <c r="P95" s="5" t="s">
        <v>4956</v>
      </c>
      <c r="Q95" s="5" t="s">
        <v>4952</v>
      </c>
      <c r="R95" s="5" t="s">
        <v>2585</v>
      </c>
      <c r="S95" s="5" t="s">
        <v>4733</v>
      </c>
      <c r="U95" s="5"/>
      <c r="V95" s="5"/>
      <c r="W95" s="5"/>
      <c r="X95" s="5"/>
      <c r="Z95" s="5"/>
      <c r="AA95" s="5"/>
      <c r="AB95" s="5"/>
      <c r="AC95" s="5"/>
      <c r="AE95" s="5"/>
      <c r="AF95" s="5"/>
      <c r="AG95" s="5"/>
      <c r="AH95" s="5"/>
      <c r="AJ95" s="5"/>
      <c r="AK95" s="5"/>
      <c r="AL95" s="5"/>
      <c r="AM95" s="5"/>
      <c r="AO95" s="5"/>
      <c r="AP95" s="5"/>
      <c r="AQ95" s="5"/>
      <c r="AR95" s="5"/>
      <c r="AT95" s="5"/>
      <c r="AU95" s="5"/>
      <c r="AV95" s="5"/>
      <c r="AW95" s="5"/>
      <c r="AY95" s="5"/>
      <c r="AZ95" s="5"/>
      <c r="BA95" s="5"/>
      <c r="BB95" s="5"/>
      <c r="BD95" s="5"/>
      <c r="BE95" s="5"/>
      <c r="BF95" s="5"/>
      <c r="BG95" s="5"/>
      <c r="CR95" s="5" t="s">
        <v>5466</v>
      </c>
      <c r="CS95" s="5" t="s">
        <v>4952</v>
      </c>
      <c r="CT95" s="5" t="s">
        <v>2585</v>
      </c>
      <c r="CU95" s="5" t="s">
        <v>4733</v>
      </c>
    </row>
    <row r="96" spans="1:99" x14ac:dyDescent="0.25">
      <c r="A96" s="5"/>
      <c r="B96" s="5"/>
      <c r="C96" s="5"/>
      <c r="D96" s="5"/>
      <c r="F96" s="5" t="s">
        <v>3830</v>
      </c>
      <c r="G96" s="5" t="s">
        <v>3699</v>
      </c>
      <c r="H96" s="5" t="s">
        <v>2585</v>
      </c>
      <c r="I96" s="5" t="s">
        <v>3831</v>
      </c>
      <c r="K96" s="5"/>
      <c r="L96" s="5"/>
      <c r="M96" s="5"/>
      <c r="N96" s="5"/>
      <c r="P96" s="5" t="s">
        <v>4957</v>
      </c>
      <c r="Q96" s="5" t="s">
        <v>4952</v>
      </c>
      <c r="R96" s="5" t="s">
        <v>2585</v>
      </c>
      <c r="S96" s="5" t="s">
        <v>4733</v>
      </c>
      <c r="U96" s="5"/>
      <c r="V96" s="5"/>
      <c r="W96" s="5"/>
      <c r="X96" s="5"/>
      <c r="Z96" s="5"/>
      <c r="AA96" s="5"/>
      <c r="AB96" s="5"/>
      <c r="AC96" s="5"/>
      <c r="AE96" s="5"/>
      <c r="AF96" s="5"/>
      <c r="AG96" s="5"/>
      <c r="AH96" s="5"/>
      <c r="AJ96" s="5"/>
      <c r="AK96" s="5"/>
      <c r="AL96" s="5"/>
      <c r="AM96" s="5"/>
      <c r="AO96" s="5"/>
      <c r="AP96" s="5"/>
      <c r="AQ96" s="5"/>
      <c r="AR96" s="5"/>
      <c r="AT96" s="5"/>
      <c r="AU96" s="5"/>
      <c r="AV96" s="5"/>
      <c r="AW96" s="5"/>
      <c r="AY96" s="5"/>
      <c r="AZ96" s="5"/>
      <c r="BA96" s="5"/>
      <c r="BB96" s="5"/>
      <c r="BD96" s="5"/>
      <c r="BE96" s="5"/>
      <c r="BF96" s="5"/>
      <c r="BG96" s="5"/>
      <c r="CR96" s="5" t="s">
        <v>5467</v>
      </c>
      <c r="CS96" s="5" t="s">
        <v>4952</v>
      </c>
      <c r="CT96" s="5" t="s">
        <v>2585</v>
      </c>
      <c r="CU96" s="5" t="s">
        <v>4733</v>
      </c>
    </row>
    <row r="97" spans="1:99" x14ac:dyDescent="0.25">
      <c r="A97" s="5"/>
      <c r="B97" s="5"/>
      <c r="C97" s="5"/>
      <c r="D97" s="5"/>
      <c r="F97" s="5" t="s">
        <v>3832</v>
      </c>
      <c r="G97" s="5" t="s">
        <v>3699</v>
      </c>
      <c r="H97" s="5" t="s">
        <v>2585</v>
      </c>
      <c r="I97" s="5" t="s">
        <v>3833</v>
      </c>
      <c r="K97" s="5"/>
      <c r="L97" s="5"/>
      <c r="M97" s="5"/>
      <c r="N97" s="5"/>
      <c r="P97" s="5" t="s">
        <v>4958</v>
      </c>
      <c r="Q97" s="5" t="s">
        <v>4952</v>
      </c>
      <c r="R97" s="5" t="s">
        <v>2585</v>
      </c>
      <c r="S97" s="5" t="s">
        <v>4733</v>
      </c>
      <c r="U97" s="5"/>
      <c r="V97" s="5"/>
      <c r="W97" s="5"/>
      <c r="X97" s="5"/>
      <c r="Z97" s="5"/>
      <c r="AA97" s="5"/>
      <c r="AB97" s="5"/>
      <c r="AC97" s="5"/>
      <c r="AE97" s="5"/>
      <c r="AF97" s="5"/>
      <c r="AG97" s="5"/>
      <c r="AH97" s="5"/>
      <c r="AJ97" s="5"/>
      <c r="AK97" s="5"/>
      <c r="AL97" s="5"/>
      <c r="AM97" s="5"/>
      <c r="AO97" s="5"/>
      <c r="AP97" s="5"/>
      <c r="AQ97" s="5"/>
      <c r="AR97" s="5"/>
      <c r="AT97" s="5"/>
      <c r="AU97" s="5"/>
      <c r="AV97" s="5"/>
      <c r="AW97" s="5"/>
      <c r="AY97" s="5"/>
      <c r="AZ97" s="5"/>
      <c r="BA97" s="5"/>
      <c r="BB97" s="5"/>
      <c r="BD97" s="5"/>
      <c r="BE97" s="5"/>
      <c r="BF97" s="5"/>
      <c r="BG97" s="5"/>
      <c r="CR97" s="5" t="s">
        <v>5468</v>
      </c>
      <c r="CS97" s="5" t="s">
        <v>4952</v>
      </c>
      <c r="CT97" s="5" t="s">
        <v>2585</v>
      </c>
      <c r="CU97" s="5" t="s">
        <v>4733</v>
      </c>
    </row>
    <row r="98" spans="1:99" x14ac:dyDescent="0.25">
      <c r="A98" s="5"/>
      <c r="B98" s="5"/>
      <c r="C98" s="5"/>
      <c r="D98" s="5"/>
      <c r="F98" s="5" t="s">
        <v>3834</v>
      </c>
      <c r="G98" s="5" t="s">
        <v>3699</v>
      </c>
      <c r="H98" s="5" t="s">
        <v>2585</v>
      </c>
      <c r="I98" s="5" t="s">
        <v>3835</v>
      </c>
      <c r="K98" s="5"/>
      <c r="L98" s="5"/>
      <c r="M98" s="5"/>
      <c r="N98" s="5"/>
      <c r="P98" s="5" t="s">
        <v>4959</v>
      </c>
      <c r="Q98" s="5" t="s">
        <v>4952</v>
      </c>
      <c r="R98" s="5" t="s">
        <v>2585</v>
      </c>
      <c r="S98" s="5" t="s">
        <v>4733</v>
      </c>
      <c r="U98" s="5"/>
      <c r="V98" s="5"/>
      <c r="W98" s="5"/>
      <c r="X98" s="5"/>
      <c r="Z98" s="5"/>
      <c r="AA98" s="5"/>
      <c r="AB98" s="5"/>
      <c r="AC98" s="5"/>
      <c r="AE98" s="5"/>
      <c r="AF98" s="5"/>
      <c r="AG98" s="5"/>
      <c r="AH98" s="5"/>
      <c r="AJ98" s="5"/>
      <c r="AK98" s="5"/>
      <c r="AL98" s="5"/>
      <c r="AM98" s="5"/>
      <c r="AO98" s="5"/>
      <c r="AP98" s="5"/>
      <c r="AQ98" s="5"/>
      <c r="AR98" s="5"/>
      <c r="AT98" s="5"/>
      <c r="AU98" s="5"/>
      <c r="AV98" s="5"/>
      <c r="AW98" s="5"/>
      <c r="AY98" s="5"/>
      <c r="AZ98" s="5"/>
      <c r="BA98" s="5"/>
      <c r="BB98" s="5"/>
      <c r="BD98" s="5"/>
      <c r="BE98" s="5"/>
      <c r="BF98" s="5"/>
      <c r="BG98" s="5"/>
      <c r="CR98" s="5" t="s">
        <v>5469</v>
      </c>
      <c r="CS98" s="5" t="s">
        <v>4952</v>
      </c>
      <c r="CT98" s="5" t="s">
        <v>2585</v>
      </c>
      <c r="CU98" s="5" t="s">
        <v>4733</v>
      </c>
    </row>
    <row r="99" spans="1:99" x14ac:dyDescent="0.25">
      <c r="A99" s="5"/>
      <c r="B99" s="5"/>
      <c r="C99" s="5"/>
      <c r="D99" s="5"/>
      <c r="F99" s="5" t="s">
        <v>3836</v>
      </c>
      <c r="G99" s="5" t="s">
        <v>3699</v>
      </c>
      <c r="H99" s="5" t="s">
        <v>2585</v>
      </c>
      <c r="I99" s="5" t="s">
        <v>3837</v>
      </c>
      <c r="K99" s="5"/>
      <c r="L99" s="5"/>
      <c r="M99" s="5"/>
      <c r="N99" s="5"/>
      <c r="P99" s="5" t="s">
        <v>4960</v>
      </c>
      <c r="Q99" s="5" t="s">
        <v>4952</v>
      </c>
      <c r="R99" s="5" t="s">
        <v>2585</v>
      </c>
      <c r="S99" s="5" t="s">
        <v>4737</v>
      </c>
      <c r="U99" s="5"/>
      <c r="V99" s="5"/>
      <c r="W99" s="5"/>
      <c r="X99" s="5"/>
      <c r="Z99" s="5"/>
      <c r="AA99" s="5"/>
      <c r="AB99" s="5"/>
      <c r="AC99" s="5"/>
      <c r="AE99" s="5"/>
      <c r="AF99" s="5"/>
      <c r="AG99" s="5"/>
      <c r="AH99" s="5"/>
      <c r="AJ99" s="5"/>
      <c r="AK99" s="5"/>
      <c r="AL99" s="5"/>
      <c r="AM99" s="5"/>
      <c r="AO99" s="5"/>
      <c r="AP99" s="5"/>
      <c r="AQ99" s="5"/>
      <c r="AR99" s="5"/>
      <c r="AT99" s="5"/>
      <c r="AU99" s="5"/>
      <c r="AV99" s="5"/>
      <c r="AW99" s="5"/>
      <c r="AY99" s="5"/>
      <c r="AZ99" s="5"/>
      <c r="BA99" s="5"/>
      <c r="BB99" s="5"/>
      <c r="BD99" s="5"/>
      <c r="BE99" s="5"/>
      <c r="BF99" s="5"/>
      <c r="BG99" s="5"/>
      <c r="CR99" s="5" t="s">
        <v>5470</v>
      </c>
      <c r="CS99" s="5" t="s">
        <v>4952</v>
      </c>
      <c r="CT99" s="5" t="s">
        <v>2585</v>
      </c>
      <c r="CU99" s="5" t="s">
        <v>4737</v>
      </c>
    </row>
    <row r="100" spans="1:99" x14ac:dyDescent="0.25">
      <c r="A100" s="5"/>
      <c r="B100" s="5"/>
      <c r="C100" s="5"/>
      <c r="D100" s="5"/>
      <c r="F100" s="5" t="s">
        <v>3838</v>
      </c>
      <c r="G100" s="5" t="s">
        <v>3699</v>
      </c>
      <c r="H100" s="5" t="s">
        <v>2585</v>
      </c>
      <c r="I100" s="5" t="s">
        <v>3839</v>
      </c>
      <c r="K100" s="5"/>
      <c r="L100" s="5"/>
      <c r="M100" s="5"/>
      <c r="N100" s="5"/>
      <c r="P100" s="5" t="s">
        <v>4961</v>
      </c>
      <c r="Q100" s="5" t="s">
        <v>4962</v>
      </c>
      <c r="R100" s="5" t="s">
        <v>2585</v>
      </c>
      <c r="S100" s="5" t="s">
        <v>3668</v>
      </c>
      <c r="U100" s="5"/>
      <c r="V100" s="5"/>
      <c r="W100" s="5"/>
      <c r="X100" s="5"/>
      <c r="Z100" s="5"/>
      <c r="AA100" s="5"/>
      <c r="AB100" s="5"/>
      <c r="AC100" s="5"/>
      <c r="AE100" s="5"/>
      <c r="AF100" s="5"/>
      <c r="AG100" s="5"/>
      <c r="AH100" s="5"/>
      <c r="AJ100" s="5"/>
      <c r="AK100" s="5"/>
      <c r="AL100" s="5"/>
      <c r="AM100" s="5"/>
      <c r="AO100" s="5"/>
      <c r="AP100" s="5"/>
      <c r="AQ100" s="5"/>
      <c r="AR100" s="5"/>
      <c r="AT100" s="5"/>
      <c r="AU100" s="5"/>
      <c r="AV100" s="5"/>
      <c r="AW100" s="5"/>
      <c r="AY100" s="5"/>
      <c r="AZ100" s="5"/>
      <c r="BA100" s="5"/>
      <c r="BB100" s="5"/>
      <c r="BD100" s="5"/>
      <c r="BE100" s="5"/>
      <c r="BF100" s="5"/>
      <c r="BG100" s="5"/>
      <c r="CR100" s="5" t="s">
        <v>5471</v>
      </c>
      <c r="CS100" s="5" t="s">
        <v>4962</v>
      </c>
      <c r="CT100" s="5" t="s">
        <v>2585</v>
      </c>
      <c r="CU100" s="5" t="s">
        <v>3668</v>
      </c>
    </row>
    <row r="101" spans="1:99" x14ac:dyDescent="0.25">
      <c r="A101" s="5"/>
      <c r="B101" s="5"/>
      <c r="C101" s="5"/>
      <c r="D101" s="5"/>
      <c r="F101" s="5" t="s">
        <v>3840</v>
      </c>
      <c r="G101" s="5" t="s">
        <v>3699</v>
      </c>
      <c r="H101" s="5" t="s">
        <v>2585</v>
      </c>
      <c r="I101" s="5" t="s">
        <v>3841</v>
      </c>
      <c r="K101" s="5"/>
      <c r="L101" s="5"/>
      <c r="M101" s="5"/>
      <c r="N101" s="5"/>
      <c r="P101" s="5" t="s">
        <v>4963</v>
      </c>
      <c r="Q101" s="5" t="s">
        <v>4964</v>
      </c>
      <c r="R101" s="5" t="s">
        <v>2585</v>
      </c>
      <c r="S101" s="5" t="s">
        <v>4556</v>
      </c>
      <c r="U101" s="5"/>
      <c r="V101" s="5"/>
      <c r="W101" s="5"/>
      <c r="X101" s="5"/>
      <c r="Z101" s="5"/>
      <c r="AA101" s="5"/>
      <c r="AB101" s="5"/>
      <c r="AC101" s="5"/>
      <c r="AE101" s="5"/>
      <c r="AF101" s="5"/>
      <c r="AG101" s="5"/>
      <c r="AH101" s="5"/>
      <c r="AJ101" s="5"/>
      <c r="AK101" s="5"/>
      <c r="AL101" s="5"/>
      <c r="AM101" s="5"/>
      <c r="AO101" s="5"/>
      <c r="AP101" s="5"/>
      <c r="AQ101" s="5"/>
      <c r="AR101" s="5"/>
      <c r="AT101" s="5"/>
      <c r="AU101" s="5"/>
      <c r="AV101" s="5"/>
      <c r="AW101" s="5"/>
      <c r="AY101" s="5"/>
      <c r="AZ101" s="5"/>
      <c r="BA101" s="5"/>
      <c r="BB101" s="5"/>
      <c r="BD101" s="5"/>
      <c r="BE101" s="5"/>
      <c r="BF101" s="5"/>
      <c r="BG101" s="5"/>
      <c r="CR101" s="5" t="s">
        <v>5472</v>
      </c>
      <c r="CS101" s="5" t="s">
        <v>4964</v>
      </c>
      <c r="CT101" s="5" t="s">
        <v>2585</v>
      </c>
      <c r="CU101" s="5" t="s">
        <v>4556</v>
      </c>
    </row>
    <row r="102" spans="1:99" x14ac:dyDescent="0.25">
      <c r="A102" s="5"/>
      <c r="B102" s="5"/>
      <c r="C102" s="5"/>
      <c r="D102" s="5"/>
      <c r="F102" s="5" t="s">
        <v>3842</v>
      </c>
      <c r="G102" s="5" t="s">
        <v>3699</v>
      </c>
      <c r="H102" s="5" t="s">
        <v>2585</v>
      </c>
      <c r="I102" s="5" t="s">
        <v>3843</v>
      </c>
      <c r="K102" s="5"/>
      <c r="L102" s="5"/>
      <c r="M102" s="5"/>
      <c r="N102" s="5"/>
      <c r="P102" s="5" t="s">
        <v>4965</v>
      </c>
      <c r="Q102" s="5" t="s">
        <v>4962</v>
      </c>
      <c r="R102" s="5" t="s">
        <v>2585</v>
      </c>
      <c r="S102" s="5" t="s">
        <v>4558</v>
      </c>
      <c r="U102" s="5"/>
      <c r="V102" s="5"/>
      <c r="W102" s="5"/>
      <c r="X102" s="5"/>
      <c r="Z102" s="5"/>
      <c r="AA102" s="5"/>
      <c r="AB102" s="5"/>
      <c r="AC102" s="5"/>
      <c r="AE102" s="5"/>
      <c r="AF102" s="5"/>
      <c r="AG102" s="5"/>
      <c r="AH102" s="5"/>
      <c r="AJ102" s="5"/>
      <c r="AK102" s="5"/>
      <c r="AL102" s="5"/>
      <c r="AM102" s="5"/>
      <c r="AO102" s="5"/>
      <c r="AP102" s="5"/>
      <c r="AQ102" s="5"/>
      <c r="AR102" s="5"/>
      <c r="AT102" s="5"/>
      <c r="AU102" s="5"/>
      <c r="AV102" s="5"/>
      <c r="AW102" s="5"/>
      <c r="AY102" s="5"/>
      <c r="AZ102" s="5"/>
      <c r="BA102" s="5"/>
      <c r="BB102" s="5"/>
      <c r="BD102" s="5"/>
      <c r="BE102" s="5"/>
      <c r="BF102" s="5"/>
      <c r="BG102" s="5"/>
      <c r="CR102" s="5" t="s">
        <v>5473</v>
      </c>
      <c r="CS102" s="5" t="s">
        <v>4962</v>
      </c>
      <c r="CT102" s="5" t="s">
        <v>2585</v>
      </c>
      <c r="CU102" s="5" t="s">
        <v>4558</v>
      </c>
    </row>
    <row r="103" spans="1:99" x14ac:dyDescent="0.25">
      <c r="A103" s="5"/>
      <c r="B103" s="5"/>
      <c r="C103" s="5"/>
      <c r="D103" s="5"/>
      <c r="F103" s="5" t="s">
        <v>3844</v>
      </c>
      <c r="G103" s="5" t="s">
        <v>3699</v>
      </c>
      <c r="H103" s="5" t="s">
        <v>2585</v>
      </c>
      <c r="I103" s="5" t="s">
        <v>3845</v>
      </c>
      <c r="K103" s="5"/>
      <c r="L103" s="5"/>
      <c r="M103" s="5"/>
      <c r="N103" s="5"/>
      <c r="P103" s="5" t="s">
        <v>4966</v>
      </c>
      <c r="Q103" s="5" t="s">
        <v>4964</v>
      </c>
      <c r="R103" s="5" t="s">
        <v>2585</v>
      </c>
      <c r="S103" s="5" t="s">
        <v>4967</v>
      </c>
      <c r="U103" s="5"/>
      <c r="V103" s="5"/>
      <c r="W103" s="5"/>
      <c r="X103" s="5"/>
      <c r="Z103" s="5"/>
      <c r="AA103" s="5"/>
      <c r="AB103" s="5"/>
      <c r="AC103" s="5"/>
      <c r="AE103" s="5"/>
      <c r="AF103" s="5"/>
      <c r="AG103" s="5"/>
      <c r="AH103" s="5"/>
      <c r="AJ103" s="5"/>
      <c r="AK103" s="5"/>
      <c r="AL103" s="5"/>
      <c r="AM103" s="5"/>
      <c r="AO103" s="5"/>
      <c r="AP103" s="5"/>
      <c r="AQ103" s="5"/>
      <c r="AR103" s="5"/>
      <c r="AT103" s="5"/>
      <c r="AU103" s="5"/>
      <c r="AV103" s="5"/>
      <c r="AW103" s="5"/>
      <c r="AY103" s="5"/>
      <c r="AZ103" s="5"/>
      <c r="BA103" s="5"/>
      <c r="BB103" s="5"/>
      <c r="BD103" s="5"/>
      <c r="BE103" s="5"/>
      <c r="BF103" s="5"/>
      <c r="BG103" s="5"/>
      <c r="CR103" s="5" t="s">
        <v>5474</v>
      </c>
      <c r="CS103" s="5" t="s">
        <v>4964</v>
      </c>
      <c r="CT103" s="5" t="s">
        <v>2585</v>
      </c>
      <c r="CU103" s="5" t="s">
        <v>4967</v>
      </c>
    </row>
    <row r="104" spans="1:99" x14ac:dyDescent="0.25">
      <c r="A104" s="5"/>
      <c r="B104" s="5"/>
      <c r="C104" s="5"/>
      <c r="D104" s="5"/>
      <c r="F104" s="5" t="s">
        <v>3846</v>
      </c>
      <c r="G104" s="5" t="s">
        <v>3699</v>
      </c>
      <c r="H104" s="5" t="s">
        <v>2585</v>
      </c>
      <c r="I104" s="5" t="s">
        <v>3847</v>
      </c>
      <c r="K104" s="5"/>
      <c r="L104" s="5"/>
      <c r="M104" s="5"/>
      <c r="N104" s="5"/>
      <c r="P104" s="5" t="s">
        <v>4968</v>
      </c>
      <c r="Q104" s="5" t="s">
        <v>4962</v>
      </c>
      <c r="R104" s="5" t="s">
        <v>2585</v>
      </c>
      <c r="S104" s="5" t="s">
        <v>4756</v>
      </c>
      <c r="U104" s="5"/>
      <c r="V104" s="5"/>
      <c r="W104" s="5"/>
      <c r="X104" s="5"/>
      <c r="Z104" s="5"/>
      <c r="AA104" s="5"/>
      <c r="AB104" s="5"/>
      <c r="AC104" s="5"/>
      <c r="AE104" s="5"/>
      <c r="AF104" s="5"/>
      <c r="AG104" s="5"/>
      <c r="AH104" s="5"/>
      <c r="AJ104" s="5"/>
      <c r="AK104" s="5"/>
      <c r="AL104" s="5"/>
      <c r="AM104" s="5"/>
      <c r="AO104" s="5"/>
      <c r="AP104" s="5"/>
      <c r="AQ104" s="5"/>
      <c r="AR104" s="5"/>
      <c r="AT104" s="5"/>
      <c r="AU104" s="5"/>
      <c r="AV104" s="5"/>
      <c r="AW104" s="5"/>
      <c r="AY104" s="5"/>
      <c r="AZ104" s="5"/>
      <c r="BA104" s="5"/>
      <c r="BB104" s="5"/>
      <c r="BD104" s="5"/>
      <c r="BE104" s="5"/>
      <c r="BF104" s="5"/>
      <c r="BG104" s="5"/>
      <c r="CR104" s="5" t="s">
        <v>5475</v>
      </c>
      <c r="CS104" s="5" t="s">
        <v>4962</v>
      </c>
      <c r="CT104" s="5" t="s">
        <v>2585</v>
      </c>
      <c r="CU104" s="5" t="s">
        <v>4756</v>
      </c>
    </row>
    <row r="105" spans="1:99" x14ac:dyDescent="0.25">
      <c r="A105" s="5"/>
      <c r="B105" s="5"/>
      <c r="C105" s="5"/>
      <c r="D105" s="5"/>
      <c r="F105" s="5" t="s">
        <v>3848</v>
      </c>
      <c r="G105" s="5" t="s">
        <v>3699</v>
      </c>
      <c r="H105" s="5" t="s">
        <v>2585</v>
      </c>
      <c r="I105" s="5" t="s">
        <v>3849</v>
      </c>
      <c r="K105" s="5"/>
      <c r="L105" s="5"/>
      <c r="M105" s="5"/>
      <c r="N105" s="5"/>
      <c r="P105" s="5" t="s">
        <v>4969</v>
      </c>
      <c r="Q105" s="5" t="s">
        <v>4964</v>
      </c>
      <c r="R105" s="5" t="s">
        <v>2585</v>
      </c>
      <c r="S105" s="5" t="s">
        <v>4970</v>
      </c>
      <c r="U105" s="5"/>
      <c r="V105" s="5"/>
      <c r="W105" s="5"/>
      <c r="X105" s="5"/>
      <c r="Z105" s="5"/>
      <c r="AA105" s="5"/>
      <c r="AB105" s="5"/>
      <c r="AC105" s="5"/>
      <c r="AE105" s="5"/>
      <c r="AF105" s="5"/>
      <c r="AG105" s="5"/>
      <c r="AH105" s="5"/>
      <c r="AJ105" s="5"/>
      <c r="AK105" s="5"/>
      <c r="AL105" s="5"/>
      <c r="AM105" s="5"/>
      <c r="AO105" s="5"/>
      <c r="AP105" s="5"/>
      <c r="AQ105" s="5"/>
      <c r="AR105" s="5"/>
      <c r="AT105" s="5"/>
      <c r="AU105" s="5"/>
      <c r="AV105" s="5"/>
      <c r="AW105" s="5"/>
      <c r="AY105" s="5"/>
      <c r="AZ105" s="5"/>
      <c r="BA105" s="5"/>
      <c r="BB105" s="5"/>
      <c r="BD105" s="5"/>
      <c r="BE105" s="5"/>
      <c r="BF105" s="5"/>
      <c r="BG105" s="5"/>
      <c r="CR105" s="5" t="s">
        <v>5476</v>
      </c>
      <c r="CS105" s="5" t="s">
        <v>4964</v>
      </c>
      <c r="CT105" s="5" t="s">
        <v>2585</v>
      </c>
      <c r="CU105" s="5" t="s">
        <v>4970</v>
      </c>
    </row>
    <row r="106" spans="1:99" x14ac:dyDescent="0.25">
      <c r="A106" s="5"/>
      <c r="B106" s="5"/>
      <c r="C106" s="5"/>
      <c r="D106" s="5"/>
      <c r="F106" s="5" t="s">
        <v>3850</v>
      </c>
      <c r="G106" s="5" t="s">
        <v>3699</v>
      </c>
      <c r="H106" s="5" t="s">
        <v>2585</v>
      </c>
      <c r="I106" s="5" t="s">
        <v>3851</v>
      </c>
      <c r="K106" s="5"/>
      <c r="L106" s="5"/>
      <c r="M106" s="5"/>
      <c r="N106" s="5"/>
      <c r="P106" s="5" t="s">
        <v>4971</v>
      </c>
      <c r="Q106" s="5" t="s">
        <v>4964</v>
      </c>
      <c r="R106" s="5" t="s">
        <v>2585</v>
      </c>
      <c r="S106" s="5" t="s">
        <v>4972</v>
      </c>
      <c r="U106" s="5"/>
      <c r="V106" s="5"/>
      <c r="W106" s="5"/>
      <c r="X106" s="5"/>
      <c r="Z106" s="5"/>
      <c r="AA106" s="5"/>
      <c r="AB106" s="5"/>
      <c r="AC106" s="5"/>
      <c r="AE106" s="5"/>
      <c r="AF106" s="5"/>
      <c r="AG106" s="5"/>
      <c r="AH106" s="5"/>
      <c r="AJ106" s="5"/>
      <c r="AK106" s="5"/>
      <c r="AL106" s="5"/>
      <c r="AM106" s="5"/>
      <c r="AO106" s="5"/>
      <c r="AP106" s="5"/>
      <c r="AQ106" s="5"/>
      <c r="AR106" s="5"/>
      <c r="AT106" s="5"/>
      <c r="AU106" s="5"/>
      <c r="AV106" s="5"/>
      <c r="AW106" s="5"/>
      <c r="AY106" s="5"/>
      <c r="AZ106" s="5"/>
      <c r="BA106" s="5"/>
      <c r="BB106" s="5"/>
      <c r="BD106" s="5"/>
      <c r="BE106" s="5"/>
      <c r="BF106" s="5"/>
      <c r="BG106" s="5"/>
      <c r="CR106" s="5" t="s">
        <v>5477</v>
      </c>
      <c r="CS106" s="5" t="s">
        <v>4964</v>
      </c>
      <c r="CT106" s="5" t="s">
        <v>2585</v>
      </c>
      <c r="CU106" s="5" t="s">
        <v>4972</v>
      </c>
    </row>
    <row r="107" spans="1:99" x14ac:dyDescent="0.25">
      <c r="A107" s="5"/>
      <c r="B107" s="5"/>
      <c r="C107" s="5"/>
      <c r="D107" s="5"/>
      <c r="F107" s="5" t="s">
        <v>3852</v>
      </c>
      <c r="G107" s="5" t="s">
        <v>3699</v>
      </c>
      <c r="H107" s="5" t="s">
        <v>2585</v>
      </c>
      <c r="I107" s="5" t="s">
        <v>3853</v>
      </c>
      <c r="K107" s="5"/>
      <c r="L107" s="5"/>
      <c r="M107" s="5"/>
      <c r="N107" s="5"/>
      <c r="P107" s="5" t="s">
        <v>4973</v>
      </c>
      <c r="Q107" s="5" t="s">
        <v>4964</v>
      </c>
      <c r="R107" s="5" t="s">
        <v>2585</v>
      </c>
      <c r="S107" s="5" t="s">
        <v>4974</v>
      </c>
      <c r="U107" s="5"/>
      <c r="V107" s="5"/>
      <c r="W107" s="5"/>
      <c r="X107" s="5"/>
      <c r="Z107" s="5"/>
      <c r="AA107" s="5"/>
      <c r="AB107" s="5"/>
      <c r="AC107" s="5"/>
      <c r="AE107" s="5"/>
      <c r="AF107" s="5"/>
      <c r="AG107" s="5"/>
      <c r="AH107" s="5"/>
      <c r="AJ107" s="5"/>
      <c r="AK107" s="5"/>
      <c r="AL107" s="5"/>
      <c r="AM107" s="5"/>
      <c r="AO107" s="5"/>
      <c r="AP107" s="5"/>
      <c r="AQ107" s="5"/>
      <c r="AR107" s="5"/>
      <c r="AT107" s="5"/>
      <c r="AU107" s="5"/>
      <c r="AV107" s="5"/>
      <c r="AW107" s="5"/>
      <c r="AY107" s="5"/>
      <c r="AZ107" s="5"/>
      <c r="BA107" s="5"/>
      <c r="BB107" s="5"/>
      <c r="BD107" s="5"/>
      <c r="BE107" s="5"/>
      <c r="BF107" s="5"/>
      <c r="BG107" s="5"/>
      <c r="CR107" s="5" t="s">
        <v>5478</v>
      </c>
      <c r="CS107" s="5" t="s">
        <v>4964</v>
      </c>
      <c r="CT107" s="5" t="s">
        <v>2585</v>
      </c>
      <c r="CU107" s="5" t="s">
        <v>4974</v>
      </c>
    </row>
    <row r="108" spans="1:99" x14ac:dyDescent="0.25">
      <c r="A108" s="5"/>
      <c r="B108" s="5"/>
      <c r="C108" s="5"/>
      <c r="D108" s="5"/>
      <c r="F108" s="5" t="s">
        <v>3854</v>
      </c>
      <c r="G108" s="5" t="s">
        <v>3699</v>
      </c>
      <c r="H108" s="5" t="s">
        <v>2585</v>
      </c>
      <c r="I108" s="5" t="s">
        <v>3855</v>
      </c>
      <c r="K108" s="5"/>
      <c r="L108" s="5"/>
      <c r="M108" s="5"/>
      <c r="N108" s="5"/>
      <c r="P108" s="5" t="s">
        <v>4975</v>
      </c>
      <c r="Q108" s="5" t="s">
        <v>4962</v>
      </c>
      <c r="R108" s="5" t="s">
        <v>2585</v>
      </c>
      <c r="S108" s="5" t="s">
        <v>4828</v>
      </c>
      <c r="U108" s="5"/>
      <c r="V108" s="5"/>
      <c r="W108" s="5"/>
      <c r="X108" s="5"/>
      <c r="Z108" s="5"/>
      <c r="AA108" s="5"/>
      <c r="AB108" s="5"/>
      <c r="AC108" s="5"/>
      <c r="AE108" s="5"/>
      <c r="AF108" s="5"/>
      <c r="AG108" s="5"/>
      <c r="AH108" s="5"/>
      <c r="AJ108" s="5"/>
      <c r="AK108" s="5"/>
      <c r="AL108" s="5"/>
      <c r="AM108" s="5"/>
      <c r="AO108" s="5"/>
      <c r="AP108" s="5"/>
      <c r="AQ108" s="5"/>
      <c r="AR108" s="5"/>
      <c r="AT108" s="5"/>
      <c r="AU108" s="5"/>
      <c r="AV108" s="5"/>
      <c r="AW108" s="5"/>
      <c r="AY108" s="5"/>
      <c r="AZ108" s="5"/>
      <c r="BA108" s="5"/>
      <c r="BB108" s="5"/>
      <c r="BD108" s="5"/>
      <c r="BE108" s="5"/>
      <c r="BF108" s="5"/>
      <c r="BG108" s="5"/>
      <c r="CR108" s="5" t="s">
        <v>5479</v>
      </c>
      <c r="CS108" s="5" t="s">
        <v>4962</v>
      </c>
      <c r="CT108" s="5" t="s">
        <v>2585</v>
      </c>
      <c r="CU108" s="5" t="s">
        <v>4828</v>
      </c>
    </row>
    <row r="109" spans="1:99" x14ac:dyDescent="0.25">
      <c r="A109" s="5"/>
      <c r="B109" s="5"/>
      <c r="C109" s="5"/>
      <c r="D109" s="5"/>
      <c r="F109" s="5" t="s">
        <v>3856</v>
      </c>
      <c r="G109" s="5" t="s">
        <v>3699</v>
      </c>
      <c r="H109" s="5" t="s">
        <v>2585</v>
      </c>
      <c r="I109" s="5" t="s">
        <v>3857</v>
      </c>
      <c r="K109" s="5"/>
      <c r="L109" s="5"/>
      <c r="M109" s="5"/>
      <c r="N109" s="5"/>
      <c r="P109" s="5" t="s">
        <v>4976</v>
      </c>
      <c r="Q109" s="5" t="s">
        <v>4964</v>
      </c>
      <c r="R109" s="5" t="s">
        <v>2585</v>
      </c>
      <c r="S109" s="5" t="s">
        <v>4977</v>
      </c>
      <c r="U109" s="5"/>
      <c r="V109" s="5"/>
      <c r="W109" s="5"/>
      <c r="X109" s="5"/>
      <c r="Z109" s="5"/>
      <c r="AA109" s="5"/>
      <c r="AB109" s="5"/>
      <c r="AC109" s="5"/>
      <c r="AE109" s="5"/>
      <c r="AF109" s="5"/>
      <c r="AG109" s="5"/>
      <c r="AH109" s="5"/>
      <c r="AJ109" s="5"/>
      <c r="AK109" s="5"/>
      <c r="AL109" s="5"/>
      <c r="AM109" s="5"/>
      <c r="AO109" s="5"/>
      <c r="AP109" s="5"/>
      <c r="AQ109" s="5"/>
      <c r="AR109" s="5"/>
      <c r="AT109" s="5"/>
      <c r="AU109" s="5"/>
      <c r="AV109" s="5"/>
      <c r="AW109" s="5"/>
      <c r="AY109" s="5"/>
      <c r="AZ109" s="5"/>
      <c r="BA109" s="5"/>
      <c r="BB109" s="5"/>
      <c r="BD109" s="5"/>
      <c r="BE109" s="5"/>
      <c r="BF109" s="5"/>
      <c r="BG109" s="5"/>
      <c r="CR109" s="5" t="s">
        <v>5480</v>
      </c>
      <c r="CS109" s="5" t="s">
        <v>4964</v>
      </c>
      <c r="CT109" s="5" t="s">
        <v>2585</v>
      </c>
      <c r="CU109" s="5" t="s">
        <v>4977</v>
      </c>
    </row>
    <row r="110" spans="1:99" x14ac:dyDescent="0.25">
      <c r="A110" s="5"/>
      <c r="B110" s="5"/>
      <c r="C110" s="5"/>
      <c r="D110" s="5"/>
      <c r="F110" s="5" t="s">
        <v>3858</v>
      </c>
      <c r="G110" s="5" t="s">
        <v>3699</v>
      </c>
      <c r="H110" s="5" t="s">
        <v>2585</v>
      </c>
      <c r="I110" s="5" t="s">
        <v>3859</v>
      </c>
      <c r="K110" s="5"/>
      <c r="L110" s="5"/>
      <c r="M110" s="5"/>
      <c r="N110" s="5"/>
      <c r="P110" s="5" t="s">
        <v>4978</v>
      </c>
      <c r="Q110" s="5" t="s">
        <v>4962</v>
      </c>
      <c r="R110" s="5" t="s">
        <v>2585</v>
      </c>
      <c r="S110" s="5" t="s">
        <v>3666</v>
      </c>
      <c r="U110" s="5"/>
      <c r="V110" s="5"/>
      <c r="W110" s="5"/>
      <c r="X110" s="5"/>
      <c r="Z110" s="5"/>
      <c r="AA110" s="5"/>
      <c r="AB110" s="5"/>
      <c r="AC110" s="5"/>
      <c r="AE110" s="5"/>
      <c r="AF110" s="5"/>
      <c r="AG110" s="5"/>
      <c r="AH110" s="5"/>
      <c r="AJ110" s="5"/>
      <c r="AK110" s="5"/>
      <c r="AL110" s="5"/>
      <c r="AM110" s="5"/>
      <c r="AO110" s="5"/>
      <c r="AP110" s="5"/>
      <c r="AQ110" s="5"/>
      <c r="AR110" s="5"/>
      <c r="AT110" s="5"/>
      <c r="AU110" s="5"/>
      <c r="AV110" s="5"/>
      <c r="AW110" s="5"/>
      <c r="AY110" s="5"/>
      <c r="AZ110" s="5"/>
      <c r="BA110" s="5"/>
      <c r="BB110" s="5"/>
      <c r="BD110" s="5"/>
      <c r="BE110" s="5"/>
      <c r="BF110" s="5"/>
      <c r="BG110" s="5"/>
      <c r="CR110" s="5" t="s">
        <v>5481</v>
      </c>
      <c r="CS110" s="5" t="s">
        <v>4962</v>
      </c>
      <c r="CT110" s="5" t="s">
        <v>2585</v>
      </c>
      <c r="CU110" s="5" t="s">
        <v>3666</v>
      </c>
    </row>
    <row r="111" spans="1:99" x14ac:dyDescent="0.25">
      <c r="A111" s="5"/>
      <c r="B111" s="5"/>
      <c r="C111" s="5"/>
      <c r="D111" s="5"/>
      <c r="F111" s="5" t="s">
        <v>3860</v>
      </c>
      <c r="G111" s="5" t="s">
        <v>3699</v>
      </c>
      <c r="H111" s="5" t="s">
        <v>2585</v>
      </c>
      <c r="I111" s="5" t="s">
        <v>3861</v>
      </c>
      <c r="K111" s="5"/>
      <c r="L111" s="5"/>
      <c r="M111" s="5"/>
      <c r="N111" s="5"/>
      <c r="P111" s="5" t="s">
        <v>4979</v>
      </c>
      <c r="Q111" s="5" t="s">
        <v>4964</v>
      </c>
      <c r="R111" s="5" t="s">
        <v>2585</v>
      </c>
      <c r="S111" s="5" t="s">
        <v>3667</v>
      </c>
      <c r="U111" s="5"/>
      <c r="V111" s="5"/>
      <c r="W111" s="5"/>
      <c r="X111" s="5"/>
      <c r="Z111" s="5"/>
      <c r="AA111" s="5"/>
      <c r="AB111" s="5"/>
      <c r="AC111" s="5"/>
      <c r="AE111" s="5"/>
      <c r="AF111" s="5"/>
      <c r="AG111" s="5"/>
      <c r="AH111" s="5"/>
      <c r="AJ111" s="5"/>
      <c r="AK111" s="5"/>
      <c r="AL111" s="5"/>
      <c r="AM111" s="5"/>
      <c r="AO111" s="5"/>
      <c r="AP111" s="5"/>
      <c r="AQ111" s="5"/>
      <c r="AR111" s="5"/>
      <c r="AT111" s="5"/>
      <c r="AU111" s="5"/>
      <c r="AV111" s="5"/>
      <c r="AW111" s="5"/>
      <c r="AY111" s="5"/>
      <c r="AZ111" s="5"/>
      <c r="BA111" s="5"/>
      <c r="BB111" s="5"/>
      <c r="BD111" s="5"/>
      <c r="BE111" s="5"/>
      <c r="BF111" s="5"/>
      <c r="BG111" s="5"/>
      <c r="CR111" s="5" t="s">
        <v>5482</v>
      </c>
      <c r="CS111" s="5" t="s">
        <v>4964</v>
      </c>
      <c r="CT111" s="5" t="s">
        <v>2585</v>
      </c>
      <c r="CU111" s="5" t="s">
        <v>3667</v>
      </c>
    </row>
    <row r="112" spans="1:99" x14ac:dyDescent="0.25">
      <c r="A112" s="5"/>
      <c r="B112" s="5"/>
      <c r="C112" s="5"/>
      <c r="D112" s="5"/>
      <c r="F112" s="5" t="s">
        <v>3862</v>
      </c>
      <c r="G112" s="5" t="s">
        <v>3699</v>
      </c>
      <c r="H112" s="5" t="s">
        <v>2585</v>
      </c>
      <c r="I112" s="5" t="s">
        <v>3863</v>
      </c>
      <c r="K112" s="5"/>
      <c r="L112" s="5"/>
      <c r="M112" s="5"/>
      <c r="N112" s="5"/>
      <c r="P112" s="5" t="s">
        <v>4980</v>
      </c>
      <c r="Q112" s="5" t="s">
        <v>4981</v>
      </c>
      <c r="R112" s="5" t="s">
        <v>2585</v>
      </c>
      <c r="S112" s="5" t="s">
        <v>3668</v>
      </c>
      <c r="U112" s="5"/>
      <c r="V112" s="5"/>
      <c r="W112" s="5"/>
      <c r="X112" s="5"/>
      <c r="Z112" s="5"/>
      <c r="AA112" s="5"/>
      <c r="AB112" s="5"/>
      <c r="AC112" s="5"/>
      <c r="AE112" s="5"/>
      <c r="AF112" s="5"/>
      <c r="AG112" s="5"/>
      <c r="AH112" s="5"/>
      <c r="AJ112" s="5"/>
      <c r="AK112" s="5"/>
      <c r="AL112" s="5"/>
      <c r="AM112" s="5"/>
      <c r="AO112" s="5"/>
      <c r="AP112" s="5"/>
      <c r="AQ112" s="5"/>
      <c r="AR112" s="5"/>
      <c r="AT112" s="5"/>
      <c r="AU112" s="5"/>
      <c r="AV112" s="5"/>
      <c r="AW112" s="5"/>
      <c r="AY112" s="5"/>
      <c r="AZ112" s="5"/>
      <c r="BA112" s="5"/>
      <c r="BB112" s="5"/>
      <c r="BD112" s="5"/>
      <c r="BE112" s="5"/>
      <c r="BF112" s="5"/>
      <c r="BG112" s="5"/>
      <c r="CR112" s="5" t="s">
        <v>5483</v>
      </c>
      <c r="CS112" s="5" t="s">
        <v>4981</v>
      </c>
      <c r="CT112" s="5" t="s">
        <v>2585</v>
      </c>
      <c r="CU112" s="5" t="s">
        <v>3668</v>
      </c>
    </row>
    <row r="113" spans="1:99" x14ac:dyDescent="0.25">
      <c r="A113" s="5"/>
      <c r="B113" s="5"/>
      <c r="C113" s="5"/>
      <c r="D113" s="5"/>
      <c r="F113" s="5" t="s">
        <v>3864</v>
      </c>
      <c r="G113" s="5" t="s">
        <v>3699</v>
      </c>
      <c r="H113" s="5" t="s">
        <v>2585</v>
      </c>
      <c r="I113" s="5" t="s">
        <v>3865</v>
      </c>
      <c r="K113" s="5"/>
      <c r="L113" s="5"/>
      <c r="M113" s="5"/>
      <c r="N113" s="5"/>
      <c r="P113" s="5" t="s">
        <v>4982</v>
      </c>
      <c r="Q113" s="5" t="s">
        <v>4983</v>
      </c>
      <c r="R113" s="5" t="s">
        <v>2585</v>
      </c>
      <c r="S113" s="5" t="s">
        <v>4556</v>
      </c>
      <c r="U113" s="5"/>
      <c r="V113" s="5"/>
      <c r="W113" s="5"/>
      <c r="X113" s="5"/>
      <c r="Z113" s="5"/>
      <c r="AA113" s="5"/>
      <c r="AB113" s="5"/>
      <c r="AC113" s="5"/>
      <c r="AE113" s="5"/>
      <c r="AF113" s="5"/>
      <c r="AG113" s="5"/>
      <c r="AH113" s="5"/>
      <c r="AJ113" s="5"/>
      <c r="AK113" s="5"/>
      <c r="AL113" s="5"/>
      <c r="AM113" s="5"/>
      <c r="AO113" s="5"/>
      <c r="AP113" s="5"/>
      <c r="AQ113" s="5"/>
      <c r="AR113" s="5"/>
      <c r="AT113" s="5"/>
      <c r="AU113" s="5"/>
      <c r="AV113" s="5"/>
      <c r="AW113" s="5"/>
      <c r="AY113" s="5"/>
      <c r="AZ113" s="5"/>
      <c r="BA113" s="5"/>
      <c r="BB113" s="5"/>
      <c r="BD113" s="5"/>
      <c r="BE113" s="5"/>
      <c r="BF113" s="5"/>
      <c r="BG113" s="5"/>
      <c r="CR113" s="5" t="s">
        <v>5484</v>
      </c>
      <c r="CS113" s="5" t="s">
        <v>4983</v>
      </c>
      <c r="CT113" s="5" t="s">
        <v>2585</v>
      </c>
      <c r="CU113" s="5" t="s">
        <v>4556</v>
      </c>
    </row>
    <row r="114" spans="1:99" x14ac:dyDescent="0.25">
      <c r="A114" s="5"/>
      <c r="B114" s="5"/>
      <c r="C114" s="5"/>
      <c r="D114" s="5"/>
      <c r="F114" s="5" t="s">
        <v>3866</v>
      </c>
      <c r="G114" s="5" t="s">
        <v>3699</v>
      </c>
      <c r="H114" s="5" t="s">
        <v>2585</v>
      </c>
      <c r="I114" s="5" t="s">
        <v>3867</v>
      </c>
      <c r="K114" s="5"/>
      <c r="L114" s="5"/>
      <c r="M114" s="5"/>
      <c r="N114" s="5"/>
      <c r="P114" s="5" t="s">
        <v>4984</v>
      </c>
      <c r="Q114" s="5" t="s">
        <v>4981</v>
      </c>
      <c r="R114" s="5" t="s">
        <v>2585</v>
      </c>
      <c r="S114" s="5" t="s">
        <v>4558</v>
      </c>
      <c r="U114" s="5"/>
      <c r="V114" s="5"/>
      <c r="W114" s="5"/>
      <c r="X114" s="5"/>
      <c r="Z114" s="5"/>
      <c r="AA114" s="5"/>
      <c r="AB114" s="5"/>
      <c r="AC114" s="5"/>
      <c r="AE114" s="5"/>
      <c r="AF114" s="5"/>
      <c r="AG114" s="5"/>
      <c r="AH114" s="5"/>
      <c r="AJ114" s="5"/>
      <c r="AK114" s="5"/>
      <c r="AL114" s="5"/>
      <c r="AM114" s="5"/>
      <c r="AO114" s="5"/>
      <c r="AP114" s="5"/>
      <c r="AQ114" s="5"/>
      <c r="AR114" s="5"/>
      <c r="AT114" s="5"/>
      <c r="AU114" s="5"/>
      <c r="AV114" s="5"/>
      <c r="AW114" s="5"/>
      <c r="AY114" s="5"/>
      <c r="AZ114" s="5"/>
      <c r="BA114" s="5"/>
      <c r="BB114" s="5"/>
      <c r="BD114" s="5"/>
      <c r="BE114" s="5"/>
      <c r="BF114" s="5"/>
      <c r="BG114" s="5"/>
      <c r="CR114" s="5" t="s">
        <v>5485</v>
      </c>
      <c r="CS114" s="5" t="s">
        <v>4981</v>
      </c>
      <c r="CT114" s="5" t="s">
        <v>2585</v>
      </c>
      <c r="CU114" s="5" t="s">
        <v>4558</v>
      </c>
    </row>
    <row r="115" spans="1:99" x14ac:dyDescent="0.25">
      <c r="A115" s="5"/>
      <c r="B115" s="5"/>
      <c r="C115" s="5"/>
      <c r="D115" s="5"/>
      <c r="F115" s="5" t="s">
        <v>3868</v>
      </c>
      <c r="G115" s="5" t="s">
        <v>3699</v>
      </c>
      <c r="H115" s="5" t="s">
        <v>2585</v>
      </c>
      <c r="I115" s="5" t="s">
        <v>3869</v>
      </c>
      <c r="K115" s="5"/>
      <c r="L115" s="5"/>
      <c r="M115" s="5"/>
      <c r="N115" s="5"/>
      <c r="P115" s="5" t="s">
        <v>4985</v>
      </c>
      <c r="Q115" s="5" t="s">
        <v>4983</v>
      </c>
      <c r="R115" s="5" t="s">
        <v>2585</v>
      </c>
      <c r="S115" s="5" t="s">
        <v>4986</v>
      </c>
      <c r="U115" s="5"/>
      <c r="V115" s="5"/>
      <c r="W115" s="5"/>
      <c r="X115" s="5"/>
      <c r="Z115" s="5"/>
      <c r="AA115" s="5"/>
      <c r="AB115" s="5"/>
      <c r="AC115" s="5"/>
      <c r="AE115" s="5"/>
      <c r="AF115" s="5"/>
      <c r="AG115" s="5"/>
      <c r="AH115" s="5"/>
      <c r="AJ115" s="5"/>
      <c r="AK115" s="5"/>
      <c r="AL115" s="5"/>
      <c r="AM115" s="5"/>
      <c r="AO115" s="5"/>
      <c r="AP115" s="5"/>
      <c r="AQ115" s="5"/>
      <c r="AR115" s="5"/>
      <c r="AT115" s="5"/>
      <c r="AU115" s="5"/>
      <c r="AV115" s="5"/>
      <c r="AW115" s="5"/>
      <c r="AY115" s="5"/>
      <c r="AZ115" s="5"/>
      <c r="BA115" s="5"/>
      <c r="BB115" s="5"/>
      <c r="BD115" s="5"/>
      <c r="BE115" s="5"/>
      <c r="BF115" s="5"/>
      <c r="BG115" s="5"/>
      <c r="CR115" s="5" t="s">
        <v>5486</v>
      </c>
      <c r="CS115" s="5" t="s">
        <v>4983</v>
      </c>
      <c r="CT115" s="5" t="s">
        <v>2585</v>
      </c>
      <c r="CU115" s="5" t="s">
        <v>4986</v>
      </c>
    </row>
    <row r="116" spans="1:99" x14ac:dyDescent="0.25">
      <c r="A116" s="5"/>
      <c r="B116" s="5"/>
      <c r="C116" s="5"/>
      <c r="D116" s="5"/>
      <c r="F116" s="5"/>
      <c r="G116" s="5"/>
      <c r="H116" s="5"/>
      <c r="I116" s="5"/>
      <c r="K116" s="5"/>
      <c r="L116" s="5"/>
      <c r="M116" s="5"/>
      <c r="N116" s="5"/>
      <c r="P116" s="5" t="s">
        <v>4987</v>
      </c>
      <c r="Q116" s="5" t="s">
        <v>4981</v>
      </c>
      <c r="R116" s="5" t="s">
        <v>2585</v>
      </c>
      <c r="S116" s="5" t="s">
        <v>4756</v>
      </c>
      <c r="U116" s="5"/>
      <c r="V116" s="5"/>
      <c r="W116" s="5"/>
      <c r="X116" s="5"/>
      <c r="Z116" s="5"/>
      <c r="AA116" s="5"/>
      <c r="AB116" s="5"/>
      <c r="AC116" s="5"/>
      <c r="AE116" s="5"/>
      <c r="AF116" s="5"/>
      <c r="AG116" s="5"/>
      <c r="AH116" s="5"/>
      <c r="AJ116" s="5"/>
      <c r="AK116" s="5"/>
      <c r="AL116" s="5"/>
      <c r="AM116" s="5"/>
      <c r="AO116" s="5"/>
      <c r="AP116" s="5"/>
      <c r="AQ116" s="5"/>
      <c r="AR116" s="5"/>
      <c r="AT116" s="5"/>
      <c r="AU116" s="5"/>
      <c r="AV116" s="5"/>
      <c r="AW116" s="5"/>
      <c r="AY116" s="5"/>
      <c r="AZ116" s="5"/>
      <c r="BA116" s="5"/>
      <c r="BB116" s="5"/>
      <c r="BD116" s="5"/>
      <c r="BE116" s="5"/>
      <c r="BF116" s="5"/>
      <c r="BG116" s="5"/>
      <c r="CR116" s="5" t="s">
        <v>5487</v>
      </c>
      <c r="CS116" s="5" t="s">
        <v>4981</v>
      </c>
      <c r="CT116" s="5" t="s">
        <v>2585</v>
      </c>
      <c r="CU116" s="5" t="s">
        <v>4756</v>
      </c>
    </row>
    <row r="117" spans="1:99" x14ac:dyDescent="0.25">
      <c r="A117" s="5"/>
      <c r="B117" s="5"/>
      <c r="C117" s="5"/>
      <c r="D117" s="5"/>
      <c r="F117" s="5"/>
      <c r="G117" s="5"/>
      <c r="H117" s="5"/>
      <c r="I117" s="5"/>
      <c r="K117" s="5"/>
      <c r="L117" s="5"/>
      <c r="M117" s="5"/>
      <c r="N117" s="5"/>
      <c r="P117" s="5" t="s">
        <v>4988</v>
      </c>
      <c r="Q117" s="5" t="s">
        <v>4983</v>
      </c>
      <c r="R117" s="5" t="s">
        <v>2585</v>
      </c>
      <c r="S117" s="5" t="s">
        <v>4989</v>
      </c>
      <c r="U117" s="5"/>
      <c r="V117" s="5"/>
      <c r="W117" s="5"/>
      <c r="X117" s="5"/>
      <c r="Z117" s="5"/>
      <c r="AA117" s="5"/>
      <c r="AB117" s="5"/>
      <c r="AC117" s="5"/>
      <c r="AE117" s="5"/>
      <c r="AF117" s="5"/>
      <c r="AG117" s="5"/>
      <c r="AH117" s="5"/>
      <c r="AJ117" s="5"/>
      <c r="AK117" s="5"/>
      <c r="AL117" s="5"/>
      <c r="AM117" s="5"/>
      <c r="AO117" s="5"/>
      <c r="AP117" s="5"/>
      <c r="AQ117" s="5"/>
      <c r="AR117" s="5"/>
      <c r="AT117" s="5"/>
      <c r="AU117" s="5"/>
      <c r="AV117" s="5"/>
      <c r="AW117" s="5"/>
      <c r="AY117" s="5"/>
      <c r="AZ117" s="5"/>
      <c r="BA117" s="5"/>
      <c r="BB117" s="5"/>
      <c r="BD117" s="5"/>
      <c r="BE117" s="5"/>
      <c r="BF117" s="5"/>
      <c r="BG117" s="5"/>
      <c r="CR117" s="5" t="s">
        <v>5488</v>
      </c>
      <c r="CS117" s="5" t="s">
        <v>4983</v>
      </c>
      <c r="CT117" s="5" t="s">
        <v>2585</v>
      </c>
      <c r="CU117" s="5" t="s">
        <v>4989</v>
      </c>
    </row>
    <row r="118" spans="1:99" x14ac:dyDescent="0.25">
      <c r="A118" s="5"/>
      <c r="B118" s="5"/>
      <c r="C118" s="5"/>
      <c r="D118" s="5"/>
      <c r="F118" s="5"/>
      <c r="G118" s="5"/>
      <c r="H118" s="5"/>
      <c r="I118" s="5"/>
      <c r="K118" s="5"/>
      <c r="L118" s="5"/>
      <c r="M118" s="5"/>
      <c r="N118" s="5"/>
      <c r="P118" s="5" t="s">
        <v>4990</v>
      </c>
      <c r="Q118" s="5" t="s">
        <v>4983</v>
      </c>
      <c r="R118" s="5" t="s">
        <v>2585</v>
      </c>
      <c r="S118" s="5" t="s">
        <v>4991</v>
      </c>
      <c r="U118" s="5"/>
      <c r="V118" s="5"/>
      <c r="W118" s="5"/>
      <c r="X118" s="5"/>
      <c r="Z118" s="5"/>
      <c r="AA118" s="5"/>
      <c r="AB118" s="5"/>
      <c r="AC118" s="5"/>
      <c r="AE118" s="5"/>
      <c r="AF118" s="5"/>
      <c r="AG118" s="5"/>
      <c r="AH118" s="5"/>
      <c r="AJ118" s="5"/>
      <c r="AK118" s="5"/>
      <c r="AL118" s="5"/>
      <c r="AM118" s="5"/>
      <c r="AO118" s="5"/>
      <c r="AP118" s="5"/>
      <c r="AQ118" s="5"/>
      <c r="AR118" s="5"/>
      <c r="AT118" s="5"/>
      <c r="AU118" s="5"/>
      <c r="AV118" s="5"/>
      <c r="AW118" s="5"/>
      <c r="AY118" s="5"/>
      <c r="AZ118" s="5"/>
      <c r="BA118" s="5"/>
      <c r="BB118" s="5"/>
      <c r="BD118" s="5"/>
      <c r="BE118" s="5"/>
      <c r="BF118" s="5"/>
      <c r="BG118" s="5"/>
      <c r="CR118" s="5" t="s">
        <v>5489</v>
      </c>
      <c r="CS118" s="5" t="s">
        <v>4983</v>
      </c>
      <c r="CT118" s="5" t="s">
        <v>2585</v>
      </c>
      <c r="CU118" s="5" t="s">
        <v>4991</v>
      </c>
    </row>
    <row r="119" spans="1:99" x14ac:dyDescent="0.25">
      <c r="A119" s="5"/>
      <c r="B119" s="5"/>
      <c r="C119" s="5"/>
      <c r="D119" s="5"/>
      <c r="F119" s="5"/>
      <c r="G119" s="5"/>
      <c r="H119" s="5"/>
      <c r="I119" s="5"/>
      <c r="K119" s="5"/>
      <c r="L119" s="5"/>
      <c r="M119" s="5"/>
      <c r="N119" s="5"/>
      <c r="P119" s="5" t="s">
        <v>4992</v>
      </c>
      <c r="Q119" s="5" t="s">
        <v>4983</v>
      </c>
      <c r="R119" s="5" t="s">
        <v>2585</v>
      </c>
      <c r="S119" s="5" t="s">
        <v>4993</v>
      </c>
      <c r="U119" s="5"/>
      <c r="V119" s="5"/>
      <c r="W119" s="5"/>
      <c r="X119" s="5"/>
      <c r="Z119" s="5"/>
      <c r="AA119" s="5"/>
      <c r="AB119" s="5"/>
      <c r="AC119" s="5"/>
      <c r="AE119" s="5"/>
      <c r="AF119" s="5"/>
      <c r="AG119" s="5"/>
      <c r="AH119" s="5"/>
      <c r="AJ119" s="5"/>
      <c r="AK119" s="5"/>
      <c r="AL119" s="5"/>
      <c r="AM119" s="5"/>
      <c r="AO119" s="5"/>
      <c r="AP119" s="5"/>
      <c r="AQ119" s="5"/>
      <c r="AR119" s="5"/>
      <c r="AT119" s="5"/>
      <c r="AU119" s="5"/>
      <c r="AV119" s="5"/>
      <c r="AW119" s="5"/>
      <c r="AY119" s="5"/>
      <c r="AZ119" s="5"/>
      <c r="BA119" s="5"/>
      <c r="BB119" s="5"/>
      <c r="BD119" s="5"/>
      <c r="BE119" s="5"/>
      <c r="BF119" s="5"/>
      <c r="BG119" s="5"/>
      <c r="CR119" s="5" t="s">
        <v>5490</v>
      </c>
      <c r="CS119" s="5" t="s">
        <v>4983</v>
      </c>
      <c r="CT119" s="5" t="s">
        <v>2585</v>
      </c>
      <c r="CU119" s="5" t="s">
        <v>4993</v>
      </c>
    </row>
    <row r="120" spans="1:99" x14ac:dyDescent="0.25">
      <c r="A120" s="5"/>
      <c r="B120" s="5"/>
      <c r="C120" s="5"/>
      <c r="D120" s="5"/>
      <c r="F120" s="5"/>
      <c r="G120" s="5"/>
      <c r="H120" s="5"/>
      <c r="I120" s="5"/>
      <c r="K120" s="5"/>
      <c r="L120" s="5"/>
      <c r="M120" s="5"/>
      <c r="N120" s="5"/>
      <c r="P120" s="5" t="s">
        <v>4994</v>
      </c>
      <c r="Q120" s="5" t="s">
        <v>4981</v>
      </c>
      <c r="R120" s="5" t="s">
        <v>2585</v>
      </c>
      <c r="S120" s="5" t="s">
        <v>4828</v>
      </c>
      <c r="U120" s="5"/>
      <c r="V120" s="5"/>
      <c r="W120" s="5"/>
      <c r="X120" s="5"/>
      <c r="Z120" s="5"/>
      <c r="AA120" s="5"/>
      <c r="AB120" s="5"/>
      <c r="AC120" s="5"/>
      <c r="AE120" s="5"/>
      <c r="AF120" s="5"/>
      <c r="AG120" s="5"/>
      <c r="AH120" s="5"/>
      <c r="AJ120" s="5"/>
      <c r="AK120" s="5"/>
      <c r="AL120" s="5"/>
      <c r="AM120" s="5"/>
      <c r="AO120" s="5"/>
      <c r="AP120" s="5"/>
      <c r="AQ120" s="5"/>
      <c r="AR120" s="5"/>
      <c r="AT120" s="5"/>
      <c r="AU120" s="5"/>
      <c r="AV120" s="5"/>
      <c r="AW120" s="5"/>
      <c r="AY120" s="5"/>
      <c r="AZ120" s="5"/>
      <c r="BA120" s="5"/>
      <c r="BB120" s="5"/>
      <c r="BD120" s="5"/>
      <c r="BE120" s="5"/>
      <c r="BF120" s="5"/>
      <c r="BG120" s="5"/>
      <c r="CR120" s="5" t="s">
        <v>5491</v>
      </c>
      <c r="CS120" s="5" t="s">
        <v>4981</v>
      </c>
      <c r="CT120" s="5" t="s">
        <v>2585</v>
      </c>
      <c r="CU120" s="5" t="s">
        <v>4828</v>
      </c>
    </row>
    <row r="121" spans="1:99" x14ac:dyDescent="0.25">
      <c r="A121" s="5"/>
      <c r="B121" s="5"/>
      <c r="C121" s="5"/>
      <c r="D121" s="5"/>
      <c r="F121" s="5"/>
      <c r="G121" s="5"/>
      <c r="H121" s="5"/>
      <c r="I121" s="5"/>
      <c r="K121" s="5"/>
      <c r="L121" s="5"/>
      <c r="M121" s="5"/>
      <c r="N121" s="5"/>
      <c r="P121" s="5" t="s">
        <v>4995</v>
      </c>
      <c r="Q121" s="5" t="s">
        <v>4983</v>
      </c>
      <c r="R121" s="5" t="s">
        <v>2585</v>
      </c>
      <c r="S121" s="5" t="s">
        <v>4996</v>
      </c>
      <c r="U121" s="5"/>
      <c r="V121" s="5"/>
      <c r="W121" s="5"/>
      <c r="X121" s="5"/>
      <c r="Z121" s="5"/>
      <c r="AA121" s="5"/>
      <c r="AB121" s="5"/>
      <c r="AC121" s="5"/>
      <c r="AE121" s="5"/>
      <c r="AF121" s="5"/>
      <c r="AG121" s="5"/>
      <c r="AH121" s="5"/>
      <c r="AJ121" s="5"/>
      <c r="AK121" s="5"/>
      <c r="AL121" s="5"/>
      <c r="AM121" s="5"/>
      <c r="AO121" s="5"/>
      <c r="AP121" s="5"/>
      <c r="AQ121" s="5"/>
      <c r="AR121" s="5"/>
      <c r="AT121" s="5"/>
      <c r="AU121" s="5"/>
      <c r="AV121" s="5"/>
      <c r="AW121" s="5"/>
      <c r="AY121" s="5"/>
      <c r="AZ121" s="5"/>
      <c r="BA121" s="5"/>
      <c r="BB121" s="5"/>
      <c r="BD121" s="5"/>
      <c r="BE121" s="5"/>
      <c r="BF121" s="5"/>
      <c r="BG121" s="5"/>
      <c r="CR121" s="5" t="s">
        <v>5492</v>
      </c>
      <c r="CS121" s="5" t="s">
        <v>4983</v>
      </c>
      <c r="CT121" s="5" t="s">
        <v>2585</v>
      </c>
      <c r="CU121" s="5" t="s">
        <v>4996</v>
      </c>
    </row>
    <row r="122" spans="1:99" x14ac:dyDescent="0.25">
      <c r="A122" s="5"/>
      <c r="B122" s="5"/>
      <c r="C122" s="5"/>
      <c r="D122" s="5"/>
      <c r="F122" s="5"/>
      <c r="G122" s="5"/>
      <c r="H122" s="5"/>
      <c r="I122" s="5"/>
      <c r="K122" s="5"/>
      <c r="L122" s="5"/>
      <c r="M122" s="5"/>
      <c r="N122" s="5"/>
      <c r="P122" s="5" t="s">
        <v>4997</v>
      </c>
      <c r="Q122" s="5" t="s">
        <v>4981</v>
      </c>
      <c r="R122" s="5" t="s">
        <v>2585</v>
      </c>
      <c r="S122" s="5" t="s">
        <v>4756</v>
      </c>
      <c r="U122" s="5"/>
      <c r="V122" s="5"/>
      <c r="W122" s="5"/>
      <c r="X122" s="5"/>
      <c r="Z122" s="5"/>
      <c r="AA122" s="5"/>
      <c r="AB122" s="5"/>
      <c r="AC122" s="5"/>
      <c r="AE122" s="5"/>
      <c r="AF122" s="5"/>
      <c r="AG122" s="5"/>
      <c r="AH122" s="5"/>
      <c r="AJ122" s="5"/>
      <c r="AK122" s="5"/>
      <c r="AL122" s="5"/>
      <c r="AM122" s="5"/>
      <c r="AO122" s="5"/>
      <c r="AP122" s="5"/>
      <c r="AQ122" s="5"/>
      <c r="AR122" s="5"/>
      <c r="AT122" s="5"/>
      <c r="AU122" s="5"/>
      <c r="AV122" s="5"/>
      <c r="AW122" s="5"/>
      <c r="AY122" s="5"/>
      <c r="AZ122" s="5"/>
      <c r="BA122" s="5"/>
      <c r="BB122" s="5"/>
      <c r="BD122" s="5"/>
      <c r="BE122" s="5"/>
      <c r="BF122" s="5"/>
      <c r="BG122" s="5"/>
      <c r="CR122" s="5" t="s">
        <v>5493</v>
      </c>
      <c r="CS122" s="5" t="s">
        <v>4981</v>
      </c>
      <c r="CT122" s="5" t="s">
        <v>2585</v>
      </c>
      <c r="CU122" s="5" t="s">
        <v>4756</v>
      </c>
    </row>
    <row r="123" spans="1:99" x14ac:dyDescent="0.25">
      <c r="A123" s="5"/>
      <c r="B123" s="5"/>
      <c r="C123" s="5"/>
      <c r="D123" s="5"/>
      <c r="F123" s="5"/>
      <c r="G123" s="5"/>
      <c r="H123" s="5"/>
      <c r="I123" s="5"/>
      <c r="K123" s="5"/>
      <c r="L123" s="5"/>
      <c r="M123" s="5"/>
      <c r="N123" s="5"/>
      <c r="P123" s="5" t="s">
        <v>4998</v>
      </c>
      <c r="Q123" s="5" t="s">
        <v>4983</v>
      </c>
      <c r="R123" s="5" t="s">
        <v>2585</v>
      </c>
      <c r="S123" s="5" t="s">
        <v>4999</v>
      </c>
      <c r="U123" s="5"/>
      <c r="V123" s="5"/>
      <c r="W123" s="5"/>
      <c r="X123" s="5"/>
      <c r="Z123" s="5"/>
      <c r="AA123" s="5"/>
      <c r="AB123" s="5"/>
      <c r="AC123" s="5"/>
      <c r="AE123" s="5"/>
      <c r="AF123" s="5"/>
      <c r="AG123" s="5"/>
      <c r="AH123" s="5"/>
      <c r="AJ123" s="5"/>
      <c r="AK123" s="5"/>
      <c r="AL123" s="5"/>
      <c r="AM123" s="5"/>
      <c r="AO123" s="5"/>
      <c r="AP123" s="5"/>
      <c r="AQ123" s="5"/>
      <c r="AR123" s="5"/>
      <c r="AT123" s="5"/>
      <c r="AU123" s="5"/>
      <c r="AV123" s="5"/>
      <c r="AW123" s="5"/>
      <c r="AY123" s="5"/>
      <c r="AZ123" s="5"/>
      <c r="BA123" s="5"/>
      <c r="BB123" s="5"/>
      <c r="BD123" s="5"/>
      <c r="BE123" s="5"/>
      <c r="BF123" s="5"/>
      <c r="BG123" s="5"/>
      <c r="CR123" s="5" t="s">
        <v>5494</v>
      </c>
      <c r="CS123" s="5" t="s">
        <v>4983</v>
      </c>
      <c r="CT123" s="5" t="s">
        <v>2585</v>
      </c>
      <c r="CU123" s="5" t="s">
        <v>4999</v>
      </c>
    </row>
    <row r="124" spans="1:99" x14ac:dyDescent="0.25">
      <c r="A124" s="5"/>
      <c r="B124" s="5"/>
      <c r="C124" s="5"/>
      <c r="D124" s="5"/>
      <c r="F124" s="5"/>
      <c r="G124" s="5"/>
      <c r="H124" s="5"/>
      <c r="I124" s="5"/>
      <c r="K124" s="5"/>
      <c r="L124" s="5"/>
      <c r="M124" s="5"/>
      <c r="N124" s="5"/>
      <c r="P124" s="5" t="s">
        <v>5000</v>
      </c>
      <c r="Q124" s="5" t="s">
        <v>4983</v>
      </c>
      <c r="R124" s="5" t="s">
        <v>2585</v>
      </c>
      <c r="S124" s="5" t="s">
        <v>5001</v>
      </c>
      <c r="U124" s="5"/>
      <c r="V124" s="5"/>
      <c r="W124" s="5"/>
      <c r="X124" s="5"/>
      <c r="Z124" s="5"/>
      <c r="AA124" s="5"/>
      <c r="AB124" s="5"/>
      <c r="AC124" s="5"/>
      <c r="AE124" s="5"/>
      <c r="AF124" s="5"/>
      <c r="AG124" s="5"/>
      <c r="AH124" s="5"/>
      <c r="AJ124" s="5"/>
      <c r="AK124" s="5"/>
      <c r="AL124" s="5"/>
      <c r="AM124" s="5"/>
      <c r="AO124" s="5"/>
      <c r="AP124" s="5"/>
      <c r="AQ124" s="5"/>
      <c r="AR124" s="5"/>
      <c r="AT124" s="5"/>
      <c r="AU124" s="5"/>
      <c r="AV124" s="5"/>
      <c r="AW124" s="5"/>
      <c r="AY124" s="5"/>
      <c r="AZ124" s="5"/>
      <c r="BA124" s="5"/>
      <c r="BB124" s="5"/>
      <c r="BD124" s="5"/>
      <c r="BE124" s="5"/>
      <c r="BF124" s="5"/>
      <c r="BG124" s="5"/>
      <c r="CR124" s="5" t="s">
        <v>5495</v>
      </c>
      <c r="CS124" s="5" t="s">
        <v>4983</v>
      </c>
      <c r="CT124" s="5" t="s">
        <v>2585</v>
      </c>
      <c r="CU124" s="5" t="s">
        <v>5001</v>
      </c>
    </row>
    <row r="125" spans="1:99" x14ac:dyDescent="0.25">
      <c r="A125" s="5"/>
      <c r="B125" s="5"/>
      <c r="C125" s="5"/>
      <c r="D125" s="5"/>
      <c r="F125" s="5"/>
      <c r="G125" s="5"/>
      <c r="H125" s="5"/>
      <c r="I125" s="5"/>
      <c r="K125" s="5"/>
      <c r="L125" s="5"/>
      <c r="M125" s="5"/>
      <c r="N125" s="5"/>
      <c r="P125" s="5" t="s">
        <v>5002</v>
      </c>
      <c r="Q125" s="5" t="s">
        <v>4983</v>
      </c>
      <c r="R125" s="5" t="s">
        <v>2585</v>
      </c>
      <c r="S125" s="5" t="s">
        <v>5003</v>
      </c>
      <c r="U125" s="5"/>
      <c r="V125" s="5"/>
      <c r="W125" s="5"/>
      <c r="X125" s="5"/>
      <c r="Z125" s="5"/>
      <c r="AA125" s="5"/>
      <c r="AB125" s="5"/>
      <c r="AC125" s="5"/>
      <c r="AE125" s="5"/>
      <c r="AF125" s="5"/>
      <c r="AG125" s="5"/>
      <c r="AH125" s="5"/>
      <c r="AJ125" s="5"/>
      <c r="AK125" s="5"/>
      <c r="AL125" s="5"/>
      <c r="AM125" s="5"/>
      <c r="AO125" s="5"/>
      <c r="AP125" s="5"/>
      <c r="AQ125" s="5"/>
      <c r="AR125" s="5"/>
      <c r="AT125" s="5"/>
      <c r="AU125" s="5"/>
      <c r="AV125" s="5"/>
      <c r="AW125" s="5"/>
      <c r="AY125" s="5"/>
      <c r="AZ125" s="5"/>
      <c r="BA125" s="5"/>
      <c r="BB125" s="5"/>
      <c r="BD125" s="5"/>
      <c r="BE125" s="5"/>
      <c r="BF125" s="5"/>
      <c r="BG125" s="5"/>
      <c r="CR125" s="5" t="s">
        <v>5496</v>
      </c>
      <c r="CS125" s="5" t="s">
        <v>4983</v>
      </c>
      <c r="CT125" s="5" t="s">
        <v>2585</v>
      </c>
      <c r="CU125" s="5" t="s">
        <v>5003</v>
      </c>
    </row>
    <row r="126" spans="1:99" x14ac:dyDescent="0.25">
      <c r="A126" s="5"/>
      <c r="B126" s="5"/>
      <c r="C126" s="5"/>
      <c r="D126" s="5"/>
      <c r="F126" s="5"/>
      <c r="G126" s="5"/>
      <c r="H126" s="5"/>
      <c r="I126" s="5"/>
      <c r="K126" s="5"/>
      <c r="L126" s="5"/>
      <c r="M126" s="5"/>
      <c r="N126" s="5"/>
      <c r="P126" s="5" t="s">
        <v>5004</v>
      </c>
      <c r="Q126" s="5" t="s">
        <v>4983</v>
      </c>
      <c r="R126" s="5" t="s">
        <v>2585</v>
      </c>
      <c r="S126" s="5" t="s">
        <v>5005</v>
      </c>
      <c r="U126" s="5"/>
      <c r="V126" s="5"/>
      <c r="W126" s="5"/>
      <c r="X126" s="5"/>
      <c r="Z126" s="5"/>
      <c r="AA126" s="5"/>
      <c r="AB126" s="5"/>
      <c r="AC126" s="5"/>
      <c r="AE126" s="5"/>
      <c r="AF126" s="5"/>
      <c r="AG126" s="5"/>
      <c r="AH126" s="5"/>
      <c r="AJ126" s="5"/>
      <c r="AK126" s="5"/>
      <c r="AL126" s="5"/>
      <c r="AM126" s="5"/>
      <c r="AO126" s="5"/>
      <c r="AP126" s="5"/>
      <c r="AQ126" s="5"/>
      <c r="AR126" s="5"/>
      <c r="AT126" s="5"/>
      <c r="AU126" s="5"/>
      <c r="AV126" s="5"/>
      <c r="AW126" s="5"/>
      <c r="AY126" s="5"/>
      <c r="AZ126" s="5"/>
      <c r="BA126" s="5"/>
      <c r="BB126" s="5"/>
      <c r="BD126" s="5"/>
      <c r="BE126" s="5"/>
      <c r="BF126" s="5"/>
      <c r="BG126" s="5"/>
      <c r="CR126" s="5" t="s">
        <v>5497</v>
      </c>
      <c r="CS126" s="5" t="s">
        <v>4983</v>
      </c>
      <c r="CT126" s="5" t="s">
        <v>2585</v>
      </c>
      <c r="CU126" s="5" t="s">
        <v>5005</v>
      </c>
    </row>
    <row r="127" spans="1:99" x14ac:dyDescent="0.25">
      <c r="A127" s="5"/>
      <c r="B127" s="5"/>
      <c r="C127" s="5"/>
      <c r="D127" s="5"/>
      <c r="F127" s="5"/>
      <c r="G127" s="5"/>
      <c r="H127" s="5"/>
      <c r="I127" s="5"/>
      <c r="K127" s="5"/>
      <c r="L127" s="5"/>
      <c r="M127" s="5"/>
      <c r="N127" s="5"/>
      <c r="P127" s="5" t="s">
        <v>5006</v>
      </c>
      <c r="Q127" s="5" t="s">
        <v>4983</v>
      </c>
      <c r="R127" s="5" t="s">
        <v>2585</v>
      </c>
      <c r="S127" s="5" t="s">
        <v>5007</v>
      </c>
      <c r="U127" s="5"/>
      <c r="V127" s="5"/>
      <c r="W127" s="5"/>
      <c r="X127" s="5"/>
      <c r="Z127" s="5"/>
      <c r="AA127" s="5"/>
      <c r="AB127" s="5"/>
      <c r="AC127" s="5"/>
      <c r="AE127" s="5"/>
      <c r="AF127" s="5"/>
      <c r="AG127" s="5"/>
      <c r="AH127" s="5"/>
      <c r="AJ127" s="5"/>
      <c r="AK127" s="5"/>
      <c r="AL127" s="5"/>
      <c r="AM127" s="5"/>
      <c r="AO127" s="5"/>
      <c r="AP127" s="5"/>
      <c r="AQ127" s="5"/>
      <c r="AR127" s="5"/>
      <c r="AT127" s="5"/>
      <c r="AU127" s="5"/>
      <c r="AV127" s="5"/>
      <c r="AW127" s="5"/>
      <c r="AY127" s="5"/>
      <c r="AZ127" s="5"/>
      <c r="BA127" s="5"/>
      <c r="BB127" s="5"/>
      <c r="BD127" s="5"/>
      <c r="BE127" s="5"/>
      <c r="BF127" s="5"/>
      <c r="BG127" s="5"/>
      <c r="CR127" s="5" t="s">
        <v>5498</v>
      </c>
      <c r="CS127" s="5" t="s">
        <v>4983</v>
      </c>
      <c r="CT127" s="5" t="s">
        <v>2585</v>
      </c>
      <c r="CU127" s="5" t="s">
        <v>5007</v>
      </c>
    </row>
    <row r="128" spans="1:99" x14ac:dyDescent="0.25">
      <c r="A128" s="5"/>
      <c r="B128" s="5"/>
      <c r="C128" s="5"/>
      <c r="D128" s="5"/>
      <c r="F128" s="5"/>
      <c r="G128" s="5"/>
      <c r="H128" s="5"/>
      <c r="I128" s="5"/>
      <c r="K128" s="5"/>
      <c r="L128" s="5"/>
      <c r="M128" s="5"/>
      <c r="N128" s="5"/>
      <c r="P128" s="5" t="s">
        <v>5008</v>
      </c>
      <c r="Q128" s="5" t="s">
        <v>4983</v>
      </c>
      <c r="R128" s="5" t="s">
        <v>2585</v>
      </c>
      <c r="S128" s="5" t="s">
        <v>5009</v>
      </c>
      <c r="U128" s="5"/>
      <c r="V128" s="5"/>
      <c r="W128" s="5"/>
      <c r="X128" s="5"/>
      <c r="Z128" s="5"/>
      <c r="AA128" s="5"/>
      <c r="AB128" s="5"/>
      <c r="AC128" s="5"/>
      <c r="AE128" s="5"/>
      <c r="AF128" s="5"/>
      <c r="AG128" s="5"/>
      <c r="AH128" s="5"/>
      <c r="AJ128" s="5"/>
      <c r="AK128" s="5"/>
      <c r="AL128" s="5"/>
      <c r="AM128" s="5"/>
      <c r="AO128" s="5"/>
      <c r="AP128" s="5"/>
      <c r="AQ128" s="5"/>
      <c r="AR128" s="5"/>
      <c r="AT128" s="5"/>
      <c r="AU128" s="5"/>
      <c r="AV128" s="5"/>
      <c r="AW128" s="5"/>
      <c r="AY128" s="5"/>
      <c r="AZ128" s="5"/>
      <c r="BA128" s="5"/>
      <c r="BB128" s="5"/>
      <c r="BD128" s="5"/>
      <c r="BE128" s="5"/>
      <c r="BF128" s="5"/>
      <c r="BG128" s="5"/>
      <c r="CR128" s="5" t="s">
        <v>5499</v>
      </c>
      <c r="CS128" s="5" t="s">
        <v>4983</v>
      </c>
      <c r="CT128" s="5" t="s">
        <v>2585</v>
      </c>
      <c r="CU128" s="5" t="s">
        <v>5009</v>
      </c>
    </row>
    <row r="129" spans="1:99" x14ac:dyDescent="0.25">
      <c r="A129" s="5"/>
      <c r="B129" s="5"/>
      <c r="C129" s="5"/>
      <c r="D129" s="5"/>
      <c r="F129" s="5"/>
      <c r="G129" s="5"/>
      <c r="H129" s="5"/>
      <c r="I129" s="5"/>
      <c r="K129" s="5"/>
      <c r="L129" s="5"/>
      <c r="M129" s="5"/>
      <c r="N129" s="5"/>
      <c r="P129" s="5" t="s">
        <v>5010</v>
      </c>
      <c r="Q129" s="5" t="s">
        <v>4983</v>
      </c>
      <c r="R129" s="5" t="s">
        <v>2585</v>
      </c>
      <c r="S129" s="5" t="s">
        <v>5011</v>
      </c>
      <c r="U129" s="5"/>
      <c r="V129" s="5"/>
      <c r="W129" s="5"/>
      <c r="X129" s="5"/>
      <c r="Z129" s="5"/>
      <c r="AA129" s="5"/>
      <c r="AB129" s="5"/>
      <c r="AC129" s="5"/>
      <c r="AE129" s="5"/>
      <c r="AF129" s="5"/>
      <c r="AG129" s="5"/>
      <c r="AH129" s="5"/>
      <c r="AJ129" s="5"/>
      <c r="AK129" s="5"/>
      <c r="AL129" s="5"/>
      <c r="AM129" s="5"/>
      <c r="AO129" s="5"/>
      <c r="AP129" s="5"/>
      <c r="AQ129" s="5"/>
      <c r="AR129" s="5"/>
      <c r="AT129" s="5"/>
      <c r="AU129" s="5"/>
      <c r="AV129" s="5"/>
      <c r="AW129" s="5"/>
      <c r="AY129" s="5"/>
      <c r="AZ129" s="5"/>
      <c r="BA129" s="5"/>
      <c r="BB129" s="5"/>
      <c r="BD129" s="5"/>
      <c r="BE129" s="5"/>
      <c r="BF129" s="5"/>
      <c r="BG129" s="5"/>
      <c r="CR129" s="5" t="s">
        <v>5500</v>
      </c>
      <c r="CS129" s="5" t="s">
        <v>4983</v>
      </c>
      <c r="CT129" s="5" t="s">
        <v>2585</v>
      </c>
      <c r="CU129" s="5" t="s">
        <v>5011</v>
      </c>
    </row>
    <row r="130" spans="1:99" x14ac:dyDescent="0.25">
      <c r="A130" s="5"/>
      <c r="B130" s="5"/>
      <c r="C130" s="5"/>
      <c r="D130" s="5"/>
      <c r="F130" s="5"/>
      <c r="G130" s="5"/>
      <c r="H130" s="5"/>
      <c r="I130" s="5"/>
      <c r="K130" s="5"/>
      <c r="L130" s="5"/>
      <c r="M130" s="5"/>
      <c r="N130" s="5"/>
      <c r="P130" s="5" t="s">
        <v>5012</v>
      </c>
      <c r="Q130" s="5" t="s">
        <v>4983</v>
      </c>
      <c r="R130" s="5" t="s">
        <v>2585</v>
      </c>
      <c r="S130" s="5" t="s">
        <v>5013</v>
      </c>
      <c r="U130" s="5"/>
      <c r="V130" s="5"/>
      <c r="W130" s="5"/>
      <c r="X130" s="5"/>
      <c r="Z130" s="5"/>
      <c r="AA130" s="5"/>
      <c r="AB130" s="5"/>
      <c r="AC130" s="5"/>
      <c r="AE130" s="5"/>
      <c r="AF130" s="5"/>
      <c r="AG130" s="5"/>
      <c r="AH130" s="5"/>
      <c r="AJ130" s="5"/>
      <c r="AK130" s="5"/>
      <c r="AL130" s="5"/>
      <c r="AM130" s="5"/>
      <c r="AO130" s="5"/>
      <c r="AP130" s="5"/>
      <c r="AQ130" s="5"/>
      <c r="AR130" s="5"/>
      <c r="AT130" s="5"/>
      <c r="AU130" s="5"/>
      <c r="AV130" s="5"/>
      <c r="AW130" s="5"/>
      <c r="AY130" s="5"/>
      <c r="AZ130" s="5"/>
      <c r="BA130" s="5"/>
      <c r="BB130" s="5"/>
      <c r="BD130" s="5"/>
      <c r="BE130" s="5"/>
      <c r="BF130" s="5"/>
      <c r="BG130" s="5"/>
      <c r="CR130" s="5" t="s">
        <v>5501</v>
      </c>
      <c r="CS130" s="5" t="s">
        <v>4983</v>
      </c>
      <c r="CT130" s="5" t="s">
        <v>2585</v>
      </c>
      <c r="CU130" s="5" t="s">
        <v>5013</v>
      </c>
    </row>
    <row r="131" spans="1:99" x14ac:dyDescent="0.25">
      <c r="A131" s="5"/>
      <c r="B131" s="5"/>
      <c r="C131" s="5"/>
      <c r="D131" s="5"/>
      <c r="F131" s="5"/>
      <c r="G131" s="5"/>
      <c r="H131" s="5"/>
      <c r="I131" s="5"/>
      <c r="K131" s="5"/>
      <c r="L131" s="5"/>
      <c r="M131" s="5"/>
      <c r="N131" s="5"/>
      <c r="P131" s="5" t="s">
        <v>5014</v>
      </c>
      <c r="Q131" s="5" t="s">
        <v>4983</v>
      </c>
      <c r="R131" s="5" t="s">
        <v>2585</v>
      </c>
      <c r="S131" s="5" t="s">
        <v>5015</v>
      </c>
      <c r="U131" s="5"/>
      <c r="V131" s="5"/>
      <c r="W131" s="5"/>
      <c r="X131" s="5"/>
      <c r="Z131" s="5"/>
      <c r="AA131" s="5"/>
      <c r="AB131" s="5"/>
      <c r="AC131" s="5"/>
      <c r="AE131" s="5"/>
      <c r="AF131" s="5"/>
      <c r="AG131" s="5"/>
      <c r="AH131" s="5"/>
      <c r="AJ131" s="5"/>
      <c r="AK131" s="5"/>
      <c r="AL131" s="5"/>
      <c r="AM131" s="5"/>
      <c r="AO131" s="5"/>
      <c r="AP131" s="5"/>
      <c r="AQ131" s="5"/>
      <c r="AR131" s="5"/>
      <c r="AT131" s="5"/>
      <c r="AU131" s="5"/>
      <c r="AV131" s="5"/>
      <c r="AW131" s="5"/>
      <c r="AY131" s="5"/>
      <c r="AZ131" s="5"/>
      <c r="BA131" s="5"/>
      <c r="BB131" s="5"/>
      <c r="BD131" s="5"/>
      <c r="BE131" s="5"/>
      <c r="BF131" s="5"/>
      <c r="BG131" s="5"/>
      <c r="CR131" s="5" t="s">
        <v>5502</v>
      </c>
      <c r="CS131" s="5" t="s">
        <v>4983</v>
      </c>
      <c r="CT131" s="5" t="s">
        <v>2585</v>
      </c>
      <c r="CU131" s="5" t="s">
        <v>5015</v>
      </c>
    </row>
    <row r="132" spans="1:99" x14ac:dyDescent="0.25">
      <c r="A132" s="5"/>
      <c r="B132" s="5"/>
      <c r="C132" s="5"/>
      <c r="D132" s="5"/>
      <c r="F132" s="5"/>
      <c r="G132" s="5"/>
      <c r="H132" s="5"/>
      <c r="I132" s="5"/>
      <c r="K132" s="5"/>
      <c r="L132" s="5"/>
      <c r="M132" s="5"/>
      <c r="N132" s="5"/>
      <c r="P132" s="5" t="s">
        <v>5016</v>
      </c>
      <c r="Q132" s="5" t="s">
        <v>4983</v>
      </c>
      <c r="R132" s="5" t="s">
        <v>2585</v>
      </c>
      <c r="S132" s="5" t="s">
        <v>5017</v>
      </c>
      <c r="U132" s="5"/>
      <c r="V132" s="5"/>
      <c r="W132" s="5"/>
      <c r="X132" s="5"/>
      <c r="Z132" s="5"/>
      <c r="AA132" s="5"/>
      <c r="AB132" s="5"/>
      <c r="AC132" s="5"/>
      <c r="AE132" s="5"/>
      <c r="AF132" s="5"/>
      <c r="AG132" s="5"/>
      <c r="AH132" s="5"/>
      <c r="AJ132" s="5"/>
      <c r="AK132" s="5"/>
      <c r="AL132" s="5"/>
      <c r="AM132" s="5"/>
      <c r="AO132" s="5"/>
      <c r="AP132" s="5"/>
      <c r="AQ132" s="5"/>
      <c r="AR132" s="5"/>
      <c r="AT132" s="5"/>
      <c r="AU132" s="5"/>
      <c r="AV132" s="5"/>
      <c r="AW132" s="5"/>
      <c r="AY132" s="5"/>
      <c r="AZ132" s="5"/>
      <c r="BA132" s="5"/>
      <c r="BB132" s="5"/>
      <c r="BD132" s="5"/>
      <c r="BE132" s="5"/>
      <c r="BF132" s="5"/>
      <c r="BG132" s="5"/>
      <c r="CR132" s="5" t="s">
        <v>5503</v>
      </c>
      <c r="CS132" s="5" t="s">
        <v>4983</v>
      </c>
      <c r="CT132" s="5" t="s">
        <v>2585</v>
      </c>
      <c r="CU132" s="5" t="s">
        <v>5017</v>
      </c>
    </row>
    <row r="133" spans="1:99" x14ac:dyDescent="0.25">
      <c r="A133" s="5"/>
      <c r="B133" s="5"/>
      <c r="C133" s="5"/>
      <c r="D133" s="5"/>
      <c r="F133" s="5"/>
      <c r="G133" s="5"/>
      <c r="H133" s="5"/>
      <c r="I133" s="5"/>
      <c r="K133" s="5"/>
      <c r="L133" s="5"/>
      <c r="M133" s="5"/>
      <c r="N133" s="5"/>
      <c r="P133" s="5" t="s">
        <v>5018</v>
      </c>
      <c r="Q133" s="5" t="s">
        <v>4983</v>
      </c>
      <c r="R133" s="5" t="s">
        <v>2585</v>
      </c>
      <c r="S133" s="5" t="s">
        <v>5019</v>
      </c>
      <c r="U133" s="5"/>
      <c r="V133" s="5"/>
      <c r="W133" s="5"/>
      <c r="X133" s="5"/>
      <c r="Z133" s="5"/>
      <c r="AA133" s="5"/>
      <c r="AB133" s="5"/>
      <c r="AC133" s="5"/>
      <c r="AE133" s="5"/>
      <c r="AF133" s="5"/>
      <c r="AG133" s="5"/>
      <c r="AH133" s="5"/>
      <c r="AJ133" s="5"/>
      <c r="AK133" s="5"/>
      <c r="AL133" s="5"/>
      <c r="AM133" s="5"/>
      <c r="AO133" s="5"/>
      <c r="AP133" s="5"/>
      <c r="AQ133" s="5"/>
      <c r="AR133" s="5"/>
      <c r="AT133" s="5"/>
      <c r="AU133" s="5"/>
      <c r="AV133" s="5"/>
      <c r="AW133" s="5"/>
      <c r="AY133" s="5"/>
      <c r="AZ133" s="5"/>
      <c r="BA133" s="5"/>
      <c r="BB133" s="5"/>
      <c r="BD133" s="5"/>
      <c r="BE133" s="5"/>
      <c r="BF133" s="5"/>
      <c r="BG133" s="5"/>
      <c r="CR133" s="5" t="s">
        <v>5504</v>
      </c>
      <c r="CS133" s="5" t="s">
        <v>4983</v>
      </c>
      <c r="CT133" s="5" t="s">
        <v>2585</v>
      </c>
      <c r="CU133" s="5" t="s">
        <v>5019</v>
      </c>
    </row>
    <row r="134" spans="1:99" x14ac:dyDescent="0.25">
      <c r="A134" s="5"/>
      <c r="B134" s="5"/>
      <c r="C134" s="5"/>
      <c r="D134" s="5"/>
      <c r="F134" s="5"/>
      <c r="G134" s="5"/>
      <c r="H134" s="5"/>
      <c r="I134" s="5"/>
      <c r="K134" s="5"/>
      <c r="L134" s="5"/>
      <c r="M134" s="5"/>
      <c r="N134" s="5"/>
      <c r="P134" s="5" t="s">
        <v>5020</v>
      </c>
      <c r="Q134" s="5" t="s">
        <v>4983</v>
      </c>
      <c r="R134" s="5" t="s">
        <v>2585</v>
      </c>
      <c r="S134" s="5" t="s">
        <v>5021</v>
      </c>
      <c r="U134" s="5"/>
      <c r="V134" s="5"/>
      <c r="W134" s="5"/>
      <c r="X134" s="5"/>
      <c r="Z134" s="5"/>
      <c r="AA134" s="5"/>
      <c r="AB134" s="5"/>
      <c r="AC134" s="5"/>
      <c r="AE134" s="5"/>
      <c r="AF134" s="5"/>
      <c r="AG134" s="5"/>
      <c r="AH134" s="5"/>
      <c r="AJ134" s="5"/>
      <c r="AK134" s="5"/>
      <c r="AL134" s="5"/>
      <c r="AM134" s="5"/>
      <c r="AO134" s="5"/>
      <c r="AP134" s="5"/>
      <c r="AQ134" s="5"/>
      <c r="AR134" s="5"/>
      <c r="AT134" s="5"/>
      <c r="AU134" s="5"/>
      <c r="AV134" s="5"/>
      <c r="AW134" s="5"/>
      <c r="AY134" s="5"/>
      <c r="AZ134" s="5"/>
      <c r="BA134" s="5"/>
      <c r="BB134" s="5"/>
      <c r="BD134" s="5"/>
      <c r="BE134" s="5"/>
      <c r="BF134" s="5"/>
      <c r="BG134" s="5"/>
      <c r="CR134" s="5" t="s">
        <v>5505</v>
      </c>
      <c r="CS134" s="5" t="s">
        <v>4983</v>
      </c>
      <c r="CT134" s="5" t="s">
        <v>2585</v>
      </c>
      <c r="CU134" s="5" t="s">
        <v>5021</v>
      </c>
    </row>
    <row r="135" spans="1:99" x14ac:dyDescent="0.25">
      <c r="A135" s="5"/>
      <c r="B135" s="5"/>
      <c r="C135" s="5"/>
      <c r="D135" s="5"/>
      <c r="F135" s="5"/>
      <c r="G135" s="5"/>
      <c r="H135" s="5"/>
      <c r="I135" s="5"/>
      <c r="K135" s="5"/>
      <c r="L135" s="5"/>
      <c r="M135" s="5"/>
      <c r="N135" s="5"/>
      <c r="P135" s="5" t="s">
        <v>5022</v>
      </c>
      <c r="Q135" s="5" t="s">
        <v>4983</v>
      </c>
      <c r="R135" s="5" t="s">
        <v>2585</v>
      </c>
      <c r="S135" s="5" t="s">
        <v>5023</v>
      </c>
      <c r="U135" s="5"/>
      <c r="V135" s="5"/>
      <c r="W135" s="5"/>
      <c r="X135" s="5"/>
      <c r="Z135" s="5"/>
      <c r="AA135" s="5"/>
      <c r="AB135" s="5"/>
      <c r="AC135" s="5"/>
      <c r="AE135" s="5"/>
      <c r="AF135" s="5"/>
      <c r="AG135" s="5"/>
      <c r="AH135" s="5"/>
      <c r="AJ135" s="5"/>
      <c r="AK135" s="5"/>
      <c r="AL135" s="5"/>
      <c r="AM135" s="5"/>
      <c r="AO135" s="5"/>
      <c r="AP135" s="5"/>
      <c r="AQ135" s="5"/>
      <c r="AR135" s="5"/>
      <c r="AT135" s="5"/>
      <c r="AU135" s="5"/>
      <c r="AV135" s="5"/>
      <c r="AW135" s="5"/>
      <c r="AY135" s="5"/>
      <c r="AZ135" s="5"/>
      <c r="BA135" s="5"/>
      <c r="BB135" s="5"/>
      <c r="BD135" s="5"/>
      <c r="BE135" s="5"/>
      <c r="BF135" s="5"/>
      <c r="BG135" s="5"/>
      <c r="CR135" s="5" t="s">
        <v>5506</v>
      </c>
      <c r="CS135" s="5" t="s">
        <v>4983</v>
      </c>
      <c r="CT135" s="5" t="s">
        <v>2585</v>
      </c>
      <c r="CU135" s="5" t="s">
        <v>5023</v>
      </c>
    </row>
    <row r="136" spans="1:99" x14ac:dyDescent="0.25">
      <c r="A136" s="5"/>
      <c r="B136" s="5"/>
      <c r="C136" s="5"/>
      <c r="D136" s="5"/>
      <c r="F136" s="5"/>
      <c r="G136" s="5"/>
      <c r="H136" s="5"/>
      <c r="I136" s="5"/>
      <c r="K136" s="5"/>
      <c r="L136" s="5"/>
      <c r="M136" s="5"/>
      <c r="N136" s="5"/>
      <c r="P136" s="5" t="s">
        <v>5024</v>
      </c>
      <c r="Q136" s="5" t="s">
        <v>4983</v>
      </c>
      <c r="R136" s="5" t="s">
        <v>2585</v>
      </c>
      <c r="S136" s="5" t="s">
        <v>5025</v>
      </c>
      <c r="U136" s="5"/>
      <c r="V136" s="5"/>
      <c r="W136" s="5"/>
      <c r="X136" s="5"/>
      <c r="Z136" s="5"/>
      <c r="AA136" s="5"/>
      <c r="AB136" s="5"/>
      <c r="AC136" s="5"/>
      <c r="AE136" s="5"/>
      <c r="AF136" s="5"/>
      <c r="AG136" s="5"/>
      <c r="AH136" s="5"/>
      <c r="AJ136" s="5"/>
      <c r="AK136" s="5"/>
      <c r="AL136" s="5"/>
      <c r="AM136" s="5"/>
      <c r="AO136" s="5"/>
      <c r="AP136" s="5"/>
      <c r="AQ136" s="5"/>
      <c r="AR136" s="5"/>
      <c r="AT136" s="5"/>
      <c r="AU136" s="5"/>
      <c r="AV136" s="5"/>
      <c r="AW136" s="5"/>
      <c r="AY136" s="5"/>
      <c r="AZ136" s="5"/>
      <c r="BA136" s="5"/>
      <c r="BB136" s="5"/>
      <c r="BD136" s="5"/>
      <c r="BE136" s="5"/>
      <c r="BF136" s="5"/>
      <c r="BG136" s="5"/>
      <c r="CR136" s="5" t="s">
        <v>5507</v>
      </c>
      <c r="CS136" s="5" t="s">
        <v>4983</v>
      </c>
      <c r="CT136" s="5" t="s">
        <v>2585</v>
      </c>
      <c r="CU136" s="5" t="s">
        <v>5025</v>
      </c>
    </row>
    <row r="137" spans="1:99" x14ac:dyDescent="0.25">
      <c r="A137" s="5"/>
      <c r="B137" s="5"/>
      <c r="C137" s="5"/>
      <c r="D137" s="5"/>
      <c r="K137" s="5"/>
      <c r="L137" s="5"/>
      <c r="M137" s="5"/>
      <c r="N137" s="5"/>
      <c r="P137" s="5" t="s">
        <v>5026</v>
      </c>
      <c r="Q137" s="5" t="s">
        <v>4983</v>
      </c>
      <c r="R137" s="5" t="s">
        <v>2585</v>
      </c>
      <c r="S137" s="5" t="s">
        <v>5027</v>
      </c>
      <c r="U137" s="5"/>
      <c r="V137" s="5"/>
      <c r="W137" s="5"/>
      <c r="X137" s="5"/>
      <c r="Z137" s="5"/>
      <c r="AA137" s="5"/>
      <c r="AB137" s="5"/>
      <c r="AC137" s="5"/>
      <c r="AE137" s="5"/>
      <c r="AF137" s="5"/>
      <c r="AG137" s="5"/>
      <c r="AH137" s="5"/>
      <c r="AJ137" s="5"/>
      <c r="AK137" s="5"/>
      <c r="AL137" s="5"/>
      <c r="AM137" s="5"/>
      <c r="AO137" s="5"/>
      <c r="AP137" s="5"/>
      <c r="AQ137" s="5"/>
      <c r="AR137" s="5"/>
      <c r="AT137" s="5"/>
      <c r="AU137" s="5"/>
      <c r="AV137" s="5"/>
      <c r="AW137" s="5"/>
      <c r="AY137" s="5"/>
      <c r="AZ137" s="5"/>
      <c r="BA137" s="5"/>
      <c r="BB137" s="5"/>
      <c r="BD137" s="5"/>
      <c r="BE137" s="5"/>
      <c r="BF137" s="5"/>
      <c r="BG137" s="5"/>
      <c r="CR137" s="5" t="s">
        <v>5508</v>
      </c>
      <c r="CS137" s="5" t="s">
        <v>4983</v>
      </c>
      <c r="CT137" s="5" t="s">
        <v>2585</v>
      </c>
      <c r="CU137" s="5" t="s">
        <v>5027</v>
      </c>
    </row>
    <row r="138" spans="1:99" x14ac:dyDescent="0.25">
      <c r="A138" s="5"/>
      <c r="B138" s="5"/>
      <c r="C138" s="5"/>
      <c r="D138" s="5"/>
      <c r="K138" s="5"/>
      <c r="L138" s="5"/>
      <c r="M138" s="5"/>
      <c r="N138" s="5"/>
      <c r="P138" s="5" t="s">
        <v>5028</v>
      </c>
      <c r="Q138" s="5" t="s">
        <v>4983</v>
      </c>
      <c r="R138" s="5" t="s">
        <v>2585</v>
      </c>
      <c r="S138" s="5" t="s">
        <v>5029</v>
      </c>
      <c r="U138" s="5"/>
      <c r="V138" s="5"/>
      <c r="W138" s="5"/>
      <c r="X138" s="5"/>
      <c r="Z138" s="5"/>
      <c r="AA138" s="5"/>
      <c r="AB138" s="5"/>
      <c r="AC138" s="5"/>
      <c r="AE138" s="5"/>
      <c r="AF138" s="5"/>
      <c r="AG138" s="5"/>
      <c r="AH138" s="5"/>
      <c r="AJ138" s="5"/>
      <c r="AK138" s="5"/>
      <c r="AL138" s="5"/>
      <c r="AM138" s="5"/>
      <c r="AO138" s="5"/>
      <c r="AP138" s="5"/>
      <c r="AQ138" s="5"/>
      <c r="AR138" s="5"/>
      <c r="AT138" s="5"/>
      <c r="AU138" s="5"/>
      <c r="AV138" s="5"/>
      <c r="AW138" s="5"/>
      <c r="AY138" s="5"/>
      <c r="AZ138" s="5"/>
      <c r="BA138" s="5"/>
      <c r="BB138" s="5"/>
      <c r="BD138" s="5"/>
      <c r="BE138" s="5"/>
      <c r="BF138" s="5"/>
      <c r="BG138" s="5"/>
      <c r="CR138" s="5" t="s">
        <v>5509</v>
      </c>
      <c r="CS138" s="5" t="s">
        <v>4983</v>
      </c>
      <c r="CT138" s="5" t="s">
        <v>2585</v>
      </c>
      <c r="CU138" s="5" t="s">
        <v>5029</v>
      </c>
    </row>
    <row r="139" spans="1:99" x14ac:dyDescent="0.25">
      <c r="A139" s="5"/>
      <c r="B139" s="5"/>
      <c r="C139" s="5"/>
      <c r="D139" s="5"/>
      <c r="K139" s="5"/>
      <c r="L139" s="5"/>
      <c r="M139" s="5"/>
      <c r="N139" s="5"/>
      <c r="P139" s="5" t="s">
        <v>5030</v>
      </c>
      <c r="Q139" s="5" t="s">
        <v>4983</v>
      </c>
      <c r="R139" s="5" t="s">
        <v>2585</v>
      </c>
      <c r="S139" s="5" t="s">
        <v>5031</v>
      </c>
      <c r="U139" s="5"/>
      <c r="V139" s="5"/>
      <c r="W139" s="5"/>
      <c r="X139" s="5"/>
      <c r="Z139" s="5"/>
      <c r="AA139" s="5"/>
      <c r="AB139" s="5"/>
      <c r="AC139" s="5"/>
      <c r="AE139" s="5"/>
      <c r="AF139" s="5"/>
      <c r="AG139" s="5"/>
      <c r="AH139" s="5"/>
      <c r="AJ139" s="5"/>
      <c r="AK139" s="5"/>
      <c r="AL139" s="5"/>
      <c r="AM139" s="5"/>
      <c r="AO139" s="5"/>
      <c r="AP139" s="5"/>
      <c r="AQ139" s="5"/>
      <c r="AR139" s="5"/>
      <c r="AT139" s="5"/>
      <c r="AU139" s="5"/>
      <c r="AV139" s="5"/>
      <c r="AW139" s="5"/>
      <c r="AY139" s="5"/>
      <c r="AZ139" s="5"/>
      <c r="BA139" s="5"/>
      <c r="BB139" s="5"/>
      <c r="BD139" s="5"/>
      <c r="BE139" s="5"/>
      <c r="BF139" s="5"/>
      <c r="BG139" s="5"/>
      <c r="CR139" s="5" t="s">
        <v>5510</v>
      </c>
      <c r="CS139" s="5" t="s">
        <v>4983</v>
      </c>
      <c r="CT139" s="5" t="s">
        <v>2585</v>
      </c>
      <c r="CU139" s="5" t="s">
        <v>5031</v>
      </c>
    </row>
    <row r="140" spans="1:99" x14ac:dyDescent="0.25">
      <c r="A140" s="5"/>
      <c r="B140" s="5"/>
      <c r="C140" s="5"/>
      <c r="D140" s="5"/>
      <c r="K140" s="5"/>
      <c r="L140" s="5"/>
      <c r="M140" s="5"/>
      <c r="N140" s="5"/>
      <c r="P140" s="5" t="s">
        <v>5032</v>
      </c>
      <c r="Q140" s="5" t="s">
        <v>4983</v>
      </c>
      <c r="R140" s="5" t="s">
        <v>2585</v>
      </c>
      <c r="S140" s="5" t="s">
        <v>5033</v>
      </c>
      <c r="U140" s="5"/>
      <c r="V140" s="5"/>
      <c r="W140" s="5"/>
      <c r="X140" s="5"/>
      <c r="Z140" s="5"/>
      <c r="AA140" s="5"/>
      <c r="AB140" s="5"/>
      <c r="AC140" s="5"/>
      <c r="AE140" s="5"/>
      <c r="AF140" s="5"/>
      <c r="AG140" s="5"/>
      <c r="AH140" s="5"/>
      <c r="AJ140" s="5"/>
      <c r="AK140" s="5"/>
      <c r="AL140" s="5"/>
      <c r="AM140" s="5"/>
      <c r="AO140" s="5"/>
      <c r="AP140" s="5"/>
      <c r="AQ140" s="5"/>
      <c r="AR140" s="5"/>
      <c r="AT140" s="5"/>
      <c r="AU140" s="5"/>
      <c r="AV140" s="5"/>
      <c r="AW140" s="5"/>
      <c r="AY140" s="5"/>
      <c r="AZ140" s="5"/>
      <c r="BA140" s="5"/>
      <c r="BB140" s="5"/>
      <c r="BD140" s="5"/>
      <c r="BE140" s="5"/>
      <c r="BF140" s="5"/>
      <c r="BG140" s="5"/>
      <c r="CR140" s="5" t="s">
        <v>5511</v>
      </c>
      <c r="CS140" s="5" t="s">
        <v>4983</v>
      </c>
      <c r="CT140" s="5" t="s">
        <v>2585</v>
      </c>
      <c r="CU140" s="5" t="s">
        <v>5033</v>
      </c>
    </row>
    <row r="141" spans="1:99" x14ac:dyDescent="0.25">
      <c r="A141" s="5"/>
      <c r="B141" s="5"/>
      <c r="C141" s="5"/>
      <c r="D141" s="5"/>
      <c r="K141" s="5"/>
      <c r="L141" s="5"/>
      <c r="M141" s="5"/>
      <c r="N141" s="5"/>
      <c r="P141" s="5" t="s">
        <v>5034</v>
      </c>
      <c r="Q141" s="5" t="s">
        <v>4983</v>
      </c>
      <c r="R141" s="5" t="s">
        <v>2585</v>
      </c>
      <c r="S141" s="5" t="s">
        <v>5035</v>
      </c>
      <c r="U141" s="5"/>
      <c r="V141" s="5"/>
      <c r="W141" s="5"/>
      <c r="X141" s="5"/>
      <c r="Z141" s="5"/>
      <c r="AA141" s="5"/>
      <c r="AB141" s="5"/>
      <c r="AC141" s="5"/>
      <c r="AE141" s="5"/>
      <c r="AF141" s="5"/>
      <c r="AG141" s="5"/>
      <c r="AH141" s="5"/>
      <c r="AJ141" s="5"/>
      <c r="AK141" s="5"/>
      <c r="AL141" s="5"/>
      <c r="AM141" s="5"/>
      <c r="AO141" s="5"/>
      <c r="AP141" s="5"/>
      <c r="AQ141" s="5"/>
      <c r="AR141" s="5"/>
      <c r="AT141" s="5"/>
      <c r="AU141" s="5"/>
      <c r="AV141" s="5"/>
      <c r="AW141" s="5"/>
      <c r="AY141" s="5"/>
      <c r="AZ141" s="5"/>
      <c r="BA141" s="5"/>
      <c r="BB141" s="5"/>
      <c r="BD141" s="5"/>
      <c r="BE141" s="5"/>
      <c r="BF141" s="5"/>
      <c r="BG141" s="5"/>
      <c r="CR141" s="5" t="s">
        <v>5512</v>
      </c>
      <c r="CS141" s="5" t="s">
        <v>4983</v>
      </c>
      <c r="CT141" s="5" t="s">
        <v>2585</v>
      </c>
      <c r="CU141" s="5" t="s">
        <v>5035</v>
      </c>
    </row>
    <row r="142" spans="1:99" x14ac:dyDescent="0.25">
      <c r="A142" s="5"/>
      <c r="B142" s="5"/>
      <c r="C142" s="5"/>
      <c r="D142" s="5"/>
      <c r="K142" s="5"/>
      <c r="L142" s="5"/>
      <c r="M142" s="5"/>
      <c r="N142" s="5"/>
      <c r="P142" s="5" t="s">
        <v>5036</v>
      </c>
      <c r="Q142" s="5" t="s">
        <v>4983</v>
      </c>
      <c r="R142" s="5" t="s">
        <v>2585</v>
      </c>
      <c r="S142" s="5" t="s">
        <v>5037</v>
      </c>
      <c r="U142" s="5"/>
      <c r="V142" s="5"/>
      <c r="W142" s="5"/>
      <c r="X142" s="5"/>
      <c r="Z142" s="5"/>
      <c r="AA142" s="5"/>
      <c r="AB142" s="5"/>
      <c r="AC142" s="5"/>
      <c r="AE142" s="5"/>
      <c r="AF142" s="5"/>
      <c r="AG142" s="5"/>
      <c r="AH142" s="5"/>
      <c r="AJ142" s="5"/>
      <c r="AK142" s="5"/>
      <c r="AL142" s="5"/>
      <c r="AM142" s="5"/>
      <c r="AO142" s="5"/>
      <c r="AP142" s="5"/>
      <c r="AQ142" s="5"/>
      <c r="AR142" s="5"/>
      <c r="AT142" s="5"/>
      <c r="AU142" s="5"/>
      <c r="AV142" s="5"/>
      <c r="AW142" s="5"/>
      <c r="AY142" s="5"/>
      <c r="AZ142" s="5"/>
      <c r="BA142" s="5"/>
      <c r="BB142" s="5"/>
      <c r="BD142" s="5"/>
      <c r="BE142" s="5"/>
      <c r="BF142" s="5"/>
      <c r="BG142" s="5"/>
      <c r="CR142" s="5" t="s">
        <v>5513</v>
      </c>
      <c r="CS142" s="5" t="s">
        <v>4983</v>
      </c>
      <c r="CT142" s="5" t="s">
        <v>2585</v>
      </c>
      <c r="CU142" s="5" t="s">
        <v>5037</v>
      </c>
    </row>
    <row r="143" spans="1:99" x14ac:dyDescent="0.25">
      <c r="A143" s="5"/>
      <c r="B143" s="5"/>
      <c r="C143" s="5"/>
      <c r="D143" s="5"/>
      <c r="K143" s="5"/>
      <c r="L143" s="5"/>
      <c r="M143" s="5"/>
      <c r="N143" s="5"/>
      <c r="P143" s="5" t="s">
        <v>5038</v>
      </c>
      <c r="Q143" s="5" t="s">
        <v>4983</v>
      </c>
      <c r="R143" s="5" t="s">
        <v>2585</v>
      </c>
      <c r="S143" s="5" t="s">
        <v>5039</v>
      </c>
      <c r="U143" s="5"/>
      <c r="V143" s="5"/>
      <c r="W143" s="5"/>
      <c r="X143" s="5"/>
      <c r="Z143" s="5"/>
      <c r="AA143" s="5"/>
      <c r="AB143" s="5"/>
      <c r="AC143" s="5"/>
      <c r="AE143" s="5"/>
      <c r="AF143" s="5"/>
      <c r="AG143" s="5"/>
      <c r="AH143" s="5"/>
      <c r="AJ143" s="5"/>
      <c r="AK143" s="5"/>
      <c r="AL143" s="5"/>
      <c r="AM143" s="5"/>
      <c r="AO143" s="5"/>
      <c r="AP143" s="5"/>
      <c r="AQ143" s="5"/>
      <c r="AR143" s="5"/>
      <c r="AT143" s="5"/>
      <c r="AU143" s="5"/>
      <c r="AV143" s="5"/>
      <c r="AW143" s="5"/>
      <c r="AY143" s="5"/>
      <c r="AZ143" s="5"/>
      <c r="BA143" s="5"/>
      <c r="BB143" s="5"/>
      <c r="BD143" s="5"/>
      <c r="BE143" s="5"/>
      <c r="BF143" s="5"/>
      <c r="BG143" s="5"/>
      <c r="CR143" s="5" t="s">
        <v>5514</v>
      </c>
      <c r="CS143" s="5" t="s">
        <v>4983</v>
      </c>
      <c r="CT143" s="5" t="s">
        <v>2585</v>
      </c>
      <c r="CU143" s="5" t="s">
        <v>5039</v>
      </c>
    </row>
    <row r="144" spans="1:99" x14ac:dyDescent="0.25">
      <c r="A144" s="5"/>
      <c r="B144" s="5"/>
      <c r="C144" s="5"/>
      <c r="D144" s="5"/>
      <c r="K144" s="5"/>
      <c r="L144" s="5"/>
      <c r="M144" s="5"/>
      <c r="N144" s="5"/>
      <c r="P144" s="5" t="s">
        <v>5040</v>
      </c>
      <c r="Q144" s="5" t="s">
        <v>4983</v>
      </c>
      <c r="R144" s="5" t="s">
        <v>2585</v>
      </c>
      <c r="S144" s="5" t="s">
        <v>5041</v>
      </c>
      <c r="U144" s="5"/>
      <c r="V144" s="5"/>
      <c r="W144" s="5"/>
      <c r="X144" s="5"/>
      <c r="Z144" s="5"/>
      <c r="AA144" s="5"/>
      <c r="AB144" s="5"/>
      <c r="AC144" s="5"/>
      <c r="AE144" s="5"/>
      <c r="AF144" s="5"/>
      <c r="AG144" s="5"/>
      <c r="AH144" s="5"/>
      <c r="AJ144" s="5"/>
      <c r="AK144" s="5"/>
      <c r="AL144" s="5"/>
      <c r="AM144" s="5"/>
      <c r="AO144" s="5"/>
      <c r="AP144" s="5"/>
      <c r="AQ144" s="5"/>
      <c r="AR144" s="5"/>
      <c r="AT144" s="5"/>
      <c r="AU144" s="5"/>
      <c r="AV144" s="5"/>
      <c r="AW144" s="5"/>
      <c r="AY144" s="5"/>
      <c r="AZ144" s="5"/>
      <c r="BA144" s="5"/>
      <c r="BB144" s="5"/>
      <c r="BD144" s="5"/>
      <c r="BE144" s="5"/>
      <c r="BF144" s="5"/>
      <c r="BG144" s="5"/>
      <c r="CR144" s="5" t="s">
        <v>5515</v>
      </c>
      <c r="CS144" s="5" t="s">
        <v>4983</v>
      </c>
      <c r="CT144" s="5" t="s">
        <v>2585</v>
      </c>
      <c r="CU144" s="5" t="s">
        <v>5041</v>
      </c>
    </row>
    <row r="145" spans="1:99" x14ac:dyDescent="0.25">
      <c r="A145" s="5"/>
      <c r="B145" s="5"/>
      <c r="C145" s="5"/>
      <c r="D145" s="5"/>
      <c r="K145" s="5"/>
      <c r="L145" s="5"/>
      <c r="M145" s="5"/>
      <c r="N145" s="5"/>
      <c r="P145" s="5" t="s">
        <v>5042</v>
      </c>
      <c r="Q145" s="5" t="s">
        <v>4983</v>
      </c>
      <c r="R145" s="5" t="s">
        <v>2585</v>
      </c>
      <c r="S145" s="5" t="s">
        <v>5043</v>
      </c>
      <c r="U145" s="5"/>
      <c r="V145" s="5"/>
      <c r="W145" s="5"/>
      <c r="X145" s="5"/>
      <c r="Z145" s="5"/>
      <c r="AA145" s="5"/>
      <c r="AB145" s="5"/>
      <c r="AC145" s="5"/>
      <c r="AE145" s="5"/>
      <c r="AF145" s="5"/>
      <c r="AG145" s="5"/>
      <c r="AH145" s="5"/>
      <c r="AJ145" s="5"/>
      <c r="AK145" s="5"/>
      <c r="AL145" s="5"/>
      <c r="AM145" s="5"/>
      <c r="AO145" s="5"/>
      <c r="AP145" s="5"/>
      <c r="AQ145" s="5"/>
      <c r="AR145" s="5"/>
      <c r="AT145" s="5"/>
      <c r="AU145" s="5"/>
      <c r="AV145" s="5"/>
      <c r="AW145" s="5"/>
      <c r="AY145" s="5"/>
      <c r="AZ145" s="5"/>
      <c r="BA145" s="5"/>
      <c r="BB145" s="5"/>
      <c r="BD145" s="5"/>
      <c r="BE145" s="5"/>
      <c r="BF145" s="5"/>
      <c r="BG145" s="5"/>
      <c r="CR145" s="5" t="s">
        <v>5516</v>
      </c>
      <c r="CS145" s="5" t="s">
        <v>4983</v>
      </c>
      <c r="CT145" s="5" t="s">
        <v>2585</v>
      </c>
      <c r="CU145" s="5" t="s">
        <v>5043</v>
      </c>
    </row>
    <row r="146" spans="1:99" x14ac:dyDescent="0.25">
      <c r="A146" s="5"/>
      <c r="B146" s="5"/>
      <c r="C146" s="5"/>
      <c r="D146" s="5"/>
      <c r="K146" s="5"/>
      <c r="L146" s="5"/>
      <c r="M146" s="5"/>
      <c r="N146" s="5"/>
      <c r="P146" s="5" t="s">
        <v>5044</v>
      </c>
      <c r="Q146" s="5" t="s">
        <v>4983</v>
      </c>
      <c r="R146" s="5" t="s">
        <v>2585</v>
      </c>
      <c r="S146" s="5" t="s">
        <v>5045</v>
      </c>
      <c r="U146" s="5"/>
      <c r="V146" s="5"/>
      <c r="W146" s="5"/>
      <c r="X146" s="5"/>
      <c r="Z146" s="5"/>
      <c r="AA146" s="5"/>
      <c r="AB146" s="5"/>
      <c r="AC146" s="5"/>
      <c r="AE146" s="5"/>
      <c r="AF146" s="5"/>
      <c r="AG146" s="5"/>
      <c r="AH146" s="5"/>
      <c r="AJ146" s="5"/>
      <c r="AK146" s="5"/>
      <c r="AL146" s="5"/>
      <c r="AM146" s="5"/>
      <c r="AO146" s="5"/>
      <c r="AP146" s="5"/>
      <c r="AQ146" s="5"/>
      <c r="AR146" s="5"/>
      <c r="AT146" s="5"/>
      <c r="AU146" s="5"/>
      <c r="AV146" s="5"/>
      <c r="AW146" s="5"/>
      <c r="AY146" s="5"/>
      <c r="AZ146" s="5"/>
      <c r="BA146" s="5"/>
      <c r="BB146" s="5"/>
      <c r="BD146" s="5"/>
      <c r="BE146" s="5"/>
      <c r="BF146" s="5"/>
      <c r="BG146" s="5"/>
      <c r="CR146" s="5" t="s">
        <v>5517</v>
      </c>
      <c r="CS146" s="5" t="s">
        <v>4983</v>
      </c>
      <c r="CT146" s="5" t="s">
        <v>2585</v>
      </c>
      <c r="CU146" s="5" t="s">
        <v>5045</v>
      </c>
    </row>
    <row r="147" spans="1:99" x14ac:dyDescent="0.25">
      <c r="A147" s="5"/>
      <c r="B147" s="5"/>
      <c r="C147" s="5"/>
      <c r="D147" s="5"/>
      <c r="K147" s="5"/>
      <c r="L147" s="5"/>
      <c r="M147" s="5"/>
      <c r="N147" s="5"/>
      <c r="P147" s="5" t="s">
        <v>5046</v>
      </c>
      <c r="Q147" s="5" t="s">
        <v>4983</v>
      </c>
      <c r="R147" s="5" t="s">
        <v>2585</v>
      </c>
      <c r="S147" s="5" t="s">
        <v>5047</v>
      </c>
      <c r="U147" s="5"/>
      <c r="V147" s="5"/>
      <c r="W147" s="5"/>
      <c r="X147" s="5"/>
      <c r="Z147" s="5"/>
      <c r="AA147" s="5"/>
      <c r="AB147" s="5"/>
      <c r="AC147" s="5"/>
      <c r="AE147" s="5"/>
      <c r="AF147" s="5"/>
      <c r="AG147" s="5"/>
      <c r="AH147" s="5"/>
      <c r="AJ147" s="5"/>
      <c r="AK147" s="5"/>
      <c r="AL147" s="5"/>
      <c r="AM147" s="5"/>
      <c r="AO147" s="5"/>
      <c r="AP147" s="5"/>
      <c r="AQ147" s="5"/>
      <c r="AR147" s="5"/>
      <c r="AT147" s="5"/>
      <c r="AU147" s="5"/>
      <c r="AV147" s="5"/>
      <c r="AW147" s="5"/>
      <c r="AY147" s="5"/>
      <c r="AZ147" s="5"/>
      <c r="BA147" s="5"/>
      <c r="BB147" s="5"/>
      <c r="BD147" s="5"/>
      <c r="BE147" s="5"/>
      <c r="BF147" s="5"/>
      <c r="BG147" s="5"/>
      <c r="CR147" s="5" t="s">
        <v>5518</v>
      </c>
      <c r="CS147" s="5" t="s">
        <v>4983</v>
      </c>
      <c r="CT147" s="5" t="s">
        <v>2585</v>
      </c>
      <c r="CU147" s="5" t="s">
        <v>5047</v>
      </c>
    </row>
    <row r="148" spans="1:99" x14ac:dyDescent="0.25">
      <c r="A148" s="5"/>
      <c r="B148" s="5"/>
      <c r="C148" s="5"/>
      <c r="D148" s="5"/>
      <c r="K148" s="5"/>
      <c r="L148" s="5"/>
      <c r="M148" s="5"/>
      <c r="N148" s="5"/>
      <c r="P148" s="5" t="s">
        <v>5048</v>
      </c>
      <c r="Q148" s="5" t="s">
        <v>4983</v>
      </c>
      <c r="R148" s="5" t="s">
        <v>2585</v>
      </c>
      <c r="S148" s="5" t="s">
        <v>5049</v>
      </c>
      <c r="U148" s="5"/>
      <c r="V148" s="5"/>
      <c r="W148" s="5"/>
      <c r="X148" s="5"/>
      <c r="Z148" s="5"/>
      <c r="AA148" s="5"/>
      <c r="AB148" s="5"/>
      <c r="AC148" s="5"/>
      <c r="AE148" s="5"/>
      <c r="AF148" s="5"/>
      <c r="AG148" s="5"/>
      <c r="AH148" s="5"/>
      <c r="AJ148" s="5"/>
      <c r="AK148" s="5"/>
      <c r="AL148" s="5"/>
      <c r="AM148" s="5"/>
      <c r="AO148" s="5"/>
      <c r="AP148" s="5"/>
      <c r="AQ148" s="5"/>
      <c r="AR148" s="5"/>
      <c r="AT148" s="5"/>
      <c r="AU148" s="5"/>
      <c r="AV148" s="5"/>
      <c r="AW148" s="5"/>
      <c r="AY148" s="5"/>
      <c r="AZ148" s="5"/>
      <c r="BA148" s="5"/>
      <c r="BB148" s="5"/>
      <c r="BD148" s="5"/>
      <c r="BE148" s="5"/>
      <c r="BF148" s="5"/>
      <c r="BG148" s="5"/>
      <c r="CR148" s="5" t="s">
        <v>5519</v>
      </c>
      <c r="CS148" s="5" t="s">
        <v>4983</v>
      </c>
      <c r="CT148" s="5" t="s">
        <v>2585</v>
      </c>
      <c r="CU148" s="5" t="s">
        <v>5049</v>
      </c>
    </row>
    <row r="149" spans="1:99" x14ac:dyDescent="0.25">
      <c r="A149" s="5"/>
      <c r="B149" s="5"/>
      <c r="C149" s="5"/>
      <c r="D149" s="5"/>
      <c r="K149" s="5"/>
      <c r="L149" s="5"/>
      <c r="M149" s="5"/>
      <c r="N149" s="5"/>
      <c r="P149" s="5" t="s">
        <v>5050</v>
      </c>
      <c r="Q149" s="5" t="s">
        <v>4983</v>
      </c>
      <c r="R149" s="5" t="s">
        <v>2585</v>
      </c>
      <c r="S149" s="5" t="s">
        <v>5051</v>
      </c>
      <c r="U149" s="5"/>
      <c r="V149" s="5"/>
      <c r="W149" s="5"/>
      <c r="X149" s="5"/>
      <c r="Z149" s="5"/>
      <c r="AA149" s="5"/>
      <c r="AB149" s="5"/>
      <c r="AC149" s="5"/>
      <c r="AE149" s="5"/>
      <c r="AF149" s="5"/>
      <c r="AG149" s="5"/>
      <c r="AH149" s="5"/>
      <c r="AJ149" s="5"/>
      <c r="AK149" s="5"/>
      <c r="AL149" s="5"/>
      <c r="AM149" s="5"/>
      <c r="AO149" s="5"/>
      <c r="AP149" s="5"/>
      <c r="AQ149" s="5"/>
      <c r="AR149" s="5"/>
      <c r="AT149" s="5"/>
      <c r="AU149" s="5"/>
      <c r="AV149" s="5"/>
      <c r="AW149" s="5"/>
      <c r="AY149" s="5"/>
      <c r="AZ149" s="5"/>
      <c r="BA149" s="5"/>
      <c r="BB149" s="5"/>
      <c r="BD149" s="5"/>
      <c r="BE149" s="5"/>
      <c r="BF149" s="5"/>
      <c r="BG149" s="5"/>
      <c r="CR149" s="5" t="s">
        <v>5520</v>
      </c>
      <c r="CS149" s="5" t="s">
        <v>4983</v>
      </c>
      <c r="CT149" s="5" t="s">
        <v>2585</v>
      </c>
      <c r="CU149" s="5" t="s">
        <v>5051</v>
      </c>
    </row>
    <row r="150" spans="1:99" x14ac:dyDescent="0.25">
      <c r="A150" s="5"/>
      <c r="B150" s="5"/>
      <c r="C150" s="5"/>
      <c r="D150" s="5"/>
      <c r="K150" s="5"/>
      <c r="L150" s="5"/>
      <c r="M150" s="5"/>
      <c r="N150" s="5"/>
      <c r="P150" s="5" t="s">
        <v>5052</v>
      </c>
      <c r="Q150" s="5" t="s">
        <v>4983</v>
      </c>
      <c r="R150" s="5" t="s">
        <v>2585</v>
      </c>
      <c r="S150" s="5" t="s">
        <v>5053</v>
      </c>
      <c r="U150" s="5"/>
      <c r="V150" s="5"/>
      <c r="W150" s="5"/>
      <c r="X150" s="5"/>
      <c r="Z150" s="5"/>
      <c r="AA150" s="5"/>
      <c r="AB150" s="5"/>
      <c r="AC150" s="5"/>
      <c r="AE150" s="5"/>
      <c r="AF150" s="5"/>
      <c r="AG150" s="5"/>
      <c r="AH150" s="5"/>
      <c r="AJ150" s="5"/>
      <c r="AK150" s="5"/>
      <c r="AL150" s="5"/>
      <c r="AM150" s="5"/>
      <c r="AO150" s="5"/>
      <c r="AP150" s="5"/>
      <c r="AQ150" s="5"/>
      <c r="AR150" s="5"/>
      <c r="AT150" s="5"/>
      <c r="AU150" s="5"/>
      <c r="AV150" s="5"/>
      <c r="AW150" s="5"/>
      <c r="AY150" s="5"/>
      <c r="AZ150" s="5"/>
      <c r="BA150" s="5"/>
      <c r="BB150" s="5"/>
      <c r="BD150" s="5"/>
      <c r="BE150" s="5"/>
      <c r="BF150" s="5"/>
      <c r="BG150" s="5"/>
      <c r="CR150" s="5" t="s">
        <v>5521</v>
      </c>
      <c r="CS150" s="5" t="s">
        <v>4983</v>
      </c>
      <c r="CT150" s="5" t="s">
        <v>2585</v>
      </c>
      <c r="CU150" s="5" t="s">
        <v>5053</v>
      </c>
    </row>
    <row r="151" spans="1:99" x14ac:dyDescent="0.25">
      <c r="A151" s="5"/>
      <c r="B151" s="5"/>
      <c r="C151" s="5"/>
      <c r="D151" s="5"/>
      <c r="K151" s="5"/>
      <c r="L151" s="5"/>
      <c r="M151" s="5"/>
      <c r="N151" s="5"/>
      <c r="P151" s="5" t="s">
        <v>5054</v>
      </c>
      <c r="Q151" s="5" t="s">
        <v>4983</v>
      </c>
      <c r="R151" s="5" t="s">
        <v>2585</v>
      </c>
      <c r="S151" s="5" t="s">
        <v>5055</v>
      </c>
      <c r="U151" s="5"/>
      <c r="V151" s="5"/>
      <c r="W151" s="5"/>
      <c r="X151" s="5"/>
      <c r="Z151" s="5"/>
      <c r="AA151" s="5"/>
      <c r="AB151" s="5"/>
      <c r="AC151" s="5"/>
      <c r="AE151" s="5"/>
      <c r="AF151" s="5"/>
      <c r="AG151" s="5"/>
      <c r="AH151" s="5"/>
      <c r="AJ151" s="5"/>
      <c r="AK151" s="5"/>
      <c r="AL151" s="5"/>
      <c r="AM151" s="5"/>
      <c r="AO151" s="5"/>
      <c r="AP151" s="5"/>
      <c r="AQ151" s="5"/>
      <c r="AR151" s="5"/>
      <c r="AT151" s="5"/>
      <c r="AU151" s="5"/>
      <c r="AV151" s="5"/>
      <c r="AW151" s="5"/>
      <c r="AY151" s="5"/>
      <c r="AZ151" s="5"/>
      <c r="BA151" s="5"/>
      <c r="BB151" s="5"/>
      <c r="BD151" s="5"/>
      <c r="BE151" s="5"/>
      <c r="BF151" s="5"/>
      <c r="BG151" s="5"/>
      <c r="CR151" s="5" t="s">
        <v>5522</v>
      </c>
      <c r="CS151" s="5" t="s">
        <v>4983</v>
      </c>
      <c r="CT151" s="5" t="s">
        <v>2585</v>
      </c>
      <c r="CU151" s="5" t="s">
        <v>5055</v>
      </c>
    </row>
    <row r="152" spans="1:99" x14ac:dyDescent="0.25">
      <c r="A152" s="5"/>
      <c r="B152" s="5"/>
      <c r="C152" s="5"/>
      <c r="D152" s="5"/>
      <c r="K152" s="5"/>
      <c r="L152" s="5"/>
      <c r="M152" s="5"/>
      <c r="N152" s="5"/>
      <c r="P152" s="5" t="s">
        <v>5056</v>
      </c>
      <c r="Q152" s="5" t="s">
        <v>4983</v>
      </c>
      <c r="R152" s="5" t="s">
        <v>2585</v>
      </c>
      <c r="S152" s="5" t="s">
        <v>5057</v>
      </c>
      <c r="U152" s="5"/>
      <c r="V152" s="5"/>
      <c r="W152" s="5"/>
      <c r="X152" s="5"/>
      <c r="Z152" s="5"/>
      <c r="AA152" s="5"/>
      <c r="AB152" s="5"/>
      <c r="AC152" s="5"/>
      <c r="AE152" s="5"/>
      <c r="AF152" s="5"/>
      <c r="AG152" s="5"/>
      <c r="AH152" s="5"/>
      <c r="AJ152" s="5"/>
      <c r="AK152" s="5"/>
      <c r="AL152" s="5"/>
      <c r="AM152" s="5"/>
      <c r="AO152" s="5"/>
      <c r="AP152" s="5"/>
      <c r="AQ152" s="5"/>
      <c r="AR152" s="5"/>
      <c r="AT152" s="5"/>
      <c r="AU152" s="5"/>
      <c r="AV152" s="5"/>
      <c r="AW152" s="5"/>
      <c r="AY152" s="5"/>
      <c r="AZ152" s="5"/>
      <c r="BA152" s="5"/>
      <c r="BB152" s="5"/>
      <c r="BD152" s="5"/>
      <c r="BE152" s="5"/>
      <c r="BF152" s="5"/>
      <c r="BG152" s="5"/>
      <c r="CR152" s="5" t="s">
        <v>5523</v>
      </c>
      <c r="CS152" s="5" t="s">
        <v>4983</v>
      </c>
      <c r="CT152" s="5" t="s">
        <v>2585</v>
      </c>
      <c r="CU152" s="5" t="s">
        <v>5057</v>
      </c>
    </row>
    <row r="153" spans="1:99" x14ac:dyDescent="0.25">
      <c r="A153" s="5"/>
      <c r="B153" s="5"/>
      <c r="C153" s="5"/>
      <c r="D153" s="5"/>
      <c r="K153" s="5"/>
      <c r="L153" s="5"/>
      <c r="M153" s="5"/>
      <c r="N153" s="5"/>
      <c r="P153" s="5" t="s">
        <v>5058</v>
      </c>
      <c r="Q153" s="5" t="s">
        <v>4983</v>
      </c>
      <c r="R153" s="5" t="s">
        <v>2585</v>
      </c>
      <c r="S153" s="5" t="s">
        <v>5059</v>
      </c>
      <c r="U153" s="5"/>
      <c r="V153" s="5"/>
      <c r="W153" s="5"/>
      <c r="X153" s="5"/>
      <c r="Z153" s="5"/>
      <c r="AA153" s="5"/>
      <c r="AB153" s="5"/>
      <c r="AC153" s="5"/>
      <c r="AE153" s="5"/>
      <c r="AF153" s="5"/>
      <c r="AG153" s="5"/>
      <c r="AH153" s="5"/>
      <c r="AJ153" s="5"/>
      <c r="AK153" s="5"/>
      <c r="AL153" s="5"/>
      <c r="AM153" s="5"/>
      <c r="AO153" s="5"/>
      <c r="AP153" s="5"/>
      <c r="AQ153" s="5"/>
      <c r="AR153" s="5"/>
      <c r="AT153" s="5"/>
      <c r="AU153" s="5"/>
      <c r="AV153" s="5"/>
      <c r="AW153" s="5"/>
      <c r="AY153" s="5"/>
      <c r="AZ153" s="5"/>
      <c r="BA153" s="5"/>
      <c r="BB153" s="5"/>
      <c r="BD153" s="5"/>
      <c r="BE153" s="5"/>
      <c r="BF153" s="5"/>
      <c r="BG153" s="5"/>
      <c r="CR153" s="5" t="s">
        <v>5524</v>
      </c>
      <c r="CS153" s="5" t="s">
        <v>4983</v>
      </c>
      <c r="CT153" s="5" t="s">
        <v>2585</v>
      </c>
      <c r="CU153" s="5" t="s">
        <v>5059</v>
      </c>
    </row>
    <row r="154" spans="1:99" x14ac:dyDescent="0.25">
      <c r="A154" s="5"/>
      <c r="B154" s="5"/>
      <c r="C154" s="5"/>
      <c r="D154" s="5"/>
      <c r="K154" s="5"/>
      <c r="L154" s="5"/>
      <c r="M154" s="5"/>
      <c r="N154" s="5"/>
      <c r="P154" s="5" t="s">
        <v>5060</v>
      </c>
      <c r="Q154" s="5" t="s">
        <v>4983</v>
      </c>
      <c r="R154" s="5" t="s">
        <v>2585</v>
      </c>
      <c r="S154" s="5" t="s">
        <v>5061</v>
      </c>
      <c r="U154" s="5"/>
      <c r="V154" s="5"/>
      <c r="W154" s="5"/>
      <c r="X154" s="5"/>
      <c r="Z154" s="5"/>
      <c r="AA154" s="5"/>
      <c r="AB154" s="5"/>
      <c r="AC154" s="5"/>
      <c r="AE154" s="5"/>
      <c r="AF154" s="5"/>
      <c r="AG154" s="5"/>
      <c r="AH154" s="5"/>
      <c r="AJ154" s="5"/>
      <c r="AK154" s="5"/>
      <c r="AL154" s="5"/>
      <c r="AM154" s="5"/>
      <c r="AO154" s="5"/>
      <c r="AP154" s="5"/>
      <c r="AQ154" s="5"/>
      <c r="AR154" s="5"/>
      <c r="AT154" s="5"/>
      <c r="AU154" s="5"/>
      <c r="AV154" s="5"/>
      <c r="AW154" s="5"/>
      <c r="AY154" s="5"/>
      <c r="AZ154" s="5"/>
      <c r="BA154" s="5"/>
      <c r="BB154" s="5"/>
      <c r="BD154" s="5"/>
      <c r="BE154" s="5"/>
      <c r="BF154" s="5"/>
      <c r="BG154" s="5"/>
      <c r="CR154" s="5" t="s">
        <v>5525</v>
      </c>
      <c r="CS154" s="5" t="s">
        <v>4983</v>
      </c>
      <c r="CT154" s="5" t="s">
        <v>2585</v>
      </c>
      <c r="CU154" s="5" t="s">
        <v>5061</v>
      </c>
    </row>
    <row r="155" spans="1:99" x14ac:dyDescent="0.25">
      <c r="A155" s="5"/>
      <c r="B155" s="5"/>
      <c r="C155" s="5"/>
      <c r="D155" s="5"/>
      <c r="K155" s="5"/>
      <c r="L155" s="5"/>
      <c r="M155" s="5"/>
      <c r="N155" s="5"/>
      <c r="P155" s="5" t="s">
        <v>5062</v>
      </c>
      <c r="Q155" s="5" t="s">
        <v>4983</v>
      </c>
      <c r="R155" s="5" t="s">
        <v>2585</v>
      </c>
      <c r="S155" s="5" t="s">
        <v>5063</v>
      </c>
      <c r="U155" s="5"/>
      <c r="V155" s="5"/>
      <c r="W155" s="5"/>
      <c r="X155" s="5"/>
      <c r="Z155" s="5"/>
      <c r="AA155" s="5"/>
      <c r="AB155" s="5"/>
      <c r="AC155" s="5"/>
      <c r="AE155" s="5"/>
      <c r="AF155" s="5"/>
      <c r="AG155" s="5"/>
      <c r="AH155" s="5"/>
      <c r="AJ155" s="5"/>
      <c r="AK155" s="5"/>
      <c r="AL155" s="5"/>
      <c r="AM155" s="5"/>
      <c r="AO155" s="5"/>
      <c r="AP155" s="5"/>
      <c r="AQ155" s="5"/>
      <c r="AR155" s="5"/>
      <c r="AT155" s="5"/>
      <c r="AU155" s="5"/>
      <c r="AV155" s="5"/>
      <c r="AW155" s="5"/>
      <c r="AY155" s="5"/>
      <c r="AZ155" s="5"/>
      <c r="BA155" s="5"/>
      <c r="BB155" s="5"/>
      <c r="BD155" s="5"/>
      <c r="BE155" s="5"/>
      <c r="BF155" s="5"/>
      <c r="BG155" s="5"/>
      <c r="CR155" s="5" t="s">
        <v>5526</v>
      </c>
      <c r="CS155" s="5" t="s">
        <v>4983</v>
      </c>
      <c r="CT155" s="5" t="s">
        <v>2585</v>
      </c>
      <c r="CU155" s="5" t="s">
        <v>5063</v>
      </c>
    </row>
    <row r="156" spans="1:99" x14ac:dyDescent="0.25">
      <c r="A156" s="5"/>
      <c r="B156" s="5"/>
      <c r="C156" s="5"/>
      <c r="D156" s="5"/>
      <c r="K156" s="5"/>
      <c r="L156" s="5"/>
      <c r="M156" s="5"/>
      <c r="N156" s="5"/>
      <c r="P156" s="5" t="s">
        <v>5064</v>
      </c>
      <c r="Q156" s="5" t="s">
        <v>4981</v>
      </c>
      <c r="R156" s="5" t="s">
        <v>2585</v>
      </c>
      <c r="S156" s="5" t="s">
        <v>5065</v>
      </c>
      <c r="U156" s="5"/>
      <c r="V156" s="5"/>
      <c r="W156" s="5"/>
      <c r="X156" s="5"/>
      <c r="Z156" s="5"/>
      <c r="AA156" s="5"/>
      <c r="AB156" s="5"/>
      <c r="AC156" s="5"/>
      <c r="AE156" s="5"/>
      <c r="AF156" s="5"/>
      <c r="AG156" s="5"/>
      <c r="AH156" s="5"/>
      <c r="AJ156" s="5"/>
      <c r="AK156" s="5"/>
      <c r="AL156" s="5"/>
      <c r="AM156" s="5"/>
      <c r="AO156" s="5"/>
      <c r="AP156" s="5"/>
      <c r="AQ156" s="5"/>
      <c r="AR156" s="5"/>
      <c r="AT156" s="5"/>
      <c r="AU156" s="5"/>
      <c r="AV156" s="5"/>
      <c r="AW156" s="5"/>
      <c r="AY156" s="5"/>
      <c r="AZ156" s="5"/>
      <c r="BA156" s="5"/>
      <c r="BB156" s="5"/>
      <c r="BD156" s="5"/>
      <c r="BE156" s="5"/>
      <c r="BF156" s="5"/>
      <c r="BG156" s="5"/>
      <c r="CR156" s="5" t="s">
        <v>5527</v>
      </c>
      <c r="CS156" s="5" t="s">
        <v>4981</v>
      </c>
      <c r="CT156" s="5" t="s">
        <v>2585</v>
      </c>
      <c r="CU156" s="5" t="s">
        <v>5065</v>
      </c>
    </row>
    <row r="157" spans="1:99" x14ac:dyDescent="0.25">
      <c r="A157" s="5"/>
      <c r="B157" s="5"/>
      <c r="C157" s="5"/>
      <c r="D157" s="5"/>
      <c r="P157" s="5" t="s">
        <v>5066</v>
      </c>
      <c r="Q157" s="5" t="s">
        <v>4983</v>
      </c>
      <c r="R157" s="5" t="s">
        <v>2585</v>
      </c>
      <c r="S157" s="5" t="s">
        <v>5067</v>
      </c>
      <c r="Z157" s="5"/>
      <c r="AA157" s="5"/>
      <c r="AB157" s="5"/>
      <c r="AC157" s="5"/>
      <c r="AE157" s="5"/>
      <c r="AF157" s="5"/>
      <c r="AG157" s="5"/>
      <c r="AH157" s="5"/>
      <c r="AJ157" s="5"/>
      <c r="AK157" s="5"/>
      <c r="AL157" s="5"/>
      <c r="AM157" s="5"/>
      <c r="AT157" s="5"/>
      <c r="AU157" s="5"/>
      <c r="AV157" s="5"/>
      <c r="AW157" s="5"/>
      <c r="AY157" s="5"/>
      <c r="AZ157" s="5"/>
      <c r="BA157" s="5"/>
      <c r="BB157" s="5"/>
      <c r="BD157" s="5"/>
      <c r="BE157" s="5"/>
      <c r="BF157" s="5"/>
      <c r="BG157" s="5"/>
      <c r="CR157" s="5" t="s">
        <v>5528</v>
      </c>
      <c r="CS157" s="5" t="s">
        <v>4983</v>
      </c>
      <c r="CT157" s="5" t="s">
        <v>2585</v>
      </c>
      <c r="CU157" s="5" t="s">
        <v>5067</v>
      </c>
    </row>
    <row r="158" spans="1:99" x14ac:dyDescent="0.25">
      <c r="A158" s="5"/>
      <c r="B158" s="5"/>
      <c r="C158" s="5"/>
      <c r="D158" s="5"/>
      <c r="P158" s="5" t="s">
        <v>5068</v>
      </c>
      <c r="Q158" s="5" t="s">
        <v>4981</v>
      </c>
      <c r="R158" s="5" t="s">
        <v>2585</v>
      </c>
      <c r="S158" s="5" t="s">
        <v>4756</v>
      </c>
      <c r="Z158" s="5"/>
      <c r="AA158" s="5"/>
      <c r="AB158" s="5"/>
      <c r="AC158" s="5"/>
      <c r="AE158" s="5"/>
      <c r="AF158" s="5"/>
      <c r="AG158" s="5"/>
      <c r="AH158" s="5"/>
      <c r="AJ158" s="5"/>
      <c r="AK158" s="5"/>
      <c r="AL158" s="5"/>
      <c r="AM158" s="5"/>
      <c r="AT158" s="5"/>
      <c r="AU158" s="5"/>
      <c r="AV158" s="5"/>
      <c r="AW158" s="5"/>
      <c r="AY158" s="5"/>
      <c r="AZ158" s="5"/>
      <c r="BA158" s="5"/>
      <c r="BB158" s="5"/>
      <c r="BD158" s="5"/>
      <c r="BE158" s="5"/>
      <c r="BF158" s="5"/>
      <c r="BG158" s="5"/>
      <c r="CR158" s="5" t="s">
        <v>5529</v>
      </c>
      <c r="CS158" s="5" t="s">
        <v>4981</v>
      </c>
      <c r="CT158" s="5" t="s">
        <v>2585</v>
      </c>
      <c r="CU158" s="5" t="s">
        <v>4756</v>
      </c>
    </row>
    <row r="159" spans="1:99" x14ac:dyDescent="0.25">
      <c r="A159" s="5"/>
      <c r="B159" s="5"/>
      <c r="C159" s="5"/>
      <c r="D159" s="5"/>
      <c r="P159" s="5" t="s">
        <v>5069</v>
      </c>
      <c r="Q159" s="5" t="s">
        <v>4983</v>
      </c>
      <c r="R159" s="5" t="s">
        <v>2585</v>
      </c>
      <c r="S159" s="5" t="s">
        <v>5070</v>
      </c>
      <c r="Z159" s="5"/>
      <c r="AA159" s="5"/>
      <c r="AB159" s="5"/>
      <c r="AC159" s="5"/>
      <c r="AE159" s="5"/>
      <c r="AF159" s="5"/>
      <c r="AG159" s="5"/>
      <c r="AH159" s="5"/>
      <c r="AJ159" s="5"/>
      <c r="AK159" s="5"/>
      <c r="AL159" s="5"/>
      <c r="AM159" s="5"/>
      <c r="AT159" s="5"/>
      <c r="AU159" s="5"/>
      <c r="AV159" s="5"/>
      <c r="AW159" s="5"/>
      <c r="AY159" s="5"/>
      <c r="AZ159" s="5"/>
      <c r="BA159" s="5"/>
      <c r="BB159" s="5"/>
      <c r="BD159" s="5"/>
      <c r="BE159" s="5"/>
      <c r="BF159" s="5"/>
      <c r="BG159" s="5"/>
      <c r="CR159" s="5" t="s">
        <v>5530</v>
      </c>
      <c r="CS159" s="5" t="s">
        <v>4983</v>
      </c>
      <c r="CT159" s="5" t="s">
        <v>2585</v>
      </c>
      <c r="CU159" s="5" t="s">
        <v>5070</v>
      </c>
    </row>
    <row r="160" spans="1:99" x14ac:dyDescent="0.25">
      <c r="A160" s="5"/>
      <c r="B160" s="5"/>
      <c r="C160" s="5"/>
      <c r="D160" s="5"/>
      <c r="P160" s="5" t="s">
        <v>5071</v>
      </c>
      <c r="Q160" s="5" t="s">
        <v>4983</v>
      </c>
      <c r="R160" s="5" t="s">
        <v>2585</v>
      </c>
      <c r="S160" s="5" t="s">
        <v>5072</v>
      </c>
      <c r="Z160" s="5"/>
      <c r="AA160" s="5"/>
      <c r="AB160" s="5"/>
      <c r="AC160" s="5"/>
      <c r="AE160" s="5"/>
      <c r="AF160" s="5"/>
      <c r="AG160" s="5"/>
      <c r="AH160" s="5"/>
      <c r="AJ160" s="5"/>
      <c r="AK160" s="5"/>
      <c r="AL160" s="5"/>
      <c r="AM160" s="5"/>
      <c r="AT160" s="5"/>
      <c r="AU160" s="5"/>
      <c r="AV160" s="5"/>
      <c r="AW160" s="5"/>
      <c r="AY160" s="5"/>
      <c r="AZ160" s="5"/>
      <c r="BA160" s="5"/>
      <c r="BB160" s="5"/>
      <c r="BD160" s="5"/>
      <c r="BE160" s="5"/>
      <c r="BF160" s="5"/>
      <c r="BG160" s="5"/>
      <c r="CR160" s="5" t="s">
        <v>5531</v>
      </c>
      <c r="CS160" s="5" t="s">
        <v>4983</v>
      </c>
      <c r="CT160" s="5" t="s">
        <v>2585</v>
      </c>
      <c r="CU160" s="5" t="s">
        <v>5072</v>
      </c>
    </row>
    <row r="161" spans="1:99" x14ac:dyDescent="0.25">
      <c r="A161" s="5"/>
      <c r="B161" s="5"/>
      <c r="C161" s="5"/>
      <c r="D161" s="5"/>
      <c r="P161" s="5" t="s">
        <v>5073</v>
      </c>
      <c r="Q161" s="5" t="s">
        <v>4983</v>
      </c>
      <c r="R161" s="5" t="s">
        <v>2585</v>
      </c>
      <c r="S161" s="5" t="s">
        <v>5074</v>
      </c>
      <c r="Z161" s="5"/>
      <c r="AA161" s="5"/>
      <c r="AB161" s="5"/>
      <c r="AC161" s="5"/>
      <c r="AE161" s="5"/>
      <c r="AF161" s="5"/>
      <c r="AG161" s="5"/>
      <c r="AH161" s="5"/>
      <c r="AJ161" s="5"/>
      <c r="AK161" s="5"/>
      <c r="AL161" s="5"/>
      <c r="AM161" s="5"/>
      <c r="AT161" s="5"/>
      <c r="AU161" s="5"/>
      <c r="AV161" s="5"/>
      <c r="AW161" s="5"/>
      <c r="AY161" s="5"/>
      <c r="AZ161" s="5"/>
      <c r="BA161" s="5"/>
      <c r="BB161" s="5"/>
      <c r="BD161" s="5"/>
      <c r="BE161" s="5"/>
      <c r="BF161" s="5"/>
      <c r="BG161" s="5"/>
      <c r="CR161" s="5" t="s">
        <v>5532</v>
      </c>
      <c r="CS161" s="5" t="s">
        <v>4983</v>
      </c>
      <c r="CT161" s="5" t="s">
        <v>2585</v>
      </c>
      <c r="CU161" s="5" t="s">
        <v>5074</v>
      </c>
    </row>
    <row r="162" spans="1:99" x14ac:dyDescent="0.25">
      <c r="A162" s="5"/>
      <c r="B162" s="5"/>
      <c r="C162" s="5"/>
      <c r="D162" s="5"/>
      <c r="P162" s="5" t="s">
        <v>5075</v>
      </c>
      <c r="Q162" s="5" t="s">
        <v>4983</v>
      </c>
      <c r="R162" s="5" t="s">
        <v>2585</v>
      </c>
      <c r="S162" s="5" t="s">
        <v>5076</v>
      </c>
      <c r="Z162" s="5"/>
      <c r="AA162" s="5"/>
      <c r="AB162" s="5"/>
      <c r="AC162" s="5"/>
      <c r="AE162" s="5"/>
      <c r="AF162" s="5"/>
      <c r="AG162" s="5"/>
      <c r="AH162" s="5"/>
      <c r="AJ162" s="5"/>
      <c r="AK162" s="5"/>
      <c r="AL162" s="5"/>
      <c r="AM162" s="5"/>
      <c r="AT162" s="5"/>
      <c r="AU162" s="5"/>
      <c r="AV162" s="5"/>
      <c r="AW162" s="5"/>
      <c r="AY162" s="5"/>
      <c r="AZ162" s="5"/>
      <c r="BA162" s="5"/>
      <c r="BB162" s="5"/>
      <c r="BD162" s="5"/>
      <c r="BE162" s="5"/>
      <c r="BF162" s="5"/>
      <c r="BG162" s="5"/>
      <c r="CR162" s="5" t="s">
        <v>5533</v>
      </c>
      <c r="CS162" s="5" t="s">
        <v>4983</v>
      </c>
      <c r="CT162" s="5" t="s">
        <v>2585</v>
      </c>
      <c r="CU162" s="5" t="s">
        <v>5076</v>
      </c>
    </row>
    <row r="163" spans="1:99" x14ac:dyDescent="0.25">
      <c r="A163" s="5"/>
      <c r="B163" s="5"/>
      <c r="C163" s="5"/>
      <c r="D163" s="5"/>
      <c r="P163" s="5" t="s">
        <v>5077</v>
      </c>
      <c r="Q163" s="5" t="s">
        <v>4983</v>
      </c>
      <c r="R163" s="5" t="s">
        <v>2585</v>
      </c>
      <c r="S163" s="5" t="s">
        <v>5078</v>
      </c>
      <c r="Z163" s="5"/>
      <c r="AA163" s="5"/>
      <c r="AB163" s="5"/>
      <c r="AC163" s="5"/>
      <c r="AE163" s="5"/>
      <c r="AF163" s="5"/>
      <c r="AG163" s="5"/>
      <c r="AH163" s="5"/>
      <c r="AJ163" s="5"/>
      <c r="AK163" s="5"/>
      <c r="AL163" s="5"/>
      <c r="AM163" s="5"/>
      <c r="AT163" s="5"/>
      <c r="AU163" s="5"/>
      <c r="AV163" s="5"/>
      <c r="AW163" s="5"/>
      <c r="AY163" s="5"/>
      <c r="AZ163" s="5"/>
      <c r="BA163" s="5"/>
      <c r="BB163" s="5"/>
      <c r="BD163" s="5"/>
      <c r="BE163" s="5"/>
      <c r="BF163" s="5"/>
      <c r="BG163" s="5"/>
      <c r="CR163" s="5" t="s">
        <v>5534</v>
      </c>
      <c r="CS163" s="5" t="s">
        <v>4983</v>
      </c>
      <c r="CT163" s="5" t="s">
        <v>2585</v>
      </c>
      <c r="CU163" s="5" t="s">
        <v>5078</v>
      </c>
    </row>
    <row r="164" spans="1:99" x14ac:dyDescent="0.25">
      <c r="A164" s="5"/>
      <c r="B164" s="5"/>
      <c r="C164" s="5"/>
      <c r="D164" s="5"/>
      <c r="P164" s="5" t="s">
        <v>5079</v>
      </c>
      <c r="Q164" s="5" t="s">
        <v>4983</v>
      </c>
      <c r="R164" s="5" t="s">
        <v>2585</v>
      </c>
      <c r="S164" s="5" t="s">
        <v>5080</v>
      </c>
      <c r="Z164" s="5"/>
      <c r="AA164" s="5"/>
      <c r="AB164" s="5"/>
      <c r="AC164" s="5"/>
      <c r="AE164" s="5"/>
      <c r="AF164" s="5"/>
      <c r="AG164" s="5"/>
      <c r="AH164" s="5"/>
      <c r="AJ164" s="5"/>
      <c r="AK164" s="5"/>
      <c r="AL164" s="5"/>
      <c r="AM164" s="5"/>
      <c r="AT164" s="5"/>
      <c r="AU164" s="5"/>
      <c r="AV164" s="5"/>
      <c r="AW164" s="5"/>
      <c r="AY164" s="5"/>
      <c r="AZ164" s="5"/>
      <c r="BA164" s="5"/>
      <c r="BB164" s="5"/>
      <c r="BD164" s="5"/>
      <c r="BE164" s="5"/>
      <c r="BF164" s="5"/>
      <c r="BG164" s="5"/>
      <c r="CR164" s="5" t="s">
        <v>5535</v>
      </c>
      <c r="CS164" s="5" t="s">
        <v>4983</v>
      </c>
      <c r="CT164" s="5" t="s">
        <v>2585</v>
      </c>
      <c r="CU164" s="5" t="s">
        <v>5080</v>
      </c>
    </row>
    <row r="165" spans="1:99" x14ac:dyDescent="0.25">
      <c r="A165" s="5"/>
      <c r="B165" s="5"/>
      <c r="C165" s="5"/>
      <c r="D165" s="5"/>
      <c r="P165" s="5" t="s">
        <v>5081</v>
      </c>
      <c r="Q165" s="5" t="s">
        <v>4981</v>
      </c>
      <c r="R165" s="5" t="s">
        <v>2585</v>
      </c>
      <c r="S165" s="5" t="s">
        <v>5082</v>
      </c>
      <c r="Z165" s="5"/>
      <c r="AA165" s="5"/>
      <c r="AB165" s="5"/>
      <c r="AC165" s="5"/>
      <c r="AE165" s="5"/>
      <c r="AF165" s="5"/>
      <c r="AG165" s="5"/>
      <c r="AH165" s="5"/>
      <c r="AJ165" s="5"/>
      <c r="AK165" s="5"/>
      <c r="AL165" s="5"/>
      <c r="AM165" s="5"/>
      <c r="AT165" s="5"/>
      <c r="AU165" s="5"/>
      <c r="AV165" s="5"/>
      <c r="AW165" s="5"/>
      <c r="AY165" s="5"/>
      <c r="AZ165" s="5"/>
      <c r="BA165" s="5"/>
      <c r="BB165" s="5"/>
      <c r="BD165" s="5"/>
      <c r="BE165" s="5"/>
      <c r="BF165" s="5"/>
      <c r="BG165" s="5"/>
      <c r="CR165" s="5" t="s">
        <v>5536</v>
      </c>
      <c r="CS165" s="5" t="s">
        <v>4981</v>
      </c>
      <c r="CT165" s="5" t="s">
        <v>2585</v>
      </c>
      <c r="CU165" s="5" t="s">
        <v>5082</v>
      </c>
    </row>
    <row r="166" spans="1:99" x14ac:dyDescent="0.25">
      <c r="A166" s="5"/>
      <c r="B166" s="5"/>
      <c r="C166" s="5"/>
      <c r="D166" s="5"/>
      <c r="P166" s="5" t="s">
        <v>5083</v>
      </c>
      <c r="Q166" s="5" t="s">
        <v>4983</v>
      </c>
      <c r="R166" s="5" t="s">
        <v>2585</v>
      </c>
      <c r="S166" s="5" t="s">
        <v>5084</v>
      </c>
      <c r="Z166" s="5"/>
      <c r="AA166" s="5"/>
      <c r="AB166" s="5"/>
      <c r="AC166" s="5"/>
      <c r="AE166" s="5"/>
      <c r="AF166" s="5"/>
      <c r="AG166" s="5"/>
      <c r="AH166" s="5"/>
      <c r="AJ166" s="5"/>
      <c r="AK166" s="5"/>
      <c r="AL166" s="5"/>
      <c r="AM166" s="5"/>
      <c r="AT166" s="5"/>
      <c r="AU166" s="5"/>
      <c r="AV166" s="5"/>
      <c r="AW166" s="5"/>
      <c r="AY166" s="5"/>
      <c r="AZ166" s="5"/>
      <c r="BA166" s="5"/>
      <c r="BB166" s="5"/>
      <c r="BD166" s="5"/>
      <c r="BE166" s="5"/>
      <c r="BF166" s="5"/>
      <c r="BG166" s="5"/>
      <c r="CR166" s="5" t="s">
        <v>5537</v>
      </c>
      <c r="CS166" s="5" t="s">
        <v>4983</v>
      </c>
      <c r="CT166" s="5" t="s">
        <v>2585</v>
      </c>
      <c r="CU166" s="5" t="s">
        <v>5084</v>
      </c>
    </row>
    <row r="167" spans="1:99" x14ac:dyDescent="0.25">
      <c r="A167" s="5"/>
      <c r="B167" s="5"/>
      <c r="C167" s="5"/>
      <c r="D167" s="5"/>
      <c r="P167" s="5" t="s">
        <v>5085</v>
      </c>
      <c r="Q167" s="5" t="s">
        <v>4981</v>
      </c>
      <c r="R167" s="5" t="s">
        <v>2585</v>
      </c>
      <c r="S167" s="5" t="s">
        <v>5086</v>
      </c>
      <c r="Z167" s="5"/>
      <c r="AA167" s="5"/>
      <c r="AB167" s="5"/>
      <c r="AC167" s="5"/>
      <c r="AE167" s="5"/>
      <c r="AF167" s="5"/>
      <c r="AG167" s="5"/>
      <c r="AH167" s="5"/>
      <c r="AJ167" s="5"/>
      <c r="AK167" s="5"/>
      <c r="AL167" s="5"/>
      <c r="AM167" s="5"/>
      <c r="AT167" s="5"/>
      <c r="AU167" s="5"/>
      <c r="AV167" s="5"/>
      <c r="AW167" s="5"/>
      <c r="AY167" s="5"/>
      <c r="AZ167" s="5"/>
      <c r="BA167" s="5"/>
      <c r="BB167" s="5"/>
      <c r="BD167" s="5"/>
      <c r="BE167" s="5"/>
      <c r="BF167" s="5"/>
      <c r="BG167" s="5"/>
      <c r="CR167" s="5" t="s">
        <v>5538</v>
      </c>
      <c r="CS167" s="5" t="s">
        <v>4981</v>
      </c>
      <c r="CT167" s="5" t="s">
        <v>2585</v>
      </c>
      <c r="CU167" s="5" t="s">
        <v>5086</v>
      </c>
    </row>
    <row r="168" spans="1:99" x14ac:dyDescent="0.25">
      <c r="A168" s="5"/>
      <c r="B168" s="5"/>
      <c r="C168" s="5"/>
      <c r="D168" s="5"/>
      <c r="P168" s="5" t="s">
        <v>5087</v>
      </c>
      <c r="Q168" s="5" t="s">
        <v>4983</v>
      </c>
      <c r="R168" s="5" t="s">
        <v>2585</v>
      </c>
      <c r="S168" s="5" t="s">
        <v>5088</v>
      </c>
      <c r="Z168" s="5"/>
      <c r="AA168" s="5"/>
      <c r="AB168" s="5"/>
      <c r="AC168" s="5"/>
      <c r="AE168" s="5"/>
      <c r="AF168" s="5"/>
      <c r="AG168" s="5"/>
      <c r="AH168" s="5"/>
      <c r="AJ168" s="5"/>
      <c r="AK168" s="5"/>
      <c r="AL168" s="5"/>
      <c r="AM168" s="5"/>
      <c r="AT168" s="5"/>
      <c r="AU168" s="5"/>
      <c r="AV168" s="5"/>
      <c r="AW168" s="5"/>
      <c r="AY168" s="5"/>
      <c r="AZ168" s="5"/>
      <c r="BA168" s="5"/>
      <c r="BB168" s="5"/>
      <c r="BD168" s="5"/>
      <c r="BE168" s="5"/>
      <c r="BF168" s="5"/>
      <c r="BG168" s="5"/>
      <c r="CR168" s="5" t="s">
        <v>5539</v>
      </c>
      <c r="CS168" s="5" t="s">
        <v>4983</v>
      </c>
      <c r="CT168" s="5" t="s">
        <v>2585</v>
      </c>
      <c r="CU168" s="5" t="s">
        <v>5088</v>
      </c>
    </row>
    <row r="169" spans="1:99" x14ac:dyDescent="0.25">
      <c r="A169" s="5"/>
      <c r="B169" s="5"/>
      <c r="C169" s="5"/>
      <c r="D169" s="5"/>
      <c r="P169" s="5" t="s">
        <v>5089</v>
      </c>
      <c r="Q169" s="5" t="s">
        <v>4981</v>
      </c>
      <c r="R169" s="5" t="s">
        <v>2585</v>
      </c>
      <c r="S169" s="5" t="s">
        <v>4756</v>
      </c>
      <c r="Z169" s="5"/>
      <c r="AA169" s="5"/>
      <c r="AB169" s="5"/>
      <c r="AC169" s="5"/>
      <c r="AE169" s="5"/>
      <c r="AF169" s="5"/>
      <c r="AG169" s="5"/>
      <c r="AH169" s="5"/>
      <c r="AJ169" s="5"/>
      <c r="AK169" s="5"/>
      <c r="AL169" s="5"/>
      <c r="AM169" s="5"/>
      <c r="AT169" s="5"/>
      <c r="AU169" s="5"/>
      <c r="AV169" s="5"/>
      <c r="AW169" s="5"/>
      <c r="AY169" s="5"/>
      <c r="AZ169" s="5"/>
      <c r="BA169" s="5"/>
      <c r="BB169" s="5"/>
      <c r="BD169" s="5"/>
      <c r="BE169" s="5"/>
      <c r="BF169" s="5"/>
      <c r="BG169" s="5"/>
      <c r="CR169" s="5" t="s">
        <v>5540</v>
      </c>
      <c r="CS169" s="5" t="s">
        <v>4981</v>
      </c>
      <c r="CT169" s="5" t="s">
        <v>2585</v>
      </c>
      <c r="CU169" s="5" t="s">
        <v>4756</v>
      </c>
    </row>
    <row r="170" spans="1:99" x14ac:dyDescent="0.25">
      <c r="A170" s="5"/>
      <c r="B170" s="5"/>
      <c r="C170" s="5"/>
      <c r="D170" s="5"/>
      <c r="P170" s="5" t="s">
        <v>5090</v>
      </c>
      <c r="Q170" s="5" t="s">
        <v>4983</v>
      </c>
      <c r="R170" s="5" t="s">
        <v>2585</v>
      </c>
      <c r="S170" s="5" t="s">
        <v>5070</v>
      </c>
      <c r="Z170" s="5"/>
      <c r="AA170" s="5"/>
      <c r="AB170" s="5"/>
      <c r="AC170" s="5"/>
      <c r="AE170" s="5"/>
      <c r="AF170" s="5"/>
      <c r="AG170" s="5"/>
      <c r="AH170" s="5"/>
      <c r="AJ170" s="5"/>
      <c r="AK170" s="5"/>
      <c r="AL170" s="5"/>
      <c r="AM170" s="5"/>
      <c r="AT170" s="5"/>
      <c r="AU170" s="5"/>
      <c r="AV170" s="5"/>
      <c r="AW170" s="5"/>
      <c r="AY170" s="5"/>
      <c r="AZ170" s="5"/>
      <c r="BA170" s="5"/>
      <c r="BB170" s="5"/>
      <c r="BD170" s="5"/>
      <c r="BE170" s="5"/>
      <c r="BF170" s="5"/>
      <c r="BG170" s="5"/>
      <c r="CR170" s="5" t="s">
        <v>5541</v>
      </c>
      <c r="CS170" s="5" t="s">
        <v>4983</v>
      </c>
      <c r="CT170" s="5" t="s">
        <v>2585</v>
      </c>
      <c r="CU170" s="5" t="s">
        <v>5070</v>
      </c>
    </row>
    <row r="171" spans="1:99" x14ac:dyDescent="0.25">
      <c r="A171" s="5"/>
      <c r="B171" s="5"/>
      <c r="C171" s="5"/>
      <c r="D171" s="5"/>
      <c r="P171" s="5" t="s">
        <v>5091</v>
      </c>
      <c r="Q171" s="5" t="s">
        <v>4983</v>
      </c>
      <c r="R171" s="5" t="s">
        <v>2585</v>
      </c>
      <c r="S171" s="5" t="s">
        <v>5092</v>
      </c>
      <c r="Z171" s="5"/>
      <c r="AA171" s="5"/>
      <c r="AB171" s="5"/>
      <c r="AC171" s="5"/>
      <c r="AE171" s="5"/>
      <c r="AF171" s="5"/>
      <c r="AG171" s="5"/>
      <c r="AH171" s="5"/>
      <c r="AJ171" s="5"/>
      <c r="AK171" s="5"/>
      <c r="AL171" s="5"/>
      <c r="AM171" s="5"/>
      <c r="AT171" s="5"/>
      <c r="AU171" s="5"/>
      <c r="AV171" s="5"/>
      <c r="AW171" s="5"/>
      <c r="AY171" s="5"/>
      <c r="AZ171" s="5"/>
      <c r="BA171" s="5"/>
      <c r="BB171" s="5"/>
      <c r="BD171" s="5"/>
      <c r="BE171" s="5"/>
      <c r="BF171" s="5"/>
      <c r="BG171" s="5"/>
      <c r="CR171" s="5" t="s">
        <v>5542</v>
      </c>
      <c r="CS171" s="5" t="s">
        <v>4983</v>
      </c>
      <c r="CT171" s="5" t="s">
        <v>2585</v>
      </c>
      <c r="CU171" s="5" t="s">
        <v>5092</v>
      </c>
    </row>
    <row r="172" spans="1:99" x14ac:dyDescent="0.25">
      <c r="A172" s="5"/>
      <c r="B172" s="5"/>
      <c r="C172" s="5"/>
      <c r="D172" s="5"/>
      <c r="P172" s="5" t="s">
        <v>5093</v>
      </c>
      <c r="Q172" s="5" t="s">
        <v>4981</v>
      </c>
      <c r="R172" s="5" t="s">
        <v>2585</v>
      </c>
      <c r="S172" s="5" t="s">
        <v>3666</v>
      </c>
      <c r="Z172" s="5"/>
      <c r="AA172" s="5"/>
      <c r="AB172" s="5"/>
      <c r="AC172" s="5"/>
      <c r="AE172" s="5"/>
      <c r="AF172" s="5"/>
      <c r="AG172" s="5"/>
      <c r="AH172" s="5"/>
      <c r="AJ172" s="5"/>
      <c r="AK172" s="5"/>
      <c r="AL172" s="5"/>
      <c r="AM172" s="5"/>
      <c r="AT172" s="5"/>
      <c r="AU172" s="5"/>
      <c r="AV172" s="5"/>
      <c r="AW172" s="5"/>
      <c r="AY172" s="5"/>
      <c r="AZ172" s="5"/>
      <c r="BA172" s="5"/>
      <c r="BB172" s="5"/>
      <c r="BD172" s="5"/>
      <c r="BE172" s="5"/>
      <c r="BF172" s="5"/>
      <c r="BG172" s="5"/>
      <c r="CR172" s="5" t="s">
        <v>5543</v>
      </c>
      <c r="CS172" s="5" t="s">
        <v>4981</v>
      </c>
      <c r="CT172" s="5" t="s">
        <v>2585</v>
      </c>
      <c r="CU172" s="5" t="s">
        <v>3666</v>
      </c>
    </row>
    <row r="173" spans="1:99" x14ac:dyDescent="0.25">
      <c r="A173" s="5"/>
      <c r="B173" s="5"/>
      <c r="C173" s="5"/>
      <c r="D173" s="5"/>
      <c r="P173" s="5" t="s">
        <v>5094</v>
      </c>
      <c r="Q173" s="5" t="s">
        <v>4983</v>
      </c>
      <c r="R173" s="5" t="s">
        <v>2585</v>
      </c>
      <c r="S173" s="5" t="s">
        <v>3667</v>
      </c>
      <c r="Z173" s="5"/>
      <c r="AA173" s="5"/>
      <c r="AB173" s="5"/>
      <c r="AC173" s="5"/>
      <c r="AE173" s="5"/>
      <c r="AF173" s="5"/>
      <c r="AG173" s="5"/>
      <c r="AH173" s="5"/>
      <c r="AJ173" s="5"/>
      <c r="AK173" s="5"/>
      <c r="AL173" s="5"/>
      <c r="AM173" s="5"/>
      <c r="AT173" s="5"/>
      <c r="AU173" s="5"/>
      <c r="AV173" s="5"/>
      <c r="AW173" s="5"/>
      <c r="AY173" s="5"/>
      <c r="AZ173" s="5"/>
      <c r="BA173" s="5"/>
      <c r="BB173" s="5"/>
      <c r="BD173" s="5"/>
      <c r="BE173" s="5"/>
      <c r="BF173" s="5"/>
      <c r="BG173" s="5"/>
      <c r="CR173" s="5" t="s">
        <v>5544</v>
      </c>
      <c r="CS173" s="5" t="s">
        <v>4983</v>
      </c>
      <c r="CT173" s="5" t="s">
        <v>2585</v>
      </c>
      <c r="CU173" s="5" t="s">
        <v>3667</v>
      </c>
    </row>
    <row r="174" spans="1:99" x14ac:dyDescent="0.25">
      <c r="A174" s="5"/>
      <c r="B174" s="5"/>
      <c r="C174" s="5"/>
      <c r="D174" s="5"/>
      <c r="AE174" s="5"/>
      <c r="AF174" s="5"/>
      <c r="AG174" s="5"/>
      <c r="AH174" s="5"/>
      <c r="AJ174" s="5"/>
      <c r="AK174" s="5"/>
      <c r="AL174" s="5"/>
      <c r="AM174" s="5"/>
      <c r="AY174" s="5"/>
      <c r="AZ174" s="5"/>
      <c r="BA174" s="5"/>
      <c r="BB174" s="5"/>
    </row>
    <row r="175" spans="1:99" x14ac:dyDescent="0.25">
      <c r="A175" s="5"/>
      <c r="B175" s="5"/>
      <c r="C175" s="5"/>
      <c r="D175" s="5"/>
      <c r="AE175" s="5"/>
      <c r="AF175" s="5"/>
      <c r="AG175" s="5"/>
      <c r="AH175" s="5"/>
      <c r="AJ175" s="5"/>
      <c r="AK175" s="5"/>
      <c r="AL175" s="5"/>
      <c r="AM175" s="5"/>
      <c r="AY175" s="5"/>
      <c r="AZ175" s="5"/>
      <c r="BA175" s="5"/>
      <c r="BB175" s="5"/>
    </row>
    <row r="176" spans="1:99" x14ac:dyDescent="0.25">
      <c r="A176" s="5"/>
      <c r="B176" s="5"/>
      <c r="C176" s="5"/>
      <c r="D176" s="5"/>
      <c r="AE176" s="5"/>
      <c r="AF176" s="5"/>
      <c r="AG176" s="5"/>
      <c r="AH176" s="5"/>
      <c r="AJ176" s="5"/>
      <c r="AK176" s="5"/>
      <c r="AL176" s="5"/>
      <c r="AM176" s="5"/>
      <c r="AY176" s="5"/>
      <c r="AZ176" s="5"/>
      <c r="BA176" s="5"/>
      <c r="BB176" s="5"/>
    </row>
    <row r="177" spans="1:54" x14ac:dyDescent="0.25">
      <c r="A177" s="5"/>
      <c r="B177" s="5"/>
      <c r="C177" s="5"/>
      <c r="D177" s="5"/>
      <c r="AE177" s="5"/>
      <c r="AF177" s="5"/>
      <c r="AG177" s="5"/>
      <c r="AH177" s="5"/>
      <c r="AJ177" s="5"/>
      <c r="AK177" s="5"/>
      <c r="AL177" s="5"/>
      <c r="AM177" s="5"/>
      <c r="AY177" s="5"/>
      <c r="AZ177" s="5"/>
      <c r="BA177" s="5"/>
      <c r="BB177" s="5"/>
    </row>
    <row r="178" spans="1:54" x14ac:dyDescent="0.25">
      <c r="A178" s="5"/>
      <c r="B178" s="5"/>
      <c r="C178" s="5"/>
      <c r="D178" s="5"/>
      <c r="AE178" s="5"/>
      <c r="AF178" s="5"/>
      <c r="AG178" s="5"/>
      <c r="AH178" s="5"/>
      <c r="AJ178" s="5"/>
      <c r="AK178" s="5"/>
      <c r="AL178" s="5"/>
      <c r="AM178" s="5"/>
      <c r="AY178" s="5"/>
      <c r="AZ178" s="5"/>
      <c r="BA178" s="5"/>
      <c r="BB178" s="5"/>
    </row>
    <row r="179" spans="1:54" x14ac:dyDescent="0.25">
      <c r="A179" s="5"/>
      <c r="B179" s="5"/>
      <c r="C179" s="5"/>
      <c r="D179" s="5"/>
      <c r="AE179" s="5"/>
      <c r="AF179" s="5"/>
      <c r="AG179" s="5"/>
      <c r="AH179" s="5"/>
      <c r="AJ179" s="5"/>
      <c r="AK179" s="5"/>
      <c r="AL179" s="5"/>
      <c r="AM179" s="5"/>
      <c r="AY179" s="5"/>
      <c r="AZ179" s="5"/>
      <c r="BA179" s="5"/>
      <c r="BB179" s="5"/>
    </row>
    <row r="180" spans="1:54" x14ac:dyDescent="0.25">
      <c r="A180" s="5"/>
      <c r="B180" s="5"/>
      <c r="C180" s="5"/>
      <c r="D180" s="5"/>
      <c r="AE180" s="5"/>
      <c r="AF180" s="5"/>
      <c r="AG180" s="5"/>
      <c r="AH180" s="5"/>
    </row>
    <row r="181" spans="1:54" x14ac:dyDescent="0.25">
      <c r="A181" s="5"/>
      <c r="B181" s="5"/>
      <c r="C181" s="5"/>
      <c r="D181" s="5"/>
    </row>
    <row r="182" spans="1:54" x14ac:dyDescent="0.25">
      <c r="A182" s="5"/>
      <c r="B182" s="5"/>
      <c r="C182" s="5"/>
      <c r="D182" s="5"/>
    </row>
    <row r="183" spans="1:54" x14ac:dyDescent="0.25">
      <c r="A183" s="5"/>
      <c r="B183" s="5"/>
      <c r="C183" s="5"/>
      <c r="D183" s="5"/>
    </row>
    <row r="184" spans="1:54" x14ac:dyDescent="0.25">
      <c r="A184" s="5"/>
      <c r="B184" s="5"/>
      <c r="C184" s="5"/>
      <c r="D184" s="5"/>
    </row>
    <row r="185" spans="1:54" x14ac:dyDescent="0.25">
      <c r="A185" s="5"/>
      <c r="B185" s="5"/>
      <c r="C185" s="5"/>
      <c r="D185" s="5"/>
    </row>
    <row r="186" spans="1:54" x14ac:dyDescent="0.25">
      <c r="A186" s="5"/>
      <c r="B186" s="5"/>
      <c r="C186" s="5"/>
      <c r="D186" s="5"/>
    </row>
    <row r="187" spans="1:54" x14ac:dyDescent="0.25">
      <c r="A187" s="5"/>
      <c r="B187" s="5"/>
      <c r="C187" s="5"/>
      <c r="D187" s="5"/>
    </row>
    <row r="188" spans="1:54" x14ac:dyDescent="0.25">
      <c r="A188" s="5"/>
      <c r="B188" s="5"/>
      <c r="C188" s="5"/>
      <c r="D188" s="5"/>
    </row>
    <row r="189" spans="1:54" x14ac:dyDescent="0.25">
      <c r="A189" s="5"/>
      <c r="B189" s="5"/>
      <c r="C189" s="5"/>
      <c r="D189" s="5"/>
    </row>
    <row r="190" spans="1:54" x14ac:dyDescent="0.25">
      <c r="A190" s="5"/>
      <c r="B190" s="5"/>
      <c r="C190" s="5"/>
      <c r="D190" s="5"/>
    </row>
    <row r="191" spans="1:54" x14ac:dyDescent="0.25">
      <c r="A191" s="5"/>
      <c r="B191" s="5"/>
      <c r="C191" s="5"/>
      <c r="D191" s="5"/>
    </row>
    <row r="192" spans="1:54" x14ac:dyDescent="0.25">
      <c r="A192" s="5"/>
      <c r="B192" s="5"/>
      <c r="C192" s="5"/>
      <c r="D192" s="5"/>
    </row>
    <row r="193" spans="1:4" x14ac:dyDescent="0.25">
      <c r="A193" s="5"/>
      <c r="B193" s="5"/>
      <c r="C193" s="5"/>
      <c r="D193" s="5"/>
    </row>
    <row r="194" spans="1:4" x14ac:dyDescent="0.25">
      <c r="A194" s="5"/>
      <c r="B194" s="5"/>
      <c r="C194" s="5"/>
      <c r="D194" s="5"/>
    </row>
    <row r="195" spans="1:4" x14ac:dyDescent="0.25">
      <c r="A195" s="5"/>
      <c r="B195" s="5"/>
      <c r="C195" s="5"/>
      <c r="D195" s="5"/>
    </row>
    <row r="196" spans="1:4" x14ac:dyDescent="0.25">
      <c r="A196" s="5"/>
      <c r="B196" s="5"/>
      <c r="C196" s="5"/>
      <c r="D196" s="5"/>
    </row>
    <row r="197" spans="1:4" x14ac:dyDescent="0.25">
      <c r="A197" s="5"/>
      <c r="B197" s="5"/>
      <c r="C197" s="5"/>
      <c r="D197" s="5"/>
    </row>
    <row r="198" spans="1:4" x14ac:dyDescent="0.25">
      <c r="A198" s="5"/>
      <c r="B198" s="5"/>
      <c r="C198" s="5"/>
      <c r="D198" s="5"/>
    </row>
    <row r="199" spans="1:4" x14ac:dyDescent="0.25">
      <c r="A199" s="5"/>
      <c r="B199" s="5"/>
      <c r="C199" s="5"/>
      <c r="D199" s="5"/>
    </row>
    <row r="200" spans="1:4" x14ac:dyDescent="0.25">
      <c r="A200" s="5"/>
      <c r="B200" s="5"/>
      <c r="C200" s="5"/>
      <c r="D200" s="5"/>
    </row>
    <row r="201" spans="1:4" x14ac:dyDescent="0.25">
      <c r="A201" s="5"/>
      <c r="B201" s="5"/>
      <c r="C201" s="5"/>
      <c r="D201" s="5"/>
    </row>
    <row r="202" spans="1:4" x14ac:dyDescent="0.25">
      <c r="A202" s="5"/>
      <c r="B202" s="5"/>
      <c r="C202" s="5"/>
      <c r="D202" s="5"/>
    </row>
    <row r="203" spans="1:4" x14ac:dyDescent="0.25">
      <c r="A203" s="5"/>
      <c r="B203" s="5"/>
      <c r="C203" s="5"/>
      <c r="D203" s="5"/>
    </row>
    <row r="204" spans="1:4" x14ac:dyDescent="0.25">
      <c r="A204" s="5"/>
      <c r="B204" s="5"/>
      <c r="C204" s="5"/>
      <c r="D204" s="5"/>
    </row>
    <row r="205" spans="1:4" x14ac:dyDescent="0.25">
      <c r="A205" s="5"/>
      <c r="B205" s="5"/>
      <c r="C205" s="5"/>
      <c r="D205" s="5"/>
    </row>
    <row r="206" spans="1:4" x14ac:dyDescent="0.25">
      <c r="A206" s="5"/>
      <c r="B206" s="5"/>
      <c r="C206" s="5"/>
      <c r="D206" s="5"/>
    </row>
    <row r="207" spans="1:4" x14ac:dyDescent="0.25">
      <c r="A207" s="5"/>
      <c r="B207" s="5"/>
      <c r="C207" s="5"/>
      <c r="D207" s="5"/>
    </row>
    <row r="208" spans="1:4" x14ac:dyDescent="0.25">
      <c r="A208" s="5"/>
      <c r="B208" s="5"/>
      <c r="C208" s="5"/>
      <c r="D208" s="5"/>
    </row>
    <row r="209" spans="1:4" x14ac:dyDescent="0.25">
      <c r="A209" s="5"/>
      <c r="B209" s="5"/>
      <c r="C209" s="5"/>
      <c r="D209" s="5"/>
    </row>
    <row r="210" spans="1:4" x14ac:dyDescent="0.25">
      <c r="A210" s="5"/>
      <c r="B210" s="5"/>
      <c r="C210" s="5"/>
      <c r="D210" s="5"/>
    </row>
    <row r="211" spans="1:4" x14ac:dyDescent="0.25">
      <c r="A211" s="5"/>
      <c r="B211" s="5"/>
      <c r="C211" s="5"/>
      <c r="D211" s="5"/>
    </row>
    <row r="212" spans="1:4" x14ac:dyDescent="0.25">
      <c r="A212" s="5"/>
      <c r="B212" s="5"/>
      <c r="C212" s="5"/>
      <c r="D212" s="5"/>
    </row>
    <row r="213" spans="1:4" x14ac:dyDescent="0.25">
      <c r="A213" s="5"/>
      <c r="B213" s="5"/>
      <c r="C213" s="5"/>
      <c r="D213" s="5"/>
    </row>
    <row r="214" spans="1:4" x14ac:dyDescent="0.25">
      <c r="A214" s="5"/>
      <c r="B214" s="5"/>
      <c r="C214" s="5"/>
      <c r="D214" s="5"/>
    </row>
    <row r="215" spans="1:4" x14ac:dyDescent="0.25">
      <c r="A215" s="5"/>
      <c r="B215" s="5"/>
      <c r="C215" s="5"/>
      <c r="D215" s="5"/>
    </row>
    <row r="216" spans="1:4" x14ac:dyDescent="0.25">
      <c r="A216" s="5"/>
      <c r="B216" s="5"/>
      <c r="C216" s="5"/>
      <c r="D216" s="5"/>
    </row>
    <row r="217" spans="1:4" x14ac:dyDescent="0.25">
      <c r="A217" s="5"/>
      <c r="B217" s="5"/>
      <c r="C217" s="5"/>
      <c r="D217" s="5"/>
    </row>
    <row r="218" spans="1:4" x14ac:dyDescent="0.25">
      <c r="A218" s="5"/>
      <c r="B218" s="5"/>
      <c r="C218" s="5"/>
      <c r="D218" s="5"/>
    </row>
    <row r="219" spans="1:4" x14ac:dyDescent="0.25">
      <c r="A219" s="5"/>
      <c r="B219" s="5"/>
      <c r="C219" s="5"/>
      <c r="D219" s="5"/>
    </row>
    <row r="220" spans="1:4" x14ac:dyDescent="0.25">
      <c r="A220" s="5"/>
      <c r="B220" s="5"/>
      <c r="C220" s="5"/>
      <c r="D220" s="5"/>
    </row>
    <row r="221" spans="1:4" x14ac:dyDescent="0.25">
      <c r="A221" s="5"/>
      <c r="B221" s="5"/>
      <c r="C221" s="5"/>
      <c r="D221" s="5"/>
    </row>
    <row r="222" spans="1:4" x14ac:dyDescent="0.25">
      <c r="A222" s="5"/>
      <c r="B222" s="5"/>
      <c r="C222" s="5"/>
      <c r="D222" s="5"/>
    </row>
    <row r="223" spans="1:4" x14ac:dyDescent="0.25">
      <c r="A223" s="5"/>
      <c r="B223" s="5"/>
      <c r="C223" s="5"/>
      <c r="D223" s="5"/>
    </row>
    <row r="224" spans="1:4" x14ac:dyDescent="0.25">
      <c r="A224" s="5"/>
      <c r="B224" s="5"/>
      <c r="C224" s="5"/>
      <c r="D224" s="5"/>
    </row>
    <row r="225" spans="1:4" x14ac:dyDescent="0.25">
      <c r="A225" s="5"/>
      <c r="B225" s="5"/>
      <c r="C225" s="5"/>
      <c r="D225" s="5"/>
    </row>
    <row r="226" spans="1:4" x14ac:dyDescent="0.25">
      <c r="A226" s="5"/>
      <c r="B226" s="5"/>
      <c r="C226" s="5"/>
      <c r="D226" s="5"/>
    </row>
    <row r="227" spans="1:4" x14ac:dyDescent="0.25">
      <c r="A227" s="5"/>
      <c r="B227" s="5"/>
      <c r="C227" s="5"/>
      <c r="D227" s="5"/>
    </row>
    <row r="228" spans="1:4" x14ac:dyDescent="0.25">
      <c r="A228" s="5"/>
      <c r="B228" s="5"/>
      <c r="C228" s="5"/>
      <c r="D228" s="5"/>
    </row>
    <row r="229" spans="1:4" x14ac:dyDescent="0.25">
      <c r="A229" s="5"/>
      <c r="B229" s="5"/>
      <c r="C229" s="5"/>
      <c r="D229" s="5"/>
    </row>
    <row r="230" spans="1:4" x14ac:dyDescent="0.25">
      <c r="A230" s="5"/>
      <c r="B230" s="5"/>
      <c r="C230" s="5"/>
      <c r="D230" s="5"/>
    </row>
    <row r="231" spans="1:4" x14ac:dyDescent="0.25">
      <c r="A231" s="5"/>
      <c r="B231" s="5"/>
      <c r="C231" s="5"/>
      <c r="D231" s="5"/>
    </row>
    <row r="232" spans="1:4" x14ac:dyDescent="0.25">
      <c r="A232" s="5"/>
      <c r="B232" s="5"/>
      <c r="C232" s="5"/>
      <c r="D232" s="5"/>
    </row>
    <row r="233" spans="1:4" x14ac:dyDescent="0.25">
      <c r="A233" s="5"/>
      <c r="B233" s="5"/>
      <c r="C233" s="5"/>
      <c r="D233" s="5"/>
    </row>
    <row r="234" spans="1:4" x14ac:dyDescent="0.25">
      <c r="A234" s="5"/>
      <c r="B234" s="5"/>
      <c r="C234" s="5"/>
      <c r="D234" s="5"/>
    </row>
    <row r="235" spans="1:4" x14ac:dyDescent="0.25">
      <c r="A235" s="5"/>
      <c r="B235" s="5"/>
      <c r="C235" s="5"/>
      <c r="D235" s="5"/>
    </row>
    <row r="236" spans="1:4" x14ac:dyDescent="0.25">
      <c r="A236" s="5"/>
      <c r="B236" s="5"/>
      <c r="C236" s="5"/>
      <c r="D236" s="5"/>
    </row>
    <row r="237" spans="1:4" x14ac:dyDescent="0.25">
      <c r="A237" s="5"/>
      <c r="B237" s="5"/>
      <c r="C237" s="5"/>
      <c r="D237" s="5"/>
    </row>
    <row r="238" spans="1:4" x14ac:dyDescent="0.25">
      <c r="A238" s="5"/>
      <c r="B238" s="5"/>
      <c r="C238" s="5"/>
      <c r="D238" s="5"/>
    </row>
    <row r="239" spans="1:4" x14ac:dyDescent="0.25">
      <c r="A239" s="5"/>
      <c r="B239" s="5"/>
      <c r="C239" s="5"/>
      <c r="D239" s="5"/>
    </row>
    <row r="240" spans="1:4" x14ac:dyDescent="0.25">
      <c r="A240" s="5"/>
      <c r="B240" s="5"/>
      <c r="C240" s="5"/>
      <c r="D240" s="5"/>
    </row>
    <row r="241" spans="1:4" x14ac:dyDescent="0.25">
      <c r="A241" s="5"/>
      <c r="B241" s="5"/>
      <c r="C241" s="5"/>
      <c r="D241" s="5"/>
    </row>
    <row r="242" spans="1:4" x14ac:dyDescent="0.25">
      <c r="A242" s="5"/>
      <c r="B242" s="5"/>
      <c r="C242" s="5"/>
      <c r="D242" s="5"/>
    </row>
    <row r="243" spans="1:4" x14ac:dyDescent="0.25">
      <c r="A243" s="5"/>
      <c r="B243" s="5"/>
      <c r="C243" s="5"/>
      <c r="D243" s="5"/>
    </row>
    <row r="244" spans="1:4" x14ac:dyDescent="0.25">
      <c r="A244" s="5"/>
      <c r="B244" s="5"/>
      <c r="C244" s="5"/>
      <c r="D244" s="5"/>
    </row>
    <row r="245" spans="1:4" x14ac:dyDescent="0.25">
      <c r="A245" s="5"/>
      <c r="B245" s="5"/>
      <c r="C245" s="5"/>
      <c r="D245" s="5"/>
    </row>
    <row r="246" spans="1:4" x14ac:dyDescent="0.25">
      <c r="A246" s="5"/>
      <c r="B246" s="5"/>
      <c r="C246" s="5"/>
      <c r="D246" s="5"/>
    </row>
    <row r="247" spans="1:4" x14ac:dyDescent="0.25">
      <c r="A247" s="5"/>
      <c r="B247" s="5"/>
      <c r="C247" s="5"/>
      <c r="D247" s="5"/>
    </row>
    <row r="248" spans="1:4" x14ac:dyDescent="0.25">
      <c r="A248" s="5"/>
      <c r="B248" s="5"/>
      <c r="C248" s="5"/>
      <c r="D248" s="5"/>
    </row>
    <row r="249" spans="1:4" x14ac:dyDescent="0.25">
      <c r="A249" s="5"/>
      <c r="B249" s="5"/>
      <c r="C249" s="5"/>
      <c r="D249" s="5"/>
    </row>
    <row r="250" spans="1:4" x14ac:dyDescent="0.25">
      <c r="A250" s="5"/>
      <c r="B250" s="5"/>
      <c r="C250" s="5"/>
      <c r="D250" s="5"/>
    </row>
    <row r="251" spans="1:4" x14ac:dyDescent="0.25">
      <c r="A251" s="5"/>
      <c r="B251" s="5"/>
      <c r="C251" s="5"/>
      <c r="D251" s="5"/>
    </row>
    <row r="252" spans="1:4" x14ac:dyDescent="0.25">
      <c r="A252" s="5"/>
      <c r="B252" s="5"/>
      <c r="C252" s="5"/>
      <c r="D252" s="5"/>
    </row>
    <row r="253" spans="1:4" x14ac:dyDescent="0.25">
      <c r="A253" s="5"/>
      <c r="B253" s="5"/>
      <c r="C253" s="5"/>
      <c r="D253" s="5"/>
    </row>
    <row r="254" spans="1:4" x14ac:dyDescent="0.25">
      <c r="A254" s="5"/>
      <c r="B254" s="5"/>
      <c r="C254" s="5"/>
      <c r="D254" s="5"/>
    </row>
    <row r="255" spans="1:4" x14ac:dyDescent="0.25">
      <c r="A255" s="5"/>
      <c r="B255" s="5"/>
      <c r="C255" s="5"/>
      <c r="D255" s="5"/>
    </row>
    <row r="256" spans="1:4" x14ac:dyDescent="0.25">
      <c r="A256" s="5"/>
      <c r="B256" s="5"/>
      <c r="C256" s="5"/>
      <c r="D256" s="5"/>
    </row>
    <row r="257" spans="1:4" x14ac:dyDescent="0.25">
      <c r="A257" s="5"/>
      <c r="B257" s="5"/>
      <c r="C257" s="5"/>
      <c r="D257" s="5"/>
    </row>
    <row r="258" spans="1:4" x14ac:dyDescent="0.25">
      <c r="A258" s="5"/>
      <c r="B258" s="5"/>
      <c r="C258" s="5"/>
      <c r="D258" s="5"/>
    </row>
    <row r="259" spans="1:4" x14ac:dyDescent="0.25">
      <c r="A259" s="5"/>
      <c r="B259" s="5"/>
      <c r="C259" s="5"/>
      <c r="D259" s="5"/>
    </row>
    <row r="260" spans="1:4" x14ac:dyDescent="0.25">
      <c r="A260" s="5"/>
      <c r="B260" s="5"/>
      <c r="C260" s="5"/>
      <c r="D260" s="5"/>
    </row>
    <row r="261" spans="1:4" x14ac:dyDescent="0.25">
      <c r="A261" s="5"/>
      <c r="B261" s="5"/>
      <c r="C261" s="5"/>
      <c r="D261" s="5"/>
    </row>
    <row r="262" spans="1:4" x14ac:dyDescent="0.25">
      <c r="A262" s="5"/>
      <c r="B262" s="5"/>
      <c r="C262" s="5"/>
      <c r="D262" s="5"/>
    </row>
    <row r="263" spans="1:4" x14ac:dyDescent="0.25">
      <c r="A263" s="5"/>
      <c r="B263" s="5"/>
      <c r="C263" s="5"/>
      <c r="D263" s="5"/>
    </row>
    <row r="264" spans="1:4" x14ac:dyDescent="0.25">
      <c r="A264" s="5"/>
      <c r="B264" s="5"/>
      <c r="C264" s="5"/>
      <c r="D264" s="5"/>
    </row>
    <row r="265" spans="1:4" x14ac:dyDescent="0.25">
      <c r="A265" s="5"/>
      <c r="B265" s="5"/>
      <c r="C265" s="5"/>
      <c r="D265" s="5"/>
    </row>
    <row r="266" spans="1:4" x14ac:dyDescent="0.25">
      <c r="A266" s="5"/>
      <c r="B266" s="5"/>
      <c r="C266" s="5"/>
      <c r="D266" s="5"/>
    </row>
    <row r="267" spans="1:4" x14ac:dyDescent="0.25">
      <c r="A267" s="5"/>
      <c r="B267" s="5"/>
      <c r="C267" s="5"/>
      <c r="D267" s="5"/>
    </row>
    <row r="268" spans="1:4" x14ac:dyDescent="0.25">
      <c r="A268" s="5"/>
      <c r="B268" s="5"/>
      <c r="C268" s="5"/>
      <c r="D268" s="5"/>
    </row>
    <row r="269" spans="1:4" x14ac:dyDescent="0.25">
      <c r="A269" s="5"/>
      <c r="B269" s="5"/>
      <c r="C269" s="5"/>
      <c r="D269" s="5"/>
    </row>
    <row r="270" spans="1:4" x14ac:dyDescent="0.25">
      <c r="A270" s="5"/>
      <c r="B270" s="5"/>
      <c r="C270" s="5"/>
      <c r="D270" s="5"/>
    </row>
    <row r="271" spans="1:4" x14ac:dyDescent="0.25">
      <c r="A271" s="5"/>
      <c r="B271" s="5"/>
      <c r="C271" s="5"/>
      <c r="D271" s="5"/>
    </row>
    <row r="272" spans="1:4" x14ac:dyDescent="0.25">
      <c r="A272" s="5"/>
      <c r="B272" s="5"/>
      <c r="C272" s="5"/>
      <c r="D272" s="5"/>
    </row>
    <row r="273" spans="1:4" x14ac:dyDescent="0.25">
      <c r="A273" s="5"/>
      <c r="B273" s="5"/>
      <c r="C273" s="5"/>
      <c r="D273" s="5"/>
    </row>
    <row r="274" spans="1:4" x14ac:dyDescent="0.25">
      <c r="A274" s="5"/>
      <c r="B274" s="5"/>
      <c r="C274" s="5"/>
      <c r="D274" s="5"/>
    </row>
    <row r="275" spans="1:4" x14ac:dyDescent="0.25">
      <c r="A275" s="5"/>
      <c r="B275" s="5"/>
      <c r="C275" s="5"/>
      <c r="D275" s="5"/>
    </row>
    <row r="276" spans="1:4" x14ac:dyDescent="0.25">
      <c r="A276" s="5"/>
      <c r="B276" s="5"/>
      <c r="C276" s="5"/>
      <c r="D276" s="5"/>
    </row>
    <row r="277" spans="1:4" x14ac:dyDescent="0.25">
      <c r="A277" s="5"/>
      <c r="B277" s="5"/>
      <c r="C277" s="5"/>
      <c r="D277" s="5"/>
    </row>
    <row r="278" spans="1:4" x14ac:dyDescent="0.25">
      <c r="A278" s="5"/>
      <c r="B278" s="5"/>
      <c r="C278" s="5"/>
      <c r="D278" s="5"/>
    </row>
    <row r="279" spans="1:4" x14ac:dyDescent="0.25">
      <c r="A279" s="5"/>
      <c r="B279" s="5"/>
      <c r="C279" s="5"/>
      <c r="D279" s="5"/>
    </row>
    <row r="280" spans="1:4" x14ac:dyDescent="0.25">
      <c r="A280" s="5"/>
      <c r="B280" s="5"/>
      <c r="C280" s="5"/>
      <c r="D280" s="5"/>
    </row>
    <row r="281" spans="1:4" x14ac:dyDescent="0.25">
      <c r="A281" s="5"/>
      <c r="B281" s="5"/>
      <c r="C281" s="5"/>
      <c r="D281" s="5"/>
    </row>
    <row r="282" spans="1:4" x14ac:dyDescent="0.25">
      <c r="A282" s="5"/>
      <c r="B282" s="5"/>
      <c r="C282" s="5"/>
      <c r="D282" s="5"/>
    </row>
    <row r="283" spans="1:4" x14ac:dyDescent="0.25">
      <c r="A283" s="5"/>
      <c r="B283" s="5"/>
      <c r="C283" s="5"/>
      <c r="D283" s="5"/>
    </row>
    <row r="284" spans="1:4" x14ac:dyDescent="0.25">
      <c r="A284" s="5"/>
      <c r="B284" s="5"/>
      <c r="C284" s="5"/>
      <c r="D284" s="5"/>
    </row>
    <row r="285" spans="1:4" x14ac:dyDescent="0.25">
      <c r="A285" s="5"/>
      <c r="B285" s="5"/>
      <c r="C285" s="5"/>
      <c r="D285" s="5"/>
    </row>
    <row r="286" spans="1:4" x14ac:dyDescent="0.25">
      <c r="A286" s="5"/>
      <c r="B286" s="5"/>
      <c r="C286" s="5"/>
      <c r="D286" s="5"/>
    </row>
    <row r="287" spans="1:4" x14ac:dyDescent="0.25">
      <c r="A287" s="5"/>
      <c r="B287" s="5"/>
      <c r="C287" s="5"/>
      <c r="D287" s="5"/>
    </row>
    <row r="288" spans="1:4" x14ac:dyDescent="0.25">
      <c r="A288" s="5"/>
      <c r="B288" s="5"/>
      <c r="C288" s="5"/>
      <c r="D288" s="5"/>
    </row>
    <row r="289" spans="1:4" x14ac:dyDescent="0.25">
      <c r="A289" s="5"/>
      <c r="B289" s="5"/>
      <c r="C289" s="5"/>
      <c r="D289" s="5"/>
    </row>
    <row r="290" spans="1:4" x14ac:dyDescent="0.25">
      <c r="A290" s="5"/>
      <c r="B290" s="5"/>
      <c r="C290" s="5"/>
      <c r="D290" s="5"/>
    </row>
    <row r="291" spans="1:4" x14ac:dyDescent="0.25">
      <c r="A291" s="5"/>
      <c r="B291" s="5"/>
      <c r="C291" s="5"/>
      <c r="D291" s="5"/>
    </row>
    <row r="292" spans="1:4" x14ac:dyDescent="0.25">
      <c r="A292" s="5"/>
      <c r="B292" s="5"/>
      <c r="C292" s="5"/>
      <c r="D292" s="5"/>
    </row>
    <row r="293" spans="1:4" x14ac:dyDescent="0.25">
      <c r="A293" s="5"/>
      <c r="B293" s="5"/>
      <c r="C293" s="5"/>
      <c r="D293" s="5"/>
    </row>
    <row r="294" spans="1:4" x14ac:dyDescent="0.25">
      <c r="A294" s="5"/>
      <c r="B294" s="5"/>
      <c r="C294" s="5"/>
      <c r="D294" s="5"/>
    </row>
    <row r="295" spans="1:4" x14ac:dyDescent="0.25">
      <c r="A295" s="5"/>
      <c r="B295" s="5"/>
      <c r="C295" s="5"/>
      <c r="D295" s="5"/>
    </row>
    <row r="296" spans="1:4" x14ac:dyDescent="0.25">
      <c r="A296" s="5"/>
      <c r="B296" s="5"/>
      <c r="C296" s="5"/>
      <c r="D296" s="5"/>
    </row>
    <row r="297" spans="1:4" x14ac:dyDescent="0.25">
      <c r="A297" s="5"/>
      <c r="B297" s="5"/>
      <c r="C297" s="5"/>
      <c r="D297" s="5"/>
    </row>
    <row r="298" spans="1:4" x14ac:dyDescent="0.25">
      <c r="A298" s="5"/>
      <c r="B298" s="5"/>
      <c r="C298" s="5"/>
      <c r="D298" s="5"/>
    </row>
    <row r="299" spans="1:4" x14ac:dyDescent="0.25">
      <c r="A299" s="5"/>
      <c r="B299" s="5"/>
      <c r="C299" s="5"/>
      <c r="D299" s="5"/>
    </row>
    <row r="300" spans="1:4" x14ac:dyDescent="0.25">
      <c r="A300" s="5"/>
      <c r="B300" s="5"/>
      <c r="C300" s="5"/>
      <c r="D300" s="5"/>
    </row>
    <row r="301" spans="1:4" x14ac:dyDescent="0.25">
      <c r="A301" s="5"/>
      <c r="B301" s="5"/>
      <c r="C301" s="5"/>
      <c r="D301" s="5"/>
    </row>
    <row r="302" spans="1:4" x14ac:dyDescent="0.25">
      <c r="A302" s="5"/>
      <c r="B302" s="5"/>
      <c r="C302" s="5"/>
      <c r="D302" s="5"/>
    </row>
    <row r="303" spans="1:4" x14ac:dyDescent="0.25">
      <c r="A303" s="5"/>
      <c r="B303" s="5"/>
      <c r="C303" s="5"/>
      <c r="D303" s="5"/>
    </row>
    <row r="304" spans="1:4" x14ac:dyDescent="0.25">
      <c r="A304" s="5"/>
      <c r="B304" s="5"/>
      <c r="C304" s="5"/>
      <c r="D304" s="5"/>
    </row>
    <row r="305" spans="1:4" x14ac:dyDescent="0.25">
      <c r="A305" s="5"/>
      <c r="B305" s="5"/>
      <c r="C305" s="5"/>
      <c r="D305" s="5"/>
    </row>
    <row r="306" spans="1:4" x14ac:dyDescent="0.25">
      <c r="A306" s="5"/>
      <c r="B306" s="5"/>
      <c r="C306" s="5"/>
      <c r="D306" s="5"/>
    </row>
    <row r="307" spans="1:4" x14ac:dyDescent="0.25">
      <c r="A307" s="5"/>
      <c r="B307" s="5"/>
      <c r="C307" s="5"/>
      <c r="D307" s="5"/>
    </row>
    <row r="308" spans="1:4" x14ac:dyDescent="0.25">
      <c r="A308" s="5"/>
      <c r="B308" s="5"/>
      <c r="C308" s="5"/>
      <c r="D308" s="5"/>
    </row>
    <row r="309" spans="1:4" x14ac:dyDescent="0.25">
      <c r="A309" s="5"/>
      <c r="B309" s="5"/>
      <c r="C309" s="5"/>
      <c r="D309" s="5"/>
    </row>
    <row r="310" spans="1:4" x14ac:dyDescent="0.25">
      <c r="A310" s="5"/>
      <c r="B310" s="5"/>
      <c r="C310" s="5"/>
      <c r="D310" s="5"/>
    </row>
    <row r="311" spans="1:4" x14ac:dyDescent="0.25">
      <c r="A311" s="5"/>
      <c r="B311" s="5"/>
      <c r="C311" s="5"/>
      <c r="D311" s="5"/>
    </row>
    <row r="312" spans="1:4" x14ac:dyDescent="0.25">
      <c r="A312" s="5"/>
      <c r="B312" s="5"/>
      <c r="C312" s="5"/>
      <c r="D312" s="5"/>
    </row>
    <row r="313" spans="1:4" x14ac:dyDescent="0.25">
      <c r="A313" s="5"/>
      <c r="B313" s="5"/>
      <c r="C313" s="5"/>
      <c r="D313" s="5"/>
    </row>
    <row r="314" spans="1:4" x14ac:dyDescent="0.25">
      <c r="A314" s="5"/>
      <c r="B314" s="5"/>
      <c r="C314" s="5"/>
      <c r="D314" s="5"/>
    </row>
    <row r="315" spans="1:4" x14ac:dyDescent="0.25">
      <c r="A315" s="5"/>
      <c r="B315" s="5"/>
      <c r="C315" s="5"/>
      <c r="D315" s="5"/>
    </row>
    <row r="316" spans="1:4" x14ac:dyDescent="0.25">
      <c r="A316" s="5"/>
      <c r="B316" s="5"/>
      <c r="C316" s="5"/>
      <c r="D316" s="5"/>
    </row>
    <row r="317" spans="1:4" x14ac:dyDescent="0.25">
      <c r="A317" s="5"/>
      <c r="B317" s="5"/>
      <c r="C317" s="5"/>
      <c r="D317" s="5"/>
    </row>
    <row r="318" spans="1:4" x14ac:dyDescent="0.25">
      <c r="A318" s="5"/>
      <c r="B318" s="5"/>
      <c r="C318" s="5"/>
      <c r="D318" s="5"/>
    </row>
    <row r="319" spans="1:4" x14ac:dyDescent="0.25">
      <c r="A319" s="5"/>
      <c r="B319" s="5"/>
      <c r="C319" s="5"/>
      <c r="D319" s="5"/>
    </row>
    <row r="320" spans="1:4" x14ac:dyDescent="0.25">
      <c r="A320" s="5"/>
      <c r="B320" s="5"/>
      <c r="C320" s="5"/>
      <c r="D320" s="5"/>
    </row>
    <row r="321" spans="1:4" x14ac:dyDescent="0.25">
      <c r="A321" s="5"/>
      <c r="B321" s="5"/>
      <c r="C321" s="5"/>
      <c r="D321" s="5"/>
    </row>
    <row r="322" spans="1:4" x14ac:dyDescent="0.25">
      <c r="A322" s="5"/>
      <c r="B322" s="5"/>
      <c r="C322" s="5"/>
      <c r="D322" s="5"/>
    </row>
    <row r="323" spans="1:4" x14ac:dyDescent="0.25">
      <c r="A323" s="5"/>
      <c r="B323" s="5"/>
      <c r="C323" s="5"/>
      <c r="D323" s="5"/>
    </row>
    <row r="324" spans="1:4" x14ac:dyDescent="0.25">
      <c r="A324" s="5"/>
      <c r="B324" s="5"/>
      <c r="C324" s="5"/>
      <c r="D324" s="5"/>
    </row>
    <row r="325" spans="1:4" x14ac:dyDescent="0.25">
      <c r="A325" s="5"/>
      <c r="B325" s="5"/>
      <c r="C325" s="5"/>
      <c r="D325" s="5"/>
    </row>
    <row r="326" spans="1:4" x14ac:dyDescent="0.25">
      <c r="A326" s="5"/>
      <c r="B326" s="5"/>
      <c r="C326" s="5"/>
      <c r="D326" s="5"/>
    </row>
    <row r="327" spans="1:4" x14ac:dyDescent="0.25">
      <c r="A327" s="5"/>
      <c r="B327" s="5"/>
      <c r="C327" s="5"/>
      <c r="D327" s="5"/>
    </row>
    <row r="328" spans="1:4" x14ac:dyDescent="0.25">
      <c r="A328" s="5"/>
      <c r="B328" s="5"/>
      <c r="C328" s="5"/>
      <c r="D328" s="5"/>
    </row>
    <row r="329" spans="1:4" x14ac:dyDescent="0.25">
      <c r="A329" s="5"/>
      <c r="B329" s="5"/>
      <c r="C329" s="5"/>
      <c r="D329" s="5"/>
    </row>
    <row r="330" spans="1:4" x14ac:dyDescent="0.25">
      <c r="A330" s="5"/>
      <c r="B330" s="5"/>
      <c r="C330" s="5"/>
      <c r="D330" s="5"/>
    </row>
    <row r="331" spans="1:4" x14ac:dyDescent="0.25">
      <c r="A331" s="5"/>
      <c r="B331" s="5"/>
      <c r="C331" s="5"/>
      <c r="D331" s="5"/>
    </row>
    <row r="332" spans="1:4" x14ac:dyDescent="0.25">
      <c r="A332" s="5"/>
      <c r="B332" s="5"/>
      <c r="C332" s="5"/>
      <c r="D332" s="5"/>
    </row>
    <row r="333" spans="1:4" x14ac:dyDescent="0.25">
      <c r="A333" s="5"/>
      <c r="B333" s="5"/>
      <c r="C333" s="5"/>
      <c r="D333" s="5"/>
    </row>
    <row r="334" spans="1:4" x14ac:dyDescent="0.25">
      <c r="A334" s="5"/>
      <c r="B334" s="5"/>
      <c r="C334" s="5"/>
      <c r="D334" s="5"/>
    </row>
    <row r="335" spans="1:4" x14ac:dyDescent="0.25">
      <c r="A335" s="5"/>
      <c r="B335" s="5"/>
      <c r="C335" s="5"/>
      <c r="D335" s="5"/>
    </row>
    <row r="336" spans="1:4" x14ac:dyDescent="0.25">
      <c r="A336" s="5"/>
      <c r="B336" s="5"/>
      <c r="C336" s="5"/>
      <c r="D336" s="5"/>
    </row>
    <row r="337" spans="1:4" x14ac:dyDescent="0.25">
      <c r="A337" s="5"/>
      <c r="B337" s="5"/>
      <c r="C337" s="5"/>
      <c r="D337" s="5"/>
    </row>
    <row r="338" spans="1:4" x14ac:dyDescent="0.25">
      <c r="A338" s="5"/>
      <c r="B338" s="5"/>
      <c r="C338" s="5"/>
      <c r="D338" s="5"/>
    </row>
    <row r="339" spans="1:4" x14ac:dyDescent="0.25">
      <c r="A339" s="5"/>
      <c r="B339" s="5"/>
      <c r="C339" s="5"/>
      <c r="D339" s="5"/>
    </row>
    <row r="340" spans="1:4" x14ac:dyDescent="0.25">
      <c r="A340" s="5"/>
      <c r="B340" s="5"/>
      <c r="C340" s="5"/>
      <c r="D340" s="5"/>
    </row>
    <row r="341" spans="1:4" x14ac:dyDescent="0.25">
      <c r="A341" s="5"/>
      <c r="B341" s="5"/>
      <c r="C341" s="5"/>
      <c r="D341" s="5"/>
    </row>
    <row r="342" spans="1:4" x14ac:dyDescent="0.25">
      <c r="A342" s="5"/>
      <c r="B342" s="5"/>
      <c r="C342" s="5"/>
      <c r="D342" s="5"/>
    </row>
    <row r="343" spans="1:4" x14ac:dyDescent="0.25">
      <c r="A343" s="5"/>
      <c r="B343" s="5"/>
      <c r="C343" s="5"/>
      <c r="D343" s="5"/>
    </row>
    <row r="344" spans="1:4" x14ac:dyDescent="0.25">
      <c r="A344" s="5"/>
      <c r="B344" s="5"/>
      <c r="C344" s="5"/>
      <c r="D344" s="5"/>
    </row>
    <row r="345" spans="1:4" x14ac:dyDescent="0.25">
      <c r="A345" s="5"/>
      <c r="B345" s="5"/>
      <c r="C345" s="5"/>
      <c r="D345" s="5"/>
    </row>
    <row r="346" spans="1:4" x14ac:dyDescent="0.25">
      <c r="A346" s="5"/>
      <c r="B346" s="5"/>
      <c r="C346" s="5"/>
      <c r="D346" s="5"/>
    </row>
    <row r="347" spans="1:4" x14ac:dyDescent="0.25">
      <c r="A347" s="5"/>
      <c r="B347" s="5"/>
      <c r="C347" s="5"/>
      <c r="D347" s="5"/>
    </row>
    <row r="348" spans="1:4" x14ac:dyDescent="0.25">
      <c r="A348" s="5"/>
      <c r="B348" s="5"/>
      <c r="C348" s="5"/>
      <c r="D348" s="5"/>
    </row>
    <row r="349" spans="1:4" x14ac:dyDescent="0.25">
      <c r="A349" s="5"/>
      <c r="B349" s="5"/>
      <c r="C349" s="5"/>
      <c r="D349" s="5"/>
    </row>
    <row r="350" spans="1:4" x14ac:dyDescent="0.25">
      <c r="A350" s="5"/>
      <c r="B350" s="5"/>
      <c r="C350" s="5"/>
      <c r="D350" s="5"/>
    </row>
    <row r="351" spans="1:4" x14ac:dyDescent="0.25">
      <c r="A351" s="5"/>
      <c r="B351" s="5"/>
      <c r="C351" s="5"/>
      <c r="D351" s="5"/>
    </row>
    <row r="352" spans="1:4" x14ac:dyDescent="0.25">
      <c r="A352" s="5"/>
      <c r="B352" s="5"/>
      <c r="C352" s="5"/>
      <c r="D352" s="5"/>
    </row>
    <row r="353" spans="1:4" x14ac:dyDescent="0.25">
      <c r="A353" s="5"/>
      <c r="B353" s="5"/>
      <c r="C353" s="5"/>
      <c r="D353" s="5"/>
    </row>
    <row r="354" spans="1:4" x14ac:dyDescent="0.25">
      <c r="A354" s="5"/>
      <c r="B354" s="5"/>
      <c r="C354" s="5"/>
      <c r="D354" s="5"/>
    </row>
    <row r="355" spans="1:4" x14ac:dyDescent="0.25">
      <c r="A355" s="5"/>
      <c r="B355" s="5"/>
      <c r="C355" s="5"/>
      <c r="D355" s="5"/>
    </row>
    <row r="356" spans="1:4" x14ac:dyDescent="0.25">
      <c r="A356" s="5"/>
      <c r="B356" s="5"/>
      <c r="C356" s="5"/>
      <c r="D356" s="5"/>
    </row>
    <row r="357" spans="1:4" x14ac:dyDescent="0.25">
      <c r="A357" s="5"/>
      <c r="B357" s="5"/>
      <c r="C357" s="5"/>
      <c r="D357" s="5"/>
    </row>
    <row r="358" spans="1:4" x14ac:dyDescent="0.25">
      <c r="A358" s="5"/>
      <c r="B358" s="5"/>
      <c r="C358" s="5"/>
      <c r="D358" s="5"/>
    </row>
    <row r="359" spans="1:4" x14ac:dyDescent="0.25">
      <c r="A359" s="5"/>
      <c r="B359" s="5"/>
      <c r="C359" s="5"/>
      <c r="D359" s="5"/>
    </row>
    <row r="360" spans="1:4" x14ac:dyDescent="0.25">
      <c r="A360" s="5"/>
      <c r="B360" s="5"/>
      <c r="C360" s="5"/>
      <c r="D360" s="5"/>
    </row>
    <row r="361" spans="1:4" x14ac:dyDescent="0.25">
      <c r="A361" s="5"/>
      <c r="B361" s="5"/>
      <c r="C361" s="5"/>
      <c r="D361" s="5"/>
    </row>
    <row r="362" spans="1:4" x14ac:dyDescent="0.25">
      <c r="A362" s="5"/>
      <c r="B362" s="5"/>
      <c r="C362" s="5"/>
      <c r="D362" s="5"/>
    </row>
    <row r="363" spans="1:4" x14ac:dyDescent="0.25">
      <c r="A363" s="5"/>
      <c r="B363" s="5"/>
      <c r="C363" s="5"/>
      <c r="D363" s="5"/>
    </row>
    <row r="364" spans="1:4" x14ac:dyDescent="0.25">
      <c r="A364" s="5"/>
      <c r="B364" s="5"/>
      <c r="C364" s="5"/>
      <c r="D364" s="5"/>
    </row>
    <row r="365" spans="1:4" x14ac:dyDescent="0.25">
      <c r="A365" s="5"/>
      <c r="B365" s="5"/>
      <c r="C365" s="5"/>
      <c r="D365" s="5"/>
    </row>
    <row r="366" spans="1:4" x14ac:dyDescent="0.25">
      <c r="A366" s="5"/>
      <c r="B366" s="5"/>
      <c r="C366" s="5"/>
      <c r="D366" s="5"/>
    </row>
    <row r="367" spans="1:4" x14ac:dyDescent="0.25">
      <c r="A367" s="5"/>
      <c r="B367" s="5"/>
      <c r="C367" s="5"/>
      <c r="D367" s="5"/>
    </row>
    <row r="368" spans="1:4" x14ac:dyDescent="0.25">
      <c r="A368" s="5"/>
      <c r="B368" s="5"/>
      <c r="C368" s="5"/>
      <c r="D368" s="5"/>
    </row>
    <row r="369" spans="1:4" x14ac:dyDescent="0.25">
      <c r="A369" s="5"/>
      <c r="B369" s="5"/>
      <c r="C369" s="5"/>
      <c r="D369" s="5"/>
    </row>
    <row r="370" spans="1:4" x14ac:dyDescent="0.25">
      <c r="A370" s="5"/>
      <c r="B370" s="5"/>
      <c r="C370" s="5"/>
      <c r="D370" s="5"/>
    </row>
    <row r="371" spans="1:4" x14ac:dyDescent="0.25">
      <c r="A371" s="5"/>
      <c r="B371" s="5"/>
      <c r="C371" s="5"/>
      <c r="D371" s="5"/>
    </row>
    <row r="372" spans="1:4" x14ac:dyDescent="0.25">
      <c r="A372" s="5"/>
      <c r="B372" s="5"/>
      <c r="C372" s="5"/>
      <c r="D372" s="5"/>
    </row>
    <row r="373" spans="1:4" x14ac:dyDescent="0.25">
      <c r="A373" s="5"/>
      <c r="B373" s="5"/>
      <c r="C373" s="5"/>
      <c r="D373" s="5"/>
    </row>
    <row r="374" spans="1:4" x14ac:dyDescent="0.25">
      <c r="A374" s="5"/>
      <c r="B374" s="5"/>
      <c r="C374" s="5"/>
      <c r="D374" s="5"/>
    </row>
    <row r="375" spans="1:4" x14ac:dyDescent="0.25">
      <c r="A375" s="5"/>
      <c r="B375" s="5"/>
      <c r="C375" s="5"/>
      <c r="D375" s="5"/>
    </row>
    <row r="376" spans="1:4" x14ac:dyDescent="0.25">
      <c r="A376" s="5"/>
      <c r="B376" s="5"/>
      <c r="C376" s="5"/>
      <c r="D376" s="5"/>
    </row>
    <row r="377" spans="1:4" x14ac:dyDescent="0.25">
      <c r="A377" s="5"/>
      <c r="B377" s="5"/>
      <c r="C377" s="5"/>
      <c r="D377" s="5"/>
    </row>
    <row r="378" spans="1:4" x14ac:dyDescent="0.25">
      <c r="A378" s="5"/>
      <c r="B378" s="5"/>
      <c r="C378" s="5"/>
      <c r="D378" s="5"/>
    </row>
    <row r="379" spans="1:4" x14ac:dyDescent="0.25">
      <c r="A379" s="5"/>
      <c r="B379" s="5"/>
      <c r="C379" s="5"/>
      <c r="D379" s="5"/>
    </row>
    <row r="380" spans="1:4" x14ac:dyDescent="0.25">
      <c r="A380" s="5"/>
      <c r="B380" s="5"/>
      <c r="C380" s="5"/>
      <c r="D380" s="5"/>
    </row>
    <row r="381" spans="1:4" x14ac:dyDescent="0.25">
      <c r="A381" s="5"/>
      <c r="B381" s="5"/>
      <c r="C381" s="5"/>
      <c r="D381" s="5"/>
    </row>
    <row r="382" spans="1:4" x14ac:dyDescent="0.25">
      <c r="A382" s="5"/>
      <c r="B382" s="5"/>
      <c r="C382" s="5"/>
      <c r="D382" s="5"/>
    </row>
    <row r="383" spans="1:4" x14ac:dyDescent="0.25">
      <c r="A383" s="5"/>
      <c r="B383" s="5"/>
      <c r="C383" s="5"/>
      <c r="D383" s="5"/>
    </row>
    <row r="384" spans="1:4" x14ac:dyDescent="0.25">
      <c r="A384" s="5"/>
      <c r="B384" s="5"/>
      <c r="C384" s="5"/>
      <c r="D384" s="5"/>
    </row>
    <row r="385" spans="1:4" x14ac:dyDescent="0.25">
      <c r="A385" s="5"/>
      <c r="B385" s="5"/>
      <c r="C385" s="5"/>
      <c r="D385" s="5"/>
    </row>
    <row r="386" spans="1:4" x14ac:dyDescent="0.25">
      <c r="A386" s="5"/>
      <c r="B386" s="5"/>
      <c r="C386" s="5"/>
      <c r="D386" s="5"/>
    </row>
    <row r="387" spans="1:4" x14ac:dyDescent="0.25">
      <c r="A387" s="5"/>
      <c r="B387" s="5"/>
      <c r="C387" s="5"/>
      <c r="D387" s="5"/>
    </row>
    <row r="388" spans="1:4" x14ac:dyDescent="0.25">
      <c r="A388" s="5"/>
      <c r="B388" s="5"/>
      <c r="C388" s="5"/>
      <c r="D388" s="5"/>
    </row>
    <row r="389" spans="1:4" x14ac:dyDescent="0.25">
      <c r="A389" s="5"/>
      <c r="B389" s="5"/>
      <c r="C389" s="5"/>
      <c r="D389" s="5"/>
    </row>
    <row r="390" spans="1:4" x14ac:dyDescent="0.25">
      <c r="A390" s="5"/>
      <c r="B390" s="5"/>
      <c r="C390" s="5"/>
      <c r="D390" s="5"/>
    </row>
    <row r="391" spans="1:4" x14ac:dyDescent="0.25">
      <c r="A391" s="5"/>
      <c r="B391" s="5"/>
      <c r="C391" s="5"/>
      <c r="D391" s="5"/>
    </row>
    <row r="392" spans="1:4" x14ac:dyDescent="0.25">
      <c r="A392" s="5"/>
      <c r="B392" s="5"/>
      <c r="C392" s="5"/>
      <c r="D392" s="5"/>
    </row>
    <row r="393" spans="1:4" x14ac:dyDescent="0.25">
      <c r="A393" s="5"/>
      <c r="B393" s="5"/>
      <c r="C393" s="5"/>
      <c r="D393" s="5"/>
    </row>
    <row r="394" spans="1:4" x14ac:dyDescent="0.25">
      <c r="A394" s="5"/>
      <c r="B394" s="5"/>
      <c r="C394" s="5"/>
      <c r="D394" s="5"/>
    </row>
    <row r="395" spans="1:4" x14ac:dyDescent="0.25">
      <c r="A395" s="5"/>
      <c r="B395" s="5"/>
      <c r="C395" s="5"/>
      <c r="D395" s="5"/>
    </row>
    <row r="396" spans="1:4" x14ac:dyDescent="0.25">
      <c r="A396" s="5"/>
      <c r="B396" s="5"/>
      <c r="C396" s="5"/>
      <c r="D396" s="5"/>
    </row>
    <row r="397" spans="1:4" x14ac:dyDescent="0.25">
      <c r="A397" s="5"/>
      <c r="B397" s="5"/>
      <c r="C397" s="5"/>
      <c r="D397" s="5"/>
    </row>
    <row r="398" spans="1:4" x14ac:dyDescent="0.25">
      <c r="A398" s="5"/>
      <c r="B398" s="5"/>
      <c r="C398" s="5"/>
      <c r="D398" s="5"/>
    </row>
    <row r="399" spans="1:4" x14ac:dyDescent="0.25">
      <c r="A399" s="5"/>
      <c r="B399" s="5"/>
      <c r="C399" s="5"/>
      <c r="D399" s="5"/>
    </row>
    <row r="400" spans="1:4" x14ac:dyDescent="0.25">
      <c r="A400" s="5"/>
      <c r="B400" s="5"/>
      <c r="C400" s="5"/>
      <c r="D400" s="5"/>
    </row>
    <row r="401" spans="1:4" x14ac:dyDescent="0.25">
      <c r="A401" s="5"/>
      <c r="B401" s="5"/>
      <c r="C401" s="5"/>
      <c r="D401" s="5"/>
    </row>
    <row r="402" spans="1:4" x14ac:dyDescent="0.25">
      <c r="A402" s="5"/>
      <c r="B402" s="5"/>
      <c r="C402" s="5"/>
      <c r="D402" s="5"/>
    </row>
    <row r="403" spans="1:4" x14ac:dyDescent="0.25">
      <c r="A403" s="5"/>
      <c r="B403" s="5"/>
      <c r="C403" s="5"/>
      <c r="D403" s="5"/>
    </row>
    <row r="404" spans="1:4" x14ac:dyDescent="0.25">
      <c r="A404" s="5"/>
      <c r="B404" s="5"/>
      <c r="C404" s="5"/>
      <c r="D404" s="5"/>
    </row>
    <row r="405" spans="1:4" x14ac:dyDescent="0.25">
      <c r="A405" s="5"/>
      <c r="B405" s="5"/>
      <c r="C405" s="5"/>
      <c r="D405" s="5"/>
    </row>
    <row r="406" spans="1:4" x14ac:dyDescent="0.25">
      <c r="A406" s="5"/>
      <c r="B406" s="5"/>
      <c r="C406" s="5"/>
      <c r="D406" s="5"/>
    </row>
    <row r="407" spans="1:4" x14ac:dyDescent="0.25">
      <c r="A407" s="5"/>
      <c r="B407" s="5"/>
      <c r="C407" s="5"/>
      <c r="D407" s="5"/>
    </row>
    <row r="408" spans="1:4" x14ac:dyDescent="0.25">
      <c r="A408" s="5"/>
      <c r="B408" s="5"/>
      <c r="C408" s="5"/>
      <c r="D408" s="5"/>
    </row>
    <row r="409" spans="1:4" x14ac:dyDescent="0.25">
      <c r="A409" s="5"/>
      <c r="B409" s="5"/>
      <c r="C409" s="5"/>
      <c r="D409" s="5"/>
    </row>
    <row r="410" spans="1:4" x14ac:dyDescent="0.25">
      <c r="A410" s="5"/>
      <c r="B410" s="5"/>
      <c r="C410" s="5"/>
      <c r="D410" s="5"/>
    </row>
    <row r="411" spans="1:4" x14ac:dyDescent="0.25">
      <c r="A411" s="5"/>
      <c r="B411" s="5"/>
      <c r="C411" s="5"/>
      <c r="D411" s="5"/>
    </row>
    <row r="412" spans="1:4" x14ac:dyDescent="0.25">
      <c r="A412" s="5"/>
      <c r="B412" s="5"/>
      <c r="C412" s="5"/>
      <c r="D412" s="5"/>
    </row>
    <row r="413" spans="1:4" x14ac:dyDescent="0.25">
      <c r="A413" s="5"/>
      <c r="B413" s="5"/>
      <c r="C413" s="5"/>
      <c r="D413" s="5"/>
    </row>
    <row r="414" spans="1:4" x14ac:dyDescent="0.25">
      <c r="A414" s="5"/>
      <c r="B414" s="5"/>
      <c r="C414" s="5"/>
      <c r="D414" s="5"/>
    </row>
    <row r="415" spans="1:4" x14ac:dyDescent="0.25">
      <c r="A415" s="5"/>
      <c r="B415" s="5"/>
      <c r="C415" s="5"/>
      <c r="D415" s="5"/>
    </row>
    <row r="416" spans="1:4" x14ac:dyDescent="0.25">
      <c r="A416" s="5"/>
      <c r="B416" s="5"/>
      <c r="C416" s="5"/>
      <c r="D416" s="5"/>
    </row>
    <row r="417" spans="1:4" x14ac:dyDescent="0.25">
      <c r="A417" s="5"/>
      <c r="B417" s="5"/>
      <c r="C417" s="5"/>
      <c r="D417" s="5"/>
    </row>
    <row r="418" spans="1:4" x14ac:dyDescent="0.25">
      <c r="A418" s="5"/>
      <c r="B418" s="5"/>
      <c r="C418" s="5"/>
      <c r="D418" s="5"/>
    </row>
    <row r="419" spans="1:4" x14ac:dyDescent="0.25">
      <c r="A419" s="5"/>
      <c r="B419" s="5"/>
      <c r="C419" s="5"/>
      <c r="D419" s="5"/>
    </row>
    <row r="420" spans="1:4" x14ac:dyDescent="0.25">
      <c r="A420" s="5"/>
      <c r="B420" s="5"/>
      <c r="C420" s="5"/>
      <c r="D420" s="5"/>
    </row>
    <row r="421" spans="1:4" x14ac:dyDescent="0.25">
      <c r="A421" s="5"/>
      <c r="B421" s="5"/>
      <c r="C421" s="5"/>
      <c r="D421" s="5"/>
    </row>
    <row r="422" spans="1:4" x14ac:dyDescent="0.25">
      <c r="A422" s="5"/>
      <c r="B422" s="5"/>
      <c r="C422" s="5"/>
      <c r="D422" s="5"/>
    </row>
    <row r="423" spans="1:4" x14ac:dyDescent="0.25">
      <c r="A423" s="5"/>
      <c r="B423" s="5"/>
      <c r="C423" s="5"/>
      <c r="D423" s="5"/>
    </row>
    <row r="424" spans="1:4" x14ac:dyDescent="0.25">
      <c r="A424" s="5"/>
      <c r="B424" s="5"/>
      <c r="C424" s="5"/>
      <c r="D424" s="5"/>
    </row>
    <row r="425" spans="1:4" x14ac:dyDescent="0.25">
      <c r="A425" s="5"/>
      <c r="B425" s="5"/>
      <c r="C425" s="5"/>
      <c r="D425" s="5"/>
    </row>
    <row r="426" spans="1:4" x14ac:dyDescent="0.25">
      <c r="A426" s="5"/>
      <c r="B426" s="5"/>
      <c r="C426" s="5"/>
      <c r="D426" s="5"/>
    </row>
    <row r="427" spans="1:4" x14ac:dyDescent="0.25">
      <c r="A427" s="5"/>
      <c r="B427" s="5"/>
      <c r="C427" s="5"/>
      <c r="D427" s="5"/>
    </row>
    <row r="428" spans="1:4" x14ac:dyDescent="0.25">
      <c r="A428" s="5"/>
      <c r="B428" s="5"/>
      <c r="C428" s="5"/>
      <c r="D428" s="5"/>
    </row>
    <row r="429" spans="1:4" x14ac:dyDescent="0.25">
      <c r="A429" s="5"/>
      <c r="B429" s="5"/>
      <c r="C429" s="5"/>
      <c r="D429" s="5"/>
    </row>
    <row r="430" spans="1:4" x14ac:dyDescent="0.25">
      <c r="A430" s="5"/>
      <c r="B430" s="5"/>
      <c r="C430" s="5"/>
      <c r="D430" s="5"/>
    </row>
    <row r="431" spans="1:4" x14ac:dyDescent="0.25">
      <c r="A431" s="5"/>
      <c r="B431" s="5"/>
      <c r="C431" s="5"/>
      <c r="D431" s="5"/>
    </row>
    <row r="432" spans="1:4" x14ac:dyDescent="0.25">
      <c r="A432" s="5"/>
      <c r="B432" s="5"/>
      <c r="C432" s="5"/>
      <c r="D432" s="5"/>
    </row>
    <row r="433" spans="1:4" x14ac:dyDescent="0.25">
      <c r="A433" s="5"/>
      <c r="B433" s="5"/>
      <c r="C433" s="5"/>
      <c r="D433" s="5"/>
    </row>
    <row r="434" spans="1:4" x14ac:dyDescent="0.25">
      <c r="A434" s="5"/>
      <c r="B434" s="5"/>
      <c r="C434" s="5"/>
      <c r="D434" s="5"/>
    </row>
    <row r="435" spans="1:4" x14ac:dyDescent="0.25">
      <c r="A435" s="5"/>
      <c r="B435" s="5"/>
      <c r="C435" s="5"/>
      <c r="D435" s="5"/>
    </row>
    <row r="436" spans="1:4" x14ac:dyDescent="0.25">
      <c r="A436" s="5"/>
      <c r="B436" s="5"/>
      <c r="C436" s="5"/>
      <c r="D436" s="5"/>
    </row>
    <row r="437" spans="1:4" x14ac:dyDescent="0.25">
      <c r="A437" s="5"/>
      <c r="B437" s="5"/>
      <c r="C437" s="5"/>
      <c r="D437" s="5"/>
    </row>
    <row r="438" spans="1:4" x14ac:dyDescent="0.25">
      <c r="A438" s="5"/>
      <c r="B438" s="5"/>
      <c r="C438" s="5"/>
      <c r="D438" s="5"/>
    </row>
    <row r="439" spans="1:4" x14ac:dyDescent="0.25">
      <c r="A439" s="5"/>
      <c r="B439" s="5"/>
      <c r="C439" s="5"/>
      <c r="D439" s="5"/>
    </row>
    <row r="440" spans="1:4" x14ac:dyDescent="0.25">
      <c r="A440" s="5"/>
      <c r="B440" s="5"/>
      <c r="C440" s="5"/>
      <c r="D440" s="5"/>
    </row>
    <row r="441" spans="1:4" x14ac:dyDescent="0.25">
      <c r="A441" s="5"/>
      <c r="B441" s="5"/>
      <c r="C441" s="5"/>
      <c r="D441" s="5"/>
    </row>
    <row r="442" spans="1:4" x14ac:dyDescent="0.25">
      <c r="A442" s="5"/>
      <c r="B442" s="5"/>
      <c r="C442" s="5"/>
      <c r="D442" s="5"/>
    </row>
    <row r="443" spans="1:4" x14ac:dyDescent="0.25">
      <c r="A443" s="5"/>
      <c r="B443" s="5"/>
      <c r="C443" s="5"/>
      <c r="D443" s="5"/>
    </row>
    <row r="444" spans="1:4" x14ac:dyDescent="0.25">
      <c r="A444" s="5"/>
      <c r="B444" s="5"/>
      <c r="C444" s="5"/>
      <c r="D444" s="5"/>
    </row>
    <row r="445" spans="1:4" x14ac:dyDescent="0.25">
      <c r="A445" s="5"/>
      <c r="B445" s="5"/>
      <c r="C445" s="5"/>
      <c r="D445" s="5"/>
    </row>
    <row r="446" spans="1:4" x14ac:dyDescent="0.25">
      <c r="A446" s="5"/>
      <c r="B446" s="5"/>
      <c r="C446" s="5"/>
      <c r="D446" s="5"/>
    </row>
    <row r="447" spans="1:4" x14ac:dyDescent="0.25">
      <c r="A447" s="5"/>
      <c r="B447" s="5"/>
      <c r="C447" s="5"/>
      <c r="D447" s="5"/>
    </row>
    <row r="448" spans="1:4" x14ac:dyDescent="0.25">
      <c r="A448" s="5"/>
      <c r="B448" s="5"/>
      <c r="C448" s="5"/>
      <c r="D448" s="5"/>
    </row>
    <row r="449" spans="1:4" x14ac:dyDescent="0.25">
      <c r="A449" s="5"/>
      <c r="B449" s="5"/>
      <c r="C449" s="5"/>
      <c r="D449" s="5"/>
    </row>
    <row r="450" spans="1:4" x14ac:dyDescent="0.25">
      <c r="A450" s="5"/>
      <c r="B450" s="5"/>
      <c r="C450" s="5"/>
      <c r="D450" s="5"/>
    </row>
    <row r="451" spans="1:4" x14ac:dyDescent="0.25">
      <c r="A451" s="5"/>
      <c r="B451" s="5"/>
      <c r="C451" s="5"/>
      <c r="D451" s="5"/>
    </row>
    <row r="452" spans="1:4" x14ac:dyDescent="0.25">
      <c r="A452" s="5"/>
      <c r="B452" s="5"/>
      <c r="C452" s="5"/>
      <c r="D452" s="5"/>
    </row>
    <row r="453" spans="1:4" x14ac:dyDescent="0.25">
      <c r="A453" s="5"/>
      <c r="B453" s="5"/>
      <c r="C453" s="5"/>
      <c r="D453" s="5"/>
    </row>
    <row r="454" spans="1:4" x14ac:dyDescent="0.25">
      <c r="A454" s="5"/>
      <c r="B454" s="5"/>
      <c r="C454" s="5"/>
      <c r="D454" s="5"/>
    </row>
    <row r="455" spans="1:4" x14ac:dyDescent="0.25">
      <c r="A455" s="5"/>
      <c r="B455" s="5"/>
      <c r="C455" s="5"/>
      <c r="D455" s="5"/>
    </row>
    <row r="456" spans="1:4" x14ac:dyDescent="0.25">
      <c r="A456" s="5"/>
      <c r="B456" s="5"/>
      <c r="C456" s="5"/>
      <c r="D456" s="5"/>
    </row>
    <row r="457" spans="1:4" x14ac:dyDescent="0.25">
      <c r="A457" s="5"/>
      <c r="B457" s="5"/>
      <c r="C457" s="5"/>
      <c r="D457" s="5"/>
    </row>
    <row r="458" spans="1:4" x14ac:dyDescent="0.25">
      <c r="A458" s="5"/>
      <c r="B458" s="5"/>
      <c r="C458" s="5"/>
      <c r="D458" s="5"/>
    </row>
    <row r="459" spans="1:4" x14ac:dyDescent="0.25">
      <c r="A459" s="5"/>
      <c r="B459" s="5"/>
      <c r="C459" s="5"/>
      <c r="D459" s="5"/>
    </row>
    <row r="460" spans="1:4" x14ac:dyDescent="0.25">
      <c r="A460" s="5"/>
      <c r="B460" s="5"/>
      <c r="C460" s="5"/>
      <c r="D460" s="5"/>
    </row>
    <row r="461" spans="1:4" x14ac:dyDescent="0.25">
      <c r="A461" s="5"/>
      <c r="B461" s="5"/>
      <c r="C461" s="5"/>
      <c r="D461" s="5"/>
    </row>
    <row r="462" spans="1:4" x14ac:dyDescent="0.25">
      <c r="A462" s="5"/>
      <c r="B462" s="5"/>
      <c r="C462" s="5"/>
      <c r="D462" s="5"/>
    </row>
    <row r="463" spans="1:4" x14ac:dyDescent="0.25">
      <c r="A463" s="5"/>
      <c r="B463" s="5"/>
      <c r="C463" s="5"/>
      <c r="D463" s="5"/>
    </row>
    <row r="464" spans="1:4" x14ac:dyDescent="0.25">
      <c r="A464" s="5"/>
      <c r="B464" s="5"/>
      <c r="C464" s="5"/>
      <c r="D464" s="5"/>
    </row>
    <row r="465" spans="1:4" x14ac:dyDescent="0.25">
      <c r="A465" s="5"/>
      <c r="B465" s="5"/>
      <c r="C465" s="5"/>
      <c r="D465" s="5"/>
    </row>
    <row r="466" spans="1:4" x14ac:dyDescent="0.25">
      <c r="A466" s="5"/>
      <c r="B466" s="5"/>
      <c r="C466" s="5"/>
      <c r="D466" s="5"/>
    </row>
    <row r="467" spans="1:4" x14ac:dyDescent="0.25">
      <c r="A467" s="5"/>
      <c r="B467" s="5"/>
      <c r="C467" s="5"/>
      <c r="D467" s="5"/>
    </row>
    <row r="468" spans="1:4" x14ac:dyDescent="0.25">
      <c r="A468" s="5"/>
      <c r="B468" s="5"/>
      <c r="C468" s="5"/>
      <c r="D468" s="5"/>
    </row>
    <row r="469" spans="1:4" x14ac:dyDescent="0.25">
      <c r="A469" s="5"/>
      <c r="B469" s="5"/>
      <c r="C469" s="5"/>
      <c r="D469" s="5"/>
    </row>
    <row r="470" spans="1:4" x14ac:dyDescent="0.25">
      <c r="A470" s="5"/>
      <c r="B470" s="5"/>
      <c r="C470" s="5"/>
      <c r="D470" s="5"/>
    </row>
    <row r="471" spans="1:4" x14ac:dyDescent="0.25">
      <c r="A471" s="5"/>
      <c r="B471" s="5"/>
      <c r="C471" s="5"/>
      <c r="D471" s="5"/>
    </row>
    <row r="472" spans="1:4" x14ac:dyDescent="0.25">
      <c r="A472" s="5"/>
      <c r="B472" s="5"/>
      <c r="C472" s="5"/>
      <c r="D472" s="5"/>
    </row>
  </sheetData>
  <mergeCells count="30">
    <mergeCell ref="BS6:BV6"/>
    <mergeCell ref="A5:D5"/>
    <mergeCell ref="F5:I5"/>
    <mergeCell ref="K5:N5"/>
    <mergeCell ref="P5:S5"/>
    <mergeCell ref="U5:X5"/>
    <mergeCell ref="Z5:AC5"/>
    <mergeCell ref="AE5:AH5"/>
    <mergeCell ref="AJ5:AM5"/>
    <mergeCell ref="AO5:AR5"/>
    <mergeCell ref="AT5:AW5"/>
    <mergeCell ref="AY5:BB5"/>
    <mergeCell ref="BD5:BG5"/>
    <mergeCell ref="BI5:BL5"/>
    <mergeCell ref="BN5:BQ5"/>
    <mergeCell ref="BS5:BV5"/>
    <mergeCell ref="AT6:AW6"/>
    <mergeCell ref="AY6:BB6"/>
    <mergeCell ref="BD6:BG6"/>
    <mergeCell ref="BI6:BL6"/>
    <mergeCell ref="BN6:BQ6"/>
    <mergeCell ref="AE6:AH6"/>
    <mergeCell ref="AJ6:AM6"/>
    <mergeCell ref="AO6:AR6"/>
    <mergeCell ref="A6:D6"/>
    <mergeCell ref="F6:I6"/>
    <mergeCell ref="K6:N6"/>
    <mergeCell ref="P6:S6"/>
    <mergeCell ref="U6:X6"/>
    <mergeCell ref="Z6:A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Feuil21.Decryp_datalog_diag">
                <anchor moveWithCells="1" sizeWithCells="1">
                  <from>
                    <xdr:col>5</xdr:col>
                    <xdr:colOff>335280</xdr:colOff>
                    <xdr:row>0</xdr:row>
                    <xdr:rowOff>121920</xdr:rowOff>
                  </from>
                  <to>
                    <xdr:col>8</xdr:col>
                    <xdr:colOff>533400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rgb="FF00B0F0"/>
  </sheetPr>
  <dimension ref="A1:AJ65"/>
  <sheetViews>
    <sheetView workbookViewId="0">
      <selection activeCell="E6" sqref="E6"/>
    </sheetView>
  </sheetViews>
  <sheetFormatPr baseColWidth="10" defaultRowHeight="13.2" x14ac:dyDescent="0.25"/>
  <cols>
    <col min="4" max="4" width="1.6640625" customWidth="1"/>
    <col min="8" max="8" width="1.6640625" customWidth="1"/>
    <col min="12" max="12" width="1.6640625" customWidth="1"/>
    <col min="16" max="16" width="1.6640625" customWidth="1"/>
    <col min="20" max="20" width="1.6640625" customWidth="1"/>
    <col min="24" max="24" width="1.6640625" customWidth="1"/>
    <col min="28" max="28" width="1.6640625" customWidth="1"/>
    <col min="32" max="32" width="1.6640625" customWidth="1"/>
    <col min="36" max="36" width="1.6640625" customWidth="1"/>
  </cols>
  <sheetData>
    <row r="1" spans="1:36" x14ac:dyDescent="0.25">
      <c r="A1" t="s">
        <v>277</v>
      </c>
      <c r="B1" t="s">
        <v>278</v>
      </c>
      <c r="C1" t="s">
        <v>283</v>
      </c>
      <c r="D1" s="9" t="s">
        <v>142</v>
      </c>
      <c r="H1" s="9" t="s">
        <v>142</v>
      </c>
      <c r="L1" s="9" t="s">
        <v>142</v>
      </c>
      <c r="P1" s="9" t="s">
        <v>142</v>
      </c>
      <c r="T1" s="9" t="s">
        <v>142</v>
      </c>
      <c r="X1" s="9" t="s">
        <v>142</v>
      </c>
      <c r="AB1" s="9" t="s">
        <v>142</v>
      </c>
      <c r="AF1" s="9" t="s">
        <v>142</v>
      </c>
      <c r="AJ1" s="9" t="s">
        <v>142</v>
      </c>
    </row>
    <row r="2" spans="1:36" x14ac:dyDescent="0.25">
      <c r="A2" t="s">
        <v>226</v>
      </c>
      <c r="B2" t="s">
        <v>274</v>
      </c>
      <c r="C2" t="s">
        <v>279</v>
      </c>
      <c r="D2" s="9" t="s">
        <v>142</v>
      </c>
      <c r="H2" s="9" t="s">
        <v>142</v>
      </c>
      <c r="L2" s="9" t="s">
        <v>142</v>
      </c>
      <c r="P2" s="9" t="s">
        <v>142</v>
      </c>
      <c r="T2" s="9" t="s">
        <v>142</v>
      </c>
      <c r="X2" s="9" t="s">
        <v>142</v>
      </c>
      <c r="AB2" s="9" t="s">
        <v>142</v>
      </c>
      <c r="AF2" s="9" t="s">
        <v>142</v>
      </c>
      <c r="AJ2" s="9" t="s">
        <v>142</v>
      </c>
    </row>
    <row r="3" spans="1:36" x14ac:dyDescent="0.25">
      <c r="A3" t="s">
        <v>227</v>
      </c>
      <c r="B3" t="s">
        <v>275</v>
      </c>
      <c r="C3" t="s">
        <v>280</v>
      </c>
      <c r="D3" s="9" t="s">
        <v>142</v>
      </c>
      <c r="H3" s="9" t="s">
        <v>142</v>
      </c>
      <c r="L3" s="9" t="s">
        <v>142</v>
      </c>
      <c r="P3" s="9" t="s">
        <v>142</v>
      </c>
      <c r="T3" s="9" t="s">
        <v>142</v>
      </c>
      <c r="X3" s="9" t="s">
        <v>142</v>
      </c>
      <c r="AB3" s="9" t="s">
        <v>142</v>
      </c>
      <c r="AF3" s="9" t="s">
        <v>142</v>
      </c>
      <c r="AJ3" s="9" t="s">
        <v>142</v>
      </c>
    </row>
    <row r="4" spans="1:36" x14ac:dyDescent="0.25">
      <c r="A4" t="s">
        <v>228</v>
      </c>
      <c r="B4" t="s">
        <v>276</v>
      </c>
      <c r="C4" t="s">
        <v>281</v>
      </c>
      <c r="D4" s="9" t="s">
        <v>142</v>
      </c>
      <c r="H4" s="9" t="s">
        <v>142</v>
      </c>
      <c r="L4" s="9" t="s">
        <v>142</v>
      </c>
      <c r="P4" s="9" t="s">
        <v>142</v>
      </c>
      <c r="T4" s="9" t="s">
        <v>142</v>
      </c>
      <c r="X4" s="9" t="s">
        <v>142</v>
      </c>
      <c r="AB4" s="9" t="s">
        <v>142</v>
      </c>
      <c r="AF4" s="9" t="s">
        <v>142</v>
      </c>
      <c r="AJ4" s="9" t="s">
        <v>142</v>
      </c>
    </row>
    <row r="5" spans="1:36" x14ac:dyDescent="0.25">
      <c r="A5" t="s">
        <v>229</v>
      </c>
      <c r="C5" t="s">
        <v>282</v>
      </c>
      <c r="D5" s="9" t="s">
        <v>142</v>
      </c>
      <c r="H5" s="9" t="s">
        <v>142</v>
      </c>
      <c r="L5" s="9" t="s">
        <v>142</v>
      </c>
      <c r="P5" s="9" t="s">
        <v>142</v>
      </c>
      <c r="T5" s="9" t="s">
        <v>142</v>
      </c>
      <c r="X5" s="9" t="s">
        <v>142</v>
      </c>
      <c r="AB5" s="9" t="s">
        <v>142</v>
      </c>
      <c r="AF5" s="9" t="s">
        <v>142</v>
      </c>
      <c r="AJ5" s="9" t="s">
        <v>142</v>
      </c>
    </row>
    <row r="6" spans="1:36" x14ac:dyDescent="0.25">
      <c r="A6" t="s">
        <v>230</v>
      </c>
      <c r="D6" s="9" t="s">
        <v>142</v>
      </c>
      <c r="E6" s="7" t="s">
        <v>3616</v>
      </c>
      <c r="H6" s="9" t="s">
        <v>142</v>
      </c>
      <c r="I6" s="7" t="s">
        <v>3180</v>
      </c>
      <c r="L6" s="9" t="s">
        <v>142</v>
      </c>
      <c r="M6" s="7" t="s">
        <v>3264</v>
      </c>
      <c r="P6" s="9" t="s">
        <v>142</v>
      </c>
      <c r="Q6" s="7"/>
      <c r="T6" s="9" t="s">
        <v>142</v>
      </c>
      <c r="X6" s="9" t="s">
        <v>142</v>
      </c>
      <c r="AB6" s="9" t="s">
        <v>142</v>
      </c>
      <c r="AF6" s="9" t="s">
        <v>142</v>
      </c>
      <c r="AJ6" s="9" t="s">
        <v>142</v>
      </c>
    </row>
    <row r="7" spans="1:36" x14ac:dyDescent="0.25">
      <c r="A7" t="s">
        <v>231</v>
      </c>
      <c r="D7" s="9" t="s">
        <v>142</v>
      </c>
      <c r="E7">
        <v>8</v>
      </c>
      <c r="H7" s="9" t="s">
        <v>142</v>
      </c>
      <c r="I7">
        <v>7</v>
      </c>
      <c r="L7" s="9" t="s">
        <v>142</v>
      </c>
      <c r="M7">
        <v>9</v>
      </c>
      <c r="P7" s="9" t="s">
        <v>142</v>
      </c>
      <c r="T7" s="9" t="s">
        <v>142</v>
      </c>
      <c r="X7" s="9" t="s">
        <v>142</v>
      </c>
      <c r="AB7" s="9" t="s">
        <v>142</v>
      </c>
      <c r="AF7" s="9" t="s">
        <v>142</v>
      </c>
      <c r="AJ7" s="9" t="s">
        <v>142</v>
      </c>
    </row>
    <row r="8" spans="1:36" x14ac:dyDescent="0.25">
      <c r="A8" t="s">
        <v>232</v>
      </c>
      <c r="D8" s="9" t="s">
        <v>142</v>
      </c>
      <c r="E8" s="8" t="s">
        <v>2471</v>
      </c>
      <c r="F8" s="5" t="s">
        <v>3617</v>
      </c>
      <c r="H8" s="9" t="s">
        <v>142</v>
      </c>
      <c r="I8" s="8" t="s">
        <v>2471</v>
      </c>
      <c r="J8" s="5" t="s">
        <v>3181</v>
      </c>
      <c r="L8" s="9"/>
      <c r="M8" s="5" t="s">
        <v>2471</v>
      </c>
      <c r="N8" s="5" t="s">
        <v>3265</v>
      </c>
      <c r="P8" s="9" t="s">
        <v>142</v>
      </c>
      <c r="Q8" s="5"/>
      <c r="R8" s="5"/>
      <c r="T8" s="9" t="s">
        <v>142</v>
      </c>
      <c r="U8" s="5"/>
      <c r="V8" s="5"/>
      <c r="X8" s="9" t="s">
        <v>142</v>
      </c>
      <c r="AB8" s="9" t="s">
        <v>142</v>
      </c>
      <c r="AF8" s="9" t="s">
        <v>142</v>
      </c>
      <c r="AJ8" s="9" t="s">
        <v>142</v>
      </c>
    </row>
    <row r="9" spans="1:36" x14ac:dyDescent="0.25">
      <c r="A9" t="s">
        <v>233</v>
      </c>
      <c r="D9" s="9" t="s">
        <v>142</v>
      </c>
      <c r="E9" s="5" t="s">
        <v>2537</v>
      </c>
      <c r="F9" s="5" t="s">
        <v>3617</v>
      </c>
      <c r="H9" s="9" t="s">
        <v>142</v>
      </c>
      <c r="I9" s="5" t="s">
        <v>2537</v>
      </c>
      <c r="J9" s="5" t="s">
        <v>3182</v>
      </c>
      <c r="L9" s="9"/>
      <c r="M9" s="5" t="s">
        <v>2537</v>
      </c>
      <c r="N9" s="5" t="s">
        <v>3266</v>
      </c>
      <c r="P9" s="9" t="s">
        <v>142</v>
      </c>
      <c r="Q9" s="5"/>
      <c r="R9" s="5"/>
      <c r="T9" s="9" t="s">
        <v>142</v>
      </c>
      <c r="U9" s="5"/>
      <c r="V9" s="5"/>
      <c r="X9" s="9" t="s">
        <v>142</v>
      </c>
      <c r="AB9" s="9" t="s">
        <v>142</v>
      </c>
      <c r="AF9" s="9" t="s">
        <v>142</v>
      </c>
      <c r="AJ9" s="9" t="s">
        <v>142</v>
      </c>
    </row>
    <row r="10" spans="1:36" x14ac:dyDescent="0.25">
      <c r="A10" t="s">
        <v>234</v>
      </c>
      <c r="D10" s="9" t="s">
        <v>142</v>
      </c>
      <c r="E10" s="5" t="s">
        <v>2538</v>
      </c>
      <c r="F10" s="5" t="s">
        <v>3617</v>
      </c>
      <c r="H10" s="9" t="s">
        <v>142</v>
      </c>
      <c r="I10" s="5" t="s">
        <v>2538</v>
      </c>
      <c r="J10" s="5" t="s">
        <v>3181</v>
      </c>
      <c r="L10" s="9"/>
      <c r="M10" s="5" t="s">
        <v>2538</v>
      </c>
      <c r="N10" s="5" t="s">
        <v>3267</v>
      </c>
      <c r="P10" s="9" t="s">
        <v>142</v>
      </c>
      <c r="Q10" s="5"/>
      <c r="R10" s="5"/>
      <c r="T10" s="9" t="s">
        <v>142</v>
      </c>
      <c r="U10" s="5"/>
      <c r="V10" s="5"/>
      <c r="X10" s="9" t="s">
        <v>142</v>
      </c>
      <c r="AB10" s="9" t="s">
        <v>142</v>
      </c>
      <c r="AF10" s="9" t="s">
        <v>142</v>
      </c>
      <c r="AJ10" s="9" t="s">
        <v>142</v>
      </c>
    </row>
    <row r="11" spans="1:36" x14ac:dyDescent="0.25">
      <c r="A11" t="s">
        <v>235</v>
      </c>
      <c r="D11" s="9" t="s">
        <v>142</v>
      </c>
      <c r="E11" s="5" t="s">
        <v>2539</v>
      </c>
      <c r="F11" s="5" t="s">
        <v>3617</v>
      </c>
      <c r="H11" s="9" t="s">
        <v>142</v>
      </c>
      <c r="I11" s="5" t="s">
        <v>2539</v>
      </c>
      <c r="J11" s="5" t="s">
        <v>3183</v>
      </c>
      <c r="L11" s="9"/>
      <c r="M11" s="5" t="s">
        <v>2539</v>
      </c>
      <c r="N11" s="5" t="s">
        <v>3268</v>
      </c>
      <c r="P11" s="9" t="s">
        <v>142</v>
      </c>
      <c r="Q11" s="5"/>
      <c r="R11" s="5"/>
      <c r="T11" s="9" t="s">
        <v>142</v>
      </c>
      <c r="U11" s="5"/>
      <c r="V11" s="5"/>
      <c r="X11" s="9" t="s">
        <v>142</v>
      </c>
      <c r="AB11" s="9" t="s">
        <v>142</v>
      </c>
      <c r="AF11" s="9" t="s">
        <v>142</v>
      </c>
      <c r="AJ11" s="9" t="s">
        <v>142</v>
      </c>
    </row>
    <row r="12" spans="1:36" x14ac:dyDescent="0.25">
      <c r="A12" t="s">
        <v>236</v>
      </c>
      <c r="D12" s="9" t="s">
        <v>142</v>
      </c>
      <c r="E12" s="5" t="s">
        <v>2574</v>
      </c>
      <c r="F12" s="5" t="s">
        <v>3580</v>
      </c>
      <c r="H12" s="9" t="s">
        <v>142</v>
      </c>
      <c r="I12" s="5" t="s">
        <v>2574</v>
      </c>
      <c r="J12" s="5" t="s">
        <v>3184</v>
      </c>
      <c r="L12" s="9"/>
      <c r="M12" s="5" t="s">
        <v>2574</v>
      </c>
      <c r="N12" s="5" t="s">
        <v>3261</v>
      </c>
      <c r="P12" s="9"/>
      <c r="Q12" s="5"/>
      <c r="R12" s="5"/>
      <c r="T12" s="9" t="s">
        <v>142</v>
      </c>
      <c r="U12" s="5"/>
      <c r="V12" s="5"/>
      <c r="X12" s="9" t="s">
        <v>142</v>
      </c>
      <c r="AB12" s="9" t="s">
        <v>142</v>
      </c>
      <c r="AF12" s="9" t="s">
        <v>142</v>
      </c>
      <c r="AJ12" s="9" t="s">
        <v>142</v>
      </c>
    </row>
    <row r="13" spans="1:36" x14ac:dyDescent="0.25">
      <c r="A13" t="s">
        <v>237</v>
      </c>
      <c r="D13" s="9" t="s">
        <v>142</v>
      </c>
      <c r="E13" s="5" t="s">
        <v>2532</v>
      </c>
      <c r="F13" s="5" t="s">
        <v>3581</v>
      </c>
      <c r="H13" s="9" t="s">
        <v>142</v>
      </c>
      <c r="I13" s="5" t="s">
        <v>2532</v>
      </c>
      <c r="J13" s="5" t="s">
        <v>3185</v>
      </c>
      <c r="L13" s="9"/>
      <c r="M13" s="5" t="s">
        <v>2532</v>
      </c>
      <c r="N13" s="5" t="s">
        <v>3248</v>
      </c>
      <c r="P13" s="9"/>
      <c r="Q13" s="5"/>
      <c r="R13" s="5"/>
      <c r="T13" s="9" t="s">
        <v>142</v>
      </c>
      <c r="U13" s="5"/>
      <c r="V13" s="5"/>
      <c r="X13" s="9" t="s">
        <v>142</v>
      </c>
      <c r="AB13" s="9" t="s">
        <v>142</v>
      </c>
      <c r="AF13" s="9" t="s">
        <v>142</v>
      </c>
      <c r="AJ13" s="9" t="s">
        <v>142</v>
      </c>
    </row>
    <row r="14" spans="1:36" x14ac:dyDescent="0.25">
      <c r="A14" t="s">
        <v>238</v>
      </c>
      <c r="D14" s="9" t="s">
        <v>142</v>
      </c>
      <c r="E14" s="5" t="s">
        <v>2562</v>
      </c>
      <c r="F14" s="5" t="s">
        <v>3185</v>
      </c>
      <c r="H14" s="9" t="s">
        <v>142</v>
      </c>
      <c r="I14" s="5" t="s">
        <v>2562</v>
      </c>
      <c r="J14" s="5" t="s">
        <v>3097</v>
      </c>
      <c r="L14" s="9"/>
      <c r="M14" s="5" t="s">
        <v>3262</v>
      </c>
      <c r="N14" s="5" t="s">
        <v>3263</v>
      </c>
      <c r="P14" s="9"/>
      <c r="Q14" s="5"/>
      <c r="R14" s="5"/>
      <c r="T14" s="9" t="s">
        <v>142</v>
      </c>
      <c r="U14" s="5"/>
      <c r="V14" s="5"/>
      <c r="X14" s="9" t="s">
        <v>142</v>
      </c>
      <c r="AB14" s="9" t="s">
        <v>142</v>
      </c>
      <c r="AF14" s="9" t="s">
        <v>142</v>
      </c>
      <c r="AJ14" s="9" t="s">
        <v>142</v>
      </c>
    </row>
    <row r="15" spans="1:36" x14ac:dyDescent="0.25">
      <c r="A15" t="s">
        <v>239</v>
      </c>
      <c r="D15" s="9" t="s">
        <v>142</v>
      </c>
      <c r="E15" s="5" t="s">
        <v>3249</v>
      </c>
      <c r="F15" s="5" t="s">
        <v>3097</v>
      </c>
      <c r="H15" s="9" t="s">
        <v>142</v>
      </c>
      <c r="I15" s="5"/>
      <c r="J15" s="5"/>
      <c r="L15" s="9"/>
      <c r="M15" s="5" t="s">
        <v>2562</v>
      </c>
      <c r="N15" s="5" t="s">
        <v>3185</v>
      </c>
      <c r="P15" s="9"/>
      <c r="Q15" s="5"/>
      <c r="R15" s="5"/>
      <c r="T15" s="9" t="s">
        <v>142</v>
      </c>
      <c r="U15" s="5"/>
      <c r="V15" s="5"/>
      <c r="X15" s="9" t="s">
        <v>142</v>
      </c>
      <c r="AB15" s="9" t="s">
        <v>142</v>
      </c>
      <c r="AF15" s="9" t="s">
        <v>142</v>
      </c>
      <c r="AJ15" s="9" t="s">
        <v>142</v>
      </c>
    </row>
    <row r="16" spans="1:36" x14ac:dyDescent="0.25">
      <c r="A16" t="s">
        <v>240</v>
      </c>
      <c r="D16" s="9" t="s">
        <v>142</v>
      </c>
      <c r="E16" s="5"/>
      <c r="F16" s="5"/>
      <c r="H16" s="9" t="s">
        <v>142</v>
      </c>
      <c r="I16" s="5"/>
      <c r="J16" s="5"/>
      <c r="L16" s="9"/>
      <c r="M16" s="5" t="s">
        <v>3249</v>
      </c>
      <c r="N16" s="5" t="s">
        <v>443</v>
      </c>
      <c r="P16" s="9"/>
      <c r="Q16" s="5"/>
      <c r="R16" s="5"/>
      <c r="T16" s="9" t="s">
        <v>142</v>
      </c>
      <c r="U16" s="5"/>
      <c r="V16" s="5"/>
      <c r="X16" s="9" t="s">
        <v>142</v>
      </c>
      <c r="AB16" s="9" t="s">
        <v>142</v>
      </c>
      <c r="AF16" s="9" t="s">
        <v>142</v>
      </c>
      <c r="AJ16" s="9" t="s">
        <v>142</v>
      </c>
    </row>
    <row r="17" spans="1:36" x14ac:dyDescent="0.25">
      <c r="A17" t="s">
        <v>241</v>
      </c>
      <c r="D17" s="9" t="s">
        <v>142</v>
      </c>
      <c r="E17" s="5"/>
      <c r="F17" s="5"/>
      <c r="H17" s="9" t="s">
        <v>142</v>
      </c>
      <c r="I17" s="5"/>
      <c r="J17" s="5"/>
      <c r="L17" s="9"/>
      <c r="M17" s="5"/>
      <c r="N17" s="5"/>
      <c r="P17" s="9"/>
      <c r="Q17" s="5"/>
      <c r="R17" s="5"/>
      <c r="T17" s="9" t="s">
        <v>142</v>
      </c>
      <c r="U17" s="5"/>
      <c r="V17" s="5"/>
      <c r="X17" s="9" t="s">
        <v>142</v>
      </c>
      <c r="AB17" s="9" t="s">
        <v>142</v>
      </c>
      <c r="AF17" s="9" t="s">
        <v>142</v>
      </c>
      <c r="AJ17" s="9" t="s">
        <v>142</v>
      </c>
    </row>
    <row r="18" spans="1:36" x14ac:dyDescent="0.25">
      <c r="A18" t="s">
        <v>242</v>
      </c>
      <c r="D18" s="9" t="s">
        <v>142</v>
      </c>
      <c r="E18" s="5"/>
      <c r="F18" s="5"/>
      <c r="H18" s="9" t="s">
        <v>142</v>
      </c>
      <c r="I18" s="5"/>
      <c r="J18" s="5"/>
      <c r="L18" s="9" t="s">
        <v>142</v>
      </c>
      <c r="M18" s="5"/>
      <c r="N18" s="5"/>
      <c r="P18" s="9" t="s">
        <v>142</v>
      </c>
      <c r="Q18" s="5"/>
      <c r="R18" s="5"/>
      <c r="T18" s="9" t="s">
        <v>142</v>
      </c>
      <c r="U18" s="5"/>
      <c r="V18" s="5"/>
      <c r="X18" s="9" t="s">
        <v>142</v>
      </c>
      <c r="AB18" s="9" t="s">
        <v>142</v>
      </c>
      <c r="AF18" s="9" t="s">
        <v>142</v>
      </c>
      <c r="AJ18" s="9" t="s">
        <v>142</v>
      </c>
    </row>
    <row r="19" spans="1:36" x14ac:dyDescent="0.25">
      <c r="A19" t="s">
        <v>243</v>
      </c>
      <c r="D19" s="9" t="s">
        <v>142</v>
      </c>
      <c r="E19" s="5"/>
      <c r="F19" s="5"/>
      <c r="H19" s="9" t="s">
        <v>142</v>
      </c>
      <c r="I19" s="5"/>
      <c r="J19" s="5"/>
      <c r="L19" s="9" t="s">
        <v>142</v>
      </c>
      <c r="M19" s="5"/>
      <c r="N19" s="5"/>
      <c r="P19" s="9" t="s">
        <v>142</v>
      </c>
      <c r="Q19" s="5"/>
      <c r="R19" s="5"/>
      <c r="T19" s="9" t="s">
        <v>142</v>
      </c>
      <c r="U19" s="5"/>
      <c r="V19" s="5"/>
      <c r="X19" s="9" t="s">
        <v>142</v>
      </c>
      <c r="AB19" s="9" t="s">
        <v>142</v>
      </c>
      <c r="AF19" s="9" t="s">
        <v>142</v>
      </c>
      <c r="AJ19" s="9" t="s">
        <v>142</v>
      </c>
    </row>
    <row r="20" spans="1:36" x14ac:dyDescent="0.25">
      <c r="A20" t="s">
        <v>244</v>
      </c>
      <c r="D20" s="9" t="s">
        <v>142</v>
      </c>
      <c r="E20" s="5"/>
      <c r="F20" s="5"/>
      <c r="H20" s="9" t="s">
        <v>142</v>
      </c>
      <c r="I20" s="5"/>
      <c r="J20" s="5"/>
      <c r="L20" s="9" t="s">
        <v>142</v>
      </c>
      <c r="M20" s="5"/>
      <c r="N20" s="5"/>
      <c r="P20" s="9" t="s">
        <v>142</v>
      </c>
      <c r="Q20" s="5"/>
      <c r="R20" s="5"/>
      <c r="T20" s="9" t="s">
        <v>142</v>
      </c>
      <c r="U20" s="5"/>
      <c r="V20" s="5"/>
      <c r="X20" s="9" t="s">
        <v>142</v>
      </c>
      <c r="AB20" s="9" t="s">
        <v>142</v>
      </c>
      <c r="AF20" s="9" t="s">
        <v>142</v>
      </c>
      <c r="AJ20" s="9" t="s">
        <v>142</v>
      </c>
    </row>
    <row r="21" spans="1:36" x14ac:dyDescent="0.25">
      <c r="A21" t="s">
        <v>245</v>
      </c>
      <c r="D21" s="9" t="s">
        <v>142</v>
      </c>
      <c r="E21" s="5"/>
      <c r="F21" s="5"/>
      <c r="H21" s="9" t="s">
        <v>142</v>
      </c>
      <c r="I21" s="5"/>
      <c r="J21" s="5"/>
      <c r="L21" s="9" t="s">
        <v>142</v>
      </c>
      <c r="M21" s="5"/>
      <c r="N21" s="5"/>
      <c r="P21" s="9" t="s">
        <v>142</v>
      </c>
      <c r="Q21" s="5"/>
      <c r="R21" s="5"/>
      <c r="T21" s="9" t="s">
        <v>142</v>
      </c>
      <c r="U21" s="5"/>
      <c r="V21" s="5"/>
      <c r="X21" s="9" t="s">
        <v>142</v>
      </c>
      <c r="AB21" s="9" t="s">
        <v>142</v>
      </c>
      <c r="AF21" s="9" t="s">
        <v>142</v>
      </c>
      <c r="AJ21" s="9" t="s">
        <v>142</v>
      </c>
    </row>
    <row r="22" spans="1:36" x14ac:dyDescent="0.25">
      <c r="A22" t="s">
        <v>246</v>
      </c>
      <c r="D22" s="9" t="s">
        <v>142</v>
      </c>
      <c r="E22" s="5"/>
      <c r="F22" s="5"/>
      <c r="H22" s="9" t="s">
        <v>142</v>
      </c>
      <c r="I22" s="5"/>
      <c r="J22" s="5"/>
      <c r="L22" s="9" t="s">
        <v>142</v>
      </c>
      <c r="M22" s="5"/>
      <c r="N22" s="5"/>
      <c r="P22" s="9" t="s">
        <v>142</v>
      </c>
      <c r="Q22" s="5"/>
      <c r="R22" s="5"/>
      <c r="T22" s="9" t="s">
        <v>142</v>
      </c>
      <c r="U22" s="5"/>
      <c r="V22" s="5"/>
      <c r="X22" s="9" t="s">
        <v>142</v>
      </c>
      <c r="AB22" s="9" t="s">
        <v>142</v>
      </c>
      <c r="AF22" s="9" t="s">
        <v>142</v>
      </c>
      <c r="AJ22" s="9" t="s">
        <v>142</v>
      </c>
    </row>
    <row r="23" spans="1:36" x14ac:dyDescent="0.25">
      <c r="A23" t="s">
        <v>247</v>
      </c>
      <c r="D23" s="9" t="s">
        <v>142</v>
      </c>
      <c r="E23" s="5"/>
      <c r="F23" s="5"/>
      <c r="H23" s="9" t="s">
        <v>142</v>
      </c>
      <c r="I23" s="5"/>
      <c r="J23" s="5"/>
      <c r="L23" s="9" t="s">
        <v>142</v>
      </c>
      <c r="M23" s="5"/>
      <c r="N23" s="5"/>
      <c r="P23" s="9" t="s">
        <v>142</v>
      </c>
      <c r="Q23" s="5"/>
      <c r="R23" s="5"/>
      <c r="T23" s="9" t="s">
        <v>142</v>
      </c>
      <c r="U23" s="5"/>
      <c r="V23" s="5"/>
      <c r="X23" s="9" t="s">
        <v>142</v>
      </c>
      <c r="AB23" s="9" t="s">
        <v>142</v>
      </c>
      <c r="AF23" s="9" t="s">
        <v>142</v>
      </c>
      <c r="AJ23" s="9" t="s">
        <v>142</v>
      </c>
    </row>
    <row r="24" spans="1:36" x14ac:dyDescent="0.25">
      <c r="A24" t="s">
        <v>248</v>
      </c>
      <c r="D24" s="9" t="s">
        <v>142</v>
      </c>
      <c r="E24" s="5"/>
      <c r="F24" s="5"/>
      <c r="H24" s="9" t="s">
        <v>142</v>
      </c>
      <c r="I24" s="5"/>
      <c r="J24" s="5"/>
      <c r="L24" s="9" t="s">
        <v>142</v>
      </c>
      <c r="M24" s="5"/>
      <c r="N24" s="5"/>
      <c r="P24" s="9" t="s">
        <v>142</v>
      </c>
      <c r="Q24" s="5"/>
      <c r="R24" s="5"/>
      <c r="T24" s="9" t="s">
        <v>142</v>
      </c>
      <c r="U24" s="5"/>
      <c r="V24" s="5"/>
      <c r="X24" s="9" t="s">
        <v>142</v>
      </c>
      <c r="AB24" s="9" t="s">
        <v>142</v>
      </c>
      <c r="AF24" s="9" t="s">
        <v>142</v>
      </c>
      <c r="AJ24" s="9" t="s">
        <v>142</v>
      </c>
    </row>
    <row r="25" spans="1:36" x14ac:dyDescent="0.25">
      <c r="A25" t="s">
        <v>249</v>
      </c>
      <c r="D25" s="9" t="s">
        <v>142</v>
      </c>
      <c r="E25" s="5"/>
      <c r="F25" s="5"/>
      <c r="H25" s="9" t="s">
        <v>142</v>
      </c>
      <c r="I25" s="5"/>
      <c r="J25" s="5"/>
      <c r="L25" s="9" t="s">
        <v>142</v>
      </c>
      <c r="M25" s="5"/>
      <c r="N25" s="5"/>
      <c r="P25" s="9" t="s">
        <v>142</v>
      </c>
      <c r="Q25" s="5"/>
      <c r="R25" s="5"/>
      <c r="T25" s="9" t="s">
        <v>142</v>
      </c>
      <c r="U25" s="5"/>
      <c r="V25" s="5"/>
      <c r="X25" s="9" t="s">
        <v>142</v>
      </c>
      <c r="AB25" s="9" t="s">
        <v>142</v>
      </c>
      <c r="AF25" s="9" t="s">
        <v>142</v>
      </c>
      <c r="AJ25" s="9" t="s">
        <v>142</v>
      </c>
    </row>
    <row r="26" spans="1:36" x14ac:dyDescent="0.25">
      <c r="A26" t="s">
        <v>250</v>
      </c>
      <c r="D26" s="9" t="s">
        <v>142</v>
      </c>
      <c r="E26" s="5"/>
      <c r="F26" s="5"/>
      <c r="H26" s="9" t="s">
        <v>142</v>
      </c>
      <c r="I26" s="5"/>
      <c r="J26" s="5"/>
      <c r="L26" s="9" t="s">
        <v>142</v>
      </c>
      <c r="M26" s="5"/>
      <c r="N26" s="5"/>
      <c r="P26" s="9" t="s">
        <v>142</v>
      </c>
      <c r="Q26" s="5"/>
      <c r="R26" s="5"/>
      <c r="T26" s="9" t="s">
        <v>142</v>
      </c>
      <c r="U26" s="5"/>
      <c r="V26" s="5"/>
      <c r="X26" s="9" t="s">
        <v>142</v>
      </c>
      <c r="AB26" s="9" t="s">
        <v>142</v>
      </c>
      <c r="AF26" s="9" t="s">
        <v>142</v>
      </c>
      <c r="AJ26" s="9" t="s">
        <v>142</v>
      </c>
    </row>
    <row r="27" spans="1:36" x14ac:dyDescent="0.25">
      <c r="A27" t="s">
        <v>251</v>
      </c>
      <c r="D27" s="9" t="s">
        <v>142</v>
      </c>
      <c r="E27" s="5"/>
      <c r="F27" s="5"/>
      <c r="H27" s="9" t="s">
        <v>142</v>
      </c>
      <c r="I27" s="5"/>
      <c r="J27" s="5"/>
      <c r="L27" s="9" t="s">
        <v>142</v>
      </c>
      <c r="M27" s="5"/>
      <c r="N27" s="5"/>
      <c r="P27" s="9" t="s">
        <v>142</v>
      </c>
      <c r="Q27" s="5"/>
      <c r="R27" s="5"/>
      <c r="T27" s="9" t="s">
        <v>142</v>
      </c>
      <c r="U27" s="5"/>
      <c r="V27" s="5"/>
      <c r="X27" s="9" t="s">
        <v>142</v>
      </c>
      <c r="AB27" s="9" t="s">
        <v>142</v>
      </c>
      <c r="AF27" s="9" t="s">
        <v>142</v>
      </c>
      <c r="AJ27" s="9" t="s">
        <v>142</v>
      </c>
    </row>
    <row r="28" spans="1:36" x14ac:dyDescent="0.25">
      <c r="A28" t="s">
        <v>252</v>
      </c>
      <c r="D28" s="9" t="s">
        <v>142</v>
      </c>
      <c r="E28" s="5"/>
      <c r="F28" s="5"/>
      <c r="H28" s="9" t="s">
        <v>142</v>
      </c>
      <c r="I28" s="5"/>
      <c r="J28" s="5"/>
      <c r="L28" s="9" t="s">
        <v>142</v>
      </c>
      <c r="M28" s="5"/>
      <c r="N28" s="5"/>
      <c r="P28" s="9" t="s">
        <v>142</v>
      </c>
      <c r="Q28" s="5"/>
      <c r="R28" s="5"/>
      <c r="T28" s="9" t="s">
        <v>142</v>
      </c>
      <c r="U28" s="5"/>
      <c r="V28" s="5"/>
      <c r="X28" s="9" t="s">
        <v>142</v>
      </c>
      <c r="AB28" s="9" t="s">
        <v>142</v>
      </c>
      <c r="AF28" s="9" t="s">
        <v>142</v>
      </c>
      <c r="AJ28" s="9" t="s">
        <v>142</v>
      </c>
    </row>
    <row r="29" spans="1:36" x14ac:dyDescent="0.25">
      <c r="A29" t="s">
        <v>253</v>
      </c>
      <c r="D29" s="9" t="s">
        <v>142</v>
      </c>
      <c r="E29" s="5"/>
      <c r="F29" s="5"/>
      <c r="H29" s="9" t="s">
        <v>142</v>
      </c>
      <c r="I29" s="5"/>
      <c r="J29" s="5"/>
      <c r="L29" s="9" t="s">
        <v>142</v>
      </c>
      <c r="M29" s="5"/>
      <c r="N29" s="5"/>
      <c r="P29" s="9" t="s">
        <v>142</v>
      </c>
      <c r="Q29" s="5"/>
      <c r="R29" s="5"/>
      <c r="T29" s="9" t="s">
        <v>142</v>
      </c>
      <c r="U29" s="5"/>
      <c r="V29" s="5"/>
      <c r="X29" s="9" t="s">
        <v>142</v>
      </c>
      <c r="AB29" s="9" t="s">
        <v>142</v>
      </c>
      <c r="AF29" s="9" t="s">
        <v>142</v>
      </c>
      <c r="AJ29" s="9" t="s">
        <v>142</v>
      </c>
    </row>
    <row r="30" spans="1:36" x14ac:dyDescent="0.25">
      <c r="A30" t="s">
        <v>254</v>
      </c>
      <c r="D30" s="9" t="s">
        <v>142</v>
      </c>
      <c r="E30" s="5"/>
      <c r="F30" s="5"/>
      <c r="H30" s="9" t="s">
        <v>142</v>
      </c>
      <c r="I30" s="5"/>
      <c r="J30" s="5"/>
      <c r="L30" s="9" t="s">
        <v>142</v>
      </c>
      <c r="M30" s="5"/>
      <c r="N30" s="5"/>
      <c r="P30" s="9" t="s">
        <v>142</v>
      </c>
      <c r="Q30" s="5"/>
      <c r="R30" s="5"/>
      <c r="T30" s="9" t="s">
        <v>142</v>
      </c>
      <c r="U30" s="5"/>
      <c r="V30" s="5"/>
      <c r="X30" s="9" t="s">
        <v>142</v>
      </c>
      <c r="AB30" s="9" t="s">
        <v>142</v>
      </c>
      <c r="AF30" s="9" t="s">
        <v>142</v>
      </c>
      <c r="AJ30" s="9" t="s">
        <v>142</v>
      </c>
    </row>
    <row r="31" spans="1:36" x14ac:dyDescent="0.25">
      <c r="A31" t="s">
        <v>255</v>
      </c>
      <c r="D31" s="9" t="s">
        <v>142</v>
      </c>
      <c r="E31" s="5"/>
      <c r="F31" s="5"/>
      <c r="H31" s="9" t="s">
        <v>142</v>
      </c>
      <c r="I31" s="5"/>
      <c r="J31" s="5"/>
      <c r="L31" s="9" t="s">
        <v>142</v>
      </c>
      <c r="M31" s="5"/>
      <c r="N31" s="5"/>
      <c r="P31" s="9" t="s">
        <v>142</v>
      </c>
      <c r="Q31" s="5"/>
      <c r="R31" s="5"/>
      <c r="T31" s="9" t="s">
        <v>142</v>
      </c>
      <c r="U31" s="5"/>
      <c r="V31" s="5"/>
      <c r="X31" s="9" t="s">
        <v>142</v>
      </c>
      <c r="AB31" s="9" t="s">
        <v>142</v>
      </c>
      <c r="AF31" s="9" t="s">
        <v>142</v>
      </c>
      <c r="AJ31" s="9" t="s">
        <v>142</v>
      </c>
    </row>
    <row r="32" spans="1:36" x14ac:dyDescent="0.25">
      <c r="A32" t="s">
        <v>256</v>
      </c>
      <c r="D32" s="9" t="s">
        <v>142</v>
      </c>
      <c r="E32" s="5"/>
      <c r="F32" s="5"/>
      <c r="H32" s="9" t="s">
        <v>142</v>
      </c>
      <c r="I32" s="5"/>
      <c r="J32" s="5"/>
      <c r="L32" s="9" t="s">
        <v>142</v>
      </c>
      <c r="M32" s="5"/>
      <c r="N32" s="5"/>
      <c r="P32" s="9" t="s">
        <v>142</v>
      </c>
      <c r="Q32" s="5"/>
      <c r="R32" s="5"/>
      <c r="T32" s="9" t="s">
        <v>142</v>
      </c>
      <c r="X32" s="9" t="s">
        <v>142</v>
      </c>
      <c r="AB32" s="9" t="s">
        <v>142</v>
      </c>
      <c r="AF32" s="9" t="s">
        <v>142</v>
      </c>
      <c r="AJ32" s="9" t="s">
        <v>142</v>
      </c>
    </row>
    <row r="33" spans="1:36" x14ac:dyDescent="0.25">
      <c r="A33" t="s">
        <v>257</v>
      </c>
      <c r="D33" s="9" t="s">
        <v>142</v>
      </c>
      <c r="E33" s="5"/>
      <c r="F33" s="5"/>
      <c r="H33" s="9" t="s">
        <v>142</v>
      </c>
      <c r="I33" s="5"/>
      <c r="J33" s="5"/>
      <c r="L33" s="9" t="s">
        <v>142</v>
      </c>
      <c r="P33" s="9" t="s">
        <v>142</v>
      </c>
      <c r="T33" s="9" t="s">
        <v>142</v>
      </c>
      <c r="X33" s="9" t="s">
        <v>142</v>
      </c>
      <c r="AB33" s="9" t="s">
        <v>142</v>
      </c>
      <c r="AF33" s="9" t="s">
        <v>142</v>
      </c>
      <c r="AJ33" s="9" t="s">
        <v>142</v>
      </c>
    </row>
    <row r="34" spans="1:36" x14ac:dyDescent="0.25">
      <c r="A34" t="s">
        <v>258</v>
      </c>
      <c r="D34" s="9" t="s">
        <v>142</v>
      </c>
      <c r="E34" s="5"/>
      <c r="F34" s="5"/>
      <c r="H34" s="9" t="s">
        <v>142</v>
      </c>
      <c r="I34" s="5"/>
      <c r="J34" s="5"/>
      <c r="L34" s="9" t="s">
        <v>142</v>
      </c>
      <c r="P34" s="9" t="s">
        <v>142</v>
      </c>
      <c r="T34" s="9" t="s">
        <v>142</v>
      </c>
      <c r="X34" s="9" t="s">
        <v>142</v>
      </c>
      <c r="AB34" s="9" t="s">
        <v>142</v>
      </c>
      <c r="AF34" s="9" t="s">
        <v>142</v>
      </c>
      <c r="AJ34" s="9" t="s">
        <v>142</v>
      </c>
    </row>
    <row r="35" spans="1:36" x14ac:dyDescent="0.25">
      <c r="A35" t="s">
        <v>259</v>
      </c>
      <c r="D35" s="9" t="s">
        <v>142</v>
      </c>
      <c r="E35" s="5"/>
      <c r="F35" s="5"/>
      <c r="H35" s="9" t="s">
        <v>142</v>
      </c>
      <c r="I35" s="5"/>
      <c r="J35" s="5"/>
      <c r="L35" s="9" t="s">
        <v>142</v>
      </c>
      <c r="P35" s="9" t="s">
        <v>142</v>
      </c>
      <c r="T35" s="9" t="s">
        <v>142</v>
      </c>
      <c r="X35" s="9" t="s">
        <v>142</v>
      </c>
      <c r="AB35" s="9" t="s">
        <v>142</v>
      </c>
      <c r="AF35" s="9" t="s">
        <v>142</v>
      </c>
      <c r="AJ35" s="9" t="s">
        <v>142</v>
      </c>
    </row>
    <row r="36" spans="1:36" x14ac:dyDescent="0.25">
      <c r="A36" t="s">
        <v>260</v>
      </c>
      <c r="D36" s="9" t="s">
        <v>142</v>
      </c>
      <c r="E36" s="5"/>
      <c r="F36" s="5"/>
      <c r="H36" s="9" t="s">
        <v>142</v>
      </c>
      <c r="I36" s="5"/>
      <c r="J36" s="5"/>
      <c r="L36" s="9" t="s">
        <v>142</v>
      </c>
      <c r="P36" s="9" t="s">
        <v>142</v>
      </c>
      <c r="T36" s="9" t="s">
        <v>142</v>
      </c>
      <c r="X36" s="9" t="s">
        <v>142</v>
      </c>
      <c r="AB36" s="9" t="s">
        <v>142</v>
      </c>
      <c r="AF36" s="9" t="s">
        <v>142</v>
      </c>
      <c r="AJ36" s="9" t="s">
        <v>142</v>
      </c>
    </row>
    <row r="37" spans="1:36" x14ac:dyDescent="0.25">
      <c r="A37" t="s">
        <v>261</v>
      </c>
      <c r="D37" s="9" t="s">
        <v>142</v>
      </c>
      <c r="E37" s="5"/>
      <c r="F37" s="5"/>
      <c r="H37" s="9" t="s">
        <v>142</v>
      </c>
      <c r="I37" s="5"/>
      <c r="J37" s="5"/>
      <c r="L37" s="9" t="s">
        <v>142</v>
      </c>
      <c r="P37" s="9" t="s">
        <v>142</v>
      </c>
      <c r="T37" s="9" t="s">
        <v>142</v>
      </c>
      <c r="X37" s="9" t="s">
        <v>142</v>
      </c>
      <c r="AB37" s="9" t="s">
        <v>142</v>
      </c>
      <c r="AF37" s="9" t="s">
        <v>142</v>
      </c>
      <c r="AJ37" s="9" t="s">
        <v>142</v>
      </c>
    </row>
    <row r="38" spans="1:36" x14ac:dyDescent="0.25">
      <c r="A38" t="s">
        <v>262</v>
      </c>
      <c r="D38" s="9" t="s">
        <v>142</v>
      </c>
      <c r="E38" s="5"/>
      <c r="F38" s="5"/>
      <c r="H38" s="9" t="s">
        <v>142</v>
      </c>
      <c r="I38" s="5"/>
      <c r="J38" s="5"/>
      <c r="L38" s="9" t="s">
        <v>142</v>
      </c>
      <c r="P38" s="9" t="s">
        <v>142</v>
      </c>
      <c r="T38" s="9" t="s">
        <v>142</v>
      </c>
      <c r="X38" s="9" t="s">
        <v>142</v>
      </c>
      <c r="AB38" s="9" t="s">
        <v>142</v>
      </c>
      <c r="AF38" s="9" t="s">
        <v>142</v>
      </c>
      <c r="AJ38" s="9" t="s">
        <v>142</v>
      </c>
    </row>
    <row r="39" spans="1:36" x14ac:dyDescent="0.25">
      <c r="A39" t="s">
        <v>263</v>
      </c>
      <c r="D39" s="9" t="s">
        <v>142</v>
      </c>
      <c r="E39" s="5"/>
      <c r="F39" s="5"/>
      <c r="H39" s="9" t="s">
        <v>142</v>
      </c>
      <c r="I39" s="5"/>
      <c r="J39" s="5"/>
      <c r="L39" s="9" t="s">
        <v>142</v>
      </c>
      <c r="P39" s="9" t="s">
        <v>142</v>
      </c>
      <c r="T39" s="9" t="s">
        <v>142</v>
      </c>
      <c r="X39" s="9" t="s">
        <v>142</v>
      </c>
      <c r="AB39" s="9" t="s">
        <v>142</v>
      </c>
      <c r="AF39" s="9" t="s">
        <v>142</v>
      </c>
      <c r="AJ39" s="9" t="s">
        <v>142</v>
      </c>
    </row>
    <row r="40" spans="1:36" x14ac:dyDescent="0.25">
      <c r="A40" t="s">
        <v>264</v>
      </c>
      <c r="D40" s="9" t="s">
        <v>142</v>
      </c>
      <c r="H40" s="9" t="s">
        <v>142</v>
      </c>
      <c r="L40" s="9" t="s">
        <v>142</v>
      </c>
      <c r="P40" s="9" t="s">
        <v>142</v>
      </c>
      <c r="T40" s="9" t="s">
        <v>142</v>
      </c>
      <c r="X40" s="9" t="s">
        <v>142</v>
      </c>
      <c r="AB40" s="9" t="s">
        <v>142</v>
      </c>
      <c r="AF40" s="9" t="s">
        <v>142</v>
      </c>
      <c r="AJ40" s="9" t="s">
        <v>142</v>
      </c>
    </row>
    <row r="41" spans="1:36" x14ac:dyDescent="0.25">
      <c r="A41" t="s">
        <v>265</v>
      </c>
      <c r="D41" s="9" t="s">
        <v>142</v>
      </c>
      <c r="H41" s="9" t="s">
        <v>142</v>
      </c>
      <c r="L41" s="9" t="s">
        <v>142</v>
      </c>
      <c r="P41" s="9" t="s">
        <v>142</v>
      </c>
      <c r="T41" s="9" t="s">
        <v>142</v>
      </c>
      <c r="X41" s="9" t="s">
        <v>142</v>
      </c>
      <c r="AB41" s="9" t="s">
        <v>142</v>
      </c>
      <c r="AF41" s="9" t="s">
        <v>142</v>
      </c>
      <c r="AJ41" s="9" t="s">
        <v>142</v>
      </c>
    </row>
    <row r="42" spans="1:36" x14ac:dyDescent="0.25">
      <c r="A42" t="s">
        <v>266</v>
      </c>
      <c r="D42" s="9" t="s">
        <v>142</v>
      </c>
      <c r="H42" s="9" t="s">
        <v>142</v>
      </c>
      <c r="L42" s="9" t="s">
        <v>142</v>
      </c>
      <c r="P42" s="9" t="s">
        <v>142</v>
      </c>
      <c r="T42" s="9" t="s">
        <v>142</v>
      </c>
      <c r="X42" s="9" t="s">
        <v>142</v>
      </c>
      <c r="AB42" s="9" t="s">
        <v>142</v>
      </c>
      <c r="AF42" s="9" t="s">
        <v>142</v>
      </c>
      <c r="AJ42" s="9" t="s">
        <v>142</v>
      </c>
    </row>
    <row r="43" spans="1:36" x14ac:dyDescent="0.25">
      <c r="A43" t="s">
        <v>267</v>
      </c>
      <c r="D43" s="9" t="s">
        <v>142</v>
      </c>
      <c r="H43" s="9" t="s">
        <v>142</v>
      </c>
      <c r="L43" s="9" t="s">
        <v>142</v>
      </c>
      <c r="P43" s="9" t="s">
        <v>142</v>
      </c>
      <c r="T43" s="9" t="s">
        <v>142</v>
      </c>
      <c r="X43" s="9" t="s">
        <v>142</v>
      </c>
      <c r="AB43" s="9" t="s">
        <v>142</v>
      </c>
      <c r="AF43" s="9" t="s">
        <v>142</v>
      </c>
      <c r="AJ43" s="9" t="s">
        <v>142</v>
      </c>
    </row>
    <row r="44" spans="1:36" x14ac:dyDescent="0.25">
      <c r="A44" t="s">
        <v>268</v>
      </c>
      <c r="D44" s="9" t="s">
        <v>142</v>
      </c>
      <c r="H44" s="9" t="s">
        <v>142</v>
      </c>
      <c r="L44" s="9" t="s">
        <v>142</v>
      </c>
      <c r="P44" s="9" t="s">
        <v>142</v>
      </c>
      <c r="T44" s="9" t="s">
        <v>142</v>
      </c>
      <c r="X44" s="9" t="s">
        <v>142</v>
      </c>
      <c r="AB44" s="9" t="s">
        <v>142</v>
      </c>
      <c r="AF44" s="9" t="s">
        <v>142</v>
      </c>
      <c r="AJ44" s="9" t="s">
        <v>142</v>
      </c>
    </row>
    <row r="45" spans="1:36" x14ac:dyDescent="0.25">
      <c r="A45" t="s">
        <v>269</v>
      </c>
      <c r="D45" s="9" t="s">
        <v>142</v>
      </c>
      <c r="H45" s="9" t="s">
        <v>142</v>
      </c>
      <c r="L45" s="9" t="s">
        <v>142</v>
      </c>
      <c r="P45" s="9" t="s">
        <v>142</v>
      </c>
      <c r="T45" s="9" t="s">
        <v>142</v>
      </c>
      <c r="X45" s="9" t="s">
        <v>142</v>
      </c>
      <c r="AB45" s="9" t="s">
        <v>142</v>
      </c>
      <c r="AF45" s="9" t="s">
        <v>142</v>
      </c>
      <c r="AJ45" s="9" t="s">
        <v>142</v>
      </c>
    </row>
    <row r="46" spans="1:36" x14ac:dyDescent="0.25">
      <c r="A46" t="s">
        <v>270</v>
      </c>
      <c r="D46" s="9" t="s">
        <v>142</v>
      </c>
      <c r="H46" s="9" t="s">
        <v>142</v>
      </c>
      <c r="L46" s="9" t="s">
        <v>142</v>
      </c>
      <c r="P46" s="9" t="s">
        <v>142</v>
      </c>
      <c r="T46" s="9" t="s">
        <v>142</v>
      </c>
      <c r="X46" s="9" t="s">
        <v>142</v>
      </c>
      <c r="AB46" s="9" t="s">
        <v>142</v>
      </c>
      <c r="AF46" s="9" t="s">
        <v>142</v>
      </c>
      <c r="AJ46" s="9" t="s">
        <v>142</v>
      </c>
    </row>
    <row r="47" spans="1:36" x14ac:dyDescent="0.25">
      <c r="A47" t="s">
        <v>271</v>
      </c>
      <c r="D47" s="9" t="s">
        <v>142</v>
      </c>
      <c r="H47" s="9" t="s">
        <v>142</v>
      </c>
      <c r="L47" s="9" t="s">
        <v>142</v>
      </c>
      <c r="P47" s="9" t="s">
        <v>142</v>
      </c>
      <c r="T47" s="9" t="s">
        <v>142</v>
      </c>
      <c r="X47" s="9" t="s">
        <v>142</v>
      </c>
      <c r="AB47" s="9" t="s">
        <v>142</v>
      </c>
      <c r="AF47" s="9" t="s">
        <v>142</v>
      </c>
      <c r="AJ47" s="9" t="s">
        <v>142</v>
      </c>
    </row>
    <row r="48" spans="1:36" x14ac:dyDescent="0.25">
      <c r="A48" t="s">
        <v>272</v>
      </c>
      <c r="D48" s="9" t="s">
        <v>142</v>
      </c>
      <c r="H48" s="9" t="s">
        <v>142</v>
      </c>
      <c r="L48" s="9" t="s">
        <v>142</v>
      </c>
      <c r="P48" s="9" t="s">
        <v>142</v>
      </c>
      <c r="T48" s="9" t="s">
        <v>142</v>
      </c>
      <c r="X48" s="9" t="s">
        <v>142</v>
      </c>
      <c r="AB48" s="9" t="s">
        <v>142</v>
      </c>
      <c r="AF48" s="9" t="s">
        <v>142</v>
      </c>
      <c r="AJ48" s="9" t="s">
        <v>142</v>
      </c>
    </row>
    <row r="49" spans="1:36" x14ac:dyDescent="0.25">
      <c r="A49" t="s">
        <v>273</v>
      </c>
      <c r="D49" s="9" t="s">
        <v>142</v>
      </c>
      <c r="H49" s="9" t="s">
        <v>142</v>
      </c>
      <c r="L49" s="9" t="s">
        <v>142</v>
      </c>
      <c r="P49" s="9" t="s">
        <v>142</v>
      </c>
      <c r="T49" s="9" t="s">
        <v>142</v>
      </c>
      <c r="X49" s="9" t="s">
        <v>142</v>
      </c>
      <c r="AB49" s="9" t="s">
        <v>142</v>
      </c>
      <c r="AF49" s="9" t="s">
        <v>142</v>
      </c>
      <c r="AJ49" s="9" t="s">
        <v>142</v>
      </c>
    </row>
    <row r="50" spans="1:36" x14ac:dyDescent="0.25">
      <c r="D50" s="9" t="s">
        <v>142</v>
      </c>
      <c r="H50" s="9" t="s">
        <v>142</v>
      </c>
      <c r="L50" s="9" t="s">
        <v>142</v>
      </c>
      <c r="P50" s="9" t="s">
        <v>142</v>
      </c>
      <c r="T50" s="9" t="s">
        <v>142</v>
      </c>
      <c r="X50" s="9" t="s">
        <v>142</v>
      </c>
      <c r="AB50" s="9" t="s">
        <v>142</v>
      </c>
      <c r="AF50" s="9" t="s">
        <v>142</v>
      </c>
      <c r="AJ50" s="9" t="s">
        <v>142</v>
      </c>
    </row>
    <row r="51" spans="1:36" x14ac:dyDescent="0.25">
      <c r="D51" s="9" t="s">
        <v>142</v>
      </c>
      <c r="H51" s="9" t="s">
        <v>142</v>
      </c>
      <c r="L51" s="9" t="s">
        <v>142</v>
      </c>
      <c r="P51" s="9" t="s">
        <v>142</v>
      </c>
      <c r="T51" s="9" t="s">
        <v>142</v>
      </c>
      <c r="X51" s="9" t="s">
        <v>142</v>
      </c>
      <c r="AB51" s="9" t="s">
        <v>142</v>
      </c>
      <c r="AF51" s="9" t="s">
        <v>142</v>
      </c>
      <c r="AJ51" s="9" t="s">
        <v>142</v>
      </c>
    </row>
    <row r="52" spans="1:36" x14ac:dyDescent="0.25">
      <c r="D52" s="9" t="s">
        <v>142</v>
      </c>
      <c r="H52" s="9" t="s">
        <v>142</v>
      </c>
      <c r="L52" s="9" t="s">
        <v>142</v>
      </c>
      <c r="P52" s="9" t="s">
        <v>142</v>
      </c>
      <c r="T52" s="9" t="s">
        <v>142</v>
      </c>
      <c r="X52" s="9" t="s">
        <v>142</v>
      </c>
      <c r="AB52" s="9" t="s">
        <v>142</v>
      </c>
      <c r="AF52" s="9" t="s">
        <v>142</v>
      </c>
      <c r="AJ52" s="9" t="s">
        <v>142</v>
      </c>
    </row>
    <row r="53" spans="1:36" x14ac:dyDescent="0.25">
      <c r="D53" s="9" t="s">
        <v>142</v>
      </c>
      <c r="H53" s="9" t="s">
        <v>142</v>
      </c>
      <c r="L53" s="9" t="s">
        <v>142</v>
      </c>
      <c r="P53" s="9" t="s">
        <v>142</v>
      </c>
      <c r="T53" s="9" t="s">
        <v>142</v>
      </c>
      <c r="X53" s="9" t="s">
        <v>142</v>
      </c>
      <c r="AB53" s="9" t="s">
        <v>142</v>
      </c>
      <c r="AF53" s="9" t="s">
        <v>142</v>
      </c>
      <c r="AJ53" s="9" t="s">
        <v>142</v>
      </c>
    </row>
    <row r="54" spans="1:36" x14ac:dyDescent="0.25">
      <c r="D54" s="9" t="s">
        <v>142</v>
      </c>
      <c r="H54" s="9" t="s">
        <v>142</v>
      </c>
      <c r="L54" s="9" t="s">
        <v>142</v>
      </c>
      <c r="P54" s="9" t="s">
        <v>142</v>
      </c>
      <c r="T54" s="9" t="s">
        <v>142</v>
      </c>
      <c r="X54" s="9" t="s">
        <v>142</v>
      </c>
      <c r="AB54" s="9" t="s">
        <v>142</v>
      </c>
      <c r="AF54" s="9" t="s">
        <v>142</v>
      </c>
      <c r="AJ54" s="9" t="s">
        <v>142</v>
      </c>
    </row>
    <row r="55" spans="1:36" x14ac:dyDescent="0.25">
      <c r="D55" s="9" t="s">
        <v>142</v>
      </c>
      <c r="H55" s="9" t="s">
        <v>142</v>
      </c>
      <c r="L55" s="9" t="s">
        <v>142</v>
      </c>
      <c r="P55" s="9" t="s">
        <v>142</v>
      </c>
      <c r="T55" s="9" t="s">
        <v>142</v>
      </c>
      <c r="X55" s="9" t="s">
        <v>142</v>
      </c>
      <c r="AB55" s="9" t="s">
        <v>142</v>
      </c>
      <c r="AF55" s="9" t="s">
        <v>142</v>
      </c>
      <c r="AJ55" s="9" t="s">
        <v>142</v>
      </c>
    </row>
    <row r="56" spans="1:36" x14ac:dyDescent="0.25">
      <c r="D56" s="9" t="s">
        <v>142</v>
      </c>
      <c r="H56" s="9" t="s">
        <v>142</v>
      </c>
      <c r="L56" s="9" t="s">
        <v>142</v>
      </c>
      <c r="P56" s="9" t="s">
        <v>142</v>
      </c>
      <c r="T56" s="9" t="s">
        <v>142</v>
      </c>
      <c r="X56" s="9" t="s">
        <v>142</v>
      </c>
      <c r="AB56" s="9" t="s">
        <v>142</v>
      </c>
      <c r="AF56" s="9" t="s">
        <v>142</v>
      </c>
      <c r="AJ56" s="9" t="s">
        <v>142</v>
      </c>
    </row>
    <row r="57" spans="1:36" x14ac:dyDescent="0.25">
      <c r="D57" s="9" t="s">
        <v>142</v>
      </c>
      <c r="H57" s="9" t="s">
        <v>142</v>
      </c>
      <c r="L57" s="9" t="s">
        <v>142</v>
      </c>
      <c r="P57" s="9" t="s">
        <v>142</v>
      </c>
      <c r="T57" s="9" t="s">
        <v>142</v>
      </c>
      <c r="X57" s="9" t="s">
        <v>142</v>
      </c>
      <c r="AB57" s="9" t="s">
        <v>142</v>
      </c>
      <c r="AF57" s="9" t="s">
        <v>142</v>
      </c>
      <c r="AJ57" s="9" t="s">
        <v>142</v>
      </c>
    </row>
    <row r="58" spans="1:36" x14ac:dyDescent="0.25">
      <c r="D58" s="9" t="s">
        <v>142</v>
      </c>
      <c r="H58" s="9" t="s">
        <v>142</v>
      </c>
      <c r="L58" s="9" t="s">
        <v>142</v>
      </c>
      <c r="P58" s="9" t="s">
        <v>142</v>
      </c>
      <c r="T58" s="9" t="s">
        <v>142</v>
      </c>
      <c r="X58" s="9" t="s">
        <v>142</v>
      </c>
      <c r="AB58" s="9" t="s">
        <v>142</v>
      </c>
      <c r="AF58" s="9" t="s">
        <v>142</v>
      </c>
      <c r="AJ58" s="9" t="s">
        <v>142</v>
      </c>
    </row>
    <row r="59" spans="1:36" x14ac:dyDescent="0.25">
      <c r="D59" s="9" t="s">
        <v>142</v>
      </c>
      <c r="H59" s="9" t="s">
        <v>142</v>
      </c>
      <c r="L59" s="9" t="s">
        <v>142</v>
      </c>
      <c r="P59" s="9" t="s">
        <v>142</v>
      </c>
      <c r="T59" s="9" t="s">
        <v>142</v>
      </c>
      <c r="X59" s="9" t="s">
        <v>142</v>
      </c>
      <c r="AB59" s="9" t="s">
        <v>142</v>
      </c>
      <c r="AF59" s="9" t="s">
        <v>142</v>
      </c>
      <c r="AJ59" s="9" t="s">
        <v>142</v>
      </c>
    </row>
    <row r="60" spans="1:36" x14ac:dyDescent="0.25">
      <c r="D60" s="9" t="s">
        <v>142</v>
      </c>
      <c r="H60" s="9" t="s">
        <v>142</v>
      </c>
      <c r="L60" s="9" t="s">
        <v>142</v>
      </c>
      <c r="P60" s="9" t="s">
        <v>142</v>
      </c>
      <c r="T60" s="9" t="s">
        <v>142</v>
      </c>
      <c r="X60" s="9" t="s">
        <v>142</v>
      </c>
      <c r="AB60" s="9" t="s">
        <v>142</v>
      </c>
      <c r="AF60" s="9" t="s">
        <v>142</v>
      </c>
      <c r="AJ60" s="9" t="s">
        <v>142</v>
      </c>
    </row>
    <row r="61" spans="1:36" x14ac:dyDescent="0.25">
      <c r="D61" s="9" t="s">
        <v>142</v>
      </c>
      <c r="H61" s="9" t="s">
        <v>142</v>
      </c>
      <c r="L61" s="9" t="s">
        <v>142</v>
      </c>
      <c r="P61" s="9" t="s">
        <v>142</v>
      </c>
      <c r="T61" s="9" t="s">
        <v>142</v>
      </c>
      <c r="X61" s="9" t="s">
        <v>142</v>
      </c>
      <c r="AB61" s="9" t="s">
        <v>142</v>
      </c>
      <c r="AF61" s="9" t="s">
        <v>142</v>
      </c>
      <c r="AJ61" s="9" t="s">
        <v>142</v>
      </c>
    </row>
    <row r="62" spans="1:36" x14ac:dyDescent="0.25">
      <c r="D62" s="9" t="s">
        <v>142</v>
      </c>
      <c r="H62" s="9" t="s">
        <v>142</v>
      </c>
      <c r="L62" s="9" t="s">
        <v>142</v>
      </c>
      <c r="P62" s="9" t="s">
        <v>142</v>
      </c>
      <c r="T62" s="9" t="s">
        <v>142</v>
      </c>
      <c r="X62" s="9" t="s">
        <v>142</v>
      </c>
      <c r="AB62" s="9" t="s">
        <v>142</v>
      </c>
      <c r="AF62" s="9" t="s">
        <v>142</v>
      </c>
      <c r="AJ62" s="9" t="s">
        <v>142</v>
      </c>
    </row>
    <row r="63" spans="1:36" x14ac:dyDescent="0.25">
      <c r="D63" s="9" t="s">
        <v>142</v>
      </c>
      <c r="H63" s="9" t="s">
        <v>142</v>
      </c>
      <c r="L63" s="9" t="s">
        <v>142</v>
      </c>
      <c r="P63" s="9" t="s">
        <v>142</v>
      </c>
      <c r="T63" s="9" t="s">
        <v>142</v>
      </c>
      <c r="X63" s="9" t="s">
        <v>142</v>
      </c>
      <c r="AB63" s="9" t="s">
        <v>142</v>
      </c>
      <c r="AF63" s="9" t="s">
        <v>142</v>
      </c>
      <c r="AJ63" s="9" t="s">
        <v>142</v>
      </c>
    </row>
    <row r="64" spans="1:36" x14ac:dyDescent="0.25">
      <c r="D64" s="9" t="s">
        <v>142</v>
      </c>
      <c r="H64" s="9" t="s">
        <v>142</v>
      </c>
      <c r="L64" s="9" t="s">
        <v>142</v>
      </c>
      <c r="P64" s="9" t="s">
        <v>142</v>
      </c>
      <c r="T64" s="9" t="s">
        <v>142</v>
      </c>
      <c r="X64" s="9" t="s">
        <v>142</v>
      </c>
      <c r="AB64" s="9" t="s">
        <v>142</v>
      </c>
      <c r="AF64" s="9" t="s">
        <v>142</v>
      </c>
      <c r="AJ64" s="9" t="s">
        <v>142</v>
      </c>
    </row>
    <row r="65" spans="4:36" x14ac:dyDescent="0.25">
      <c r="D65" s="9" t="s">
        <v>142</v>
      </c>
      <c r="H65" s="9" t="s">
        <v>142</v>
      </c>
      <c r="L65" s="9" t="s">
        <v>142</v>
      </c>
      <c r="P65" s="9" t="s">
        <v>142</v>
      </c>
      <c r="T65" s="9" t="s">
        <v>142</v>
      </c>
      <c r="X65" s="9" t="s">
        <v>142</v>
      </c>
      <c r="AB65" s="9" t="s">
        <v>142</v>
      </c>
      <c r="AF65" s="9" t="s">
        <v>142</v>
      </c>
      <c r="AJ65" s="9" t="s">
        <v>142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euil5.Decryp_debug">
                <anchor moveWithCells="1" sizeWithCells="1">
                  <from>
                    <xdr:col>10</xdr:col>
                    <xdr:colOff>495300</xdr:colOff>
                    <xdr:row>0</xdr:row>
                    <xdr:rowOff>152400</xdr:rowOff>
                  </from>
                  <to>
                    <xdr:col>14</xdr:col>
                    <xdr:colOff>579120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rgb="FF92D050"/>
    <pageSetUpPr fitToPage="1"/>
  </sheetPr>
  <dimension ref="A1:AL100"/>
  <sheetViews>
    <sheetView workbookViewId="0">
      <selection activeCell="AH7" sqref="AH7"/>
    </sheetView>
  </sheetViews>
  <sheetFormatPr baseColWidth="10" defaultRowHeight="13.2" x14ac:dyDescent="0.25"/>
  <cols>
    <col min="1" max="1" width="27.6640625" customWidth="1"/>
    <col min="2" max="33" width="2.88671875" customWidth="1"/>
    <col min="34" max="34" width="37.109375" customWidth="1"/>
    <col min="35" max="35" width="1.6640625" customWidth="1"/>
  </cols>
  <sheetData>
    <row r="1" spans="1:38" x14ac:dyDescent="0.25">
      <c r="A1" s="284" t="s">
        <v>2386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  <c r="W1" s="284"/>
      <c r="X1" s="284"/>
      <c r="Y1" s="284"/>
      <c r="Z1" s="284"/>
      <c r="AA1" s="284"/>
      <c r="AB1" s="284"/>
      <c r="AC1" s="284"/>
      <c r="AD1" s="284"/>
      <c r="AE1" s="284"/>
      <c r="AF1" s="284"/>
      <c r="AG1" s="284"/>
      <c r="AH1" s="284"/>
    </row>
    <row r="2" spans="1:38" ht="13.8" thickBot="1" x14ac:dyDescent="0.3">
      <c r="A2" s="284"/>
      <c r="B2" s="284"/>
      <c r="C2" s="284"/>
      <c r="D2" s="284"/>
      <c r="E2" s="284"/>
      <c r="F2" s="284"/>
      <c r="G2" s="284"/>
      <c r="H2" s="284"/>
      <c r="I2" s="284"/>
      <c r="J2" s="284"/>
      <c r="K2" s="284"/>
      <c r="L2" s="284"/>
      <c r="M2" s="284"/>
      <c r="N2" s="284"/>
      <c r="O2" s="284"/>
      <c r="P2" s="284"/>
      <c r="Q2" s="284"/>
      <c r="R2" s="284"/>
      <c r="S2" s="284"/>
      <c r="T2" s="284"/>
      <c r="U2" s="284"/>
      <c r="V2" s="284"/>
      <c r="W2" s="284"/>
      <c r="X2" s="284"/>
      <c r="Y2" s="284"/>
      <c r="Z2" s="284"/>
      <c r="AA2" s="284"/>
      <c r="AB2" s="284"/>
      <c r="AC2" s="284"/>
      <c r="AD2" s="284"/>
      <c r="AE2" s="284"/>
      <c r="AF2" s="284"/>
      <c r="AG2" s="284"/>
      <c r="AH2" s="284"/>
      <c r="AJ2" s="534" t="s">
        <v>2395</v>
      </c>
      <c r="AK2" s="534"/>
      <c r="AL2" s="534"/>
    </row>
    <row r="3" spans="1:38" ht="13.8" thickBot="1" x14ac:dyDescent="0.3">
      <c r="A3" s="308" t="s">
        <v>2393</v>
      </c>
      <c r="B3" s="310">
        <v>1</v>
      </c>
      <c r="C3" s="311">
        <v>2</v>
      </c>
      <c r="D3" s="311">
        <v>3</v>
      </c>
      <c r="E3" s="311">
        <v>4</v>
      </c>
      <c r="F3" s="311">
        <v>5</v>
      </c>
      <c r="G3" s="311">
        <v>6</v>
      </c>
      <c r="H3" s="311">
        <v>7</v>
      </c>
      <c r="I3" s="312">
        <v>8</v>
      </c>
      <c r="J3" s="313">
        <v>9</v>
      </c>
      <c r="K3" s="311" t="s">
        <v>2387</v>
      </c>
      <c r="L3" s="311" t="s">
        <v>2388</v>
      </c>
      <c r="M3" s="311" t="s">
        <v>2389</v>
      </c>
      <c r="N3" s="311" t="s">
        <v>2390</v>
      </c>
      <c r="O3" s="311" t="s">
        <v>2391</v>
      </c>
      <c r="P3" s="311" t="s">
        <v>2392</v>
      </c>
      <c r="Q3" s="314">
        <v>10</v>
      </c>
      <c r="R3" s="310">
        <v>11</v>
      </c>
      <c r="S3" s="311">
        <v>12</v>
      </c>
      <c r="T3" s="311">
        <v>13</v>
      </c>
      <c r="U3" s="311">
        <v>14</v>
      </c>
      <c r="V3" s="311">
        <v>15</v>
      </c>
      <c r="W3" s="311">
        <v>16</v>
      </c>
      <c r="X3" s="311">
        <v>17</v>
      </c>
      <c r="Y3" s="312">
        <v>18</v>
      </c>
      <c r="Z3" s="313">
        <v>19</v>
      </c>
      <c r="AA3" s="311" t="s">
        <v>460</v>
      </c>
      <c r="AB3" s="311" t="s">
        <v>461</v>
      </c>
      <c r="AC3" s="311" t="s">
        <v>462</v>
      </c>
      <c r="AD3" s="311" t="s">
        <v>463</v>
      </c>
      <c r="AE3" s="311" t="s">
        <v>464</v>
      </c>
      <c r="AF3" s="311" t="s">
        <v>465</v>
      </c>
      <c r="AG3" s="314">
        <v>20</v>
      </c>
      <c r="AH3" s="309" t="s">
        <v>2394</v>
      </c>
      <c r="AJ3" s="534"/>
      <c r="AK3" s="534"/>
      <c r="AL3" s="534"/>
    </row>
    <row r="4" spans="1:38" x14ac:dyDescent="0.25">
      <c r="A4" s="297" t="s">
        <v>4623</v>
      </c>
      <c r="B4" s="302">
        <v>1</v>
      </c>
      <c r="C4" s="303"/>
      <c r="D4" s="303">
        <v>1</v>
      </c>
      <c r="E4" s="303">
        <v>1</v>
      </c>
      <c r="F4" s="303">
        <v>1</v>
      </c>
      <c r="G4" s="303">
        <v>1</v>
      </c>
      <c r="H4" s="303">
        <v>1</v>
      </c>
      <c r="I4" s="304"/>
      <c r="J4" s="305"/>
      <c r="K4" s="303"/>
      <c r="L4" s="303">
        <v>1</v>
      </c>
      <c r="M4" s="303">
        <v>1</v>
      </c>
      <c r="N4" s="303">
        <v>1</v>
      </c>
      <c r="O4" s="303"/>
      <c r="P4" s="303">
        <v>1</v>
      </c>
      <c r="Q4" s="306">
        <v>1</v>
      </c>
      <c r="R4" s="302">
        <v>1</v>
      </c>
      <c r="S4" s="303"/>
      <c r="T4" s="303">
        <v>1</v>
      </c>
      <c r="U4" s="303">
        <v>1</v>
      </c>
      <c r="V4" s="303">
        <v>1</v>
      </c>
      <c r="W4" s="303"/>
      <c r="X4" s="303"/>
      <c r="Y4" s="304"/>
      <c r="Z4" s="305"/>
      <c r="AA4" s="303"/>
      <c r="AB4" s="303"/>
      <c r="AC4" s="303">
        <v>1</v>
      </c>
      <c r="AD4" s="303"/>
      <c r="AE4" s="303"/>
      <c r="AF4" s="303"/>
      <c r="AG4" s="306">
        <v>1</v>
      </c>
      <c r="AH4" s="307" t="s">
        <v>4624</v>
      </c>
      <c r="AJ4" s="534"/>
      <c r="AK4" s="534"/>
      <c r="AL4" s="534"/>
    </row>
    <row r="5" spans="1:38" x14ac:dyDescent="0.25">
      <c r="A5" s="531" t="s">
        <v>4625</v>
      </c>
      <c r="B5" s="287">
        <v>1</v>
      </c>
      <c r="C5" s="288"/>
      <c r="D5" s="288">
        <v>1</v>
      </c>
      <c r="E5" s="288">
        <v>1</v>
      </c>
      <c r="F5" s="288">
        <v>1</v>
      </c>
      <c r="G5" s="288">
        <v>1</v>
      </c>
      <c r="H5" s="288">
        <v>1</v>
      </c>
      <c r="I5" s="289"/>
      <c r="J5" s="290"/>
      <c r="K5" s="288"/>
      <c r="L5" s="288">
        <v>1</v>
      </c>
      <c r="M5" s="288">
        <v>1</v>
      </c>
      <c r="N5" s="288">
        <v>1</v>
      </c>
      <c r="O5" s="288"/>
      <c r="P5" s="288">
        <v>1</v>
      </c>
      <c r="Q5" s="291">
        <v>1</v>
      </c>
      <c r="R5" s="287">
        <v>1</v>
      </c>
      <c r="S5" s="288"/>
      <c r="T5" s="288">
        <v>1</v>
      </c>
      <c r="U5" s="288">
        <v>1</v>
      </c>
      <c r="V5" s="288">
        <v>1</v>
      </c>
      <c r="W5" s="288"/>
      <c r="X5" s="288"/>
      <c r="Y5" s="289"/>
      <c r="Z5" s="290"/>
      <c r="AA5" s="288"/>
      <c r="AB5" s="288"/>
      <c r="AC5" s="288">
        <v>1</v>
      </c>
      <c r="AD5" s="288"/>
      <c r="AE5" s="288"/>
      <c r="AF5" s="288"/>
      <c r="AG5" s="291">
        <v>1</v>
      </c>
      <c r="AH5" s="286" t="s">
        <v>4607</v>
      </c>
      <c r="AJ5" s="534"/>
      <c r="AK5" s="534"/>
      <c r="AL5" s="534"/>
    </row>
    <row r="6" spans="1:38" x14ac:dyDescent="0.25">
      <c r="A6" s="5" t="s">
        <v>2577</v>
      </c>
      <c r="B6" s="287"/>
      <c r="C6" s="288">
        <v>1</v>
      </c>
      <c r="D6" s="288"/>
      <c r="E6" s="288">
        <v>1</v>
      </c>
      <c r="F6" s="288"/>
      <c r="G6" s="288">
        <v>1</v>
      </c>
      <c r="H6" s="288"/>
      <c r="I6" s="289"/>
      <c r="J6" s="290"/>
      <c r="K6" s="288">
        <v>1</v>
      </c>
      <c r="L6" s="288">
        <v>1</v>
      </c>
      <c r="M6" s="288"/>
      <c r="N6" s="288"/>
      <c r="O6" s="288"/>
      <c r="P6" s="288">
        <v>1</v>
      </c>
      <c r="Q6" s="291"/>
      <c r="R6" s="287"/>
      <c r="S6" s="288"/>
      <c r="T6" s="288"/>
      <c r="U6" s="288"/>
      <c r="V6" s="288"/>
      <c r="W6" s="288"/>
      <c r="X6" s="288"/>
      <c r="Y6" s="289"/>
      <c r="Z6" s="290"/>
      <c r="AA6" s="288"/>
      <c r="AB6" s="288"/>
      <c r="AC6" s="288"/>
      <c r="AD6" s="288"/>
      <c r="AE6" s="288"/>
      <c r="AF6" s="288"/>
      <c r="AG6" s="291"/>
      <c r="AH6" s="286" t="s">
        <v>2584</v>
      </c>
    </row>
    <row r="7" spans="1:38" ht="39.6" x14ac:dyDescent="0.25">
      <c r="A7" s="285" t="s">
        <v>5554</v>
      </c>
      <c r="B7" s="287">
        <v>1</v>
      </c>
      <c r="C7" s="288"/>
      <c r="D7" s="288"/>
      <c r="E7" s="288">
        <v>1</v>
      </c>
      <c r="F7" s="288">
        <v>1</v>
      </c>
      <c r="G7" s="288"/>
      <c r="H7" s="288"/>
      <c r="I7" s="289"/>
      <c r="J7" s="290"/>
      <c r="K7" s="288"/>
      <c r="L7" s="288">
        <v>1</v>
      </c>
      <c r="M7" s="288">
        <v>1</v>
      </c>
      <c r="N7" s="288">
        <v>1</v>
      </c>
      <c r="O7" s="288"/>
      <c r="P7" s="288">
        <v>1</v>
      </c>
      <c r="Q7" s="291">
        <v>1</v>
      </c>
      <c r="R7" s="287">
        <v>1</v>
      </c>
      <c r="S7" s="288"/>
      <c r="T7" s="288">
        <v>1</v>
      </c>
      <c r="U7" s="288"/>
      <c r="V7" s="288"/>
      <c r="W7" s="288"/>
      <c r="X7" s="288"/>
      <c r="Y7" s="289"/>
      <c r="Z7" s="290"/>
      <c r="AA7" s="288"/>
      <c r="AB7" s="288"/>
      <c r="AC7" s="288">
        <v>1</v>
      </c>
      <c r="AD7" s="288"/>
      <c r="AE7" s="288"/>
      <c r="AF7" s="288">
        <v>1</v>
      </c>
      <c r="AG7" s="291">
        <v>1</v>
      </c>
      <c r="AH7" s="286" t="s">
        <v>5555</v>
      </c>
    </row>
    <row r="8" spans="1:38" x14ac:dyDescent="0.25">
      <c r="A8" s="5" t="s">
        <v>3088</v>
      </c>
      <c r="B8" s="287">
        <v>1</v>
      </c>
      <c r="C8" s="288"/>
      <c r="D8" s="288"/>
      <c r="E8" s="288">
        <v>1</v>
      </c>
      <c r="F8" s="288">
        <v>1</v>
      </c>
      <c r="G8" s="288"/>
      <c r="H8" s="288"/>
      <c r="I8" s="289"/>
      <c r="J8" s="290"/>
      <c r="K8" s="288"/>
      <c r="L8" s="288">
        <v>1</v>
      </c>
      <c r="M8" s="288">
        <v>1</v>
      </c>
      <c r="N8" s="288">
        <v>1</v>
      </c>
      <c r="O8" s="288"/>
      <c r="P8" s="288"/>
      <c r="Q8" s="291">
        <v>1</v>
      </c>
      <c r="R8" s="287"/>
      <c r="S8" s="288"/>
      <c r="T8" s="288"/>
      <c r="U8" s="288"/>
      <c r="V8" s="288"/>
      <c r="W8" s="288"/>
      <c r="X8" s="288"/>
      <c r="Y8" s="289"/>
      <c r="Z8" s="290"/>
      <c r="AA8" s="288"/>
      <c r="AB8" s="288"/>
      <c r="AC8" s="288">
        <v>1</v>
      </c>
      <c r="AD8" s="288"/>
      <c r="AE8" s="288"/>
      <c r="AF8" s="288"/>
      <c r="AG8" s="291">
        <v>1</v>
      </c>
      <c r="AH8" s="286" t="s">
        <v>3089</v>
      </c>
    </row>
    <row r="9" spans="1:38" ht="39.6" x14ac:dyDescent="0.25">
      <c r="A9" s="5" t="s">
        <v>2575</v>
      </c>
      <c r="B9" s="287">
        <v>1</v>
      </c>
      <c r="C9" s="288"/>
      <c r="D9" s="288"/>
      <c r="E9" s="288">
        <v>1</v>
      </c>
      <c r="F9" s="288">
        <v>1</v>
      </c>
      <c r="G9" s="288"/>
      <c r="H9" s="288"/>
      <c r="I9" s="289"/>
      <c r="J9" s="290"/>
      <c r="K9" s="288"/>
      <c r="L9" s="288">
        <v>1</v>
      </c>
      <c r="M9" s="288">
        <v>1</v>
      </c>
      <c r="N9" s="288">
        <v>1</v>
      </c>
      <c r="O9" s="288"/>
      <c r="P9" s="288">
        <v>1</v>
      </c>
      <c r="Q9" s="291">
        <v>1</v>
      </c>
      <c r="R9" s="287">
        <v>1</v>
      </c>
      <c r="S9" s="288"/>
      <c r="T9" s="288">
        <v>1</v>
      </c>
      <c r="U9" s="288"/>
      <c r="V9" s="288"/>
      <c r="W9" s="288"/>
      <c r="X9" s="288"/>
      <c r="Y9" s="289"/>
      <c r="Z9" s="290"/>
      <c r="AA9" s="288"/>
      <c r="AB9" s="288"/>
      <c r="AC9" s="288">
        <v>1</v>
      </c>
      <c r="AD9" s="288"/>
      <c r="AE9" s="288"/>
      <c r="AF9" s="288">
        <v>1</v>
      </c>
      <c r="AG9" s="291">
        <v>1</v>
      </c>
      <c r="AH9" s="286" t="s">
        <v>3090</v>
      </c>
    </row>
    <row r="10" spans="1:38" ht="38.25" customHeight="1" x14ac:dyDescent="0.25">
      <c r="A10" s="5" t="s">
        <v>3106</v>
      </c>
      <c r="B10" s="287">
        <v>1</v>
      </c>
      <c r="C10" s="288"/>
      <c r="D10" s="288"/>
      <c r="E10" s="288">
        <v>1</v>
      </c>
      <c r="F10" s="288">
        <v>1</v>
      </c>
      <c r="G10" s="288"/>
      <c r="H10" s="288"/>
      <c r="I10" s="289"/>
      <c r="J10" s="290"/>
      <c r="K10" s="288"/>
      <c r="L10" s="288">
        <v>1</v>
      </c>
      <c r="M10" s="288">
        <v>1</v>
      </c>
      <c r="N10" s="288">
        <v>1</v>
      </c>
      <c r="O10" s="288"/>
      <c r="P10" s="288">
        <v>1</v>
      </c>
      <c r="Q10" s="291">
        <v>1</v>
      </c>
      <c r="R10" s="287">
        <v>1</v>
      </c>
      <c r="S10" s="288"/>
      <c r="T10" s="288">
        <v>1</v>
      </c>
      <c r="U10" s="288"/>
      <c r="V10" s="288"/>
      <c r="W10" s="288"/>
      <c r="X10" s="288"/>
      <c r="Y10" s="289"/>
      <c r="Z10" s="290"/>
      <c r="AA10" s="288"/>
      <c r="AB10" s="288"/>
      <c r="AC10" s="288">
        <v>1</v>
      </c>
      <c r="AD10" s="288"/>
      <c r="AE10" s="288"/>
      <c r="AF10" s="288">
        <v>1</v>
      </c>
      <c r="AG10" s="291">
        <v>1</v>
      </c>
      <c r="AH10" s="286" t="s">
        <v>3107</v>
      </c>
    </row>
    <row r="11" spans="1:38" ht="38.25" customHeight="1" x14ac:dyDescent="0.25">
      <c r="A11" s="5" t="s">
        <v>3115</v>
      </c>
      <c r="B11" s="287">
        <v>1</v>
      </c>
      <c r="C11" s="288"/>
      <c r="D11" s="288"/>
      <c r="E11" s="288">
        <v>1</v>
      </c>
      <c r="F11" s="288">
        <v>1</v>
      </c>
      <c r="G11" s="288"/>
      <c r="H11" s="288"/>
      <c r="I11" s="289"/>
      <c r="J11" s="290"/>
      <c r="K11" s="288"/>
      <c r="L11" s="288">
        <v>1</v>
      </c>
      <c r="M11" s="288">
        <v>1</v>
      </c>
      <c r="N11" s="288">
        <v>1</v>
      </c>
      <c r="O11" s="288"/>
      <c r="P11" s="288">
        <v>1</v>
      </c>
      <c r="Q11" s="291">
        <v>1</v>
      </c>
      <c r="R11" s="287">
        <v>1</v>
      </c>
      <c r="S11" s="288"/>
      <c r="T11" s="288">
        <v>1</v>
      </c>
      <c r="U11" s="288"/>
      <c r="V11" s="288"/>
      <c r="W11" s="288"/>
      <c r="X11" s="288"/>
      <c r="Y11" s="289"/>
      <c r="Z11" s="290"/>
      <c r="AA11" s="288"/>
      <c r="AB11" s="288"/>
      <c r="AC11" s="288">
        <v>1</v>
      </c>
      <c r="AD11" s="288"/>
      <c r="AE11" s="288"/>
      <c r="AF11" s="288">
        <v>1</v>
      </c>
      <c r="AG11" s="291">
        <v>1</v>
      </c>
      <c r="AH11" s="286" t="s">
        <v>3116</v>
      </c>
    </row>
    <row r="12" spans="1:38" ht="38.25" customHeight="1" x14ac:dyDescent="0.25">
      <c r="A12" s="5" t="s">
        <v>2575</v>
      </c>
      <c r="B12" s="287">
        <v>1</v>
      </c>
      <c r="C12" s="288"/>
      <c r="D12" s="288"/>
      <c r="E12" s="288">
        <v>1</v>
      </c>
      <c r="F12" s="288">
        <v>1</v>
      </c>
      <c r="G12" s="288"/>
      <c r="H12" s="288"/>
      <c r="I12" s="289"/>
      <c r="J12" s="290"/>
      <c r="K12" s="288"/>
      <c r="L12" s="288">
        <v>1</v>
      </c>
      <c r="M12" s="288">
        <v>1</v>
      </c>
      <c r="N12" s="288">
        <v>1</v>
      </c>
      <c r="O12" s="288"/>
      <c r="P12" s="288">
        <v>1</v>
      </c>
      <c r="Q12" s="291">
        <v>1</v>
      </c>
      <c r="R12" s="287">
        <v>1</v>
      </c>
      <c r="S12" s="288"/>
      <c r="T12" s="288">
        <v>1</v>
      </c>
      <c r="U12" s="288"/>
      <c r="V12" s="288"/>
      <c r="W12" s="288"/>
      <c r="X12" s="288"/>
      <c r="Y12" s="289"/>
      <c r="Z12" s="290"/>
      <c r="AA12" s="288"/>
      <c r="AB12" s="288"/>
      <c r="AC12" s="288">
        <v>1</v>
      </c>
      <c r="AD12" s="288"/>
      <c r="AE12" s="288"/>
      <c r="AF12" s="288">
        <v>1</v>
      </c>
      <c r="AG12" s="291">
        <v>1</v>
      </c>
      <c r="AH12" s="286" t="s">
        <v>3090</v>
      </c>
    </row>
    <row r="13" spans="1:38" ht="38.25" customHeight="1" x14ac:dyDescent="0.25">
      <c r="A13" s="5" t="s">
        <v>3117</v>
      </c>
      <c r="B13" s="287">
        <v>1</v>
      </c>
      <c r="C13" s="288"/>
      <c r="D13" s="288"/>
      <c r="E13" s="288">
        <v>1</v>
      </c>
      <c r="F13" s="288">
        <v>1</v>
      </c>
      <c r="G13" s="288"/>
      <c r="H13" s="288"/>
      <c r="I13" s="289"/>
      <c r="J13" s="290"/>
      <c r="K13" s="288"/>
      <c r="L13" s="288">
        <v>1</v>
      </c>
      <c r="M13" s="288">
        <v>1</v>
      </c>
      <c r="N13" s="288">
        <v>1</v>
      </c>
      <c r="O13" s="288"/>
      <c r="P13" s="288">
        <v>1</v>
      </c>
      <c r="Q13" s="291">
        <v>1</v>
      </c>
      <c r="R13" s="287"/>
      <c r="S13" s="288"/>
      <c r="T13" s="288"/>
      <c r="U13" s="288"/>
      <c r="V13" s="288"/>
      <c r="W13" s="288"/>
      <c r="X13" s="288"/>
      <c r="Y13" s="289"/>
      <c r="Z13" s="290"/>
      <c r="AA13" s="288"/>
      <c r="AB13" s="288"/>
      <c r="AC13" s="288">
        <v>1</v>
      </c>
      <c r="AD13" s="288"/>
      <c r="AE13" s="288">
        <v>1</v>
      </c>
      <c r="AF13" s="288">
        <v>1</v>
      </c>
      <c r="AG13" s="291">
        <v>1</v>
      </c>
      <c r="AH13" s="286" t="s">
        <v>3118</v>
      </c>
    </row>
    <row r="14" spans="1:38" ht="38.25" customHeight="1" x14ac:dyDescent="0.25">
      <c r="A14" s="285" t="s">
        <v>3157</v>
      </c>
      <c r="B14" s="287">
        <v>1</v>
      </c>
      <c r="C14" s="288">
        <v>1</v>
      </c>
      <c r="D14" s="288"/>
      <c r="E14" s="288"/>
      <c r="F14" s="288"/>
      <c r="G14" s="288"/>
      <c r="H14" s="288"/>
      <c r="I14" s="289"/>
      <c r="J14" s="290">
        <v>1</v>
      </c>
      <c r="K14" s="288">
        <v>1</v>
      </c>
      <c r="L14" s="288"/>
      <c r="M14" s="288"/>
      <c r="N14" s="288"/>
      <c r="O14" s="288"/>
      <c r="P14" s="288"/>
      <c r="Q14" s="291"/>
      <c r="R14" s="287"/>
      <c r="S14" s="288"/>
      <c r="T14" s="288"/>
      <c r="U14" s="288"/>
      <c r="V14" s="288"/>
      <c r="W14" s="288"/>
      <c r="X14" s="288"/>
      <c r="Y14" s="289"/>
      <c r="Z14" s="290"/>
      <c r="AA14" s="288"/>
      <c r="AB14" s="288"/>
      <c r="AC14" s="288"/>
      <c r="AD14" s="288"/>
      <c r="AE14" s="288"/>
      <c r="AF14" s="288"/>
      <c r="AG14" s="291"/>
      <c r="AH14" s="286" t="s">
        <v>3158</v>
      </c>
    </row>
    <row r="15" spans="1:38" ht="38.25" customHeight="1" x14ac:dyDescent="0.25">
      <c r="A15" s="5" t="s">
        <v>3208</v>
      </c>
      <c r="B15" s="287">
        <v>1</v>
      </c>
      <c r="C15" s="288"/>
      <c r="D15" s="288"/>
      <c r="E15" s="288">
        <v>1</v>
      </c>
      <c r="F15" s="288">
        <v>1</v>
      </c>
      <c r="G15" s="288"/>
      <c r="H15" s="288"/>
      <c r="I15" s="289"/>
      <c r="J15" s="290"/>
      <c r="K15" s="288"/>
      <c r="L15" s="288">
        <v>1</v>
      </c>
      <c r="M15" s="288">
        <v>1</v>
      </c>
      <c r="N15" s="288">
        <v>1</v>
      </c>
      <c r="O15" s="288"/>
      <c r="P15" s="288">
        <v>1</v>
      </c>
      <c r="Q15" s="291">
        <v>1</v>
      </c>
      <c r="R15" s="287">
        <v>1</v>
      </c>
      <c r="S15" s="288"/>
      <c r="T15" s="288">
        <v>1</v>
      </c>
      <c r="U15" s="288"/>
      <c r="V15" s="288"/>
      <c r="W15" s="288"/>
      <c r="X15" s="288"/>
      <c r="Y15" s="289"/>
      <c r="Z15" s="290"/>
      <c r="AA15" s="288"/>
      <c r="AB15" s="288"/>
      <c r="AC15" s="288">
        <v>1</v>
      </c>
      <c r="AD15" s="288"/>
      <c r="AE15" s="288"/>
      <c r="AF15" s="288">
        <v>1</v>
      </c>
      <c r="AG15" s="291">
        <v>1</v>
      </c>
      <c r="AH15" s="286" t="s">
        <v>3209</v>
      </c>
    </row>
    <row r="16" spans="1:38" ht="38.25" customHeight="1" x14ac:dyDescent="0.25">
      <c r="A16" s="5" t="s">
        <v>3208</v>
      </c>
      <c r="B16" s="287">
        <v>1</v>
      </c>
      <c r="C16" s="288"/>
      <c r="D16" s="288"/>
      <c r="E16" s="288">
        <v>1</v>
      </c>
      <c r="F16" s="288">
        <v>1</v>
      </c>
      <c r="G16" s="288"/>
      <c r="H16" s="288"/>
      <c r="I16" s="289"/>
      <c r="J16" s="290"/>
      <c r="K16" s="288"/>
      <c r="L16" s="288">
        <v>1</v>
      </c>
      <c r="M16" s="288">
        <v>1</v>
      </c>
      <c r="N16" s="288">
        <v>1</v>
      </c>
      <c r="O16" s="288"/>
      <c r="P16" s="288">
        <v>1</v>
      </c>
      <c r="Q16" s="291">
        <v>1</v>
      </c>
      <c r="R16" s="287">
        <v>1</v>
      </c>
      <c r="S16" s="288"/>
      <c r="T16" s="288">
        <v>1</v>
      </c>
      <c r="U16" s="288"/>
      <c r="V16" s="288"/>
      <c r="W16" s="288"/>
      <c r="X16" s="288"/>
      <c r="Y16" s="289"/>
      <c r="Z16" s="290"/>
      <c r="AA16" s="288"/>
      <c r="AB16" s="288"/>
      <c r="AC16" s="288">
        <v>1</v>
      </c>
      <c r="AD16" s="288"/>
      <c r="AE16" s="288"/>
      <c r="AF16" s="288">
        <v>1</v>
      </c>
      <c r="AG16" s="291">
        <v>1</v>
      </c>
      <c r="AH16" s="286" t="s">
        <v>3209</v>
      </c>
    </row>
    <row r="17" spans="1:34" ht="38.25" customHeight="1" x14ac:dyDescent="0.25">
      <c r="A17" s="362" t="s">
        <v>3216</v>
      </c>
      <c r="B17" s="287">
        <v>1</v>
      </c>
      <c r="C17" s="288"/>
      <c r="D17" s="288">
        <v>1</v>
      </c>
      <c r="E17" s="288">
        <v>1</v>
      </c>
      <c r="F17" s="288">
        <v>1</v>
      </c>
      <c r="G17" s="288">
        <v>1</v>
      </c>
      <c r="H17" s="288">
        <v>1</v>
      </c>
      <c r="I17" s="289"/>
      <c r="J17" s="290"/>
      <c r="K17" s="288"/>
      <c r="L17" s="288"/>
      <c r="M17" s="288">
        <v>1</v>
      </c>
      <c r="N17" s="288">
        <v>1</v>
      </c>
      <c r="O17" s="288"/>
      <c r="P17" s="288"/>
      <c r="Q17" s="291"/>
      <c r="R17" s="287">
        <v>1</v>
      </c>
      <c r="S17" s="288"/>
      <c r="T17" s="288">
        <v>1</v>
      </c>
      <c r="U17" s="288">
        <v>1</v>
      </c>
      <c r="V17" s="288">
        <v>1</v>
      </c>
      <c r="W17" s="288"/>
      <c r="X17" s="288"/>
      <c r="Y17" s="289"/>
      <c r="Z17" s="290"/>
      <c r="AA17" s="288"/>
      <c r="AB17" s="288"/>
      <c r="AC17" s="288">
        <v>1</v>
      </c>
      <c r="AD17" s="288"/>
      <c r="AE17" s="288"/>
      <c r="AF17" s="288"/>
      <c r="AG17" s="291">
        <v>1</v>
      </c>
      <c r="AH17" s="286" t="s">
        <v>3217</v>
      </c>
    </row>
    <row r="18" spans="1:34" ht="38.25" customHeight="1" x14ac:dyDescent="0.25">
      <c r="A18" s="315" t="s">
        <v>3215</v>
      </c>
      <c r="B18" s="287"/>
      <c r="C18" s="288"/>
      <c r="D18" s="288"/>
      <c r="E18" s="288"/>
      <c r="F18" s="288"/>
      <c r="G18" s="288"/>
      <c r="H18" s="288"/>
      <c r="I18" s="289"/>
      <c r="J18" s="290"/>
      <c r="K18" s="288"/>
      <c r="L18" s="288"/>
      <c r="M18" s="288"/>
      <c r="N18" s="288">
        <v>1</v>
      </c>
      <c r="O18" s="288"/>
      <c r="P18" s="288"/>
      <c r="Q18" s="291"/>
      <c r="R18" s="287"/>
      <c r="S18" s="288"/>
      <c r="T18" s="288"/>
      <c r="U18" s="288"/>
      <c r="V18" s="288"/>
      <c r="W18" s="288"/>
      <c r="X18" s="288"/>
      <c r="Y18" s="289"/>
      <c r="Z18" s="290"/>
      <c r="AA18" s="288"/>
      <c r="AB18" s="288"/>
      <c r="AC18" s="288"/>
      <c r="AD18" s="288"/>
      <c r="AE18" s="288"/>
      <c r="AF18" s="288"/>
      <c r="AG18" s="291"/>
      <c r="AH18" s="286" t="s">
        <v>225</v>
      </c>
    </row>
    <row r="19" spans="1:34" ht="38.25" customHeight="1" x14ac:dyDescent="0.25">
      <c r="A19" s="5">
        <v>40540000</v>
      </c>
      <c r="B19" s="287"/>
      <c r="C19" s="288">
        <v>1</v>
      </c>
      <c r="D19" s="288"/>
      <c r="E19" s="288"/>
      <c r="F19" s="288"/>
      <c r="G19" s="288"/>
      <c r="H19" s="288"/>
      <c r="I19" s="289"/>
      <c r="J19" s="290"/>
      <c r="K19" s="288">
        <v>1</v>
      </c>
      <c r="L19" s="288"/>
      <c r="M19" s="288">
        <v>1</v>
      </c>
      <c r="N19" s="288"/>
      <c r="O19" s="288">
        <v>1</v>
      </c>
      <c r="P19" s="288"/>
      <c r="Q19" s="291"/>
      <c r="R19" s="287"/>
      <c r="S19" s="288"/>
      <c r="T19" s="288"/>
      <c r="U19" s="288"/>
      <c r="V19" s="288"/>
      <c r="W19" s="288"/>
      <c r="X19" s="288"/>
      <c r="Y19" s="289"/>
      <c r="Z19" s="290"/>
      <c r="AA19" s="288"/>
      <c r="AB19" s="288"/>
      <c r="AC19" s="288"/>
      <c r="AD19" s="288"/>
      <c r="AE19" s="288"/>
      <c r="AF19" s="288"/>
      <c r="AG19" s="291"/>
      <c r="AH19" s="286" t="s">
        <v>3222</v>
      </c>
    </row>
    <row r="20" spans="1:34" ht="38.25" customHeight="1" x14ac:dyDescent="0.25">
      <c r="A20" s="315">
        <v>80000000</v>
      </c>
      <c r="B20" s="287">
        <v>1</v>
      </c>
      <c r="C20" s="288"/>
      <c r="D20" s="288"/>
      <c r="E20" s="288"/>
      <c r="F20" s="288"/>
      <c r="G20" s="288"/>
      <c r="H20" s="288"/>
      <c r="I20" s="289"/>
      <c r="J20" s="290"/>
      <c r="K20" s="288"/>
      <c r="L20" s="288"/>
      <c r="M20" s="288"/>
      <c r="N20" s="288"/>
      <c r="O20" s="288"/>
      <c r="P20" s="288"/>
      <c r="Q20" s="291"/>
      <c r="R20" s="287"/>
      <c r="S20" s="288"/>
      <c r="T20" s="288"/>
      <c r="U20" s="288"/>
      <c r="V20" s="288"/>
      <c r="W20" s="288"/>
      <c r="X20" s="288"/>
      <c r="Y20" s="289"/>
      <c r="Z20" s="290"/>
      <c r="AA20" s="288"/>
      <c r="AB20" s="288"/>
      <c r="AC20" s="288"/>
      <c r="AD20" s="288"/>
      <c r="AE20" s="288"/>
      <c r="AF20" s="288"/>
      <c r="AG20" s="291"/>
      <c r="AH20" s="286" t="s">
        <v>443</v>
      </c>
    </row>
    <row r="21" spans="1:34" ht="38.25" customHeight="1" x14ac:dyDescent="0.25">
      <c r="A21" s="5" t="s">
        <v>4604</v>
      </c>
      <c r="B21" s="298">
        <v>1</v>
      </c>
      <c r="C21" s="283"/>
      <c r="D21" s="283"/>
      <c r="E21" s="283">
        <v>1</v>
      </c>
      <c r="F21" s="283">
        <v>1</v>
      </c>
      <c r="G21" s="283"/>
      <c r="H21" s="283"/>
      <c r="I21" s="299"/>
      <c r="J21" s="300"/>
      <c r="K21" s="283"/>
      <c r="L21" s="283">
        <v>1</v>
      </c>
      <c r="M21" s="283">
        <v>1</v>
      </c>
      <c r="N21" s="283">
        <v>1</v>
      </c>
      <c r="O21" s="283"/>
      <c r="P21" s="283">
        <v>1</v>
      </c>
      <c r="Q21" s="301">
        <v>1</v>
      </c>
      <c r="R21" s="298">
        <v>1</v>
      </c>
      <c r="S21" s="283"/>
      <c r="T21" s="283">
        <v>1</v>
      </c>
      <c r="U21" s="283"/>
      <c r="V21" s="283"/>
      <c r="W21" s="283"/>
      <c r="X21" s="283"/>
      <c r="Y21" s="299"/>
      <c r="Z21" s="300"/>
      <c r="AA21" s="283"/>
      <c r="AB21" s="283"/>
      <c r="AC21" s="283">
        <v>1</v>
      </c>
      <c r="AD21" s="283"/>
      <c r="AE21" s="283"/>
      <c r="AF21" s="283"/>
      <c r="AG21" s="301">
        <v>1</v>
      </c>
      <c r="AH21" s="307" t="s">
        <v>4605</v>
      </c>
    </row>
    <row r="22" spans="1:34" ht="38.25" customHeight="1" x14ac:dyDescent="0.25">
      <c r="A22" s="5" t="s">
        <v>3658</v>
      </c>
      <c r="B22" s="298">
        <v>1</v>
      </c>
      <c r="C22" s="283"/>
      <c r="D22" s="283"/>
      <c r="E22" s="283">
        <v>1</v>
      </c>
      <c r="F22" s="283">
        <v>1</v>
      </c>
      <c r="G22" s="283"/>
      <c r="H22" s="283"/>
      <c r="I22" s="299"/>
      <c r="J22" s="300"/>
      <c r="K22" s="283"/>
      <c r="L22" s="283">
        <v>1</v>
      </c>
      <c r="M22" s="283">
        <v>1</v>
      </c>
      <c r="N22" s="283">
        <v>1</v>
      </c>
      <c r="O22" s="283"/>
      <c r="P22" s="283">
        <v>1</v>
      </c>
      <c r="Q22" s="301">
        <v>1</v>
      </c>
      <c r="R22" s="298">
        <v>1</v>
      </c>
      <c r="S22" s="283"/>
      <c r="T22" s="283">
        <v>1</v>
      </c>
      <c r="U22" s="283"/>
      <c r="V22" s="283"/>
      <c r="W22" s="283"/>
      <c r="X22" s="283"/>
      <c r="Y22" s="299"/>
      <c r="Z22" s="300"/>
      <c r="AA22" s="283"/>
      <c r="AB22" s="283"/>
      <c r="AC22" s="283">
        <v>1</v>
      </c>
      <c r="AD22" s="283"/>
      <c r="AE22" s="283"/>
      <c r="AF22" s="283"/>
      <c r="AG22" s="301">
        <v>1</v>
      </c>
      <c r="AH22" s="307" t="s">
        <v>3659</v>
      </c>
    </row>
    <row r="23" spans="1:34" ht="105" customHeight="1" x14ac:dyDescent="0.25">
      <c r="A23" s="362" t="s">
        <v>3910</v>
      </c>
      <c r="B23" s="287">
        <v>1</v>
      </c>
      <c r="C23" s="288">
        <v>1</v>
      </c>
      <c r="D23" s="288">
        <v>1</v>
      </c>
      <c r="E23" s="288">
        <v>1</v>
      </c>
      <c r="F23" s="288">
        <v>1</v>
      </c>
      <c r="G23" s="288">
        <v>1</v>
      </c>
      <c r="H23" s="288">
        <v>1</v>
      </c>
      <c r="I23" s="289">
        <v>1</v>
      </c>
      <c r="J23" s="290">
        <v>1</v>
      </c>
      <c r="K23" s="288">
        <v>1</v>
      </c>
      <c r="L23" s="288">
        <v>1</v>
      </c>
      <c r="M23" s="288">
        <v>1</v>
      </c>
      <c r="N23" s="288">
        <v>1</v>
      </c>
      <c r="O23" s="288">
        <v>1</v>
      </c>
      <c r="P23" s="288">
        <v>1</v>
      </c>
      <c r="Q23" s="291">
        <v>1</v>
      </c>
      <c r="R23" s="287">
        <v>1</v>
      </c>
      <c r="S23" s="288">
        <v>1</v>
      </c>
      <c r="T23" s="288">
        <v>1</v>
      </c>
      <c r="U23" s="288">
        <v>1</v>
      </c>
      <c r="V23" s="288">
        <v>1</v>
      </c>
      <c r="W23" s="288">
        <v>1</v>
      </c>
      <c r="X23" s="288">
        <v>1</v>
      </c>
      <c r="Y23" s="289">
        <v>1</v>
      </c>
      <c r="Z23" s="290">
        <v>1</v>
      </c>
      <c r="AA23" s="288">
        <v>1</v>
      </c>
      <c r="AB23" s="288">
        <v>1</v>
      </c>
      <c r="AC23" s="288">
        <v>1</v>
      </c>
      <c r="AD23" s="288">
        <v>1</v>
      </c>
      <c r="AE23" s="288">
        <v>1</v>
      </c>
      <c r="AF23" s="288">
        <v>1</v>
      </c>
      <c r="AG23" s="291">
        <v>1</v>
      </c>
      <c r="AH23" s="286" t="s">
        <v>3909</v>
      </c>
    </row>
    <row r="24" spans="1:34" ht="38.25" customHeight="1" x14ac:dyDescent="0.25">
      <c r="A24" s="5" t="s">
        <v>3911</v>
      </c>
      <c r="B24" s="287"/>
      <c r="C24" s="288"/>
      <c r="D24" s="288"/>
      <c r="E24" s="288"/>
      <c r="F24" s="288"/>
      <c r="G24" s="288"/>
      <c r="H24" s="288"/>
      <c r="I24" s="289"/>
      <c r="J24" s="290"/>
      <c r="K24" s="288"/>
      <c r="L24" s="288">
        <v>1</v>
      </c>
      <c r="M24" s="288"/>
      <c r="N24" s="288"/>
      <c r="O24" s="288"/>
      <c r="P24" s="288"/>
      <c r="Q24" s="291"/>
      <c r="R24" s="287"/>
      <c r="S24" s="288"/>
      <c r="T24" s="288"/>
      <c r="U24" s="288"/>
      <c r="V24" s="288"/>
      <c r="W24" s="288"/>
      <c r="X24" s="288"/>
      <c r="Y24" s="289"/>
      <c r="Z24" s="290"/>
      <c r="AA24" s="288"/>
      <c r="AB24" s="288"/>
      <c r="AC24" s="288"/>
      <c r="AD24" s="288"/>
      <c r="AE24" s="288"/>
      <c r="AF24" s="288"/>
      <c r="AG24" s="291"/>
      <c r="AH24" s="286" t="s">
        <v>453</v>
      </c>
    </row>
    <row r="25" spans="1:34" ht="38.25" customHeight="1" x14ac:dyDescent="0.25">
      <c r="A25" s="362" t="s">
        <v>3918</v>
      </c>
      <c r="B25" s="287"/>
      <c r="C25" s="288"/>
      <c r="D25" s="288"/>
      <c r="E25" s="288"/>
      <c r="F25" s="288">
        <v>1</v>
      </c>
      <c r="G25" s="288"/>
      <c r="H25" s="288"/>
      <c r="I25" s="289"/>
      <c r="J25" s="290"/>
      <c r="K25" s="288"/>
      <c r="L25" s="288"/>
      <c r="M25" s="288"/>
      <c r="N25" s="288"/>
      <c r="O25" s="288"/>
      <c r="P25" s="288"/>
      <c r="Q25" s="291"/>
      <c r="R25" s="287"/>
      <c r="S25" s="288"/>
      <c r="T25" s="288"/>
      <c r="U25" s="288"/>
      <c r="V25" s="288"/>
      <c r="W25" s="288"/>
      <c r="X25" s="288"/>
      <c r="Y25" s="289">
        <v>1</v>
      </c>
      <c r="Z25" s="290"/>
      <c r="AA25" s="288"/>
      <c r="AB25" s="288"/>
      <c r="AC25" s="288"/>
      <c r="AD25" s="288"/>
      <c r="AE25" s="288"/>
      <c r="AF25" s="288"/>
      <c r="AG25" s="291"/>
      <c r="AH25" s="286"/>
    </row>
    <row r="26" spans="1:34" ht="38.25" customHeight="1" x14ac:dyDescent="0.25">
      <c r="A26" s="5">
        <v>80008001</v>
      </c>
      <c r="B26" s="287">
        <v>1</v>
      </c>
      <c r="C26" s="288"/>
      <c r="D26" s="288"/>
      <c r="E26" s="288"/>
      <c r="F26" s="288"/>
      <c r="G26" s="288"/>
      <c r="H26" s="288"/>
      <c r="I26" s="289"/>
      <c r="J26" s="290"/>
      <c r="K26" s="288"/>
      <c r="L26" s="288"/>
      <c r="M26" s="288"/>
      <c r="N26" s="288"/>
      <c r="O26" s="288"/>
      <c r="P26" s="288">
        <v>1</v>
      </c>
      <c r="Q26" s="291"/>
      <c r="R26" s="287">
        <v>1</v>
      </c>
      <c r="S26" s="288"/>
      <c r="T26" s="288"/>
      <c r="U26" s="288"/>
      <c r="V26" s="288"/>
      <c r="W26" s="288"/>
      <c r="X26" s="288"/>
      <c r="Y26" s="289"/>
      <c r="Z26" s="290"/>
      <c r="AA26" s="288"/>
      <c r="AB26" s="288"/>
      <c r="AC26" s="288"/>
      <c r="AD26" s="288"/>
      <c r="AE26" s="288"/>
      <c r="AF26" s="288"/>
      <c r="AG26" s="291">
        <v>1</v>
      </c>
      <c r="AH26" s="286" t="s">
        <v>4548</v>
      </c>
    </row>
    <row r="27" spans="1:34" ht="38.25" customHeight="1" x14ac:dyDescent="0.25">
      <c r="A27" s="5" t="s">
        <v>4604</v>
      </c>
      <c r="B27" s="298">
        <v>1</v>
      </c>
      <c r="C27" s="283"/>
      <c r="D27" s="283"/>
      <c r="E27" s="283">
        <v>1</v>
      </c>
      <c r="F27" s="283">
        <v>1</v>
      </c>
      <c r="G27" s="283"/>
      <c r="H27" s="283"/>
      <c r="I27" s="299"/>
      <c r="J27" s="300"/>
      <c r="K27" s="283"/>
      <c r="L27" s="283">
        <v>1</v>
      </c>
      <c r="M27" s="283">
        <v>1</v>
      </c>
      <c r="N27" s="283">
        <v>1</v>
      </c>
      <c r="O27" s="283"/>
      <c r="P27" s="283">
        <v>1</v>
      </c>
      <c r="Q27" s="301">
        <v>1</v>
      </c>
      <c r="R27" s="298">
        <v>1</v>
      </c>
      <c r="S27" s="283"/>
      <c r="T27" s="283"/>
      <c r="U27" s="283"/>
      <c r="V27" s="283"/>
      <c r="W27" s="283"/>
      <c r="X27" s="283"/>
      <c r="Y27" s="299"/>
      <c r="Z27" s="300"/>
      <c r="AA27" s="283"/>
      <c r="AB27" s="283"/>
      <c r="AC27" s="283"/>
      <c r="AD27" s="283"/>
      <c r="AE27" s="283"/>
      <c r="AF27" s="283"/>
      <c r="AG27" s="301">
        <v>1</v>
      </c>
      <c r="AH27" s="307" t="s">
        <v>4605</v>
      </c>
    </row>
    <row r="28" spans="1:34" ht="38.25" customHeight="1" x14ac:dyDescent="0.25">
      <c r="A28" s="285" t="s">
        <v>4606</v>
      </c>
      <c r="B28" s="287"/>
      <c r="C28" s="288"/>
      <c r="D28" s="288"/>
      <c r="E28" s="288"/>
      <c r="F28" s="288"/>
      <c r="G28" s="288"/>
      <c r="H28" s="288">
        <v>1</v>
      </c>
      <c r="I28" s="289"/>
      <c r="J28" s="290"/>
      <c r="K28" s="288"/>
      <c r="L28" s="288"/>
      <c r="M28" s="288"/>
      <c r="N28" s="288"/>
      <c r="O28" s="288"/>
      <c r="P28" s="288">
        <v>1</v>
      </c>
      <c r="Q28" s="291"/>
      <c r="R28" s="287">
        <v>1</v>
      </c>
      <c r="S28" s="288"/>
      <c r="T28" s="288"/>
      <c r="U28" s="288"/>
      <c r="V28" s="288"/>
      <c r="W28" s="288"/>
      <c r="X28" s="288"/>
      <c r="Y28" s="289"/>
      <c r="Z28" s="290"/>
      <c r="AA28" s="288"/>
      <c r="AB28" s="288"/>
      <c r="AC28" s="288"/>
      <c r="AD28" s="288"/>
      <c r="AE28" s="288"/>
      <c r="AF28" s="288"/>
      <c r="AG28" s="291">
        <v>1</v>
      </c>
      <c r="AH28" s="286" t="s">
        <v>4607</v>
      </c>
    </row>
    <row r="29" spans="1:34" ht="38.25" customHeight="1" x14ac:dyDescent="0.25">
      <c r="A29" s="285" t="s">
        <v>4608</v>
      </c>
      <c r="B29" s="287"/>
      <c r="C29" s="288"/>
      <c r="D29" s="288"/>
      <c r="E29" s="288"/>
      <c r="F29" s="288"/>
      <c r="G29" s="288">
        <v>1</v>
      </c>
      <c r="H29" s="288"/>
      <c r="I29" s="289"/>
      <c r="J29" s="290">
        <v>1</v>
      </c>
      <c r="K29" s="288"/>
      <c r="L29" s="288"/>
      <c r="M29" s="288"/>
      <c r="N29" s="288"/>
      <c r="O29" s="288"/>
      <c r="P29" s="288">
        <v>1</v>
      </c>
      <c r="Q29" s="291"/>
      <c r="R29" s="287">
        <v>1</v>
      </c>
      <c r="S29" s="288"/>
      <c r="T29" s="288"/>
      <c r="U29" s="288"/>
      <c r="V29" s="288"/>
      <c r="W29" s="288"/>
      <c r="X29" s="288"/>
      <c r="Y29" s="289"/>
      <c r="Z29" s="290"/>
      <c r="AA29" s="288"/>
      <c r="AB29" s="288">
        <v>1</v>
      </c>
      <c r="AC29" s="288">
        <v>1</v>
      </c>
      <c r="AD29" s="288"/>
      <c r="AE29" s="288">
        <v>1</v>
      </c>
      <c r="AF29" s="288"/>
      <c r="AG29" s="291">
        <v>1</v>
      </c>
      <c r="AH29" s="286" t="s">
        <v>4609</v>
      </c>
    </row>
    <row r="30" spans="1:34" ht="38.25" customHeight="1" x14ac:dyDescent="0.25">
      <c r="A30" s="285" t="s">
        <v>4610</v>
      </c>
      <c r="B30" s="287">
        <v>1</v>
      </c>
      <c r="C30" s="288"/>
      <c r="D30" s="288"/>
      <c r="E30" s="288">
        <v>1</v>
      </c>
      <c r="F30" s="288">
        <v>1</v>
      </c>
      <c r="G30" s="288"/>
      <c r="H30" s="288"/>
      <c r="I30" s="289"/>
      <c r="J30" s="290"/>
      <c r="K30" s="288"/>
      <c r="L30" s="288">
        <v>1</v>
      </c>
      <c r="M30" s="288">
        <v>1</v>
      </c>
      <c r="N30" s="288">
        <v>1</v>
      </c>
      <c r="O30" s="288"/>
      <c r="P30" s="288">
        <v>1</v>
      </c>
      <c r="Q30" s="291">
        <v>1</v>
      </c>
      <c r="R30" s="287">
        <v>1</v>
      </c>
      <c r="S30" s="288"/>
      <c r="T30" s="288"/>
      <c r="U30" s="288"/>
      <c r="V30" s="288"/>
      <c r="W30" s="288"/>
      <c r="X30" s="288"/>
      <c r="Y30" s="289"/>
      <c r="Z30" s="290"/>
      <c r="AA30" s="288"/>
      <c r="AB30" s="288"/>
      <c r="AC30" s="288"/>
      <c r="AD30" s="288"/>
      <c r="AE30" s="288"/>
      <c r="AF30" s="288"/>
      <c r="AG30" s="291">
        <v>1</v>
      </c>
      <c r="AH30" s="286" t="s">
        <v>4611</v>
      </c>
    </row>
    <row r="31" spans="1:34" ht="38.25" customHeight="1" x14ac:dyDescent="0.25">
      <c r="A31" s="285" t="s">
        <v>4612</v>
      </c>
      <c r="B31" s="287">
        <v>1</v>
      </c>
      <c r="C31" s="288"/>
      <c r="D31" s="288"/>
      <c r="E31" s="288">
        <v>1</v>
      </c>
      <c r="F31" s="288">
        <v>1</v>
      </c>
      <c r="G31" s="288"/>
      <c r="H31" s="288"/>
      <c r="I31" s="289"/>
      <c r="J31" s="290"/>
      <c r="K31" s="288"/>
      <c r="L31" s="288">
        <v>1</v>
      </c>
      <c r="M31" s="288">
        <v>1</v>
      </c>
      <c r="N31" s="288">
        <v>1</v>
      </c>
      <c r="O31" s="288"/>
      <c r="P31" s="288">
        <v>1</v>
      </c>
      <c r="Q31" s="291">
        <v>1</v>
      </c>
      <c r="R31" s="287">
        <v>1</v>
      </c>
      <c r="S31" s="288"/>
      <c r="T31" s="288">
        <v>1</v>
      </c>
      <c r="U31" s="288"/>
      <c r="V31" s="288"/>
      <c r="W31" s="288"/>
      <c r="X31" s="288"/>
      <c r="Y31" s="289"/>
      <c r="Z31" s="290"/>
      <c r="AA31" s="288"/>
      <c r="AB31" s="288"/>
      <c r="AC31" s="288">
        <v>1</v>
      </c>
      <c r="AD31" s="288"/>
      <c r="AE31" s="288"/>
      <c r="AF31" s="288">
        <v>1</v>
      </c>
      <c r="AG31" s="291">
        <v>1</v>
      </c>
      <c r="AH31" s="286" t="s">
        <v>4613</v>
      </c>
    </row>
    <row r="32" spans="1:34" ht="38.25" customHeight="1" x14ac:dyDescent="0.25">
      <c r="A32" s="285" t="s">
        <v>4614</v>
      </c>
      <c r="B32" s="287">
        <v>1</v>
      </c>
      <c r="C32" s="288"/>
      <c r="D32" s="288"/>
      <c r="E32" s="288">
        <v>1</v>
      </c>
      <c r="F32" s="288">
        <v>1</v>
      </c>
      <c r="G32" s="288"/>
      <c r="H32" s="288">
        <v>1</v>
      </c>
      <c r="I32" s="289">
        <v>1</v>
      </c>
      <c r="J32" s="290"/>
      <c r="K32" s="288"/>
      <c r="L32" s="288"/>
      <c r="M32" s="288">
        <v>1</v>
      </c>
      <c r="N32" s="288">
        <v>1</v>
      </c>
      <c r="O32" s="288"/>
      <c r="P32" s="288">
        <v>1</v>
      </c>
      <c r="Q32" s="291">
        <v>1</v>
      </c>
      <c r="R32" s="287">
        <v>1</v>
      </c>
      <c r="S32" s="288"/>
      <c r="T32" s="288"/>
      <c r="U32" s="288"/>
      <c r="V32" s="288"/>
      <c r="W32" s="288"/>
      <c r="X32" s="288"/>
      <c r="Y32" s="289"/>
      <c r="Z32" s="290"/>
      <c r="AA32" s="288"/>
      <c r="AB32" s="288"/>
      <c r="AC32" s="288"/>
      <c r="AD32" s="288"/>
      <c r="AE32" s="288"/>
      <c r="AF32" s="288"/>
      <c r="AG32" s="291">
        <v>1</v>
      </c>
      <c r="AH32" s="286" t="s">
        <v>4615</v>
      </c>
    </row>
    <row r="33" spans="1:34" ht="38.25" customHeight="1" thickBot="1" x14ac:dyDescent="0.3">
      <c r="A33" s="528" t="s">
        <v>4616</v>
      </c>
      <c r="B33" s="292"/>
      <c r="C33" s="293"/>
      <c r="D33" s="293"/>
      <c r="E33" s="293"/>
      <c r="F33" s="293"/>
      <c r="G33" s="293"/>
      <c r="H33" s="293"/>
      <c r="I33" s="294"/>
      <c r="J33" s="295"/>
      <c r="K33" s="293"/>
      <c r="L33" s="293"/>
      <c r="M33" s="293"/>
      <c r="N33" s="293"/>
      <c r="O33" s="293"/>
      <c r="P33" s="293">
        <v>1</v>
      </c>
      <c r="Q33" s="296"/>
      <c r="R33" s="292"/>
      <c r="S33" s="293"/>
      <c r="T33" s="293"/>
      <c r="U33" s="293"/>
      <c r="V33" s="293"/>
      <c r="W33" s="293"/>
      <c r="X33" s="293"/>
      <c r="Y33" s="294"/>
      <c r="Z33" s="295"/>
      <c r="AA33" s="293"/>
      <c r="AB33" s="293"/>
      <c r="AC33" s="293"/>
      <c r="AD33" s="293"/>
      <c r="AE33" s="293"/>
      <c r="AF33" s="293"/>
      <c r="AG33" s="296"/>
      <c r="AH33" s="529" t="s">
        <v>456</v>
      </c>
    </row>
    <row r="100" spans="2:33" x14ac:dyDescent="0.25"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  <c r="K100">
        <v>1</v>
      </c>
      <c r="L100">
        <v>1</v>
      </c>
      <c r="M100">
        <v>1</v>
      </c>
      <c r="N100">
        <v>1</v>
      </c>
      <c r="O100">
        <v>1</v>
      </c>
      <c r="P100">
        <v>1</v>
      </c>
      <c r="Q100">
        <v>1</v>
      </c>
      <c r="R100">
        <v>1</v>
      </c>
      <c r="T100">
        <v>1</v>
      </c>
      <c r="U100">
        <v>1</v>
      </c>
      <c r="V100">
        <v>1</v>
      </c>
      <c r="AC100">
        <v>1</v>
      </c>
      <c r="AG100">
        <v>1</v>
      </c>
    </row>
  </sheetData>
  <mergeCells count="1">
    <mergeCell ref="AJ2:AL5"/>
  </mergeCells>
  <pageMargins left="0.70866141732283472" right="0.70866141732283472" top="0.74803149606299213" bottom="0.74803149606299213" header="0.31496062992125984" footer="0.31496062992125984"/>
  <pageSetup paperSize="9" scale="85" fitToHeight="2" orientation="landscape" verticalDpi="0" r:id="rId1"/>
  <rowBreaks count="1" manualBreakCount="1">
    <brk id="19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euil10.calcul_mapping_manu_all_lignes">
                <anchor moveWithCells="1" sizeWithCells="1">
                  <from>
                    <xdr:col>35</xdr:col>
                    <xdr:colOff>449580</xdr:colOff>
                    <xdr:row>6</xdr:row>
                    <xdr:rowOff>76200</xdr:rowOff>
                  </from>
                  <to>
                    <xdr:col>37</xdr:col>
                    <xdr:colOff>7620</xdr:colOff>
                    <xdr:row>9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 filterMode="1"/>
  <dimension ref="A1:K38"/>
  <sheetViews>
    <sheetView workbookViewId="0">
      <selection activeCell="G50" sqref="G50"/>
    </sheetView>
  </sheetViews>
  <sheetFormatPr baseColWidth="10" defaultRowHeight="13.2" x14ac:dyDescent="0.25"/>
  <cols>
    <col min="1" max="1" width="5.33203125" bestFit="1" customWidth="1"/>
    <col min="2" max="2" width="4" bestFit="1" customWidth="1"/>
    <col min="3" max="3" width="12.88671875" bestFit="1" customWidth="1"/>
    <col min="4" max="4" width="10" customWidth="1"/>
    <col min="5" max="5" width="9" customWidth="1"/>
    <col min="6" max="6" width="8.109375" customWidth="1"/>
    <col min="7" max="7" width="10.21875" customWidth="1"/>
    <col min="8" max="8" width="6.88671875" customWidth="1"/>
    <col min="9" max="9" width="5.33203125" customWidth="1"/>
    <col min="10" max="10" width="6.21875" customWidth="1"/>
  </cols>
  <sheetData>
    <row r="1" spans="1:11" s="2" customFormat="1" ht="26.4" x14ac:dyDescent="0.25">
      <c r="A1" s="542" t="s">
        <v>2592</v>
      </c>
      <c r="B1" s="542"/>
      <c r="C1" s="542"/>
      <c r="D1" s="279" t="s">
        <v>2537</v>
      </c>
      <c r="E1" s="279" t="s">
        <v>2471</v>
      </c>
      <c r="F1" s="279" t="s">
        <v>3564</v>
      </c>
      <c r="G1" s="279" t="s">
        <v>3565</v>
      </c>
      <c r="H1" s="433" t="s">
        <v>3908</v>
      </c>
      <c r="I1" s="279" t="s">
        <v>4545</v>
      </c>
      <c r="J1" s="279" t="s">
        <v>4618</v>
      </c>
      <c r="K1" s="279" t="s">
        <v>4659</v>
      </c>
    </row>
    <row r="2" spans="1:11" x14ac:dyDescent="0.25">
      <c r="A2" s="1" t="s">
        <v>1541</v>
      </c>
      <c r="B2" s="1">
        <v>0</v>
      </c>
      <c r="C2" s="1" t="s">
        <v>2427</v>
      </c>
      <c r="D2" s="1" t="s">
        <v>225</v>
      </c>
      <c r="E2" s="1" t="s">
        <v>454</v>
      </c>
      <c r="F2" s="1" t="s">
        <v>80</v>
      </c>
      <c r="G2" s="530" t="s">
        <v>81</v>
      </c>
      <c r="H2" s="1" t="s">
        <v>81</v>
      </c>
      <c r="I2" s="1" t="s">
        <v>80</v>
      </c>
      <c r="J2" s="1">
        <v>2</v>
      </c>
      <c r="K2" s="1"/>
    </row>
    <row r="3" spans="1:11" hidden="1" x14ac:dyDescent="0.25">
      <c r="A3" s="1" t="s">
        <v>1112</v>
      </c>
      <c r="B3" s="1">
        <v>1</v>
      </c>
      <c r="C3" s="1" t="s">
        <v>3125</v>
      </c>
      <c r="D3" s="1" t="s">
        <v>225</v>
      </c>
      <c r="E3" s="1" t="s">
        <v>454</v>
      </c>
      <c r="F3" s="1" t="s">
        <v>142</v>
      </c>
      <c r="G3" s="1" t="s">
        <v>80</v>
      </c>
      <c r="H3" s="1" t="s">
        <v>81</v>
      </c>
      <c r="I3" s="6" t="s">
        <v>142</v>
      </c>
      <c r="J3" s="530">
        <v>4</v>
      </c>
      <c r="K3" s="1"/>
    </row>
    <row r="4" spans="1:11" hidden="1" x14ac:dyDescent="0.25">
      <c r="A4" s="1" t="s">
        <v>3287</v>
      </c>
      <c r="B4" s="1">
        <v>2</v>
      </c>
      <c r="C4" s="1" t="s">
        <v>3126</v>
      </c>
      <c r="D4" s="1" t="s">
        <v>3127</v>
      </c>
      <c r="E4" s="1" t="s">
        <v>3128</v>
      </c>
      <c r="F4" s="1" t="s">
        <v>80</v>
      </c>
      <c r="G4" s="1" t="s">
        <v>80</v>
      </c>
      <c r="H4" s="1" t="s">
        <v>81</v>
      </c>
      <c r="I4" s="1" t="s">
        <v>80</v>
      </c>
      <c r="J4" s="530">
        <v>2</v>
      </c>
      <c r="K4" s="1"/>
    </row>
    <row r="5" spans="1:11" hidden="1" x14ac:dyDescent="0.25">
      <c r="A5" s="1" t="s">
        <v>3288</v>
      </c>
      <c r="B5" s="1">
        <v>3</v>
      </c>
      <c r="C5" s="1" t="s">
        <v>3129</v>
      </c>
      <c r="D5" s="1" t="s">
        <v>3130</v>
      </c>
      <c r="E5" s="1" t="s">
        <v>3131</v>
      </c>
      <c r="F5" s="1" t="s">
        <v>80</v>
      </c>
      <c r="G5" s="1" t="s">
        <v>80</v>
      </c>
      <c r="H5" s="1" t="s">
        <v>81</v>
      </c>
      <c r="I5" s="1" t="s">
        <v>80</v>
      </c>
      <c r="J5" s="530">
        <v>2</v>
      </c>
      <c r="K5" s="1"/>
    </row>
    <row r="6" spans="1:11" x14ac:dyDescent="0.25">
      <c r="A6" s="1" t="s">
        <v>3289</v>
      </c>
      <c r="B6" s="1">
        <v>4</v>
      </c>
      <c r="C6" s="1" t="s">
        <v>3132</v>
      </c>
      <c r="D6" s="1" t="s">
        <v>142</v>
      </c>
      <c r="E6" s="1" t="s">
        <v>142</v>
      </c>
      <c r="F6" s="1" t="s">
        <v>142</v>
      </c>
      <c r="G6" s="1" t="s">
        <v>142</v>
      </c>
      <c r="H6" s="1" t="s">
        <v>81</v>
      </c>
      <c r="I6" s="6" t="s">
        <v>142</v>
      </c>
      <c r="J6" s="6" t="s">
        <v>142</v>
      </c>
      <c r="K6" s="1"/>
    </row>
    <row r="7" spans="1:11" hidden="1" x14ac:dyDescent="0.25">
      <c r="A7" s="1" t="s">
        <v>1081</v>
      </c>
      <c r="B7" s="1">
        <v>5</v>
      </c>
      <c r="C7" s="1" t="s">
        <v>3133</v>
      </c>
      <c r="D7" s="1" t="s">
        <v>225</v>
      </c>
      <c r="E7" s="1" t="s">
        <v>454</v>
      </c>
      <c r="F7" s="1" t="s">
        <v>80</v>
      </c>
      <c r="G7" s="1" t="s">
        <v>80</v>
      </c>
      <c r="H7" s="1" t="s">
        <v>81</v>
      </c>
      <c r="I7" s="1" t="s">
        <v>80</v>
      </c>
      <c r="J7" s="6">
        <v>1</v>
      </c>
      <c r="K7" s="1"/>
    </row>
    <row r="8" spans="1:11" hidden="1" x14ac:dyDescent="0.25">
      <c r="A8" s="1" t="s">
        <v>3290</v>
      </c>
      <c r="B8" s="1">
        <v>6</v>
      </c>
      <c r="C8" s="1" t="s">
        <v>3134</v>
      </c>
      <c r="D8" s="1" t="s">
        <v>3570</v>
      </c>
      <c r="E8" s="1" t="s">
        <v>3250</v>
      </c>
      <c r="F8" s="1" t="s">
        <v>80</v>
      </c>
      <c r="G8" s="1" t="s">
        <v>80</v>
      </c>
      <c r="H8" s="1" t="s">
        <v>81</v>
      </c>
      <c r="I8" s="1" t="s">
        <v>80</v>
      </c>
      <c r="J8" s="1">
        <v>1</v>
      </c>
      <c r="K8" s="1"/>
    </row>
    <row r="9" spans="1:11" hidden="1" x14ac:dyDescent="0.25">
      <c r="A9" s="1" t="s">
        <v>3291</v>
      </c>
      <c r="B9" s="1">
        <v>7</v>
      </c>
      <c r="C9" s="1" t="s">
        <v>3193</v>
      </c>
      <c r="D9" s="1" t="s">
        <v>225</v>
      </c>
      <c r="E9" s="1" t="s">
        <v>454</v>
      </c>
      <c r="F9" s="1" t="s">
        <v>142</v>
      </c>
      <c r="G9" s="1" t="s">
        <v>80</v>
      </c>
      <c r="H9" s="1" t="s">
        <v>81</v>
      </c>
      <c r="I9" s="527" t="s">
        <v>81</v>
      </c>
      <c r="J9" s="1" t="s">
        <v>142</v>
      </c>
      <c r="K9" s="1"/>
    </row>
    <row r="10" spans="1:11" x14ac:dyDescent="0.25">
      <c r="A10" s="1" t="s">
        <v>3292</v>
      </c>
      <c r="B10" s="1">
        <v>8</v>
      </c>
      <c r="C10" s="1" t="s">
        <v>3272</v>
      </c>
      <c r="D10" s="1" t="s">
        <v>3130</v>
      </c>
      <c r="E10" s="1" t="s">
        <v>142</v>
      </c>
      <c r="F10" s="1" t="s">
        <v>142</v>
      </c>
      <c r="G10" s="1" t="s">
        <v>142</v>
      </c>
      <c r="H10" s="1" t="s">
        <v>81</v>
      </c>
      <c r="I10" s="1" t="s">
        <v>80</v>
      </c>
      <c r="J10" s="530">
        <v>2</v>
      </c>
      <c r="K10" s="1"/>
    </row>
    <row r="11" spans="1:11" hidden="1" x14ac:dyDescent="0.25">
      <c r="A11" s="1" t="s">
        <v>3293</v>
      </c>
      <c r="B11" s="1">
        <v>9</v>
      </c>
      <c r="C11" s="1" t="s">
        <v>1603</v>
      </c>
      <c r="D11" s="1" t="s">
        <v>225</v>
      </c>
      <c r="E11" s="1" t="s">
        <v>454</v>
      </c>
      <c r="F11" s="1" t="s">
        <v>80</v>
      </c>
      <c r="G11" s="1" t="s">
        <v>80</v>
      </c>
      <c r="H11" s="1" t="s">
        <v>81</v>
      </c>
      <c r="I11" s="1" t="s">
        <v>80</v>
      </c>
      <c r="J11" s="1">
        <v>1</v>
      </c>
      <c r="K11" s="1"/>
    </row>
    <row r="12" spans="1:11" hidden="1" x14ac:dyDescent="0.25">
      <c r="A12" s="1" t="s">
        <v>3294</v>
      </c>
      <c r="B12" s="1">
        <v>10</v>
      </c>
      <c r="C12" s="1" t="s">
        <v>1661</v>
      </c>
      <c r="D12" s="1" t="s">
        <v>225</v>
      </c>
      <c r="E12" s="1" t="s">
        <v>454</v>
      </c>
      <c r="F12" s="1" t="s">
        <v>80</v>
      </c>
      <c r="G12" s="1" t="s">
        <v>80</v>
      </c>
      <c r="H12" s="1" t="s">
        <v>81</v>
      </c>
      <c r="I12" s="1" t="s">
        <v>80</v>
      </c>
      <c r="J12" s="1">
        <v>1</v>
      </c>
      <c r="K12" s="6" t="s">
        <v>4663</v>
      </c>
    </row>
    <row r="13" spans="1:11" hidden="1" x14ac:dyDescent="0.25">
      <c r="A13" s="1" t="s">
        <v>3295</v>
      </c>
      <c r="B13" s="1">
        <v>11</v>
      </c>
      <c r="C13" s="1" t="s">
        <v>3285</v>
      </c>
      <c r="D13" s="1" t="s">
        <v>225</v>
      </c>
      <c r="E13" s="1" t="s">
        <v>454</v>
      </c>
      <c r="F13" s="1" t="s">
        <v>80</v>
      </c>
      <c r="G13" s="1" t="s">
        <v>80</v>
      </c>
      <c r="H13" s="1" t="s">
        <v>81</v>
      </c>
      <c r="I13" s="1" t="s">
        <v>80</v>
      </c>
      <c r="J13" s="1">
        <v>1</v>
      </c>
      <c r="K13" s="6" t="s">
        <v>4663</v>
      </c>
    </row>
    <row r="14" spans="1:11" x14ac:dyDescent="0.25">
      <c r="A14" s="1" t="s">
        <v>1083</v>
      </c>
      <c r="B14" s="1">
        <v>12</v>
      </c>
      <c r="C14" s="1" t="s">
        <v>3286</v>
      </c>
      <c r="D14" s="1" t="s">
        <v>225</v>
      </c>
      <c r="E14" s="1" t="s">
        <v>454</v>
      </c>
      <c r="F14" s="1" t="s">
        <v>80</v>
      </c>
      <c r="G14" s="1" t="s">
        <v>81</v>
      </c>
      <c r="H14" s="1" t="s">
        <v>81</v>
      </c>
      <c r="I14" s="1" t="s">
        <v>80</v>
      </c>
      <c r="J14" s="1">
        <v>1</v>
      </c>
      <c r="K14" s="6" t="s">
        <v>4663</v>
      </c>
    </row>
    <row r="15" spans="1:11" x14ac:dyDescent="0.25">
      <c r="A15" s="1" t="s">
        <v>1079</v>
      </c>
      <c r="B15" s="1">
        <v>13</v>
      </c>
      <c r="C15" s="1" t="s">
        <v>3432</v>
      </c>
      <c r="D15" s="1" t="s">
        <v>225</v>
      </c>
      <c r="E15" s="1" t="s">
        <v>454</v>
      </c>
      <c r="F15" s="1" t="s">
        <v>80</v>
      </c>
      <c r="G15" s="1" t="s">
        <v>80</v>
      </c>
      <c r="H15" s="1" t="s">
        <v>81</v>
      </c>
      <c r="I15" s="1" t="s">
        <v>80</v>
      </c>
      <c r="J15" s="1">
        <v>1</v>
      </c>
      <c r="K15" s="6" t="s">
        <v>4663</v>
      </c>
    </row>
    <row r="16" spans="1:11" hidden="1" x14ac:dyDescent="0.25">
      <c r="A16" s="1" t="s">
        <v>3296</v>
      </c>
      <c r="B16" s="1">
        <v>14</v>
      </c>
      <c r="C16" s="1" t="s">
        <v>3433</v>
      </c>
      <c r="D16" s="1" t="s">
        <v>225</v>
      </c>
      <c r="E16" s="1" t="s">
        <v>454</v>
      </c>
      <c r="F16" s="1" t="s">
        <v>80</v>
      </c>
      <c r="G16" s="1" t="s">
        <v>80</v>
      </c>
      <c r="H16" s="1" t="s">
        <v>81</v>
      </c>
      <c r="I16" s="1" t="s">
        <v>80</v>
      </c>
      <c r="J16" s="1">
        <v>1</v>
      </c>
      <c r="K16" s="6" t="s">
        <v>4663</v>
      </c>
    </row>
    <row r="17" spans="1:11" hidden="1" x14ac:dyDescent="0.25">
      <c r="A17" s="6" t="s">
        <v>3427</v>
      </c>
      <c r="B17" s="1">
        <v>15</v>
      </c>
      <c r="C17" s="1" t="s">
        <v>3434</v>
      </c>
      <c r="D17" s="1" t="s">
        <v>225</v>
      </c>
      <c r="E17" s="1" t="s">
        <v>454</v>
      </c>
      <c r="F17" s="1" t="s">
        <v>80</v>
      </c>
      <c r="G17" s="1" t="s">
        <v>80</v>
      </c>
      <c r="H17" s="1" t="s">
        <v>81</v>
      </c>
      <c r="I17" s="1" t="s">
        <v>80</v>
      </c>
      <c r="J17" s="1">
        <v>1</v>
      </c>
      <c r="K17" s="6" t="s">
        <v>4663</v>
      </c>
    </row>
    <row r="18" spans="1:11" x14ac:dyDescent="0.25">
      <c r="A18" s="6" t="s">
        <v>3428</v>
      </c>
      <c r="B18" s="1">
        <v>16</v>
      </c>
      <c r="C18" s="1" t="s">
        <v>3435</v>
      </c>
      <c r="D18" s="1" t="s">
        <v>225</v>
      </c>
      <c r="E18" s="1" t="s">
        <v>454</v>
      </c>
      <c r="F18" s="1" t="s">
        <v>80</v>
      </c>
      <c r="G18" s="1" t="s">
        <v>81</v>
      </c>
      <c r="H18" s="1" t="s">
        <v>81</v>
      </c>
      <c r="I18" s="1" t="s">
        <v>80</v>
      </c>
      <c r="J18" s="1">
        <v>1</v>
      </c>
      <c r="K18" s="6" t="s">
        <v>4663</v>
      </c>
    </row>
    <row r="19" spans="1:11" hidden="1" x14ac:dyDescent="0.25">
      <c r="A19" s="6" t="s">
        <v>1247</v>
      </c>
      <c r="B19" s="1">
        <v>17</v>
      </c>
      <c r="C19" s="1" t="s">
        <v>3562</v>
      </c>
      <c r="D19" s="1" t="s">
        <v>225</v>
      </c>
      <c r="E19" s="1" t="s">
        <v>3571</v>
      </c>
      <c r="F19" s="1" t="s">
        <v>80</v>
      </c>
      <c r="G19" s="1" t="s">
        <v>80</v>
      </c>
      <c r="H19" s="1" t="s">
        <v>81</v>
      </c>
      <c r="I19" s="1" t="s">
        <v>80</v>
      </c>
      <c r="J19" s="1">
        <v>1</v>
      </c>
      <c r="K19" s="6" t="s">
        <v>4663</v>
      </c>
    </row>
    <row r="20" spans="1:11" x14ac:dyDescent="0.25">
      <c r="A20" s="6" t="s">
        <v>3429</v>
      </c>
      <c r="B20" s="1">
        <v>18</v>
      </c>
      <c r="C20" s="1" t="s">
        <v>3563</v>
      </c>
      <c r="D20" s="1" t="s">
        <v>142</v>
      </c>
      <c r="E20" s="1" t="s">
        <v>142</v>
      </c>
      <c r="F20" s="1" t="s">
        <v>142</v>
      </c>
      <c r="G20" s="1" t="s">
        <v>142</v>
      </c>
      <c r="H20" s="1" t="s">
        <v>81</v>
      </c>
      <c r="I20" s="527" t="s">
        <v>81</v>
      </c>
      <c r="J20" s="1" t="s">
        <v>142</v>
      </c>
      <c r="K20" s="6" t="s">
        <v>142</v>
      </c>
    </row>
    <row r="21" spans="1:11" hidden="1" x14ac:dyDescent="0.25">
      <c r="A21" s="6" t="s">
        <v>3430</v>
      </c>
      <c r="B21" s="1">
        <v>19</v>
      </c>
      <c r="C21" s="1" t="s">
        <v>3663</v>
      </c>
      <c r="D21" s="1" t="s">
        <v>225</v>
      </c>
      <c r="E21" s="1" t="s">
        <v>454</v>
      </c>
      <c r="F21" s="1" t="s">
        <v>80</v>
      </c>
      <c r="G21" s="1" t="s">
        <v>80</v>
      </c>
      <c r="H21" s="1" t="s">
        <v>81</v>
      </c>
      <c r="I21" s="527" t="s">
        <v>81</v>
      </c>
      <c r="J21" s="1">
        <v>1</v>
      </c>
      <c r="K21" s="6" t="s">
        <v>4660</v>
      </c>
    </row>
    <row r="22" spans="1:11" hidden="1" x14ac:dyDescent="0.25">
      <c r="A22" s="6" t="s">
        <v>3431</v>
      </c>
      <c r="B22" s="1">
        <v>20</v>
      </c>
      <c r="C22" s="1" t="s">
        <v>3902</v>
      </c>
      <c r="D22" s="1" t="s">
        <v>225</v>
      </c>
      <c r="E22" s="1" t="s">
        <v>454</v>
      </c>
      <c r="F22" s="1" t="s">
        <v>80</v>
      </c>
      <c r="G22" s="1" t="s">
        <v>80</v>
      </c>
      <c r="H22" s="1" t="s">
        <v>81</v>
      </c>
      <c r="I22" s="1" t="s">
        <v>80</v>
      </c>
      <c r="J22" s="1">
        <v>1</v>
      </c>
      <c r="K22" s="6" t="s">
        <v>4661</v>
      </c>
    </row>
    <row r="23" spans="1:11" hidden="1" x14ac:dyDescent="0.25">
      <c r="A23" s="6" t="s">
        <v>3899</v>
      </c>
      <c r="B23" s="1">
        <v>21</v>
      </c>
      <c r="C23" s="1" t="s">
        <v>3903</v>
      </c>
      <c r="D23" s="1" t="s">
        <v>3906</v>
      </c>
      <c r="E23" s="1" t="s">
        <v>3905</v>
      </c>
      <c r="F23" s="1" t="s">
        <v>80</v>
      </c>
      <c r="G23" s="1" t="s">
        <v>80</v>
      </c>
      <c r="H23" s="1"/>
      <c r="I23" s="1" t="s">
        <v>80</v>
      </c>
      <c r="J23" s="1">
        <v>1</v>
      </c>
      <c r="K23" s="6" t="s">
        <v>4661</v>
      </c>
    </row>
    <row r="24" spans="1:11" x14ac:dyDescent="0.25">
      <c r="A24" s="6" t="s">
        <v>3900</v>
      </c>
      <c r="B24" s="1">
        <v>22</v>
      </c>
      <c r="C24" s="1" t="s">
        <v>3904</v>
      </c>
      <c r="D24" s="1" t="s">
        <v>3907</v>
      </c>
      <c r="E24" s="1" t="s">
        <v>142</v>
      </c>
      <c r="F24" s="1" t="s">
        <v>142</v>
      </c>
      <c r="G24" s="1" t="s">
        <v>142</v>
      </c>
      <c r="H24" s="1"/>
      <c r="I24" s="1" t="s">
        <v>80</v>
      </c>
      <c r="J24" s="530">
        <v>2</v>
      </c>
      <c r="K24" s="6" t="s">
        <v>4662</v>
      </c>
    </row>
    <row r="25" spans="1:11" hidden="1" x14ac:dyDescent="0.25">
      <c r="A25" s="6" t="s">
        <v>3901</v>
      </c>
      <c r="B25" s="1">
        <v>23</v>
      </c>
      <c r="C25" s="1" t="s">
        <v>4671</v>
      </c>
      <c r="D25" s="1" t="s">
        <v>142</v>
      </c>
      <c r="E25" s="1" t="s">
        <v>142</v>
      </c>
      <c r="F25" s="1" t="s">
        <v>142</v>
      </c>
      <c r="G25" s="1" t="s">
        <v>80</v>
      </c>
      <c r="H25" s="1" t="s">
        <v>142</v>
      </c>
      <c r="I25" s="1" t="s">
        <v>142</v>
      </c>
      <c r="J25" s="1" t="s">
        <v>142</v>
      </c>
      <c r="K25" s="1" t="s">
        <v>142</v>
      </c>
    </row>
    <row r="26" spans="1:11" hidden="1" x14ac:dyDescent="0.25">
      <c r="A26" s="6" t="s">
        <v>4664</v>
      </c>
      <c r="B26" s="1">
        <v>24</v>
      </c>
      <c r="C26" s="1" t="s">
        <v>4672</v>
      </c>
      <c r="D26" s="1" t="s">
        <v>225</v>
      </c>
      <c r="E26" s="1" t="s">
        <v>454</v>
      </c>
      <c r="F26" s="1" t="s">
        <v>80</v>
      </c>
      <c r="G26" s="1" t="s">
        <v>4680</v>
      </c>
      <c r="H26" s="1" t="s">
        <v>81</v>
      </c>
      <c r="I26" s="527" t="s">
        <v>81</v>
      </c>
      <c r="J26" s="1">
        <v>1</v>
      </c>
      <c r="K26" s="6" t="s">
        <v>4681</v>
      </c>
    </row>
    <row r="27" spans="1:11" hidden="1" x14ac:dyDescent="0.25">
      <c r="A27" s="6" t="s">
        <v>4665</v>
      </c>
      <c r="B27" s="1">
        <v>25</v>
      </c>
      <c r="C27" s="1" t="s">
        <v>4673</v>
      </c>
      <c r="D27" s="1" t="s">
        <v>225</v>
      </c>
      <c r="E27" s="1" t="s">
        <v>454</v>
      </c>
      <c r="F27" s="1" t="s">
        <v>80</v>
      </c>
      <c r="G27" s="1" t="s">
        <v>4680</v>
      </c>
      <c r="H27" s="1" t="s">
        <v>81</v>
      </c>
      <c r="I27" s="527" t="s">
        <v>81</v>
      </c>
      <c r="J27" s="1">
        <v>1</v>
      </c>
      <c r="K27" s="6" t="s">
        <v>4681</v>
      </c>
    </row>
    <row r="28" spans="1:11" hidden="1" x14ac:dyDescent="0.25">
      <c r="A28" s="6" t="s">
        <v>4666</v>
      </c>
      <c r="B28" s="1">
        <v>26</v>
      </c>
      <c r="C28" s="1" t="s">
        <v>4674</v>
      </c>
      <c r="D28" s="1" t="s">
        <v>225</v>
      </c>
      <c r="E28" s="1" t="s">
        <v>454</v>
      </c>
      <c r="F28" s="1" t="s">
        <v>80</v>
      </c>
      <c r="G28" s="1" t="s">
        <v>4680</v>
      </c>
      <c r="H28" s="1" t="s">
        <v>81</v>
      </c>
      <c r="I28" s="527" t="s">
        <v>81</v>
      </c>
      <c r="J28" s="1">
        <v>1</v>
      </c>
      <c r="K28" s="6" t="s">
        <v>4681</v>
      </c>
    </row>
    <row r="29" spans="1:11" hidden="1" x14ac:dyDescent="0.25">
      <c r="A29" s="6" t="s">
        <v>4667</v>
      </c>
      <c r="B29" s="1">
        <v>27</v>
      </c>
      <c r="C29" s="1" t="s">
        <v>4675</v>
      </c>
      <c r="D29" s="1" t="s">
        <v>225</v>
      </c>
      <c r="E29" s="1" t="s">
        <v>454</v>
      </c>
      <c r="F29" s="1" t="s">
        <v>80</v>
      </c>
      <c r="G29" s="1" t="s">
        <v>4680</v>
      </c>
      <c r="H29" s="1" t="s">
        <v>81</v>
      </c>
      <c r="I29" s="527" t="s">
        <v>81</v>
      </c>
      <c r="J29" s="1">
        <v>1</v>
      </c>
      <c r="K29" s="6" t="s">
        <v>4681</v>
      </c>
    </row>
    <row r="30" spans="1:11" hidden="1" x14ac:dyDescent="0.25">
      <c r="A30" s="6" t="s">
        <v>4668</v>
      </c>
      <c r="B30" s="1">
        <v>28</v>
      </c>
      <c r="C30" s="1" t="s">
        <v>4676</v>
      </c>
      <c r="D30" s="1" t="s">
        <v>225</v>
      </c>
      <c r="E30" s="1" t="s">
        <v>454</v>
      </c>
      <c r="F30" s="1" t="s">
        <v>80</v>
      </c>
      <c r="G30" s="1" t="s">
        <v>4680</v>
      </c>
      <c r="H30" s="1" t="s">
        <v>81</v>
      </c>
      <c r="I30" s="527" t="s">
        <v>81</v>
      </c>
      <c r="J30" s="1">
        <v>1</v>
      </c>
      <c r="K30" s="6" t="s">
        <v>4681</v>
      </c>
    </row>
    <row r="31" spans="1:11" hidden="1" x14ac:dyDescent="0.25">
      <c r="A31" s="6" t="s">
        <v>4669</v>
      </c>
      <c r="B31" s="1">
        <v>29</v>
      </c>
      <c r="C31" s="1" t="s">
        <v>4677</v>
      </c>
      <c r="D31" s="1" t="s">
        <v>225</v>
      </c>
      <c r="E31" s="1" t="s">
        <v>454</v>
      </c>
      <c r="F31" s="1" t="s">
        <v>80</v>
      </c>
      <c r="G31" s="1" t="s">
        <v>4680</v>
      </c>
      <c r="H31" s="1" t="s">
        <v>81</v>
      </c>
      <c r="I31" s="527" t="s">
        <v>81</v>
      </c>
      <c r="J31" s="1">
        <v>1</v>
      </c>
      <c r="K31" s="6" t="s">
        <v>4681</v>
      </c>
    </row>
    <row r="32" spans="1:11" hidden="1" x14ac:dyDescent="0.25">
      <c r="A32" s="6" t="s">
        <v>4670</v>
      </c>
      <c r="B32" s="1">
        <v>30</v>
      </c>
      <c r="C32" s="1" t="s">
        <v>4678</v>
      </c>
      <c r="D32" s="1" t="s">
        <v>225</v>
      </c>
      <c r="E32" s="1" t="s">
        <v>454</v>
      </c>
      <c r="F32" s="1" t="s">
        <v>80</v>
      </c>
      <c r="G32" s="1" t="s">
        <v>4680</v>
      </c>
      <c r="H32" s="1" t="s">
        <v>81</v>
      </c>
      <c r="I32" s="527" t="s">
        <v>81</v>
      </c>
      <c r="J32" s="1">
        <v>1</v>
      </c>
      <c r="K32" s="6" t="s">
        <v>4681</v>
      </c>
    </row>
    <row r="33" spans="1:11" hidden="1" x14ac:dyDescent="0.25">
      <c r="A33" s="6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hidden="1" x14ac:dyDescent="0.25">
      <c r="A34" s="6" t="s">
        <v>4679</v>
      </c>
      <c r="B34" s="1">
        <v>251</v>
      </c>
      <c r="C34" s="1" t="s">
        <v>4671</v>
      </c>
      <c r="D34" s="1" t="s">
        <v>142</v>
      </c>
      <c r="E34" s="1" t="s">
        <v>142</v>
      </c>
      <c r="F34" s="1" t="s">
        <v>142</v>
      </c>
      <c r="G34" s="1" t="s">
        <v>80</v>
      </c>
      <c r="H34" s="1" t="s">
        <v>142</v>
      </c>
      <c r="I34" s="1" t="s">
        <v>142</v>
      </c>
      <c r="J34" s="1" t="s">
        <v>142</v>
      </c>
      <c r="K34" s="1" t="s">
        <v>142</v>
      </c>
    </row>
    <row r="35" spans="1:11" hidden="1" x14ac:dyDescent="0.25">
      <c r="A35" s="6" t="s">
        <v>3664</v>
      </c>
      <c r="B35" s="1">
        <v>252</v>
      </c>
      <c r="C35" s="1" t="s">
        <v>3665</v>
      </c>
      <c r="D35" s="1" t="s">
        <v>225</v>
      </c>
      <c r="E35" s="1" t="s">
        <v>454</v>
      </c>
      <c r="F35" s="1" t="s">
        <v>80</v>
      </c>
      <c r="G35" s="1" t="s">
        <v>80</v>
      </c>
      <c r="H35" s="1" t="s">
        <v>81</v>
      </c>
      <c r="I35" s="527" t="s">
        <v>81</v>
      </c>
      <c r="J35" s="1">
        <v>1</v>
      </c>
      <c r="K35" s="1" t="s">
        <v>4682</v>
      </c>
    </row>
    <row r="36" spans="1:11" hidden="1" x14ac:dyDescent="0.25">
      <c r="A36" s="6" t="s">
        <v>3566</v>
      </c>
      <c r="B36" s="1">
        <v>253</v>
      </c>
      <c r="C36" s="1" t="s">
        <v>916</v>
      </c>
      <c r="D36" s="1"/>
      <c r="E36" s="1"/>
      <c r="F36" s="1" t="s">
        <v>142</v>
      </c>
      <c r="G36" s="1" t="s">
        <v>80</v>
      </c>
      <c r="H36" s="1" t="s">
        <v>81</v>
      </c>
      <c r="I36" s="527" t="s">
        <v>81</v>
      </c>
      <c r="J36" s="1">
        <v>1</v>
      </c>
      <c r="K36" s="1" t="s">
        <v>4682</v>
      </c>
    </row>
    <row r="37" spans="1:11" x14ac:dyDescent="0.25">
      <c r="A37" s="6" t="s">
        <v>3567</v>
      </c>
      <c r="B37" s="1">
        <v>254</v>
      </c>
      <c r="C37" s="1" t="s">
        <v>3563</v>
      </c>
      <c r="D37" s="1" t="s">
        <v>142</v>
      </c>
      <c r="E37" s="1" t="s">
        <v>142</v>
      </c>
      <c r="F37" s="1" t="s">
        <v>142</v>
      </c>
      <c r="G37" s="1" t="s">
        <v>142</v>
      </c>
      <c r="H37" s="1" t="s">
        <v>81</v>
      </c>
      <c r="I37" s="527" t="s">
        <v>81</v>
      </c>
      <c r="J37" s="1" t="s">
        <v>142</v>
      </c>
      <c r="K37" s="1" t="s">
        <v>142</v>
      </c>
    </row>
    <row r="38" spans="1:11" hidden="1" x14ac:dyDescent="0.25">
      <c r="A38" s="6" t="s">
        <v>3568</v>
      </c>
      <c r="B38" s="1">
        <v>255</v>
      </c>
      <c r="C38" s="1" t="s">
        <v>3569</v>
      </c>
      <c r="D38" s="1" t="s">
        <v>142</v>
      </c>
      <c r="E38" s="1" t="s">
        <v>142</v>
      </c>
      <c r="F38" s="1" t="s">
        <v>80</v>
      </c>
      <c r="G38" s="1" t="s">
        <v>80</v>
      </c>
      <c r="H38" s="1" t="s">
        <v>81</v>
      </c>
      <c r="I38" s="527" t="s">
        <v>81</v>
      </c>
      <c r="J38" s="1" t="s">
        <v>142</v>
      </c>
      <c r="K38" s="1" t="s">
        <v>4683</v>
      </c>
    </row>
  </sheetData>
  <autoFilter ref="A1:H38">
    <filterColumn colId="0" showButton="0"/>
    <filterColumn colId="1" showButton="0"/>
    <filterColumn colId="6">
      <filters>
        <filter val="-"/>
        <filter val="Non"/>
      </filters>
    </filterColumn>
  </autoFilter>
  <mergeCells count="1">
    <mergeCell ref="A1:C1"/>
  </mergeCell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/>
  <dimension ref="A2:AF265"/>
  <sheetViews>
    <sheetView topLeftCell="R1" zoomScaleNormal="100" workbookViewId="0">
      <selection activeCell="AC34" sqref="AC34"/>
    </sheetView>
  </sheetViews>
  <sheetFormatPr baseColWidth="10" defaultRowHeight="13.2" x14ac:dyDescent="0.25"/>
  <cols>
    <col min="6" max="6" width="9.88671875" customWidth="1"/>
  </cols>
  <sheetData>
    <row r="2" spans="1:32" x14ac:dyDescent="0.25">
      <c r="B2" t="s">
        <v>4224</v>
      </c>
      <c r="D2" s="1" t="s">
        <v>4236</v>
      </c>
      <c r="F2" s="363"/>
      <c r="G2" s="543" t="s">
        <v>4617</v>
      </c>
      <c r="H2" s="544"/>
      <c r="I2" s="545"/>
      <c r="N2" t="s">
        <v>4462</v>
      </c>
      <c r="P2" s="552" t="s">
        <v>4463</v>
      </c>
      <c r="Q2" s="552"/>
      <c r="R2" s="552"/>
      <c r="S2" s="552"/>
      <c r="T2" s="552"/>
      <c r="U2" s="552"/>
      <c r="V2" s="552"/>
    </row>
    <row r="3" spans="1:32" x14ac:dyDescent="0.25">
      <c r="B3" t="s">
        <v>4222</v>
      </c>
      <c r="D3" s="1"/>
      <c r="E3" t="s">
        <v>4221</v>
      </c>
      <c r="F3" s="363"/>
      <c r="G3" s="546"/>
      <c r="H3" s="547"/>
      <c r="I3" s="548"/>
      <c r="P3" s="552"/>
      <c r="Q3" s="552"/>
      <c r="R3" s="552"/>
      <c r="S3" s="552"/>
      <c r="T3" s="552"/>
      <c r="U3" s="552"/>
      <c r="V3" s="552"/>
    </row>
    <row r="4" spans="1:32" x14ac:dyDescent="0.25">
      <c r="B4" t="s">
        <v>4223</v>
      </c>
      <c r="D4" s="1">
        <v>2101</v>
      </c>
      <c r="F4" s="363"/>
      <c r="G4" s="549"/>
      <c r="H4" s="550"/>
      <c r="I4" s="551"/>
      <c r="P4" s="552"/>
      <c r="Q4" s="552"/>
      <c r="R4" s="552"/>
      <c r="S4" s="552"/>
      <c r="T4" s="552"/>
      <c r="U4" s="552"/>
      <c r="V4" s="552"/>
    </row>
    <row r="5" spans="1:32" x14ac:dyDescent="0.25">
      <c r="P5" s="552"/>
      <c r="Q5" s="552"/>
      <c r="R5" s="552"/>
      <c r="S5" s="552"/>
      <c r="T5" s="552"/>
      <c r="U5" s="552"/>
      <c r="V5" s="552"/>
    </row>
    <row r="7" spans="1:32" x14ac:dyDescent="0.25">
      <c r="B7" t="s">
        <v>3921</v>
      </c>
      <c r="D7" s="1">
        <v>0</v>
      </c>
      <c r="E7" s="1">
        <v>1</v>
      </c>
      <c r="F7" s="1">
        <v>2</v>
      </c>
      <c r="G7" s="1">
        <v>3</v>
      </c>
      <c r="H7" s="1">
        <v>4</v>
      </c>
      <c r="I7" s="1">
        <v>5</v>
      </c>
      <c r="J7" s="1">
        <v>6</v>
      </c>
      <c r="K7" s="1">
        <v>7</v>
      </c>
      <c r="L7" s="1">
        <v>8</v>
      </c>
      <c r="M7" s="1">
        <v>9</v>
      </c>
      <c r="N7" s="1">
        <v>10</v>
      </c>
      <c r="O7" s="1">
        <v>11</v>
      </c>
      <c r="P7" s="1">
        <v>12</v>
      </c>
      <c r="Q7" s="1">
        <v>13</v>
      </c>
      <c r="R7" s="1">
        <v>14</v>
      </c>
      <c r="S7" s="1">
        <v>15</v>
      </c>
      <c r="T7" s="1">
        <v>16</v>
      </c>
      <c r="U7" s="1">
        <v>17</v>
      </c>
      <c r="V7" s="1">
        <v>18</v>
      </c>
      <c r="W7" s="1">
        <v>19</v>
      </c>
      <c r="X7" s="1">
        <v>20</v>
      </c>
      <c r="Y7" s="1">
        <v>21</v>
      </c>
      <c r="Z7" s="1">
        <v>22</v>
      </c>
      <c r="AA7" s="1">
        <v>23</v>
      </c>
      <c r="AB7" s="1">
        <v>252</v>
      </c>
      <c r="AC7" s="1">
        <v>253</v>
      </c>
      <c r="AD7" s="1">
        <v>254</v>
      </c>
      <c r="AE7" s="1">
        <v>255</v>
      </c>
    </row>
    <row r="8" spans="1:32" x14ac:dyDescent="0.25">
      <c r="D8" s="1" t="s">
        <v>3919</v>
      </c>
      <c r="E8" s="1" t="s">
        <v>3125</v>
      </c>
      <c r="F8" s="1" t="s">
        <v>3126</v>
      </c>
      <c r="G8" s="1" t="s">
        <v>4220</v>
      </c>
      <c r="H8" s="1" t="s">
        <v>3132</v>
      </c>
      <c r="I8" s="1" t="s">
        <v>4236</v>
      </c>
      <c r="J8" s="1" t="s">
        <v>3473</v>
      </c>
      <c r="K8" s="1" t="s">
        <v>4228</v>
      </c>
      <c r="L8" s="1" t="s">
        <v>4229</v>
      </c>
      <c r="M8" s="1" t="s">
        <v>4227</v>
      </c>
      <c r="N8" s="1" t="s">
        <v>3660</v>
      </c>
      <c r="O8" s="1" t="s">
        <v>4231</v>
      </c>
      <c r="P8" s="1" t="s">
        <v>4235</v>
      </c>
      <c r="Q8" s="1" t="s">
        <v>4232</v>
      </c>
      <c r="R8" s="1" t="s">
        <v>3433</v>
      </c>
      <c r="S8" s="1" t="s">
        <v>3434</v>
      </c>
      <c r="T8" s="1" t="s">
        <v>3435</v>
      </c>
      <c r="U8" s="1" t="s">
        <v>4234</v>
      </c>
      <c r="V8" s="1" t="s">
        <v>4225</v>
      </c>
      <c r="W8" s="1" t="s">
        <v>4230</v>
      </c>
      <c r="X8" s="1" t="s">
        <v>4226</v>
      </c>
      <c r="Y8" s="1" t="s">
        <v>3903</v>
      </c>
      <c r="Z8" s="1" t="s">
        <v>3904</v>
      </c>
      <c r="AA8" s="1" t="s">
        <v>142</v>
      </c>
      <c r="AB8" s="1" t="s">
        <v>3916</v>
      </c>
      <c r="AC8" s="1" t="s">
        <v>3917</v>
      </c>
      <c r="AD8" s="1" t="s">
        <v>4225</v>
      </c>
      <c r="AE8" s="1" t="s">
        <v>4233</v>
      </c>
    </row>
    <row r="10" spans="1:32" x14ac:dyDescent="0.25">
      <c r="A10" t="str">
        <f>"//" &amp; ROW()-10 &amp; " - 0x" &amp; DEC2HEX(ROW()-10,2)</f>
        <v>//0 - 0x00</v>
      </c>
      <c r="B10" t="s">
        <v>3922</v>
      </c>
      <c r="D10" t="s">
        <v>4024</v>
      </c>
      <c r="E10" t="s">
        <v>4019</v>
      </c>
      <c r="F10" t="s">
        <v>3929</v>
      </c>
      <c r="G10" t="s">
        <v>229</v>
      </c>
      <c r="H10" t="s">
        <v>1410</v>
      </c>
      <c r="I10" t="s">
        <v>4024</v>
      </c>
      <c r="J10" t="s">
        <v>3999</v>
      </c>
      <c r="K10" t="s">
        <v>4217</v>
      </c>
      <c r="L10" t="s">
        <v>229</v>
      </c>
      <c r="M10" t="s">
        <v>3999</v>
      </c>
      <c r="N10" t="s">
        <v>4246</v>
      </c>
      <c r="O10" t="s">
        <v>4412</v>
      </c>
      <c r="P10" t="s">
        <v>4246</v>
      </c>
      <c r="Q10" t="s">
        <v>4412</v>
      </c>
      <c r="R10" t="s">
        <v>3999</v>
      </c>
      <c r="S10" t="s">
        <v>4246</v>
      </c>
      <c r="T10" t="s">
        <v>4246</v>
      </c>
      <c r="U10" t="s">
        <v>3999</v>
      </c>
      <c r="V10" t="s">
        <v>4012</v>
      </c>
      <c r="W10" t="s">
        <v>3999</v>
      </c>
      <c r="X10" t="s">
        <v>3999</v>
      </c>
      <c r="Y10" t="s">
        <v>4338</v>
      </c>
      <c r="Z10" t="s">
        <v>229</v>
      </c>
      <c r="AA10" t="s">
        <v>1410</v>
      </c>
      <c r="AB10" t="s">
        <v>3999</v>
      </c>
      <c r="AC10" t="s">
        <v>3978</v>
      </c>
      <c r="AD10" t="s">
        <v>4012</v>
      </c>
      <c r="AE10" t="s">
        <v>4078</v>
      </c>
      <c r="AF10" t="str">
        <f>"//" &amp; ROW()-10 &amp; " - 0x" &amp; DEC2HEX(ROW()-10,2)</f>
        <v>//0 - 0x00</v>
      </c>
    </row>
    <row r="11" spans="1:32" x14ac:dyDescent="0.25">
      <c r="A11" t="str">
        <f t="shared" ref="A11:A74" si="0">"//" &amp; ROW()-10 &amp; " - 0x" &amp; DEC2HEX(ROW()-10,2)</f>
        <v>//1 - 0x01</v>
      </c>
      <c r="B11" t="s">
        <v>3923</v>
      </c>
      <c r="D11" t="s">
        <v>4025</v>
      </c>
      <c r="E11" t="s">
        <v>4020</v>
      </c>
      <c r="F11" t="s">
        <v>3930</v>
      </c>
      <c r="G11" t="s">
        <v>230</v>
      </c>
      <c r="H11" t="s">
        <v>1410</v>
      </c>
      <c r="I11" t="s">
        <v>3978</v>
      </c>
      <c r="J11" t="s">
        <v>4000</v>
      </c>
      <c r="K11" t="s">
        <v>4159</v>
      </c>
      <c r="L11" t="s">
        <v>230</v>
      </c>
      <c r="M11" t="s">
        <v>4000</v>
      </c>
      <c r="N11" t="s">
        <v>4247</v>
      </c>
      <c r="O11" t="s">
        <v>4413</v>
      </c>
      <c r="P11" t="s">
        <v>4247</v>
      </c>
      <c r="Q11" t="s">
        <v>4413</v>
      </c>
      <c r="R11" t="s">
        <v>4000</v>
      </c>
      <c r="S11" t="s">
        <v>4247</v>
      </c>
      <c r="T11" t="s">
        <v>4247</v>
      </c>
      <c r="U11" t="s">
        <v>4000</v>
      </c>
      <c r="V11" t="s">
        <v>4013</v>
      </c>
      <c r="W11" t="s">
        <v>4000</v>
      </c>
      <c r="X11" t="s">
        <v>4000</v>
      </c>
      <c r="Y11" t="s">
        <v>4339</v>
      </c>
      <c r="Z11" t="s">
        <v>230</v>
      </c>
      <c r="AA11" t="s">
        <v>1410</v>
      </c>
      <c r="AB11" t="s">
        <v>4000</v>
      </c>
      <c r="AC11" t="s">
        <v>4323</v>
      </c>
      <c r="AD11" t="s">
        <v>4013</v>
      </c>
      <c r="AE11" t="s">
        <v>4014</v>
      </c>
      <c r="AF11" t="str">
        <f t="shared" ref="AF11:AF74" si="1">"//" &amp; ROW()-10 &amp; " - 0x" &amp; DEC2HEX(ROW()-10,2)</f>
        <v>//1 - 0x01</v>
      </c>
    </row>
    <row r="12" spans="1:32" x14ac:dyDescent="0.25">
      <c r="A12" t="str">
        <f t="shared" si="0"/>
        <v>//2 - 0x02</v>
      </c>
      <c r="B12" t="s">
        <v>3924</v>
      </c>
      <c r="D12" t="s">
        <v>4026</v>
      </c>
      <c r="E12" t="s">
        <v>4021</v>
      </c>
      <c r="F12" t="s">
        <v>3931</v>
      </c>
      <c r="G12" t="s">
        <v>231</v>
      </c>
      <c r="H12" t="s">
        <v>1410</v>
      </c>
      <c r="I12" t="s">
        <v>4076</v>
      </c>
      <c r="J12" t="s">
        <v>4001</v>
      </c>
      <c r="K12" t="s">
        <v>4160</v>
      </c>
      <c r="L12" t="s">
        <v>231</v>
      </c>
      <c r="M12" t="s">
        <v>4001</v>
      </c>
      <c r="N12" t="s">
        <v>4248</v>
      </c>
      <c r="O12" t="s">
        <v>4248</v>
      </c>
      <c r="P12" t="s">
        <v>4248</v>
      </c>
      <c r="Q12" t="s">
        <v>4248</v>
      </c>
      <c r="R12" t="s">
        <v>4001</v>
      </c>
      <c r="S12" t="s">
        <v>4248</v>
      </c>
      <c r="T12" t="s">
        <v>4248</v>
      </c>
      <c r="U12" t="s">
        <v>4001</v>
      </c>
      <c r="V12" t="s">
        <v>4014</v>
      </c>
      <c r="W12" t="s">
        <v>4001</v>
      </c>
      <c r="X12" t="s">
        <v>4001</v>
      </c>
      <c r="Y12" t="s">
        <v>4340</v>
      </c>
      <c r="Z12" t="s">
        <v>231</v>
      </c>
      <c r="AA12" t="s">
        <v>1410</v>
      </c>
      <c r="AB12" t="s">
        <v>4001</v>
      </c>
      <c r="AC12" t="s">
        <v>4645</v>
      </c>
      <c r="AD12" t="s">
        <v>4014</v>
      </c>
      <c r="AE12" t="s">
        <v>4326</v>
      </c>
      <c r="AF12" t="str">
        <f t="shared" si="1"/>
        <v>//2 - 0x02</v>
      </c>
    </row>
    <row r="13" spans="1:32" x14ac:dyDescent="0.25">
      <c r="A13" t="str">
        <f t="shared" si="0"/>
        <v>//3 - 0x03</v>
      </c>
      <c r="B13" t="s">
        <v>3925</v>
      </c>
      <c r="D13" t="s">
        <v>4027</v>
      </c>
      <c r="E13" t="s">
        <v>4022</v>
      </c>
      <c r="F13" t="s">
        <v>3932</v>
      </c>
      <c r="G13" t="s">
        <v>234</v>
      </c>
      <c r="H13" t="s">
        <v>1410</v>
      </c>
      <c r="I13" t="s">
        <v>4077</v>
      </c>
      <c r="J13" t="s">
        <v>4133</v>
      </c>
      <c r="K13" t="s">
        <v>4161</v>
      </c>
      <c r="L13" t="s">
        <v>267</v>
      </c>
      <c r="M13" t="s">
        <v>4133</v>
      </c>
      <c r="N13" t="s">
        <v>4249</v>
      </c>
      <c r="O13" t="s">
        <v>4414</v>
      </c>
      <c r="P13" t="s">
        <v>4249</v>
      </c>
      <c r="Q13" t="s">
        <v>4414</v>
      </c>
      <c r="R13" t="s">
        <v>4133</v>
      </c>
      <c r="S13" t="s">
        <v>4249</v>
      </c>
      <c r="T13" t="s">
        <v>4249</v>
      </c>
      <c r="U13" t="s">
        <v>4133</v>
      </c>
      <c r="V13" t="s">
        <v>4015</v>
      </c>
      <c r="W13" t="s">
        <v>4002</v>
      </c>
      <c r="X13" t="s">
        <v>4133</v>
      </c>
      <c r="Y13" t="s">
        <v>4341</v>
      </c>
      <c r="Z13" t="s">
        <v>267</v>
      </c>
      <c r="AA13" t="s">
        <v>1410</v>
      </c>
      <c r="AB13" t="s">
        <v>4134</v>
      </c>
      <c r="AC13" t="s">
        <v>4646</v>
      </c>
      <c r="AD13" t="s">
        <v>4015</v>
      </c>
      <c r="AE13" t="s">
        <v>4327</v>
      </c>
      <c r="AF13" t="str">
        <f t="shared" si="1"/>
        <v>//3 - 0x03</v>
      </c>
    </row>
    <row r="14" spans="1:32" x14ac:dyDescent="0.25">
      <c r="A14" t="str">
        <f t="shared" si="0"/>
        <v>//4 - 0x04</v>
      </c>
      <c r="B14" t="s">
        <v>3926</v>
      </c>
      <c r="D14" t="s">
        <v>4028</v>
      </c>
      <c r="E14" t="s">
        <v>4023</v>
      </c>
      <c r="F14" t="s">
        <v>3933</v>
      </c>
      <c r="G14" t="s">
        <v>235</v>
      </c>
      <c r="H14" t="s">
        <v>1410</v>
      </c>
      <c r="I14" t="s">
        <v>4078</v>
      </c>
      <c r="J14" t="s">
        <v>4134</v>
      </c>
      <c r="K14" t="s">
        <v>4162</v>
      </c>
      <c r="L14" t="s">
        <v>268</v>
      </c>
      <c r="M14" t="s">
        <v>4134</v>
      </c>
      <c r="N14" t="s">
        <v>4250</v>
      </c>
      <c r="O14" t="s">
        <v>4415</v>
      </c>
      <c r="P14" t="s">
        <v>4250</v>
      </c>
      <c r="Q14" t="s">
        <v>4415</v>
      </c>
      <c r="R14" t="s">
        <v>4134</v>
      </c>
      <c r="S14" t="s">
        <v>4250</v>
      </c>
      <c r="T14" t="s">
        <v>4250</v>
      </c>
      <c r="U14" t="s">
        <v>4134</v>
      </c>
      <c r="V14" t="s">
        <v>4016</v>
      </c>
      <c r="W14" t="s">
        <v>4003</v>
      </c>
      <c r="X14" t="s">
        <v>4134</v>
      </c>
      <c r="Y14" t="s">
        <v>4342</v>
      </c>
      <c r="Z14" t="s">
        <v>268</v>
      </c>
      <c r="AA14" t="s">
        <v>1410</v>
      </c>
      <c r="AB14" t="s">
        <v>4136</v>
      </c>
      <c r="AC14" t="s">
        <v>4647</v>
      </c>
      <c r="AD14" t="s">
        <v>4016</v>
      </c>
      <c r="AE14" t="s">
        <v>4328</v>
      </c>
      <c r="AF14" t="str">
        <f t="shared" si="1"/>
        <v>//4 - 0x04</v>
      </c>
    </row>
    <row r="15" spans="1:32" x14ac:dyDescent="0.25">
      <c r="A15" t="str">
        <f t="shared" si="0"/>
        <v>//5 - 0x05</v>
      </c>
      <c r="B15" t="s">
        <v>3927</v>
      </c>
      <c r="D15" t="s">
        <v>4029</v>
      </c>
      <c r="E15" t="s">
        <v>1410</v>
      </c>
      <c r="F15" t="s">
        <v>3934</v>
      </c>
      <c r="G15" t="s">
        <v>236</v>
      </c>
      <c r="H15" t="s">
        <v>1410</v>
      </c>
      <c r="I15" t="s">
        <v>4079</v>
      </c>
      <c r="J15" t="s">
        <v>4135</v>
      </c>
      <c r="K15" t="s">
        <v>4163</v>
      </c>
      <c r="L15" t="s">
        <v>272</v>
      </c>
      <c r="M15" t="s">
        <v>4136</v>
      </c>
      <c r="N15" t="s">
        <v>4251</v>
      </c>
      <c r="O15" t="s">
        <v>4416</v>
      </c>
      <c r="P15" t="s">
        <v>4251</v>
      </c>
      <c r="Q15" t="s">
        <v>4416</v>
      </c>
      <c r="R15" t="s">
        <v>4135</v>
      </c>
      <c r="S15" t="s">
        <v>4251</v>
      </c>
      <c r="T15" t="s">
        <v>4251</v>
      </c>
      <c r="U15" t="s">
        <v>4135</v>
      </c>
      <c r="V15" t="s">
        <v>4017</v>
      </c>
      <c r="W15" t="s">
        <v>4004</v>
      </c>
      <c r="X15" t="s">
        <v>4135</v>
      </c>
      <c r="Y15" t="s">
        <v>4343</v>
      </c>
      <c r="Z15" t="s">
        <v>273</v>
      </c>
      <c r="AA15" t="s">
        <v>1410</v>
      </c>
      <c r="AB15" t="s">
        <v>4137</v>
      </c>
      <c r="AC15" t="s">
        <v>4648</v>
      </c>
      <c r="AD15" t="s">
        <v>4017</v>
      </c>
      <c r="AE15" t="s">
        <v>4329</v>
      </c>
      <c r="AF15" t="str">
        <f t="shared" si="1"/>
        <v>//5 - 0x05</v>
      </c>
    </row>
    <row r="16" spans="1:32" x14ac:dyDescent="0.25">
      <c r="A16" t="str">
        <f t="shared" si="0"/>
        <v>//6 - 0x06</v>
      </c>
      <c r="B16" t="s">
        <v>3928</v>
      </c>
      <c r="D16" t="s">
        <v>4030</v>
      </c>
      <c r="E16" t="s">
        <v>1410</v>
      </c>
      <c r="F16" t="s">
        <v>3935</v>
      </c>
      <c r="G16" t="s">
        <v>237</v>
      </c>
      <c r="H16" t="s">
        <v>1410</v>
      </c>
      <c r="I16" t="s">
        <v>4014</v>
      </c>
      <c r="J16" t="s">
        <v>4136</v>
      </c>
      <c r="K16" t="s">
        <v>4164</v>
      </c>
      <c r="L16" t="s">
        <v>273</v>
      </c>
      <c r="M16" t="s">
        <v>4137</v>
      </c>
      <c r="N16" t="s">
        <v>4252</v>
      </c>
      <c r="O16" t="s">
        <v>4252</v>
      </c>
      <c r="P16" t="s">
        <v>4252</v>
      </c>
      <c r="Q16" t="s">
        <v>4252</v>
      </c>
      <c r="R16" t="s">
        <v>4136</v>
      </c>
      <c r="S16" t="s">
        <v>4252</v>
      </c>
      <c r="T16" t="s">
        <v>4252</v>
      </c>
      <c r="U16" t="s">
        <v>4136</v>
      </c>
      <c r="V16" t="s">
        <v>4018</v>
      </c>
      <c r="W16" t="s">
        <v>4005</v>
      </c>
      <c r="X16" t="s">
        <v>4136</v>
      </c>
      <c r="Y16" t="s">
        <v>4344</v>
      </c>
      <c r="Z16" t="s">
        <v>3583</v>
      </c>
      <c r="AA16" t="s">
        <v>1410</v>
      </c>
      <c r="AB16" t="s">
        <v>4138</v>
      </c>
      <c r="AC16" t="s">
        <v>4324</v>
      </c>
      <c r="AD16" t="s">
        <v>4018</v>
      </c>
      <c r="AE16" t="s">
        <v>4330</v>
      </c>
      <c r="AF16" t="str">
        <f t="shared" si="1"/>
        <v>//6 - 0x06</v>
      </c>
    </row>
    <row r="17" spans="1:32" x14ac:dyDescent="0.25">
      <c r="A17" t="str">
        <f t="shared" si="0"/>
        <v>//7 - 0x07</v>
      </c>
      <c r="D17" t="s">
        <v>4031</v>
      </c>
      <c r="E17" t="s">
        <v>1410</v>
      </c>
      <c r="F17" t="s">
        <v>3936</v>
      </c>
      <c r="G17" t="s">
        <v>238</v>
      </c>
      <c r="H17" t="s">
        <v>1410</v>
      </c>
      <c r="I17" t="s">
        <v>4080</v>
      </c>
      <c r="J17" t="s">
        <v>4137</v>
      </c>
      <c r="K17" t="s">
        <v>4165</v>
      </c>
      <c r="L17" t="s">
        <v>3583</v>
      </c>
      <c r="M17" t="s">
        <v>4138</v>
      </c>
      <c r="N17" t="s">
        <v>4253</v>
      </c>
      <c r="O17" t="s">
        <v>4417</v>
      </c>
      <c r="P17" t="s">
        <v>4253</v>
      </c>
      <c r="Q17" t="s">
        <v>4417</v>
      </c>
      <c r="R17" t="s">
        <v>4137</v>
      </c>
      <c r="S17" t="s">
        <v>4253</v>
      </c>
      <c r="T17" t="s">
        <v>4253</v>
      </c>
      <c r="U17" t="s">
        <v>4137</v>
      </c>
      <c r="V17" t="s">
        <v>1410</v>
      </c>
      <c r="W17" t="s">
        <v>4006</v>
      </c>
      <c r="X17" t="s">
        <v>4137</v>
      </c>
      <c r="Y17" t="s">
        <v>4345</v>
      </c>
      <c r="Z17" t="s">
        <v>3584</v>
      </c>
      <c r="AA17" t="s">
        <v>1410</v>
      </c>
      <c r="AB17" t="s">
        <v>4139</v>
      </c>
      <c r="AC17" t="s">
        <v>3532</v>
      </c>
      <c r="AD17" t="s">
        <v>1410</v>
      </c>
      <c r="AE17" t="s">
        <v>4321</v>
      </c>
      <c r="AF17" t="str">
        <f t="shared" si="1"/>
        <v>//7 - 0x07</v>
      </c>
    </row>
    <row r="18" spans="1:32" x14ac:dyDescent="0.25">
      <c r="A18" t="str">
        <f t="shared" si="0"/>
        <v>//8 - 0x08</v>
      </c>
      <c r="D18" t="s">
        <v>4032</v>
      </c>
      <c r="E18" t="s">
        <v>1410</v>
      </c>
      <c r="F18" t="s">
        <v>3937</v>
      </c>
      <c r="G18" t="s">
        <v>239</v>
      </c>
      <c r="H18" t="s">
        <v>1410</v>
      </c>
      <c r="I18" t="s">
        <v>4081</v>
      </c>
      <c r="J18" t="s">
        <v>4138</v>
      </c>
      <c r="K18" t="s">
        <v>4166</v>
      </c>
      <c r="L18" t="s">
        <v>3584</v>
      </c>
      <c r="M18" t="s">
        <v>4139</v>
      </c>
      <c r="N18" t="s">
        <v>4254</v>
      </c>
      <c r="O18" t="s">
        <v>4418</v>
      </c>
      <c r="P18" t="s">
        <v>4254</v>
      </c>
      <c r="Q18" t="s">
        <v>4418</v>
      </c>
      <c r="R18" t="s">
        <v>4138</v>
      </c>
      <c r="S18" t="s">
        <v>4254</v>
      </c>
      <c r="T18" t="s">
        <v>4254</v>
      </c>
      <c r="U18" t="s">
        <v>4138</v>
      </c>
      <c r="V18" t="s">
        <v>1410</v>
      </c>
      <c r="W18" t="s">
        <v>4007</v>
      </c>
      <c r="X18" t="s">
        <v>4138</v>
      </c>
      <c r="Y18" t="s">
        <v>4346</v>
      </c>
      <c r="Z18" t="s">
        <v>3586</v>
      </c>
      <c r="AA18" t="s">
        <v>1410</v>
      </c>
      <c r="AB18" t="s">
        <v>4140</v>
      </c>
      <c r="AC18" t="s">
        <v>4325</v>
      </c>
      <c r="AD18" t="s">
        <v>1410</v>
      </c>
      <c r="AE18" t="s">
        <v>4322</v>
      </c>
      <c r="AF18" t="str">
        <f t="shared" si="1"/>
        <v>//8 - 0x08</v>
      </c>
    </row>
    <row r="19" spans="1:32" x14ac:dyDescent="0.25">
      <c r="A19" t="str">
        <f t="shared" si="0"/>
        <v>//9 - 0x09</v>
      </c>
      <c r="D19" t="s">
        <v>4033</v>
      </c>
      <c r="E19" t="s">
        <v>1410</v>
      </c>
      <c r="F19" t="s">
        <v>3938</v>
      </c>
      <c r="G19" t="s">
        <v>240</v>
      </c>
      <c r="H19" t="s">
        <v>1410</v>
      </c>
      <c r="I19" t="s">
        <v>4082</v>
      </c>
      <c r="J19" t="s">
        <v>4139</v>
      </c>
      <c r="K19" t="s">
        <v>4167</v>
      </c>
      <c r="L19" t="s">
        <v>3586</v>
      </c>
      <c r="M19" t="s">
        <v>4140</v>
      </c>
      <c r="N19" t="s">
        <v>4255</v>
      </c>
      <c r="O19" t="s">
        <v>4419</v>
      </c>
      <c r="P19" t="s">
        <v>4255</v>
      </c>
      <c r="Q19" t="s">
        <v>4419</v>
      </c>
      <c r="R19" t="s">
        <v>4139</v>
      </c>
      <c r="S19" t="s">
        <v>4255</v>
      </c>
      <c r="T19" t="s">
        <v>4255</v>
      </c>
      <c r="U19" t="s">
        <v>4139</v>
      </c>
      <c r="V19" t="s">
        <v>1410</v>
      </c>
      <c r="W19" t="s">
        <v>4008</v>
      </c>
      <c r="X19" t="s">
        <v>4139</v>
      </c>
      <c r="Y19" t="s">
        <v>4347</v>
      </c>
      <c r="Z19" t="s">
        <v>3587</v>
      </c>
      <c r="AA19" t="s">
        <v>1410</v>
      </c>
      <c r="AB19" t="s">
        <v>4141</v>
      </c>
      <c r="AC19" t="s">
        <v>4075</v>
      </c>
      <c r="AD19" t="s">
        <v>1410</v>
      </c>
      <c r="AE19" t="s">
        <v>4331</v>
      </c>
      <c r="AF19" t="str">
        <f t="shared" si="1"/>
        <v>//9 - 0x09</v>
      </c>
    </row>
    <row r="20" spans="1:32" x14ac:dyDescent="0.25">
      <c r="A20" t="str">
        <f t="shared" si="0"/>
        <v>//10 - 0x0A</v>
      </c>
      <c r="D20" t="s">
        <v>4034</v>
      </c>
      <c r="E20" t="s">
        <v>1410</v>
      </c>
      <c r="F20" t="s">
        <v>3939</v>
      </c>
      <c r="G20" t="s">
        <v>241</v>
      </c>
      <c r="H20" t="s">
        <v>1410</v>
      </c>
      <c r="I20" t="s">
        <v>4083</v>
      </c>
      <c r="J20" t="s">
        <v>4140</v>
      </c>
      <c r="K20" t="s">
        <v>4168</v>
      </c>
      <c r="L20" t="s">
        <v>3587</v>
      </c>
      <c r="M20" t="s">
        <v>4141</v>
      </c>
      <c r="N20" t="s">
        <v>4256</v>
      </c>
      <c r="O20" t="s">
        <v>4420</v>
      </c>
      <c r="P20" t="s">
        <v>4256</v>
      </c>
      <c r="Q20" t="s">
        <v>4420</v>
      </c>
      <c r="R20" t="s">
        <v>4140</v>
      </c>
      <c r="S20" t="s">
        <v>4256</v>
      </c>
      <c r="T20" t="s">
        <v>4256</v>
      </c>
      <c r="U20" t="s">
        <v>4140</v>
      </c>
      <c r="V20" t="s">
        <v>1410</v>
      </c>
      <c r="W20" t="s">
        <v>4009</v>
      </c>
      <c r="X20" t="s">
        <v>4140</v>
      </c>
      <c r="Y20" t="s">
        <v>4348</v>
      </c>
      <c r="Z20" t="s">
        <v>3588</v>
      </c>
      <c r="AA20" t="s">
        <v>1410</v>
      </c>
      <c r="AB20" t="s">
        <v>4241</v>
      </c>
      <c r="AC20" t="s">
        <v>4024</v>
      </c>
      <c r="AD20" t="s">
        <v>1410</v>
      </c>
      <c r="AE20" t="s">
        <v>4015</v>
      </c>
      <c r="AF20" t="str">
        <f t="shared" si="1"/>
        <v>//10 - 0x0A</v>
      </c>
    </row>
    <row r="21" spans="1:32" x14ac:dyDescent="0.25">
      <c r="A21" t="str">
        <f t="shared" si="0"/>
        <v>//11 - 0x0B</v>
      </c>
      <c r="D21" t="s">
        <v>4035</v>
      </c>
      <c r="E21" t="s">
        <v>1410</v>
      </c>
      <c r="F21" t="s">
        <v>3940</v>
      </c>
      <c r="G21" t="s">
        <v>242</v>
      </c>
      <c r="H21" t="s">
        <v>1410</v>
      </c>
      <c r="I21" t="s">
        <v>4084</v>
      </c>
      <c r="J21" t="s">
        <v>4141</v>
      </c>
      <c r="K21" t="s">
        <v>4169</v>
      </c>
      <c r="L21" t="s">
        <v>3588</v>
      </c>
      <c r="M21" t="s">
        <v>4142</v>
      </c>
      <c r="N21" t="s">
        <v>4257</v>
      </c>
      <c r="O21" t="s">
        <v>4421</v>
      </c>
      <c r="P21" t="s">
        <v>4257</v>
      </c>
      <c r="Q21" t="s">
        <v>4421</v>
      </c>
      <c r="R21" t="s">
        <v>4141</v>
      </c>
      <c r="S21" t="s">
        <v>4257</v>
      </c>
      <c r="T21" t="s">
        <v>4257</v>
      </c>
      <c r="U21" t="s">
        <v>4141</v>
      </c>
      <c r="V21" t="s">
        <v>1410</v>
      </c>
      <c r="W21" t="s">
        <v>4010</v>
      </c>
      <c r="X21" t="s">
        <v>4141</v>
      </c>
      <c r="Y21" t="s">
        <v>4349</v>
      </c>
      <c r="Z21" t="s">
        <v>3589</v>
      </c>
      <c r="AA21" t="s">
        <v>1410</v>
      </c>
      <c r="AB21" t="s">
        <v>4242</v>
      </c>
      <c r="AC21" t="s">
        <v>4015</v>
      </c>
      <c r="AD21" t="s">
        <v>1410</v>
      </c>
      <c r="AE21" t="s">
        <v>4332</v>
      </c>
      <c r="AF21" t="str">
        <f t="shared" si="1"/>
        <v>//11 - 0x0B</v>
      </c>
    </row>
    <row r="22" spans="1:32" x14ac:dyDescent="0.25">
      <c r="A22" t="str">
        <f t="shared" si="0"/>
        <v>//12 - 0x0C</v>
      </c>
      <c r="D22" t="s">
        <v>4036</v>
      </c>
      <c r="E22" t="s">
        <v>1410</v>
      </c>
      <c r="F22" t="s">
        <v>3941</v>
      </c>
      <c r="G22" t="s">
        <v>243</v>
      </c>
      <c r="H22" t="s">
        <v>1410</v>
      </c>
      <c r="I22" t="s">
        <v>4085</v>
      </c>
      <c r="J22" t="s">
        <v>4142</v>
      </c>
      <c r="K22" t="s">
        <v>4170</v>
      </c>
      <c r="L22" t="s">
        <v>3589</v>
      </c>
      <c r="M22" t="s">
        <v>4143</v>
      </c>
      <c r="N22" t="s">
        <v>4258</v>
      </c>
      <c r="O22" t="s">
        <v>4422</v>
      </c>
      <c r="P22" t="s">
        <v>4258</v>
      </c>
      <c r="Q22" t="s">
        <v>4422</v>
      </c>
      <c r="R22" t="s">
        <v>4142</v>
      </c>
      <c r="S22" t="s">
        <v>4258</v>
      </c>
      <c r="T22" t="s">
        <v>4258</v>
      </c>
      <c r="U22" t="s">
        <v>4142</v>
      </c>
      <c r="V22" t="s">
        <v>1410</v>
      </c>
      <c r="W22" t="s">
        <v>4011</v>
      </c>
      <c r="X22" t="s">
        <v>4142</v>
      </c>
      <c r="Y22" t="s">
        <v>4350</v>
      </c>
      <c r="Z22" t="s">
        <v>3590</v>
      </c>
      <c r="AA22" t="s">
        <v>1410</v>
      </c>
      <c r="AB22" t="s">
        <v>4243</v>
      </c>
      <c r="AC22" t="s">
        <v>4016</v>
      </c>
      <c r="AD22" t="s">
        <v>1410</v>
      </c>
      <c r="AE22" t="s">
        <v>4017</v>
      </c>
      <c r="AF22" t="str">
        <f t="shared" si="1"/>
        <v>//12 - 0x0C</v>
      </c>
    </row>
    <row r="23" spans="1:32" x14ac:dyDescent="0.25">
      <c r="A23" t="str">
        <f t="shared" si="0"/>
        <v>//13 - 0x0D</v>
      </c>
      <c r="D23" t="s">
        <v>4037</v>
      </c>
      <c r="E23" t="s">
        <v>1410</v>
      </c>
      <c r="F23" t="s">
        <v>3942</v>
      </c>
      <c r="G23" t="s">
        <v>244</v>
      </c>
      <c r="H23" t="s">
        <v>1410</v>
      </c>
      <c r="I23" t="s">
        <v>4086</v>
      </c>
      <c r="J23" t="s">
        <v>4143</v>
      </c>
      <c r="K23" t="s">
        <v>4171</v>
      </c>
      <c r="L23" t="s">
        <v>3590</v>
      </c>
      <c r="M23" t="s">
        <v>4144</v>
      </c>
      <c r="N23" t="s">
        <v>4259</v>
      </c>
      <c r="O23" t="s">
        <v>4423</v>
      </c>
      <c r="P23" t="s">
        <v>4259</v>
      </c>
      <c r="Q23" t="s">
        <v>4423</v>
      </c>
      <c r="R23" t="s">
        <v>4143</v>
      </c>
      <c r="S23" t="s">
        <v>4259</v>
      </c>
      <c r="T23" t="s">
        <v>4259</v>
      </c>
      <c r="U23" t="s">
        <v>4143</v>
      </c>
      <c r="V23" t="s">
        <v>1410</v>
      </c>
      <c r="W23" t="s">
        <v>1410</v>
      </c>
      <c r="X23" t="s">
        <v>4143</v>
      </c>
      <c r="Y23" t="s">
        <v>4351</v>
      </c>
      <c r="Z23" t="s">
        <v>3591</v>
      </c>
      <c r="AA23" t="s">
        <v>1410</v>
      </c>
      <c r="AB23" t="s">
        <v>4244</v>
      </c>
      <c r="AC23" t="s">
        <v>4017</v>
      </c>
      <c r="AD23" t="s">
        <v>1410</v>
      </c>
      <c r="AE23" t="s">
        <v>4333</v>
      </c>
      <c r="AF23" t="str">
        <f t="shared" si="1"/>
        <v>//13 - 0x0D</v>
      </c>
    </row>
    <row r="24" spans="1:32" x14ac:dyDescent="0.25">
      <c r="A24" t="str">
        <f t="shared" si="0"/>
        <v>//14 - 0x0E</v>
      </c>
      <c r="D24" t="s">
        <v>4038</v>
      </c>
      <c r="E24" t="s">
        <v>1410</v>
      </c>
      <c r="F24" t="s">
        <v>3943</v>
      </c>
      <c r="G24" t="s">
        <v>247</v>
      </c>
      <c r="H24" t="s">
        <v>1410</v>
      </c>
      <c r="I24" t="s">
        <v>4087</v>
      </c>
      <c r="J24" t="s">
        <v>4144</v>
      </c>
      <c r="K24" t="s">
        <v>4172</v>
      </c>
      <c r="L24" t="s">
        <v>3591</v>
      </c>
      <c r="M24" t="s">
        <v>4145</v>
      </c>
      <c r="N24" t="s">
        <v>4260</v>
      </c>
      <c r="O24" t="s">
        <v>4424</v>
      </c>
      <c r="P24" t="s">
        <v>4260</v>
      </c>
      <c r="Q24" t="s">
        <v>4424</v>
      </c>
      <c r="R24" t="s">
        <v>4448</v>
      </c>
      <c r="S24" t="s">
        <v>4260</v>
      </c>
      <c r="T24" t="s">
        <v>4260</v>
      </c>
      <c r="U24" t="s">
        <v>4144</v>
      </c>
      <c r="V24" t="s">
        <v>1410</v>
      </c>
      <c r="W24" t="s">
        <v>1410</v>
      </c>
      <c r="X24" t="s">
        <v>4144</v>
      </c>
      <c r="Y24" t="s">
        <v>4352</v>
      </c>
      <c r="Z24" t="s">
        <v>3592</v>
      </c>
      <c r="AA24" t="s">
        <v>1410</v>
      </c>
      <c r="AB24" t="s">
        <v>4320</v>
      </c>
      <c r="AC24" t="s">
        <v>3979</v>
      </c>
      <c r="AD24" t="s">
        <v>1410</v>
      </c>
      <c r="AE24" t="s">
        <v>4016</v>
      </c>
      <c r="AF24" t="str">
        <f t="shared" si="1"/>
        <v>//14 - 0x0E</v>
      </c>
    </row>
    <row r="25" spans="1:32" x14ac:dyDescent="0.25">
      <c r="A25" t="str">
        <f t="shared" si="0"/>
        <v>//15 - 0x0F</v>
      </c>
      <c r="D25" t="s">
        <v>4039</v>
      </c>
      <c r="E25" t="s">
        <v>1410</v>
      </c>
      <c r="F25" t="s">
        <v>3944</v>
      </c>
      <c r="G25" t="s">
        <v>248</v>
      </c>
      <c r="H25" t="s">
        <v>1410</v>
      </c>
      <c r="I25" t="s">
        <v>4088</v>
      </c>
      <c r="J25" t="s">
        <v>4145</v>
      </c>
      <c r="K25" t="s">
        <v>4173</v>
      </c>
      <c r="L25" t="s">
        <v>3592</v>
      </c>
      <c r="M25" t="s">
        <v>4146</v>
      </c>
      <c r="N25" t="s">
        <v>4261</v>
      </c>
      <c r="O25" t="s">
        <v>4425</v>
      </c>
      <c r="P25" t="s">
        <v>4261</v>
      </c>
      <c r="Q25" t="s">
        <v>4425</v>
      </c>
      <c r="R25" t="s">
        <v>4449</v>
      </c>
      <c r="S25" t="s">
        <v>4261</v>
      </c>
      <c r="T25" t="s">
        <v>4261</v>
      </c>
      <c r="U25" t="s">
        <v>4145</v>
      </c>
      <c r="V25" t="s">
        <v>1410</v>
      </c>
      <c r="W25" t="s">
        <v>1410</v>
      </c>
      <c r="X25" t="s">
        <v>4145</v>
      </c>
      <c r="Y25" t="s">
        <v>3984</v>
      </c>
      <c r="Z25" t="s">
        <v>3593</v>
      </c>
      <c r="AA25" t="s">
        <v>1410</v>
      </c>
      <c r="AB25" t="s">
        <v>4321</v>
      </c>
      <c r="AC25" t="s">
        <v>4014</v>
      </c>
      <c r="AD25" t="s">
        <v>1410</v>
      </c>
      <c r="AE25" t="s">
        <v>4334</v>
      </c>
      <c r="AF25" t="str">
        <f t="shared" si="1"/>
        <v>//15 - 0x0F</v>
      </c>
    </row>
    <row r="26" spans="1:32" x14ac:dyDescent="0.25">
      <c r="A26" t="str">
        <f t="shared" si="0"/>
        <v>//16 - 0x10</v>
      </c>
      <c r="D26" t="s">
        <v>4040</v>
      </c>
      <c r="E26" t="s">
        <v>1410</v>
      </c>
      <c r="F26" t="s">
        <v>3945</v>
      </c>
      <c r="G26" t="s">
        <v>257</v>
      </c>
      <c r="H26" t="s">
        <v>1410</v>
      </c>
      <c r="I26" t="s">
        <v>4089</v>
      </c>
      <c r="J26" t="s">
        <v>4146</v>
      </c>
      <c r="K26" t="s">
        <v>4174</v>
      </c>
      <c r="L26" t="s">
        <v>3593</v>
      </c>
      <c r="M26" t="s">
        <v>4147</v>
      </c>
      <c r="N26" t="s">
        <v>4262</v>
      </c>
      <c r="O26" t="s">
        <v>4426</v>
      </c>
      <c r="P26" t="s">
        <v>4262</v>
      </c>
      <c r="Q26" t="s">
        <v>4426</v>
      </c>
      <c r="R26" t="s">
        <v>4450</v>
      </c>
      <c r="S26" t="s">
        <v>4262</v>
      </c>
      <c r="T26" t="s">
        <v>4262</v>
      </c>
      <c r="U26" t="s">
        <v>4376</v>
      </c>
      <c r="V26" t="s">
        <v>1410</v>
      </c>
      <c r="W26" t="s">
        <v>1410</v>
      </c>
      <c r="X26" t="s">
        <v>4237</v>
      </c>
      <c r="Y26" t="s">
        <v>3985</v>
      </c>
      <c r="Z26" t="s">
        <v>3594</v>
      </c>
      <c r="AA26" t="s">
        <v>1410</v>
      </c>
      <c r="AB26" t="s">
        <v>4322</v>
      </c>
      <c r="AC26" t="s">
        <v>4078</v>
      </c>
      <c r="AD26" t="s">
        <v>1410</v>
      </c>
      <c r="AE26" t="s">
        <v>4335</v>
      </c>
      <c r="AF26" t="str">
        <f t="shared" si="1"/>
        <v>//16 - 0x10</v>
      </c>
    </row>
    <row r="27" spans="1:32" x14ac:dyDescent="0.25">
      <c r="A27" t="str">
        <f t="shared" si="0"/>
        <v>//17 - 0x11</v>
      </c>
      <c r="D27" t="s">
        <v>4041</v>
      </c>
      <c r="E27" t="s">
        <v>1410</v>
      </c>
      <c r="F27" t="s">
        <v>3946</v>
      </c>
      <c r="G27" t="s">
        <v>258</v>
      </c>
      <c r="H27" t="s">
        <v>1410</v>
      </c>
      <c r="I27" t="s">
        <v>4090</v>
      </c>
      <c r="J27" t="s">
        <v>4147</v>
      </c>
      <c r="K27" t="s">
        <v>4175</v>
      </c>
      <c r="L27" t="s">
        <v>3594</v>
      </c>
      <c r="M27" t="s">
        <v>4378</v>
      </c>
      <c r="N27" t="s">
        <v>4263</v>
      </c>
      <c r="O27" t="s">
        <v>4263</v>
      </c>
      <c r="P27" t="s">
        <v>4263</v>
      </c>
      <c r="Q27" t="s">
        <v>4263</v>
      </c>
      <c r="R27" t="s">
        <v>4451</v>
      </c>
      <c r="S27" t="s">
        <v>4263</v>
      </c>
      <c r="T27" t="s">
        <v>4263</v>
      </c>
      <c r="U27" t="s">
        <v>4377</v>
      </c>
      <c r="V27" t="s">
        <v>1410</v>
      </c>
      <c r="W27" t="s">
        <v>1410</v>
      </c>
      <c r="X27" t="s">
        <v>4238</v>
      </c>
      <c r="Y27" t="s">
        <v>3988</v>
      </c>
      <c r="Z27" t="s">
        <v>3595</v>
      </c>
      <c r="AA27" t="s">
        <v>1410</v>
      </c>
      <c r="AB27" t="s">
        <v>1410</v>
      </c>
      <c r="AC27" t="s">
        <v>4649</v>
      </c>
      <c r="AD27" t="s">
        <v>1410</v>
      </c>
      <c r="AE27" t="s">
        <v>4336</v>
      </c>
      <c r="AF27" t="str">
        <f t="shared" si="1"/>
        <v>//17 - 0x11</v>
      </c>
    </row>
    <row r="28" spans="1:32" x14ac:dyDescent="0.25">
      <c r="A28" t="str">
        <f t="shared" si="0"/>
        <v>//18 - 0x12</v>
      </c>
      <c r="D28" t="s">
        <v>4042</v>
      </c>
      <c r="E28" t="s">
        <v>1410</v>
      </c>
      <c r="F28" t="s">
        <v>3947</v>
      </c>
      <c r="G28" t="s">
        <v>261</v>
      </c>
      <c r="H28" t="s">
        <v>1410</v>
      </c>
      <c r="I28" t="s">
        <v>4091</v>
      </c>
      <c r="J28" t="s">
        <v>4148</v>
      </c>
      <c r="K28" t="s">
        <v>4176</v>
      </c>
      <c r="L28" t="s">
        <v>3595</v>
      </c>
      <c r="M28" t="s">
        <v>4379</v>
      </c>
      <c r="N28" t="s">
        <v>4264</v>
      </c>
      <c r="O28" t="s">
        <v>4427</v>
      </c>
      <c r="P28" t="s">
        <v>4264</v>
      </c>
      <c r="Q28" t="s">
        <v>4427</v>
      </c>
      <c r="R28" t="s">
        <v>4376</v>
      </c>
      <c r="S28" t="s">
        <v>4264</v>
      </c>
      <c r="T28" t="s">
        <v>4264</v>
      </c>
      <c r="U28" t="s">
        <v>4239</v>
      </c>
      <c r="V28" t="s">
        <v>1410</v>
      </c>
      <c r="W28" t="s">
        <v>1410</v>
      </c>
      <c r="X28" t="s">
        <v>4239</v>
      </c>
      <c r="Y28" t="s">
        <v>3989</v>
      </c>
      <c r="Z28" t="s">
        <v>3596</v>
      </c>
      <c r="AA28" t="s">
        <v>1410</v>
      </c>
      <c r="AB28" t="s">
        <v>1410</v>
      </c>
      <c r="AD28" t="s">
        <v>1410</v>
      </c>
      <c r="AE28" t="s">
        <v>4337</v>
      </c>
      <c r="AF28" t="str">
        <f t="shared" si="1"/>
        <v>//18 - 0x12</v>
      </c>
    </row>
    <row r="29" spans="1:32" x14ac:dyDescent="0.25">
      <c r="A29" t="str">
        <f t="shared" si="0"/>
        <v>//19 - 0x13</v>
      </c>
      <c r="D29" t="s">
        <v>4043</v>
      </c>
      <c r="E29" t="s">
        <v>1410</v>
      </c>
      <c r="F29" t="s">
        <v>3948</v>
      </c>
      <c r="G29" t="s">
        <v>3582</v>
      </c>
      <c r="H29" t="s">
        <v>1410</v>
      </c>
      <c r="I29" t="s">
        <v>4092</v>
      </c>
      <c r="J29" t="s">
        <v>4149</v>
      </c>
      <c r="K29" t="s">
        <v>4177</v>
      </c>
      <c r="L29" t="s">
        <v>3596</v>
      </c>
      <c r="M29" t="s">
        <v>4380</v>
      </c>
      <c r="N29" t="s">
        <v>4265</v>
      </c>
      <c r="O29" t="s">
        <v>4428</v>
      </c>
      <c r="P29" t="s">
        <v>4265</v>
      </c>
      <c r="Q29" t="s">
        <v>4428</v>
      </c>
      <c r="R29" t="s">
        <v>4377</v>
      </c>
      <c r="S29" t="s">
        <v>4265</v>
      </c>
      <c r="T29" t="s">
        <v>4265</v>
      </c>
      <c r="U29" t="s">
        <v>4240</v>
      </c>
      <c r="V29" t="s">
        <v>1410</v>
      </c>
      <c r="W29" t="s">
        <v>1410</v>
      </c>
      <c r="X29" t="s">
        <v>4240</v>
      </c>
      <c r="Y29" t="s">
        <v>3990</v>
      </c>
      <c r="Z29" t="s">
        <v>4370</v>
      </c>
      <c r="AA29" t="s">
        <v>1410</v>
      </c>
      <c r="AB29" t="s">
        <v>1410</v>
      </c>
      <c r="AD29" t="s">
        <v>1410</v>
      </c>
      <c r="AE29" t="s">
        <v>1410</v>
      </c>
      <c r="AF29" t="str">
        <f t="shared" si="1"/>
        <v>//19 - 0x13</v>
      </c>
    </row>
    <row r="30" spans="1:32" x14ac:dyDescent="0.25">
      <c r="A30" t="str">
        <f t="shared" si="0"/>
        <v>//20 - 0x14</v>
      </c>
      <c r="D30" t="s">
        <v>4044</v>
      </c>
      <c r="E30" t="s">
        <v>1410</v>
      </c>
      <c r="F30" t="s">
        <v>3949</v>
      </c>
      <c r="G30" t="s">
        <v>263</v>
      </c>
      <c r="H30" t="s">
        <v>1410</v>
      </c>
      <c r="I30" t="s">
        <v>4093</v>
      </c>
      <c r="J30" t="s">
        <v>4150</v>
      </c>
      <c r="K30" t="s">
        <v>4178</v>
      </c>
      <c r="L30" t="s">
        <v>3599</v>
      </c>
      <c r="M30" t="s">
        <v>4381</v>
      </c>
      <c r="N30" t="s">
        <v>4266</v>
      </c>
      <c r="O30" t="s">
        <v>4429</v>
      </c>
      <c r="P30" t="s">
        <v>4266</v>
      </c>
      <c r="Q30" t="s">
        <v>4429</v>
      </c>
      <c r="R30" t="s">
        <v>4314</v>
      </c>
      <c r="S30" t="s">
        <v>4266</v>
      </c>
      <c r="T30" t="s">
        <v>4266</v>
      </c>
      <c r="U30" t="s">
        <v>4241</v>
      </c>
      <c r="V30" t="s">
        <v>1410</v>
      </c>
      <c r="W30" t="s">
        <v>1410</v>
      </c>
      <c r="X30" t="s">
        <v>4241</v>
      </c>
      <c r="Y30" t="s">
        <v>3991</v>
      </c>
      <c r="Z30" t="s">
        <v>4371</v>
      </c>
      <c r="AA30" t="s">
        <v>1410</v>
      </c>
      <c r="AB30" t="s">
        <v>1410</v>
      </c>
      <c r="AD30" t="s">
        <v>1410</v>
      </c>
      <c r="AE30" t="s">
        <v>1410</v>
      </c>
      <c r="AF30" t="str">
        <f t="shared" si="1"/>
        <v>//20 - 0x14</v>
      </c>
    </row>
    <row r="31" spans="1:32" x14ac:dyDescent="0.25">
      <c r="A31" t="str">
        <f t="shared" si="0"/>
        <v>//21 - 0x15</v>
      </c>
      <c r="D31" t="s">
        <v>4045</v>
      </c>
      <c r="E31" t="s">
        <v>1410</v>
      </c>
      <c r="F31" t="s">
        <v>3950</v>
      </c>
      <c r="G31" t="s">
        <v>264</v>
      </c>
      <c r="H31" t="s">
        <v>1410</v>
      </c>
      <c r="I31" t="s">
        <v>4094</v>
      </c>
      <c r="J31" t="s">
        <v>4151</v>
      </c>
      <c r="K31" t="s">
        <v>4179</v>
      </c>
      <c r="L31" t="s">
        <v>3600</v>
      </c>
      <c r="M31" t="s">
        <v>4382</v>
      </c>
      <c r="N31" t="s">
        <v>4267</v>
      </c>
      <c r="O31" t="s">
        <v>4267</v>
      </c>
      <c r="P31" t="s">
        <v>4267</v>
      </c>
      <c r="Q31" t="s">
        <v>4267</v>
      </c>
      <c r="R31" t="s">
        <v>4315</v>
      </c>
      <c r="S31" t="s">
        <v>4267</v>
      </c>
      <c r="T31" t="s">
        <v>4267</v>
      </c>
      <c r="U31" t="s">
        <v>4242</v>
      </c>
      <c r="V31" t="s">
        <v>1410</v>
      </c>
      <c r="W31" t="s">
        <v>1410</v>
      </c>
      <c r="X31" t="s">
        <v>4242</v>
      </c>
      <c r="Y31" t="s">
        <v>4353</v>
      </c>
      <c r="Z31" t="s">
        <v>4372</v>
      </c>
      <c r="AA31" t="s">
        <v>1410</v>
      </c>
      <c r="AB31" t="s">
        <v>1410</v>
      </c>
      <c r="AD31" t="s">
        <v>1410</v>
      </c>
      <c r="AE31" t="s">
        <v>1410</v>
      </c>
      <c r="AF31" t="str">
        <f t="shared" si="1"/>
        <v>//21 - 0x15</v>
      </c>
    </row>
    <row r="32" spans="1:32" x14ac:dyDescent="0.25">
      <c r="A32" t="str">
        <f t="shared" si="0"/>
        <v>//22 - 0x16</v>
      </c>
      <c r="D32" t="s">
        <v>4046</v>
      </c>
      <c r="E32" t="s">
        <v>1410</v>
      </c>
      <c r="F32" t="s">
        <v>3951</v>
      </c>
      <c r="G32" t="s">
        <v>265</v>
      </c>
      <c r="H32" t="s">
        <v>1410</v>
      </c>
      <c r="I32" t="s">
        <v>4095</v>
      </c>
      <c r="J32" t="s">
        <v>4152</v>
      </c>
      <c r="K32" t="s">
        <v>4180</v>
      </c>
      <c r="L32" t="s">
        <v>3601</v>
      </c>
      <c r="M32" t="s">
        <v>4383</v>
      </c>
      <c r="N32" t="s">
        <v>4268</v>
      </c>
      <c r="O32" t="s">
        <v>4430</v>
      </c>
      <c r="P32" t="s">
        <v>4268</v>
      </c>
      <c r="Q32" t="s">
        <v>4430</v>
      </c>
      <c r="R32" t="s">
        <v>4316</v>
      </c>
      <c r="S32" t="s">
        <v>4268</v>
      </c>
      <c r="T32" t="s">
        <v>4268</v>
      </c>
      <c r="U32" t="s">
        <v>4243</v>
      </c>
      <c r="V32" t="s">
        <v>1410</v>
      </c>
      <c r="W32" t="s">
        <v>1410</v>
      </c>
      <c r="X32" t="s">
        <v>4243</v>
      </c>
      <c r="Y32" t="s">
        <v>4354</v>
      </c>
      <c r="Z32" t="s">
        <v>4373</v>
      </c>
      <c r="AA32" t="s">
        <v>1410</v>
      </c>
      <c r="AB32" t="s">
        <v>1410</v>
      </c>
      <c r="AC32" t="s">
        <v>1410</v>
      </c>
      <c r="AD32" t="s">
        <v>1410</v>
      </c>
      <c r="AE32" t="s">
        <v>1410</v>
      </c>
      <c r="AF32" t="str">
        <f t="shared" si="1"/>
        <v>//22 - 0x16</v>
      </c>
    </row>
    <row r="33" spans="1:32" x14ac:dyDescent="0.25">
      <c r="A33" t="str">
        <f t="shared" si="0"/>
        <v>//23 - 0x17</v>
      </c>
      <c r="D33" t="s">
        <v>4047</v>
      </c>
      <c r="E33" t="s">
        <v>1410</v>
      </c>
      <c r="F33" t="s">
        <v>3952</v>
      </c>
      <c r="G33" t="s">
        <v>266</v>
      </c>
      <c r="H33" t="s">
        <v>1410</v>
      </c>
      <c r="I33" t="s">
        <v>4096</v>
      </c>
      <c r="J33" t="s">
        <v>4153</v>
      </c>
      <c r="K33" t="s">
        <v>4181</v>
      </c>
      <c r="L33" t="s">
        <v>3602</v>
      </c>
      <c r="M33" t="s">
        <v>4384</v>
      </c>
      <c r="N33" t="s">
        <v>4269</v>
      </c>
      <c r="O33" t="s">
        <v>4431</v>
      </c>
      <c r="P33" t="s">
        <v>4269</v>
      </c>
      <c r="Q33" t="s">
        <v>4431</v>
      </c>
      <c r="R33" t="s">
        <v>4317</v>
      </c>
      <c r="S33" t="s">
        <v>4269</v>
      </c>
      <c r="T33" t="s">
        <v>4269</v>
      </c>
      <c r="U33" t="s">
        <v>4244</v>
      </c>
      <c r="V33" t="s">
        <v>1410</v>
      </c>
      <c r="W33" t="s">
        <v>1410</v>
      </c>
      <c r="X33" t="s">
        <v>4244</v>
      </c>
      <c r="Y33" t="s">
        <v>4355</v>
      </c>
      <c r="Z33" t="s">
        <v>3603</v>
      </c>
      <c r="AA33" t="s">
        <v>1410</v>
      </c>
      <c r="AB33" t="s">
        <v>1410</v>
      </c>
      <c r="AC33" t="s">
        <v>1410</v>
      </c>
      <c r="AD33" t="s">
        <v>1410</v>
      </c>
      <c r="AE33" t="s">
        <v>1410</v>
      </c>
      <c r="AF33" t="str">
        <f t="shared" si="1"/>
        <v>//23 - 0x17</v>
      </c>
    </row>
    <row r="34" spans="1:32" x14ac:dyDescent="0.25">
      <c r="A34" t="str">
        <f t="shared" si="0"/>
        <v>//24 - 0x18</v>
      </c>
      <c r="D34" t="s">
        <v>4048</v>
      </c>
      <c r="E34" t="s">
        <v>1410</v>
      </c>
      <c r="F34" t="s">
        <v>3953</v>
      </c>
      <c r="G34" t="s">
        <v>267</v>
      </c>
      <c r="H34" t="s">
        <v>1410</v>
      </c>
      <c r="I34" t="s">
        <v>4097</v>
      </c>
      <c r="J34" t="s">
        <v>4154</v>
      </c>
      <c r="K34" t="s">
        <v>4182</v>
      </c>
      <c r="L34" t="s">
        <v>3603</v>
      </c>
      <c r="M34" t="s">
        <v>4385</v>
      </c>
      <c r="N34" t="s">
        <v>4270</v>
      </c>
      <c r="O34" t="s">
        <v>4432</v>
      </c>
      <c r="P34" t="s">
        <v>4270</v>
      </c>
      <c r="Q34" t="s">
        <v>4432</v>
      </c>
      <c r="R34" t="s">
        <v>4452</v>
      </c>
      <c r="S34" t="s">
        <v>4270</v>
      </c>
      <c r="T34" t="s">
        <v>4270</v>
      </c>
      <c r="U34" t="s">
        <v>1410</v>
      </c>
      <c r="V34" t="s">
        <v>1410</v>
      </c>
      <c r="W34" t="s">
        <v>1410</v>
      </c>
      <c r="X34" t="s">
        <v>4245</v>
      </c>
      <c r="Y34" t="s">
        <v>4356</v>
      </c>
      <c r="Z34" t="s">
        <v>3604</v>
      </c>
      <c r="AA34" t="s">
        <v>1410</v>
      </c>
      <c r="AB34" t="s">
        <v>1410</v>
      </c>
      <c r="AC34" t="s">
        <v>1410</v>
      </c>
      <c r="AD34" t="s">
        <v>1410</v>
      </c>
      <c r="AE34" t="s">
        <v>1410</v>
      </c>
      <c r="AF34" t="str">
        <f t="shared" si="1"/>
        <v>//24 - 0x18</v>
      </c>
    </row>
    <row r="35" spans="1:32" x14ac:dyDescent="0.25">
      <c r="A35" t="str">
        <f t="shared" si="0"/>
        <v>//25 - 0x19</v>
      </c>
      <c r="D35" t="s">
        <v>4049</v>
      </c>
      <c r="E35" t="s">
        <v>1410</v>
      </c>
      <c r="F35" t="s">
        <v>3954</v>
      </c>
      <c r="G35" t="s">
        <v>268</v>
      </c>
      <c r="H35" t="s">
        <v>1410</v>
      </c>
      <c r="I35" t="s">
        <v>4098</v>
      </c>
      <c r="J35" t="s">
        <v>4155</v>
      </c>
      <c r="K35" t="s">
        <v>4183</v>
      </c>
      <c r="L35" t="s">
        <v>3604</v>
      </c>
      <c r="M35" t="s">
        <v>4386</v>
      </c>
      <c r="N35" t="s">
        <v>4271</v>
      </c>
      <c r="O35" t="s">
        <v>4433</v>
      </c>
      <c r="P35" t="s">
        <v>4271</v>
      </c>
      <c r="Q35" t="s">
        <v>4433</v>
      </c>
      <c r="R35" t="s">
        <v>4453</v>
      </c>
      <c r="S35" t="s">
        <v>4271</v>
      </c>
      <c r="T35" t="s">
        <v>4271</v>
      </c>
      <c r="U35" t="s">
        <v>1410</v>
      </c>
      <c r="V35" t="s">
        <v>1410</v>
      </c>
      <c r="W35" t="s">
        <v>1410</v>
      </c>
      <c r="X35" t="s">
        <v>1410</v>
      </c>
      <c r="Y35" t="s">
        <v>4357</v>
      </c>
      <c r="Z35" t="s">
        <v>3611</v>
      </c>
      <c r="AA35" t="s">
        <v>1410</v>
      </c>
      <c r="AB35" t="s">
        <v>1410</v>
      </c>
      <c r="AC35" t="s">
        <v>1410</v>
      </c>
      <c r="AD35" t="s">
        <v>1410</v>
      </c>
      <c r="AE35" t="s">
        <v>1410</v>
      </c>
      <c r="AF35" t="str">
        <f t="shared" si="1"/>
        <v>//25 - 0x19</v>
      </c>
    </row>
    <row r="36" spans="1:32" x14ac:dyDescent="0.25">
      <c r="A36" t="str">
        <f t="shared" si="0"/>
        <v>//26 - 0x1A</v>
      </c>
      <c r="D36" t="s">
        <v>4050</v>
      </c>
      <c r="E36" t="s">
        <v>1410</v>
      </c>
      <c r="F36" t="s">
        <v>3955</v>
      </c>
      <c r="G36" t="s">
        <v>272</v>
      </c>
      <c r="H36" t="s">
        <v>1410</v>
      </c>
      <c r="I36" t="s">
        <v>4099</v>
      </c>
      <c r="J36" t="s">
        <v>4156</v>
      </c>
      <c r="K36" t="s">
        <v>4184</v>
      </c>
      <c r="L36" t="s">
        <v>3605</v>
      </c>
      <c r="M36" t="s">
        <v>4387</v>
      </c>
      <c r="N36" t="s">
        <v>4272</v>
      </c>
      <c r="O36" t="s">
        <v>4434</v>
      </c>
      <c r="P36" t="s">
        <v>4272</v>
      </c>
      <c r="Q36" t="s">
        <v>4434</v>
      </c>
      <c r="R36" t="s">
        <v>4454</v>
      </c>
      <c r="S36" t="s">
        <v>4272</v>
      </c>
      <c r="T36" t="s">
        <v>4272</v>
      </c>
      <c r="U36" t="s">
        <v>1410</v>
      </c>
      <c r="V36" t="s">
        <v>1410</v>
      </c>
      <c r="W36" t="s">
        <v>1410</v>
      </c>
      <c r="X36" t="s">
        <v>1410</v>
      </c>
      <c r="Y36" t="s">
        <v>4358</v>
      </c>
      <c r="Z36" t="s">
        <v>3612</v>
      </c>
      <c r="AA36" t="s">
        <v>1410</v>
      </c>
      <c r="AB36" t="s">
        <v>1410</v>
      </c>
      <c r="AC36" t="s">
        <v>1410</v>
      </c>
      <c r="AD36" t="s">
        <v>1410</v>
      </c>
      <c r="AE36" t="s">
        <v>1410</v>
      </c>
      <c r="AF36" t="str">
        <f t="shared" si="1"/>
        <v>//26 - 0x1A</v>
      </c>
    </row>
    <row r="37" spans="1:32" x14ac:dyDescent="0.25">
      <c r="A37" t="str">
        <f t="shared" si="0"/>
        <v>//27 - 0x1B</v>
      </c>
      <c r="D37" t="s">
        <v>4051</v>
      </c>
      <c r="E37" t="s">
        <v>1410</v>
      </c>
      <c r="F37" t="s">
        <v>3956</v>
      </c>
      <c r="G37" t="s">
        <v>273</v>
      </c>
      <c r="H37" t="s">
        <v>1410</v>
      </c>
      <c r="I37" t="s">
        <v>4100</v>
      </c>
      <c r="J37" t="s">
        <v>4157</v>
      </c>
      <c r="K37" t="s">
        <v>4185</v>
      </c>
      <c r="L37" t="s">
        <v>3606</v>
      </c>
      <c r="M37" t="s">
        <v>4388</v>
      </c>
      <c r="N37" t="s">
        <v>4273</v>
      </c>
      <c r="O37" t="s">
        <v>4435</v>
      </c>
      <c r="P37" t="s">
        <v>4273</v>
      </c>
      <c r="Q37" t="s">
        <v>4435</v>
      </c>
      <c r="R37" t="s">
        <v>4455</v>
      </c>
      <c r="S37" t="s">
        <v>4273</v>
      </c>
      <c r="T37" t="s">
        <v>4273</v>
      </c>
      <c r="U37" t="s">
        <v>1410</v>
      </c>
      <c r="V37" t="s">
        <v>1410</v>
      </c>
      <c r="W37" t="s">
        <v>1410</v>
      </c>
      <c r="X37" t="s">
        <v>1410</v>
      </c>
      <c r="Y37" t="s">
        <v>4359</v>
      </c>
      <c r="Z37" t="s">
        <v>1410</v>
      </c>
      <c r="AA37" t="s">
        <v>1410</v>
      </c>
      <c r="AB37" t="s">
        <v>1410</v>
      </c>
      <c r="AC37" t="s">
        <v>1410</v>
      </c>
      <c r="AD37" t="s">
        <v>1410</v>
      </c>
      <c r="AE37" t="s">
        <v>1410</v>
      </c>
      <c r="AF37" t="str">
        <f t="shared" si="1"/>
        <v>//27 - 0x1B</v>
      </c>
    </row>
    <row r="38" spans="1:32" x14ac:dyDescent="0.25">
      <c r="A38" t="str">
        <f t="shared" si="0"/>
        <v>//28 - 0x1C</v>
      </c>
      <c r="D38" t="s">
        <v>4052</v>
      </c>
      <c r="E38" t="s">
        <v>1410</v>
      </c>
      <c r="F38" t="s">
        <v>3957</v>
      </c>
      <c r="G38" t="s">
        <v>3583</v>
      </c>
      <c r="H38" t="s">
        <v>1410</v>
      </c>
      <c r="I38" t="s">
        <v>4101</v>
      </c>
      <c r="J38" t="s">
        <v>4158</v>
      </c>
      <c r="K38" t="s">
        <v>4186</v>
      </c>
      <c r="L38" t="s">
        <v>3607</v>
      </c>
      <c r="M38" t="s">
        <v>4389</v>
      </c>
      <c r="N38" t="s">
        <v>4274</v>
      </c>
      <c r="O38" t="s">
        <v>4436</v>
      </c>
      <c r="P38" t="s">
        <v>4274</v>
      </c>
      <c r="Q38" t="s">
        <v>4436</v>
      </c>
      <c r="R38" t="s">
        <v>4456</v>
      </c>
      <c r="S38" t="s">
        <v>4274</v>
      </c>
      <c r="T38" t="s">
        <v>4274</v>
      </c>
      <c r="U38" t="s">
        <v>1410</v>
      </c>
      <c r="V38" t="s">
        <v>1410</v>
      </c>
      <c r="W38" t="s">
        <v>1410</v>
      </c>
      <c r="X38" t="s">
        <v>1410</v>
      </c>
      <c r="Y38" t="s">
        <v>4360</v>
      </c>
      <c r="Z38" t="s">
        <v>1410</v>
      </c>
      <c r="AA38" t="s">
        <v>1410</v>
      </c>
      <c r="AB38" t="s">
        <v>1410</v>
      </c>
      <c r="AC38" t="s">
        <v>1410</v>
      </c>
      <c r="AD38" t="s">
        <v>1410</v>
      </c>
      <c r="AE38" t="s">
        <v>1410</v>
      </c>
      <c r="AF38" t="str">
        <f t="shared" si="1"/>
        <v>//28 - 0x1C</v>
      </c>
    </row>
    <row r="39" spans="1:32" x14ac:dyDescent="0.25">
      <c r="A39" t="str">
        <f t="shared" si="0"/>
        <v>//29 - 0x1D</v>
      </c>
      <c r="D39" t="s">
        <v>4053</v>
      </c>
      <c r="E39" t="s">
        <v>1410</v>
      </c>
      <c r="F39" t="s">
        <v>3958</v>
      </c>
      <c r="G39" t="s">
        <v>3584</v>
      </c>
      <c r="H39" t="s">
        <v>1410</v>
      </c>
      <c r="I39" t="s">
        <v>4102</v>
      </c>
      <c r="J39" t="s">
        <v>1410</v>
      </c>
      <c r="K39" t="s">
        <v>4187</v>
      </c>
      <c r="L39" t="s">
        <v>3608</v>
      </c>
      <c r="M39" t="s">
        <v>4390</v>
      </c>
      <c r="N39" t="s">
        <v>4275</v>
      </c>
      <c r="O39" t="s">
        <v>4437</v>
      </c>
      <c r="P39" t="s">
        <v>4275</v>
      </c>
      <c r="Q39" t="s">
        <v>4437</v>
      </c>
      <c r="R39" t="s">
        <v>4457</v>
      </c>
      <c r="S39" t="s">
        <v>4275</v>
      </c>
      <c r="T39" t="s">
        <v>4275</v>
      </c>
      <c r="U39" t="s">
        <v>1410</v>
      </c>
      <c r="V39" t="s">
        <v>1410</v>
      </c>
      <c r="W39" t="s">
        <v>1410</v>
      </c>
      <c r="X39" t="s">
        <v>1410</v>
      </c>
      <c r="Y39" t="s">
        <v>4361</v>
      </c>
      <c r="Z39" t="s">
        <v>1410</v>
      </c>
      <c r="AA39" t="s">
        <v>1410</v>
      </c>
      <c r="AB39" t="s">
        <v>1410</v>
      </c>
      <c r="AC39" t="s">
        <v>1410</v>
      </c>
      <c r="AD39" t="s">
        <v>1410</v>
      </c>
      <c r="AE39" t="s">
        <v>1410</v>
      </c>
      <c r="AF39" t="str">
        <f t="shared" si="1"/>
        <v>//29 - 0x1D</v>
      </c>
    </row>
    <row r="40" spans="1:32" x14ac:dyDescent="0.25">
      <c r="A40" t="str">
        <f t="shared" si="0"/>
        <v>//30 - 0x1E</v>
      </c>
      <c r="D40" t="s">
        <v>4054</v>
      </c>
      <c r="E40" t="s">
        <v>1410</v>
      </c>
      <c r="F40" t="s">
        <v>3959</v>
      </c>
      <c r="G40" t="s">
        <v>3585</v>
      </c>
      <c r="H40" t="s">
        <v>1410</v>
      </c>
      <c r="I40" t="s">
        <v>4103</v>
      </c>
      <c r="J40" t="s">
        <v>1410</v>
      </c>
      <c r="K40" t="s">
        <v>4188</v>
      </c>
      <c r="L40" t="s">
        <v>3609</v>
      </c>
      <c r="M40" t="s">
        <v>4391</v>
      </c>
      <c r="N40" t="s">
        <v>4276</v>
      </c>
      <c r="O40" t="s">
        <v>4438</v>
      </c>
      <c r="P40" t="s">
        <v>4276</v>
      </c>
      <c r="Q40" t="s">
        <v>4438</v>
      </c>
      <c r="R40" t="s">
        <v>4458</v>
      </c>
      <c r="S40" t="s">
        <v>4276</v>
      </c>
      <c r="T40" t="s">
        <v>4276</v>
      </c>
      <c r="U40" t="s">
        <v>1410</v>
      </c>
      <c r="V40" t="s">
        <v>1410</v>
      </c>
      <c r="W40" t="s">
        <v>1410</v>
      </c>
      <c r="X40" t="s">
        <v>1410</v>
      </c>
      <c r="Y40" t="s">
        <v>4362</v>
      </c>
      <c r="Z40" t="s">
        <v>1410</v>
      </c>
      <c r="AA40" t="s">
        <v>1410</v>
      </c>
      <c r="AB40" t="s">
        <v>1410</v>
      </c>
      <c r="AC40" t="s">
        <v>1410</v>
      </c>
      <c r="AD40" t="s">
        <v>1410</v>
      </c>
      <c r="AE40" t="s">
        <v>1410</v>
      </c>
      <c r="AF40" t="str">
        <f t="shared" si="1"/>
        <v>//30 - 0x1E</v>
      </c>
    </row>
    <row r="41" spans="1:32" x14ac:dyDescent="0.25">
      <c r="A41" t="str">
        <f t="shared" si="0"/>
        <v>//31 - 0x1F</v>
      </c>
      <c r="D41" t="s">
        <v>4055</v>
      </c>
      <c r="E41" t="s">
        <v>1410</v>
      </c>
      <c r="F41" t="s">
        <v>3960</v>
      </c>
      <c r="G41" t="s">
        <v>3586</v>
      </c>
      <c r="H41" t="s">
        <v>1410</v>
      </c>
      <c r="I41" t="s">
        <v>4104</v>
      </c>
      <c r="J41" t="s">
        <v>1410</v>
      </c>
      <c r="K41" t="s">
        <v>4189</v>
      </c>
      <c r="L41" t="s">
        <v>3610</v>
      </c>
      <c r="M41" t="s">
        <v>4150</v>
      </c>
      <c r="N41" t="s">
        <v>4277</v>
      </c>
      <c r="O41" t="s">
        <v>4439</v>
      </c>
      <c r="P41" t="s">
        <v>4277</v>
      </c>
      <c r="Q41" t="s">
        <v>4439</v>
      </c>
      <c r="R41" t="s">
        <v>4459</v>
      </c>
      <c r="S41" t="s">
        <v>4277</v>
      </c>
      <c r="T41" t="s">
        <v>4277</v>
      </c>
      <c r="U41" t="s">
        <v>1410</v>
      </c>
      <c r="V41" t="s">
        <v>1410</v>
      </c>
      <c r="W41" t="s">
        <v>1410</v>
      </c>
      <c r="X41" t="s">
        <v>1410</v>
      </c>
      <c r="Y41" t="s">
        <v>4363</v>
      </c>
      <c r="Z41" t="s">
        <v>1410</v>
      </c>
      <c r="AA41" t="s">
        <v>1410</v>
      </c>
      <c r="AB41" t="s">
        <v>1410</v>
      </c>
      <c r="AC41" t="s">
        <v>1410</v>
      </c>
      <c r="AD41" t="s">
        <v>1410</v>
      </c>
      <c r="AE41" t="s">
        <v>1410</v>
      </c>
      <c r="AF41" t="str">
        <f t="shared" si="1"/>
        <v>//31 - 0x1F</v>
      </c>
    </row>
    <row r="42" spans="1:32" x14ac:dyDescent="0.25">
      <c r="A42" t="str">
        <f t="shared" si="0"/>
        <v>//32 - 0x20</v>
      </c>
      <c r="D42" t="s">
        <v>4056</v>
      </c>
      <c r="E42" t="s">
        <v>1410</v>
      </c>
      <c r="F42" t="s">
        <v>3961</v>
      </c>
      <c r="G42" t="s">
        <v>3587</v>
      </c>
      <c r="H42" t="s">
        <v>1410</v>
      </c>
      <c r="I42" t="s">
        <v>4105</v>
      </c>
      <c r="J42" t="s">
        <v>1410</v>
      </c>
      <c r="K42" t="s">
        <v>4190</v>
      </c>
      <c r="L42" t="s">
        <v>3611</v>
      </c>
      <c r="M42" t="s">
        <v>4151</v>
      </c>
      <c r="N42" t="s">
        <v>4278</v>
      </c>
      <c r="O42" t="s">
        <v>4440</v>
      </c>
      <c r="P42" t="s">
        <v>4278</v>
      </c>
      <c r="Q42" t="s">
        <v>4440</v>
      </c>
      <c r="R42" t="s">
        <v>4239</v>
      </c>
      <c r="S42" t="s">
        <v>4278</v>
      </c>
      <c r="T42" t="s">
        <v>4278</v>
      </c>
      <c r="U42" t="s">
        <v>1410</v>
      </c>
      <c r="V42" t="s">
        <v>1410</v>
      </c>
      <c r="W42" t="s">
        <v>1410</v>
      </c>
      <c r="X42" t="s">
        <v>1410</v>
      </c>
      <c r="Y42" t="s">
        <v>4364</v>
      </c>
      <c r="Z42" t="s">
        <v>1410</v>
      </c>
      <c r="AA42" t="s">
        <v>1410</v>
      </c>
      <c r="AB42" t="s">
        <v>1410</v>
      </c>
      <c r="AC42" t="s">
        <v>1410</v>
      </c>
      <c r="AD42" t="s">
        <v>1410</v>
      </c>
      <c r="AE42" t="s">
        <v>1410</v>
      </c>
      <c r="AF42" t="str">
        <f t="shared" si="1"/>
        <v>//32 - 0x20</v>
      </c>
    </row>
    <row r="43" spans="1:32" x14ac:dyDescent="0.25">
      <c r="A43" t="str">
        <f t="shared" si="0"/>
        <v>//33 - 0x21</v>
      </c>
      <c r="D43" t="s">
        <v>4057</v>
      </c>
      <c r="E43" t="s">
        <v>1410</v>
      </c>
      <c r="F43" t="s">
        <v>3962</v>
      </c>
      <c r="G43" t="s">
        <v>3588</v>
      </c>
      <c r="H43" t="s">
        <v>1410</v>
      </c>
      <c r="I43" t="s">
        <v>4106</v>
      </c>
      <c r="J43" t="s">
        <v>1410</v>
      </c>
      <c r="K43" t="s">
        <v>4191</v>
      </c>
      <c r="L43" t="s">
        <v>3612</v>
      </c>
      <c r="M43" t="s">
        <v>4392</v>
      </c>
      <c r="N43" t="s">
        <v>4279</v>
      </c>
      <c r="O43" t="s">
        <v>4279</v>
      </c>
      <c r="P43" t="s">
        <v>4279</v>
      </c>
      <c r="Q43" t="s">
        <v>4279</v>
      </c>
      <c r="R43" t="s">
        <v>4240</v>
      </c>
      <c r="S43" t="s">
        <v>4279</v>
      </c>
      <c r="T43" t="s">
        <v>4279</v>
      </c>
      <c r="U43" t="s">
        <v>1410</v>
      </c>
      <c r="V43" t="s">
        <v>1410</v>
      </c>
      <c r="W43" t="s">
        <v>1410</v>
      </c>
      <c r="X43" t="s">
        <v>1410</v>
      </c>
      <c r="Y43" t="s">
        <v>4365</v>
      </c>
      <c r="Z43" t="s">
        <v>1410</v>
      </c>
      <c r="AA43" t="s">
        <v>1410</v>
      </c>
      <c r="AB43" t="s">
        <v>1410</v>
      </c>
      <c r="AC43" t="s">
        <v>1410</v>
      </c>
      <c r="AD43" t="s">
        <v>1410</v>
      </c>
      <c r="AE43" t="s">
        <v>1410</v>
      </c>
      <c r="AF43" t="str">
        <f t="shared" si="1"/>
        <v>//33 - 0x21</v>
      </c>
    </row>
    <row r="44" spans="1:32" x14ac:dyDescent="0.25">
      <c r="A44" t="str">
        <f t="shared" si="0"/>
        <v>//34 - 0x22</v>
      </c>
      <c r="D44" t="s">
        <v>4058</v>
      </c>
      <c r="E44" t="s">
        <v>1410</v>
      </c>
      <c r="F44" t="s">
        <v>3963</v>
      </c>
      <c r="G44" t="s">
        <v>3589</v>
      </c>
      <c r="H44" t="s">
        <v>1410</v>
      </c>
      <c r="I44" t="s">
        <v>4107</v>
      </c>
      <c r="J44" t="s">
        <v>1410</v>
      </c>
      <c r="K44" t="s">
        <v>4192</v>
      </c>
      <c r="L44" t="s">
        <v>1410</v>
      </c>
      <c r="M44" t="s">
        <v>4393</v>
      </c>
      <c r="N44" t="s">
        <v>4280</v>
      </c>
      <c r="O44" t="s">
        <v>4280</v>
      </c>
      <c r="P44" t="s">
        <v>4280</v>
      </c>
      <c r="Q44" t="s">
        <v>4280</v>
      </c>
      <c r="R44" t="s">
        <v>4241</v>
      </c>
      <c r="S44" t="s">
        <v>4280</v>
      </c>
      <c r="T44" t="s">
        <v>4280</v>
      </c>
      <c r="U44" t="s">
        <v>1410</v>
      </c>
      <c r="V44" t="s">
        <v>1410</v>
      </c>
      <c r="W44" t="s">
        <v>1410</v>
      </c>
      <c r="X44" t="s">
        <v>1410</v>
      </c>
      <c r="Y44" t="s">
        <v>4366</v>
      </c>
      <c r="Z44" t="s">
        <v>1410</v>
      </c>
      <c r="AA44" t="s">
        <v>1410</v>
      </c>
      <c r="AB44" t="s">
        <v>1410</v>
      </c>
      <c r="AC44" t="s">
        <v>1410</v>
      </c>
      <c r="AD44" t="s">
        <v>1410</v>
      </c>
      <c r="AE44" t="s">
        <v>1410</v>
      </c>
      <c r="AF44" t="str">
        <f t="shared" si="1"/>
        <v>//34 - 0x22</v>
      </c>
    </row>
    <row r="45" spans="1:32" x14ac:dyDescent="0.25">
      <c r="A45" t="str">
        <f t="shared" si="0"/>
        <v>//35 - 0x23</v>
      </c>
      <c r="D45" t="s">
        <v>4059</v>
      </c>
      <c r="E45" t="s">
        <v>1410</v>
      </c>
      <c r="F45" t="s">
        <v>3964</v>
      </c>
      <c r="G45" t="s">
        <v>3590</v>
      </c>
      <c r="H45" t="s">
        <v>1410</v>
      </c>
      <c r="I45" t="s">
        <v>4108</v>
      </c>
      <c r="J45" t="s">
        <v>1410</v>
      </c>
      <c r="K45" t="s">
        <v>4193</v>
      </c>
      <c r="L45" t="s">
        <v>1410</v>
      </c>
      <c r="M45" t="s">
        <v>4394</v>
      </c>
      <c r="N45" t="s">
        <v>4281</v>
      </c>
      <c r="O45" t="s">
        <v>4281</v>
      </c>
      <c r="P45" t="s">
        <v>4281</v>
      </c>
      <c r="Q45" t="s">
        <v>4281</v>
      </c>
      <c r="R45" t="s">
        <v>4242</v>
      </c>
      <c r="S45" t="s">
        <v>4281</v>
      </c>
      <c r="T45" t="s">
        <v>4281</v>
      </c>
      <c r="U45" t="s">
        <v>1410</v>
      </c>
      <c r="V45" t="s">
        <v>1410</v>
      </c>
      <c r="W45" t="s">
        <v>1410</v>
      </c>
      <c r="X45" t="s">
        <v>1410</v>
      </c>
      <c r="Y45" t="s">
        <v>3994</v>
      </c>
      <c r="Z45" t="s">
        <v>1410</v>
      </c>
      <c r="AA45" t="s">
        <v>1410</v>
      </c>
      <c r="AB45" t="s">
        <v>1410</v>
      </c>
      <c r="AC45" t="s">
        <v>1410</v>
      </c>
      <c r="AD45" t="s">
        <v>1410</v>
      </c>
      <c r="AE45" t="s">
        <v>1410</v>
      </c>
      <c r="AF45" t="str">
        <f t="shared" si="1"/>
        <v>//35 - 0x23</v>
      </c>
    </row>
    <row r="46" spans="1:32" x14ac:dyDescent="0.25">
      <c r="A46" t="str">
        <f t="shared" si="0"/>
        <v>//36 - 0x24</v>
      </c>
      <c r="D46" t="s">
        <v>4060</v>
      </c>
      <c r="E46" t="s">
        <v>1410</v>
      </c>
      <c r="F46" t="s">
        <v>3965</v>
      </c>
      <c r="G46" t="s">
        <v>3591</v>
      </c>
      <c r="H46" t="s">
        <v>1410</v>
      </c>
      <c r="I46" t="s">
        <v>4109</v>
      </c>
      <c r="J46" t="s">
        <v>1410</v>
      </c>
      <c r="K46" t="s">
        <v>4194</v>
      </c>
      <c r="L46" t="s">
        <v>1410</v>
      </c>
      <c r="M46" t="s">
        <v>4395</v>
      </c>
      <c r="N46" t="s">
        <v>4282</v>
      </c>
      <c r="O46" t="s">
        <v>4282</v>
      </c>
      <c r="P46" t="s">
        <v>4282</v>
      </c>
      <c r="Q46" t="s">
        <v>4282</v>
      </c>
      <c r="R46" t="s">
        <v>4244</v>
      </c>
      <c r="S46" t="s">
        <v>4282</v>
      </c>
      <c r="T46" t="s">
        <v>4282</v>
      </c>
      <c r="U46" t="s">
        <v>1410</v>
      </c>
      <c r="V46" t="s">
        <v>1410</v>
      </c>
      <c r="W46" t="s">
        <v>1410</v>
      </c>
      <c r="X46" t="s">
        <v>1410</v>
      </c>
      <c r="Y46" t="s">
        <v>3995</v>
      </c>
      <c r="Z46" t="s">
        <v>1410</v>
      </c>
      <c r="AA46" t="s">
        <v>1410</v>
      </c>
      <c r="AB46" t="s">
        <v>1410</v>
      </c>
      <c r="AC46" t="s">
        <v>1410</v>
      </c>
      <c r="AD46" t="s">
        <v>1410</v>
      </c>
      <c r="AE46" t="s">
        <v>1410</v>
      </c>
      <c r="AF46" t="str">
        <f t="shared" si="1"/>
        <v>//36 - 0x24</v>
      </c>
    </row>
    <row r="47" spans="1:32" x14ac:dyDescent="0.25">
      <c r="A47" t="str">
        <f t="shared" si="0"/>
        <v>//37 - 0x25</v>
      </c>
      <c r="D47" t="s">
        <v>4061</v>
      </c>
      <c r="E47" t="s">
        <v>1410</v>
      </c>
      <c r="F47" t="s">
        <v>3966</v>
      </c>
      <c r="G47" t="s">
        <v>3592</v>
      </c>
      <c r="H47" t="s">
        <v>1410</v>
      </c>
      <c r="I47" t="s">
        <v>4110</v>
      </c>
      <c r="J47" t="s">
        <v>1410</v>
      </c>
      <c r="K47" t="s">
        <v>4195</v>
      </c>
      <c r="L47" t="s">
        <v>1410</v>
      </c>
      <c r="M47" t="s">
        <v>4396</v>
      </c>
      <c r="N47" t="s">
        <v>4283</v>
      </c>
      <c r="O47" t="s">
        <v>4283</v>
      </c>
      <c r="P47" t="s">
        <v>4283</v>
      </c>
      <c r="Q47" t="s">
        <v>4283</v>
      </c>
      <c r="R47" t="s">
        <v>4132</v>
      </c>
      <c r="S47" t="s">
        <v>4283</v>
      </c>
      <c r="T47" t="s">
        <v>4283</v>
      </c>
      <c r="U47" t="s">
        <v>1410</v>
      </c>
      <c r="V47" t="s">
        <v>1410</v>
      </c>
      <c r="W47" t="s">
        <v>1410</v>
      </c>
      <c r="X47" t="s">
        <v>1410</v>
      </c>
      <c r="Y47" t="s">
        <v>4367</v>
      </c>
      <c r="Z47" t="s">
        <v>1410</v>
      </c>
      <c r="AA47" t="s">
        <v>1410</v>
      </c>
      <c r="AB47" t="s">
        <v>1410</v>
      </c>
      <c r="AC47" t="s">
        <v>1410</v>
      </c>
      <c r="AD47" t="s">
        <v>1410</v>
      </c>
      <c r="AE47" t="s">
        <v>1410</v>
      </c>
      <c r="AF47" t="str">
        <f t="shared" si="1"/>
        <v>//37 - 0x25</v>
      </c>
    </row>
    <row r="48" spans="1:32" x14ac:dyDescent="0.25">
      <c r="A48" t="str">
        <f t="shared" si="0"/>
        <v>//38 - 0x26</v>
      </c>
      <c r="D48" t="s">
        <v>4062</v>
      </c>
      <c r="E48" t="s">
        <v>1410</v>
      </c>
      <c r="F48" t="s">
        <v>3967</v>
      </c>
      <c r="G48" t="s">
        <v>3593</v>
      </c>
      <c r="H48" t="s">
        <v>1410</v>
      </c>
      <c r="I48" t="s">
        <v>4111</v>
      </c>
      <c r="J48" t="s">
        <v>1410</v>
      </c>
      <c r="K48" t="s">
        <v>4196</v>
      </c>
      <c r="L48" t="s">
        <v>1410</v>
      </c>
      <c r="M48" t="s">
        <v>4397</v>
      </c>
      <c r="N48" t="s">
        <v>4284</v>
      </c>
      <c r="O48" t="s">
        <v>4284</v>
      </c>
      <c r="P48" t="s">
        <v>4284</v>
      </c>
      <c r="Q48" t="s">
        <v>4284</v>
      </c>
      <c r="R48" t="s">
        <v>1410</v>
      </c>
      <c r="S48" t="s">
        <v>4284</v>
      </c>
      <c r="T48" t="s">
        <v>4284</v>
      </c>
      <c r="U48" t="s">
        <v>1410</v>
      </c>
      <c r="V48" t="s">
        <v>1410</v>
      </c>
      <c r="W48" t="s">
        <v>1410</v>
      </c>
      <c r="X48" t="s">
        <v>1410</v>
      </c>
      <c r="Y48" t="s">
        <v>4368</v>
      </c>
      <c r="Z48" t="s">
        <v>1410</v>
      </c>
      <c r="AA48" t="s">
        <v>1410</v>
      </c>
      <c r="AB48" t="s">
        <v>1410</v>
      </c>
      <c r="AC48" t="s">
        <v>1410</v>
      </c>
      <c r="AD48" t="s">
        <v>1410</v>
      </c>
      <c r="AE48" t="s">
        <v>1410</v>
      </c>
      <c r="AF48" t="str">
        <f t="shared" si="1"/>
        <v>//38 - 0x26</v>
      </c>
    </row>
    <row r="49" spans="1:32" x14ac:dyDescent="0.25">
      <c r="A49" t="str">
        <f t="shared" si="0"/>
        <v>//39 - 0x27</v>
      </c>
      <c r="D49" t="s">
        <v>4063</v>
      </c>
      <c r="E49" t="s">
        <v>1410</v>
      </c>
      <c r="F49" t="s">
        <v>3968</v>
      </c>
      <c r="G49" t="s">
        <v>3594</v>
      </c>
      <c r="H49" t="s">
        <v>1410</v>
      </c>
      <c r="I49" t="s">
        <v>4112</v>
      </c>
      <c r="J49" t="s">
        <v>1410</v>
      </c>
      <c r="K49" t="s">
        <v>4197</v>
      </c>
      <c r="L49" t="s">
        <v>1410</v>
      </c>
      <c r="M49" t="s">
        <v>4398</v>
      </c>
      <c r="N49" t="s">
        <v>4285</v>
      </c>
      <c r="O49" t="s">
        <v>4285</v>
      </c>
      <c r="P49" t="s">
        <v>4285</v>
      </c>
      <c r="Q49" t="s">
        <v>4285</v>
      </c>
      <c r="R49" t="s">
        <v>1410</v>
      </c>
      <c r="S49" t="s">
        <v>4285</v>
      </c>
      <c r="T49" t="s">
        <v>4285</v>
      </c>
      <c r="U49" t="s">
        <v>1410</v>
      </c>
      <c r="V49" t="s">
        <v>1410</v>
      </c>
      <c r="W49" t="s">
        <v>1410</v>
      </c>
      <c r="X49" t="s">
        <v>1410</v>
      </c>
      <c r="Y49" t="s">
        <v>4369</v>
      </c>
      <c r="Z49" t="s">
        <v>1410</v>
      </c>
      <c r="AA49" t="s">
        <v>1410</v>
      </c>
      <c r="AB49" t="s">
        <v>1410</v>
      </c>
      <c r="AC49" t="s">
        <v>1410</v>
      </c>
      <c r="AD49" t="s">
        <v>1410</v>
      </c>
      <c r="AE49" t="s">
        <v>1410</v>
      </c>
      <c r="AF49" t="str">
        <f t="shared" si="1"/>
        <v>//39 - 0x27</v>
      </c>
    </row>
    <row r="50" spans="1:32" x14ac:dyDescent="0.25">
      <c r="A50" t="str">
        <f t="shared" si="0"/>
        <v>//40 - 0x28</v>
      </c>
      <c r="D50" t="s">
        <v>4064</v>
      </c>
      <c r="E50" t="s">
        <v>1410</v>
      </c>
      <c r="F50" t="s">
        <v>3969</v>
      </c>
      <c r="G50" t="s">
        <v>3595</v>
      </c>
      <c r="H50" t="s">
        <v>1410</v>
      </c>
      <c r="I50" t="s">
        <v>4113</v>
      </c>
      <c r="J50" t="s">
        <v>1410</v>
      </c>
      <c r="K50" t="s">
        <v>4198</v>
      </c>
      <c r="L50" t="s">
        <v>1410</v>
      </c>
      <c r="M50" t="s">
        <v>4399</v>
      </c>
      <c r="N50" t="s">
        <v>4286</v>
      </c>
      <c r="O50" t="s">
        <v>4286</v>
      </c>
      <c r="P50" t="s">
        <v>4286</v>
      </c>
      <c r="Q50" t="s">
        <v>4286</v>
      </c>
      <c r="R50" t="s">
        <v>1410</v>
      </c>
      <c r="S50" t="s">
        <v>4286</v>
      </c>
      <c r="T50" t="s">
        <v>4286</v>
      </c>
      <c r="U50" t="s">
        <v>1410</v>
      </c>
      <c r="V50" t="s">
        <v>1410</v>
      </c>
      <c r="W50" t="s">
        <v>1410</v>
      </c>
      <c r="X50" t="s">
        <v>1410</v>
      </c>
      <c r="Y50" t="s">
        <v>1410</v>
      </c>
      <c r="Z50" t="s">
        <v>1410</v>
      </c>
      <c r="AA50" t="s">
        <v>1410</v>
      </c>
      <c r="AB50" t="s">
        <v>1410</v>
      </c>
      <c r="AC50" t="s">
        <v>1410</v>
      </c>
      <c r="AD50" t="s">
        <v>1410</v>
      </c>
      <c r="AE50" t="s">
        <v>1410</v>
      </c>
      <c r="AF50" t="str">
        <f t="shared" si="1"/>
        <v>//40 - 0x28</v>
      </c>
    </row>
    <row r="51" spans="1:32" x14ac:dyDescent="0.25">
      <c r="A51" t="str">
        <f t="shared" si="0"/>
        <v>//41 - 0x29</v>
      </c>
      <c r="D51" t="s">
        <v>4065</v>
      </c>
      <c r="E51" t="s">
        <v>1410</v>
      </c>
      <c r="F51" t="s">
        <v>3970</v>
      </c>
      <c r="G51" t="s">
        <v>3596</v>
      </c>
      <c r="H51" t="s">
        <v>1410</v>
      </c>
      <c r="I51" t="s">
        <v>4114</v>
      </c>
      <c r="J51" t="s">
        <v>1410</v>
      </c>
      <c r="K51" t="s">
        <v>4199</v>
      </c>
      <c r="L51" t="s">
        <v>1410</v>
      </c>
      <c r="M51" t="s">
        <v>4400</v>
      </c>
      <c r="N51" t="s">
        <v>4287</v>
      </c>
      <c r="O51" t="s">
        <v>4287</v>
      </c>
      <c r="P51" t="s">
        <v>4287</v>
      </c>
      <c r="Q51" t="s">
        <v>4287</v>
      </c>
      <c r="R51" t="s">
        <v>1410</v>
      </c>
      <c r="S51" t="s">
        <v>4287</v>
      </c>
      <c r="T51" t="s">
        <v>4287</v>
      </c>
      <c r="U51" t="s">
        <v>1410</v>
      </c>
      <c r="V51" t="s">
        <v>1410</v>
      </c>
      <c r="W51" t="s">
        <v>1410</v>
      </c>
      <c r="X51" t="s">
        <v>1410</v>
      </c>
      <c r="Y51" t="s">
        <v>1410</v>
      </c>
      <c r="Z51" t="s">
        <v>1410</v>
      </c>
      <c r="AA51" t="s">
        <v>1410</v>
      </c>
      <c r="AB51" t="s">
        <v>1410</v>
      </c>
      <c r="AC51" t="s">
        <v>1410</v>
      </c>
      <c r="AD51" t="s">
        <v>1410</v>
      </c>
      <c r="AE51" t="s">
        <v>1410</v>
      </c>
      <c r="AF51" t="str">
        <f t="shared" si="1"/>
        <v>//41 - 0x29</v>
      </c>
    </row>
    <row r="52" spans="1:32" x14ac:dyDescent="0.25">
      <c r="A52" t="str">
        <f t="shared" si="0"/>
        <v>//42 - 0x2A</v>
      </c>
      <c r="D52" t="s">
        <v>4066</v>
      </c>
      <c r="E52" t="s">
        <v>1410</v>
      </c>
      <c r="F52" t="s">
        <v>3971</v>
      </c>
      <c r="G52" t="s">
        <v>3597</v>
      </c>
      <c r="H52" t="s">
        <v>1410</v>
      </c>
      <c r="I52" t="s">
        <v>4115</v>
      </c>
      <c r="J52" t="s">
        <v>1410</v>
      </c>
      <c r="K52" t="s">
        <v>4200</v>
      </c>
      <c r="L52" t="s">
        <v>1410</v>
      </c>
      <c r="M52" t="s">
        <v>4401</v>
      </c>
      <c r="N52" t="s">
        <v>4288</v>
      </c>
      <c r="O52" t="s">
        <v>4288</v>
      </c>
      <c r="P52" t="s">
        <v>4288</v>
      </c>
      <c r="Q52" t="s">
        <v>4288</v>
      </c>
      <c r="R52" t="s">
        <v>1410</v>
      </c>
      <c r="S52" t="s">
        <v>4288</v>
      </c>
      <c r="T52" t="s">
        <v>4288</v>
      </c>
      <c r="U52" t="s">
        <v>1410</v>
      </c>
      <c r="V52" t="s">
        <v>1410</v>
      </c>
      <c r="W52" t="s">
        <v>1410</v>
      </c>
      <c r="X52" t="s">
        <v>1410</v>
      </c>
      <c r="Y52" t="s">
        <v>1410</v>
      </c>
      <c r="Z52" t="s">
        <v>1410</v>
      </c>
      <c r="AA52" t="s">
        <v>1410</v>
      </c>
      <c r="AB52" t="s">
        <v>1410</v>
      </c>
      <c r="AC52" t="s">
        <v>1410</v>
      </c>
      <c r="AD52" t="s">
        <v>1410</v>
      </c>
      <c r="AE52" t="s">
        <v>1410</v>
      </c>
      <c r="AF52" t="str">
        <f t="shared" si="1"/>
        <v>//42 - 0x2A</v>
      </c>
    </row>
    <row r="53" spans="1:32" x14ac:dyDescent="0.25">
      <c r="A53" t="str">
        <f t="shared" si="0"/>
        <v>//43 - 0x2B</v>
      </c>
      <c r="D53" t="s">
        <v>4067</v>
      </c>
      <c r="E53" t="s">
        <v>1410</v>
      </c>
      <c r="F53" t="s">
        <v>3972</v>
      </c>
      <c r="G53" t="s">
        <v>3598</v>
      </c>
      <c r="H53" t="s">
        <v>1410</v>
      </c>
      <c r="I53" t="s">
        <v>4116</v>
      </c>
      <c r="J53" t="s">
        <v>1410</v>
      </c>
      <c r="K53" t="s">
        <v>4201</v>
      </c>
      <c r="L53" t="s">
        <v>1410</v>
      </c>
      <c r="M53" t="s">
        <v>4402</v>
      </c>
      <c r="N53" t="s">
        <v>4289</v>
      </c>
      <c r="O53" t="s">
        <v>4289</v>
      </c>
      <c r="P53" t="s">
        <v>4289</v>
      </c>
      <c r="Q53" t="s">
        <v>4289</v>
      </c>
      <c r="R53" t="s">
        <v>1410</v>
      </c>
      <c r="S53" t="s">
        <v>4289</v>
      </c>
      <c r="T53" t="s">
        <v>4289</v>
      </c>
      <c r="U53" t="s">
        <v>1410</v>
      </c>
      <c r="V53" t="s">
        <v>1410</v>
      </c>
      <c r="W53" t="s">
        <v>1410</v>
      </c>
      <c r="X53" t="s">
        <v>1410</v>
      </c>
      <c r="Y53" t="s">
        <v>1410</v>
      </c>
      <c r="Z53" t="s">
        <v>1410</v>
      </c>
      <c r="AA53" t="s">
        <v>1410</v>
      </c>
      <c r="AB53" t="s">
        <v>1410</v>
      </c>
      <c r="AC53" t="s">
        <v>1410</v>
      </c>
      <c r="AD53" t="s">
        <v>1410</v>
      </c>
      <c r="AE53" t="s">
        <v>1410</v>
      </c>
      <c r="AF53" t="str">
        <f t="shared" si="1"/>
        <v>//43 - 0x2B</v>
      </c>
    </row>
    <row r="54" spans="1:32" x14ac:dyDescent="0.25">
      <c r="A54" t="str">
        <f t="shared" si="0"/>
        <v>//44 - 0x2C</v>
      </c>
      <c r="D54" t="s">
        <v>4068</v>
      </c>
      <c r="E54" t="s">
        <v>1410</v>
      </c>
      <c r="F54" t="s">
        <v>3973</v>
      </c>
      <c r="G54" t="s">
        <v>3599</v>
      </c>
      <c r="H54" t="s">
        <v>1410</v>
      </c>
      <c r="I54" t="s">
        <v>4117</v>
      </c>
      <c r="J54" t="s">
        <v>1410</v>
      </c>
      <c r="K54" t="s">
        <v>4202</v>
      </c>
      <c r="L54" t="s">
        <v>1410</v>
      </c>
      <c r="M54" t="s">
        <v>4403</v>
      </c>
      <c r="N54" t="s">
        <v>4290</v>
      </c>
      <c r="O54" t="s">
        <v>4290</v>
      </c>
      <c r="P54" t="s">
        <v>4290</v>
      </c>
      <c r="Q54" t="s">
        <v>4290</v>
      </c>
      <c r="R54" t="s">
        <v>1410</v>
      </c>
      <c r="S54" t="s">
        <v>4290</v>
      </c>
      <c r="T54" t="s">
        <v>4290</v>
      </c>
      <c r="U54" t="s">
        <v>1410</v>
      </c>
      <c r="V54" t="s">
        <v>1410</v>
      </c>
      <c r="W54" t="s">
        <v>1410</v>
      </c>
      <c r="X54" t="s">
        <v>1410</v>
      </c>
      <c r="Y54" t="s">
        <v>1410</v>
      </c>
      <c r="Z54" t="s">
        <v>1410</v>
      </c>
      <c r="AA54" t="s">
        <v>1410</v>
      </c>
      <c r="AB54" t="s">
        <v>1410</v>
      </c>
      <c r="AC54" t="s">
        <v>1410</v>
      </c>
      <c r="AD54" t="s">
        <v>1410</v>
      </c>
      <c r="AE54" t="s">
        <v>1410</v>
      </c>
      <c r="AF54" t="str">
        <f t="shared" si="1"/>
        <v>//44 - 0x2C</v>
      </c>
    </row>
    <row r="55" spans="1:32" x14ac:dyDescent="0.25">
      <c r="A55" t="str">
        <f t="shared" si="0"/>
        <v>//45 - 0x2D</v>
      </c>
      <c r="D55" t="s">
        <v>4069</v>
      </c>
      <c r="E55" t="s">
        <v>1410</v>
      </c>
      <c r="F55" t="s">
        <v>3974</v>
      </c>
      <c r="G55" t="s">
        <v>3600</v>
      </c>
      <c r="H55" t="s">
        <v>1410</v>
      </c>
      <c r="I55" t="s">
        <v>4118</v>
      </c>
      <c r="J55" t="s">
        <v>1410</v>
      </c>
      <c r="K55" t="s">
        <v>4203</v>
      </c>
      <c r="L55" t="s">
        <v>1410</v>
      </c>
      <c r="M55" t="s">
        <v>3994</v>
      </c>
      <c r="N55" t="s">
        <v>4291</v>
      </c>
      <c r="O55" t="s">
        <v>4291</v>
      </c>
      <c r="P55" t="s">
        <v>4291</v>
      </c>
      <c r="Q55" t="s">
        <v>4291</v>
      </c>
      <c r="R55" t="s">
        <v>1410</v>
      </c>
      <c r="S55" t="s">
        <v>4291</v>
      </c>
      <c r="T55" t="s">
        <v>4291</v>
      </c>
      <c r="U55" t="s">
        <v>1410</v>
      </c>
      <c r="V55" t="s">
        <v>1410</v>
      </c>
      <c r="W55" t="s">
        <v>1410</v>
      </c>
      <c r="X55" t="s">
        <v>1410</v>
      </c>
      <c r="Y55" t="s">
        <v>1410</v>
      </c>
      <c r="Z55" t="s">
        <v>1410</v>
      </c>
      <c r="AA55" t="s">
        <v>1410</v>
      </c>
      <c r="AB55" t="s">
        <v>1410</v>
      </c>
      <c r="AC55" t="s">
        <v>1410</v>
      </c>
      <c r="AD55" t="s">
        <v>1410</v>
      </c>
      <c r="AE55" t="s">
        <v>1410</v>
      </c>
      <c r="AF55" t="str">
        <f t="shared" si="1"/>
        <v>//45 - 0x2D</v>
      </c>
    </row>
    <row r="56" spans="1:32" x14ac:dyDescent="0.25">
      <c r="A56" t="str">
        <f t="shared" si="0"/>
        <v>//46 - 0x2E</v>
      </c>
      <c r="D56" t="s">
        <v>4070</v>
      </c>
      <c r="E56" t="s">
        <v>1410</v>
      </c>
      <c r="F56" t="s">
        <v>3975</v>
      </c>
      <c r="G56" t="s">
        <v>3601</v>
      </c>
      <c r="H56" t="s">
        <v>1410</v>
      </c>
      <c r="I56" t="s">
        <v>4119</v>
      </c>
      <c r="J56" t="s">
        <v>1410</v>
      </c>
      <c r="K56" t="s">
        <v>4204</v>
      </c>
      <c r="L56" t="s">
        <v>1410</v>
      </c>
      <c r="M56" t="s">
        <v>3995</v>
      </c>
      <c r="N56" t="s">
        <v>4292</v>
      </c>
      <c r="O56" t="s">
        <v>4292</v>
      </c>
      <c r="P56" t="s">
        <v>4292</v>
      </c>
      <c r="Q56" t="s">
        <v>4292</v>
      </c>
      <c r="R56" t="s">
        <v>1410</v>
      </c>
      <c r="S56" t="s">
        <v>4292</v>
      </c>
      <c r="T56" t="s">
        <v>4292</v>
      </c>
      <c r="U56" t="s">
        <v>1410</v>
      </c>
      <c r="V56" t="s">
        <v>1410</v>
      </c>
      <c r="W56" t="s">
        <v>1410</v>
      </c>
      <c r="X56" t="s">
        <v>1410</v>
      </c>
      <c r="Y56" t="s">
        <v>1410</v>
      </c>
      <c r="Z56" t="s">
        <v>1410</v>
      </c>
      <c r="AA56" t="s">
        <v>1410</v>
      </c>
      <c r="AB56" t="s">
        <v>1410</v>
      </c>
      <c r="AC56" t="s">
        <v>1410</v>
      </c>
      <c r="AD56" t="s">
        <v>1410</v>
      </c>
      <c r="AE56" t="s">
        <v>1410</v>
      </c>
      <c r="AF56" t="str">
        <f t="shared" si="1"/>
        <v>//46 - 0x2E</v>
      </c>
    </row>
    <row r="57" spans="1:32" x14ac:dyDescent="0.25">
      <c r="A57" t="str">
        <f t="shared" si="0"/>
        <v>//47 - 0x2F</v>
      </c>
      <c r="D57" t="s">
        <v>4071</v>
      </c>
      <c r="E57" t="s">
        <v>1410</v>
      </c>
      <c r="F57" t="s">
        <v>3976</v>
      </c>
      <c r="G57" t="s">
        <v>3602</v>
      </c>
      <c r="H57" t="s">
        <v>1410</v>
      </c>
      <c r="I57" t="s">
        <v>4120</v>
      </c>
      <c r="J57" t="s">
        <v>1410</v>
      </c>
      <c r="K57" t="s">
        <v>4205</v>
      </c>
      <c r="L57" t="s">
        <v>1410</v>
      </c>
      <c r="M57" t="s">
        <v>4367</v>
      </c>
      <c r="N57" t="s">
        <v>4293</v>
      </c>
      <c r="O57" t="s">
        <v>4293</v>
      </c>
      <c r="P57" t="s">
        <v>4293</v>
      </c>
      <c r="Q57" t="s">
        <v>4293</v>
      </c>
      <c r="R57" t="s">
        <v>1410</v>
      </c>
      <c r="S57" t="s">
        <v>4293</v>
      </c>
      <c r="T57" t="s">
        <v>4293</v>
      </c>
      <c r="U57" t="s">
        <v>1410</v>
      </c>
      <c r="V57" t="s">
        <v>1410</v>
      </c>
      <c r="W57" t="s">
        <v>1410</v>
      </c>
      <c r="X57" t="s">
        <v>1410</v>
      </c>
      <c r="Y57" t="s">
        <v>1410</v>
      </c>
      <c r="Z57" t="s">
        <v>1410</v>
      </c>
      <c r="AA57" t="s">
        <v>1410</v>
      </c>
      <c r="AB57" t="s">
        <v>1410</v>
      </c>
      <c r="AC57" t="s">
        <v>1410</v>
      </c>
      <c r="AD57" t="s">
        <v>1410</v>
      </c>
      <c r="AE57" t="s">
        <v>1410</v>
      </c>
      <c r="AF57" t="str">
        <f t="shared" si="1"/>
        <v>//47 - 0x2F</v>
      </c>
    </row>
    <row r="58" spans="1:32" x14ac:dyDescent="0.25">
      <c r="A58" t="str">
        <f t="shared" si="0"/>
        <v>//48 - 0x30</v>
      </c>
      <c r="D58" t="s">
        <v>4072</v>
      </c>
      <c r="E58" t="s">
        <v>1410</v>
      </c>
      <c r="F58" t="s">
        <v>3977</v>
      </c>
      <c r="G58" t="s">
        <v>3603</v>
      </c>
      <c r="H58" t="s">
        <v>1410</v>
      </c>
      <c r="I58" t="s">
        <v>4121</v>
      </c>
      <c r="J58" t="s">
        <v>1410</v>
      </c>
      <c r="K58" t="s">
        <v>4206</v>
      </c>
      <c r="L58" t="s">
        <v>1410</v>
      </c>
      <c r="M58" t="s">
        <v>4368</v>
      </c>
      <c r="N58" t="s">
        <v>4294</v>
      </c>
      <c r="O58" t="s">
        <v>4294</v>
      </c>
      <c r="P58" t="s">
        <v>4294</v>
      </c>
      <c r="Q58" t="s">
        <v>4294</v>
      </c>
      <c r="R58" t="s">
        <v>1410</v>
      </c>
      <c r="S58" t="s">
        <v>4294</v>
      </c>
      <c r="T58" t="s">
        <v>4294</v>
      </c>
      <c r="U58" t="s">
        <v>1410</v>
      </c>
      <c r="V58" t="s">
        <v>1410</v>
      </c>
      <c r="W58" t="s">
        <v>1410</v>
      </c>
      <c r="X58" t="s">
        <v>1410</v>
      </c>
      <c r="Y58" t="s">
        <v>1410</v>
      </c>
      <c r="Z58" t="s">
        <v>1410</v>
      </c>
      <c r="AA58" t="s">
        <v>1410</v>
      </c>
      <c r="AB58" t="s">
        <v>1410</v>
      </c>
      <c r="AC58" t="s">
        <v>1410</v>
      </c>
      <c r="AD58" t="s">
        <v>1410</v>
      </c>
      <c r="AE58" t="s">
        <v>1410</v>
      </c>
      <c r="AF58" t="str">
        <f t="shared" si="1"/>
        <v>//48 - 0x30</v>
      </c>
    </row>
    <row r="59" spans="1:32" x14ac:dyDescent="0.25">
      <c r="A59" t="str">
        <f t="shared" si="0"/>
        <v>//49 - 0x31</v>
      </c>
      <c r="D59" t="s">
        <v>3979</v>
      </c>
      <c r="E59" t="s">
        <v>1410</v>
      </c>
      <c r="F59" t="s">
        <v>3978</v>
      </c>
      <c r="G59" t="s">
        <v>3604</v>
      </c>
      <c r="H59" t="s">
        <v>1410</v>
      </c>
      <c r="I59" t="s">
        <v>4122</v>
      </c>
      <c r="J59" t="s">
        <v>1410</v>
      </c>
      <c r="K59" t="s">
        <v>4207</v>
      </c>
      <c r="L59" t="s">
        <v>1410</v>
      </c>
      <c r="M59" t="s">
        <v>4404</v>
      </c>
      <c r="N59" t="s">
        <v>4295</v>
      </c>
      <c r="O59" t="s">
        <v>4295</v>
      </c>
      <c r="P59" t="s">
        <v>4295</v>
      </c>
      <c r="Q59" t="s">
        <v>4295</v>
      </c>
      <c r="R59" t="s">
        <v>1410</v>
      </c>
      <c r="S59" t="s">
        <v>4295</v>
      </c>
      <c r="T59" t="s">
        <v>4295</v>
      </c>
      <c r="U59" t="s">
        <v>1410</v>
      </c>
      <c r="V59" t="s">
        <v>1410</v>
      </c>
      <c r="W59" t="s">
        <v>1410</v>
      </c>
      <c r="X59" t="s">
        <v>1410</v>
      </c>
      <c r="Y59" t="s">
        <v>1410</v>
      </c>
      <c r="Z59" t="s">
        <v>1410</v>
      </c>
      <c r="AA59" t="s">
        <v>1410</v>
      </c>
      <c r="AB59" t="s">
        <v>1410</v>
      </c>
      <c r="AC59" t="s">
        <v>1410</v>
      </c>
      <c r="AD59" t="s">
        <v>1410</v>
      </c>
      <c r="AE59" t="s">
        <v>1410</v>
      </c>
      <c r="AF59" t="str">
        <f t="shared" si="1"/>
        <v>//49 - 0x31</v>
      </c>
    </row>
    <row r="60" spans="1:32" x14ac:dyDescent="0.25">
      <c r="A60" t="str">
        <f t="shared" si="0"/>
        <v>//50 - 0x32</v>
      </c>
      <c r="D60" t="s">
        <v>3524</v>
      </c>
      <c r="E60" t="s">
        <v>1410</v>
      </c>
      <c r="F60" t="s">
        <v>3979</v>
      </c>
      <c r="G60" t="s">
        <v>3605</v>
      </c>
      <c r="H60" t="s">
        <v>1410</v>
      </c>
      <c r="I60" t="s">
        <v>4017</v>
      </c>
      <c r="J60" t="s">
        <v>1410</v>
      </c>
      <c r="K60" t="s">
        <v>4208</v>
      </c>
      <c r="L60" t="s">
        <v>1410</v>
      </c>
      <c r="M60" t="s">
        <v>4369</v>
      </c>
      <c r="N60" t="s">
        <v>4296</v>
      </c>
      <c r="O60" t="s">
        <v>4296</v>
      </c>
      <c r="P60" t="s">
        <v>4296</v>
      </c>
      <c r="Q60" t="s">
        <v>4296</v>
      </c>
      <c r="R60" t="s">
        <v>1410</v>
      </c>
      <c r="S60" t="s">
        <v>4296</v>
      </c>
      <c r="T60" t="s">
        <v>4296</v>
      </c>
      <c r="U60" t="s">
        <v>1410</v>
      </c>
      <c r="V60" t="s">
        <v>1410</v>
      </c>
      <c r="W60" t="s">
        <v>1410</v>
      </c>
      <c r="X60" t="s">
        <v>1410</v>
      </c>
      <c r="Y60" t="s">
        <v>1410</v>
      </c>
      <c r="Z60" t="s">
        <v>1410</v>
      </c>
      <c r="AA60" t="s">
        <v>1410</v>
      </c>
      <c r="AB60" t="s">
        <v>1410</v>
      </c>
      <c r="AC60" t="s">
        <v>1410</v>
      </c>
      <c r="AD60" t="s">
        <v>1410</v>
      </c>
      <c r="AE60" t="s">
        <v>1410</v>
      </c>
      <c r="AF60" t="str">
        <f t="shared" si="1"/>
        <v>//50 - 0x32</v>
      </c>
    </row>
    <row r="61" spans="1:32" x14ac:dyDescent="0.25">
      <c r="A61" t="str">
        <f t="shared" si="0"/>
        <v>//51 - 0x33</v>
      </c>
      <c r="D61" t="s">
        <v>3525</v>
      </c>
      <c r="E61" t="s">
        <v>1410</v>
      </c>
      <c r="F61" t="s">
        <v>3525</v>
      </c>
      <c r="G61" t="s">
        <v>3606</v>
      </c>
      <c r="H61" t="s">
        <v>1410</v>
      </c>
      <c r="I61" t="s">
        <v>4123</v>
      </c>
      <c r="J61" t="s">
        <v>1410</v>
      </c>
      <c r="K61" t="s">
        <v>4209</v>
      </c>
      <c r="L61" t="s">
        <v>1410</v>
      </c>
      <c r="M61" t="s">
        <v>1410</v>
      </c>
      <c r="N61" t="s">
        <v>4297</v>
      </c>
      <c r="O61" t="s">
        <v>4297</v>
      </c>
      <c r="P61" t="s">
        <v>4297</v>
      </c>
      <c r="Q61" t="s">
        <v>4297</v>
      </c>
      <c r="R61" t="s">
        <v>1410</v>
      </c>
      <c r="S61" t="s">
        <v>4297</v>
      </c>
      <c r="T61" t="s">
        <v>4297</v>
      </c>
      <c r="U61" t="s">
        <v>1410</v>
      </c>
      <c r="V61" t="s">
        <v>1410</v>
      </c>
      <c r="W61" t="s">
        <v>1410</v>
      </c>
      <c r="X61" t="s">
        <v>1410</v>
      </c>
      <c r="Y61" t="s">
        <v>1410</v>
      </c>
      <c r="Z61" t="s">
        <v>1410</v>
      </c>
      <c r="AA61" t="s">
        <v>1410</v>
      </c>
      <c r="AB61" t="s">
        <v>1410</v>
      </c>
      <c r="AC61" t="s">
        <v>1410</v>
      </c>
      <c r="AD61" t="s">
        <v>1410</v>
      </c>
      <c r="AE61" t="s">
        <v>1410</v>
      </c>
      <c r="AF61" t="str">
        <f t="shared" si="1"/>
        <v>//51 - 0x33</v>
      </c>
    </row>
    <row r="62" spans="1:32" x14ac:dyDescent="0.25">
      <c r="A62" t="str">
        <f t="shared" si="0"/>
        <v>//52 - 0x34</v>
      </c>
      <c r="D62" t="s">
        <v>4073</v>
      </c>
      <c r="E62" t="s">
        <v>1410</v>
      </c>
      <c r="F62" t="s">
        <v>3980</v>
      </c>
      <c r="G62" t="s">
        <v>3607</v>
      </c>
      <c r="H62" t="s">
        <v>1410</v>
      </c>
      <c r="I62" t="s">
        <v>4124</v>
      </c>
      <c r="J62" t="s">
        <v>1410</v>
      </c>
      <c r="K62" t="s">
        <v>4210</v>
      </c>
      <c r="L62" t="s">
        <v>1410</v>
      </c>
      <c r="M62" t="s">
        <v>1410</v>
      </c>
      <c r="N62" t="s">
        <v>4298</v>
      </c>
      <c r="O62" t="s">
        <v>4298</v>
      </c>
      <c r="P62" t="s">
        <v>4298</v>
      </c>
      <c r="Q62" t="s">
        <v>4298</v>
      </c>
      <c r="R62" t="s">
        <v>1410</v>
      </c>
      <c r="S62" t="s">
        <v>4298</v>
      </c>
      <c r="T62" t="s">
        <v>4298</v>
      </c>
      <c r="U62" t="s">
        <v>1410</v>
      </c>
      <c r="V62" t="s">
        <v>1410</v>
      </c>
      <c r="W62" t="s">
        <v>1410</v>
      </c>
      <c r="X62" t="s">
        <v>1410</v>
      </c>
      <c r="Y62" t="s">
        <v>1410</v>
      </c>
      <c r="Z62" t="s">
        <v>1410</v>
      </c>
      <c r="AA62" t="s">
        <v>1410</v>
      </c>
      <c r="AB62" t="s">
        <v>1410</v>
      </c>
      <c r="AC62" t="s">
        <v>1410</v>
      </c>
      <c r="AD62" t="s">
        <v>1410</v>
      </c>
      <c r="AE62" t="s">
        <v>1410</v>
      </c>
      <c r="AF62" t="str">
        <f t="shared" si="1"/>
        <v>//52 - 0x34</v>
      </c>
    </row>
    <row r="63" spans="1:32" x14ac:dyDescent="0.25">
      <c r="A63" t="str">
        <f t="shared" si="0"/>
        <v>//53 - 0x35</v>
      </c>
      <c r="D63" t="s">
        <v>4074</v>
      </c>
      <c r="E63" t="s">
        <v>1410</v>
      </c>
      <c r="F63" t="s">
        <v>3981</v>
      </c>
      <c r="G63" t="s">
        <v>3608</v>
      </c>
      <c r="H63" t="s">
        <v>1410</v>
      </c>
      <c r="I63" t="s">
        <v>4015</v>
      </c>
      <c r="J63" t="s">
        <v>1410</v>
      </c>
      <c r="K63" t="s">
        <v>4211</v>
      </c>
      <c r="L63" t="s">
        <v>1410</v>
      </c>
      <c r="M63" t="s">
        <v>1410</v>
      </c>
      <c r="N63" t="s">
        <v>4299</v>
      </c>
      <c r="O63" t="s">
        <v>4299</v>
      </c>
      <c r="P63" t="s">
        <v>4299</v>
      </c>
      <c r="Q63" t="s">
        <v>4299</v>
      </c>
      <c r="R63" t="s">
        <v>1410</v>
      </c>
      <c r="S63" t="s">
        <v>4299</v>
      </c>
      <c r="T63" t="s">
        <v>4299</v>
      </c>
      <c r="U63" t="s">
        <v>1410</v>
      </c>
      <c r="V63" t="s">
        <v>1410</v>
      </c>
      <c r="W63" t="s">
        <v>1410</v>
      </c>
      <c r="X63" t="s">
        <v>1410</v>
      </c>
      <c r="Y63" t="s">
        <v>1410</v>
      </c>
      <c r="Z63" t="s">
        <v>1410</v>
      </c>
      <c r="AA63" t="s">
        <v>1410</v>
      </c>
      <c r="AB63" t="s">
        <v>1410</v>
      </c>
      <c r="AC63" t="s">
        <v>1410</v>
      </c>
      <c r="AD63" t="s">
        <v>1410</v>
      </c>
      <c r="AE63" t="s">
        <v>1410</v>
      </c>
      <c r="AF63" t="str">
        <f t="shared" si="1"/>
        <v>//53 - 0x35</v>
      </c>
    </row>
    <row r="64" spans="1:32" x14ac:dyDescent="0.25">
      <c r="A64" t="str">
        <f t="shared" si="0"/>
        <v>//54 - 0x36</v>
      </c>
      <c r="D64" t="s">
        <v>4075</v>
      </c>
      <c r="E64" t="s">
        <v>1410</v>
      </c>
      <c r="F64" t="s">
        <v>3982</v>
      </c>
      <c r="G64" t="s">
        <v>3609</v>
      </c>
      <c r="H64" t="s">
        <v>1410</v>
      </c>
      <c r="I64" t="s">
        <v>4125</v>
      </c>
      <c r="J64" t="s">
        <v>1410</v>
      </c>
      <c r="K64" t="s">
        <v>4212</v>
      </c>
      <c r="L64" t="s">
        <v>1410</v>
      </c>
      <c r="M64" t="s">
        <v>1410</v>
      </c>
      <c r="N64" t="s">
        <v>4300</v>
      </c>
      <c r="O64" t="s">
        <v>4300</v>
      </c>
      <c r="P64" t="s">
        <v>4300</v>
      </c>
      <c r="Q64" t="s">
        <v>4300</v>
      </c>
      <c r="R64" t="s">
        <v>1410</v>
      </c>
      <c r="S64" t="s">
        <v>4300</v>
      </c>
      <c r="T64" t="s">
        <v>4300</v>
      </c>
      <c r="U64" t="s">
        <v>1410</v>
      </c>
      <c r="V64" t="s">
        <v>1410</v>
      </c>
      <c r="W64" t="s">
        <v>1410</v>
      </c>
      <c r="X64" t="s">
        <v>1410</v>
      </c>
      <c r="Y64" t="s">
        <v>1410</v>
      </c>
      <c r="Z64" t="s">
        <v>1410</v>
      </c>
      <c r="AA64" t="s">
        <v>1410</v>
      </c>
      <c r="AB64" t="s">
        <v>1410</v>
      </c>
      <c r="AC64" t="s">
        <v>1410</v>
      </c>
      <c r="AD64" t="s">
        <v>1410</v>
      </c>
      <c r="AE64" t="s">
        <v>1410</v>
      </c>
      <c r="AF64" t="str">
        <f t="shared" si="1"/>
        <v>//54 - 0x36</v>
      </c>
    </row>
    <row r="65" spans="1:32" x14ac:dyDescent="0.25">
      <c r="A65" t="str">
        <f t="shared" si="0"/>
        <v>//55 - 0x37</v>
      </c>
      <c r="D65" t="s">
        <v>1410</v>
      </c>
      <c r="E65" t="s">
        <v>1410</v>
      </c>
      <c r="F65" t="s">
        <v>3983</v>
      </c>
      <c r="G65" t="s">
        <v>3610</v>
      </c>
      <c r="H65" t="s">
        <v>1410</v>
      </c>
      <c r="I65" t="s">
        <v>4126</v>
      </c>
      <c r="J65" t="s">
        <v>1410</v>
      </c>
      <c r="K65" t="s">
        <v>4213</v>
      </c>
      <c r="L65" t="s">
        <v>1410</v>
      </c>
      <c r="M65" t="s">
        <v>1410</v>
      </c>
      <c r="N65" t="s">
        <v>4301</v>
      </c>
      <c r="O65" t="s">
        <v>4301</v>
      </c>
      <c r="P65" t="s">
        <v>4301</v>
      </c>
      <c r="Q65" t="s">
        <v>4301</v>
      </c>
      <c r="R65" t="s">
        <v>1410</v>
      </c>
      <c r="S65" t="s">
        <v>4301</v>
      </c>
      <c r="T65" t="s">
        <v>4301</v>
      </c>
      <c r="U65" t="s">
        <v>1410</v>
      </c>
      <c r="V65" t="s">
        <v>1410</v>
      </c>
      <c r="W65" t="s">
        <v>1410</v>
      </c>
      <c r="X65" t="s">
        <v>1410</v>
      </c>
      <c r="Y65" t="s">
        <v>1410</v>
      </c>
      <c r="Z65" t="s">
        <v>1410</v>
      </c>
      <c r="AA65" t="s">
        <v>1410</v>
      </c>
      <c r="AB65" t="s">
        <v>1410</v>
      </c>
      <c r="AC65" t="s">
        <v>1410</v>
      </c>
      <c r="AD65" t="s">
        <v>1410</v>
      </c>
      <c r="AE65" t="s">
        <v>1410</v>
      </c>
      <c r="AF65" t="str">
        <f t="shared" si="1"/>
        <v>//55 - 0x37</v>
      </c>
    </row>
    <row r="66" spans="1:32" x14ac:dyDescent="0.25">
      <c r="A66" t="str">
        <f t="shared" si="0"/>
        <v>//56 - 0x38</v>
      </c>
      <c r="D66" t="s">
        <v>1410</v>
      </c>
      <c r="E66" t="s">
        <v>1410</v>
      </c>
      <c r="F66" t="s">
        <v>3984</v>
      </c>
      <c r="G66" t="s">
        <v>3611</v>
      </c>
      <c r="H66" t="s">
        <v>1410</v>
      </c>
      <c r="I66" t="s">
        <v>4127</v>
      </c>
      <c r="J66" t="s">
        <v>1410</v>
      </c>
      <c r="K66" t="s">
        <v>4214</v>
      </c>
      <c r="L66" t="s">
        <v>1410</v>
      </c>
      <c r="M66" t="s">
        <v>1410</v>
      </c>
      <c r="N66" t="s">
        <v>4302</v>
      </c>
      <c r="O66" t="s">
        <v>4302</v>
      </c>
      <c r="P66" t="s">
        <v>4302</v>
      </c>
      <c r="Q66" t="s">
        <v>4302</v>
      </c>
      <c r="R66" t="s">
        <v>1410</v>
      </c>
      <c r="S66" t="s">
        <v>4302</v>
      </c>
      <c r="T66" t="s">
        <v>4302</v>
      </c>
      <c r="U66" t="s">
        <v>1410</v>
      </c>
      <c r="V66" t="s">
        <v>1410</v>
      </c>
      <c r="W66" t="s">
        <v>1410</v>
      </c>
      <c r="X66" t="s">
        <v>1410</v>
      </c>
      <c r="Y66" t="s">
        <v>1410</v>
      </c>
      <c r="Z66" t="s">
        <v>1410</v>
      </c>
      <c r="AA66" t="s">
        <v>1410</v>
      </c>
      <c r="AB66" t="s">
        <v>1410</v>
      </c>
      <c r="AC66" t="s">
        <v>1410</v>
      </c>
      <c r="AD66" t="s">
        <v>1410</v>
      </c>
      <c r="AE66" t="s">
        <v>1410</v>
      </c>
      <c r="AF66" t="str">
        <f t="shared" si="1"/>
        <v>//56 - 0x38</v>
      </c>
    </row>
    <row r="67" spans="1:32" x14ac:dyDescent="0.25">
      <c r="A67" t="str">
        <f t="shared" si="0"/>
        <v>//57 - 0x39</v>
      </c>
      <c r="D67" t="s">
        <v>1410</v>
      </c>
      <c r="E67" t="s">
        <v>1410</v>
      </c>
      <c r="F67" t="s">
        <v>3985</v>
      </c>
      <c r="G67" t="s">
        <v>4619</v>
      </c>
      <c r="H67" t="s">
        <v>1410</v>
      </c>
      <c r="I67" t="s">
        <v>4128</v>
      </c>
      <c r="J67" t="s">
        <v>1410</v>
      </c>
      <c r="K67" t="s">
        <v>4215</v>
      </c>
      <c r="L67" t="s">
        <v>1410</v>
      </c>
      <c r="M67" t="s">
        <v>1410</v>
      </c>
      <c r="N67" t="s">
        <v>4303</v>
      </c>
      <c r="O67" t="s">
        <v>4303</v>
      </c>
      <c r="P67" t="s">
        <v>4303</v>
      </c>
      <c r="Q67" t="s">
        <v>4303</v>
      </c>
      <c r="R67" t="s">
        <v>1410</v>
      </c>
      <c r="S67" t="s">
        <v>4303</v>
      </c>
      <c r="T67" t="s">
        <v>4303</v>
      </c>
      <c r="U67" t="s">
        <v>1410</v>
      </c>
      <c r="V67" t="s">
        <v>1410</v>
      </c>
      <c r="W67" t="s">
        <v>1410</v>
      </c>
      <c r="X67" t="s">
        <v>1410</v>
      </c>
      <c r="Y67" t="s">
        <v>1410</v>
      </c>
      <c r="Z67" t="s">
        <v>1410</v>
      </c>
      <c r="AA67" t="s">
        <v>1410</v>
      </c>
      <c r="AB67" t="s">
        <v>1410</v>
      </c>
      <c r="AC67" t="s">
        <v>1410</v>
      </c>
      <c r="AD67" t="s">
        <v>1410</v>
      </c>
      <c r="AE67" t="s">
        <v>1410</v>
      </c>
      <c r="AF67" t="str">
        <f t="shared" si="1"/>
        <v>//57 - 0x39</v>
      </c>
    </row>
    <row r="68" spans="1:32" x14ac:dyDescent="0.25">
      <c r="A68" t="str">
        <f t="shared" si="0"/>
        <v>//58 - 0x3A</v>
      </c>
      <c r="D68" t="s">
        <v>1410</v>
      </c>
      <c r="E68" t="s">
        <v>1410</v>
      </c>
      <c r="F68" t="s">
        <v>3986</v>
      </c>
      <c r="G68" t="s">
        <v>3613</v>
      </c>
      <c r="H68" t="s">
        <v>1410</v>
      </c>
      <c r="I68" t="s">
        <v>4129</v>
      </c>
      <c r="J68" t="s">
        <v>1410</v>
      </c>
      <c r="K68" t="s">
        <v>4216</v>
      </c>
      <c r="L68" t="s">
        <v>1410</v>
      </c>
      <c r="M68" t="s">
        <v>1410</v>
      </c>
      <c r="N68" t="s">
        <v>4304</v>
      </c>
      <c r="O68" t="s">
        <v>4304</v>
      </c>
      <c r="P68" t="s">
        <v>4304</v>
      </c>
      <c r="Q68" t="s">
        <v>4304</v>
      </c>
      <c r="R68" t="s">
        <v>1410</v>
      </c>
      <c r="S68" t="s">
        <v>4304</v>
      </c>
      <c r="T68" t="s">
        <v>4304</v>
      </c>
      <c r="U68" t="s">
        <v>1410</v>
      </c>
      <c r="V68" t="s">
        <v>1410</v>
      </c>
      <c r="W68" t="s">
        <v>1410</v>
      </c>
      <c r="X68" t="s">
        <v>1410</v>
      </c>
      <c r="Y68" t="s">
        <v>1410</v>
      </c>
      <c r="Z68" t="s">
        <v>1410</v>
      </c>
      <c r="AA68" t="s">
        <v>1410</v>
      </c>
      <c r="AB68" t="s">
        <v>1410</v>
      </c>
      <c r="AC68" t="s">
        <v>1410</v>
      </c>
      <c r="AD68" t="s">
        <v>1410</v>
      </c>
      <c r="AE68" t="s">
        <v>1410</v>
      </c>
      <c r="AF68" t="str">
        <f t="shared" si="1"/>
        <v>//58 - 0x3A</v>
      </c>
    </row>
    <row r="69" spans="1:32" x14ac:dyDescent="0.25">
      <c r="A69" t="str">
        <f t="shared" si="0"/>
        <v>//59 - 0x3B</v>
      </c>
      <c r="D69" t="s">
        <v>1410</v>
      </c>
      <c r="E69" t="s">
        <v>1410</v>
      </c>
      <c r="F69" t="s">
        <v>3987</v>
      </c>
      <c r="G69" t="s">
        <v>3614</v>
      </c>
      <c r="H69" t="s">
        <v>1410</v>
      </c>
      <c r="I69" t="s">
        <v>4130</v>
      </c>
      <c r="J69" t="s">
        <v>1410</v>
      </c>
      <c r="K69" t="s">
        <v>1410</v>
      </c>
      <c r="L69" t="s">
        <v>1410</v>
      </c>
      <c r="M69" t="s">
        <v>1410</v>
      </c>
      <c r="N69" t="s">
        <v>4305</v>
      </c>
      <c r="O69" t="s">
        <v>4305</v>
      </c>
      <c r="P69" t="s">
        <v>4305</v>
      </c>
      <c r="Q69" t="s">
        <v>4305</v>
      </c>
      <c r="R69" t="s">
        <v>1410</v>
      </c>
      <c r="S69" t="s">
        <v>4305</v>
      </c>
      <c r="T69" t="s">
        <v>4305</v>
      </c>
      <c r="U69" t="s">
        <v>1410</v>
      </c>
      <c r="V69" t="s">
        <v>1410</v>
      </c>
      <c r="W69" t="s">
        <v>1410</v>
      </c>
      <c r="X69" t="s">
        <v>1410</v>
      </c>
      <c r="Y69" t="s">
        <v>1410</v>
      </c>
      <c r="Z69" t="s">
        <v>1410</v>
      </c>
      <c r="AA69" t="s">
        <v>1410</v>
      </c>
      <c r="AB69" t="s">
        <v>1410</v>
      </c>
      <c r="AC69" t="s">
        <v>1410</v>
      </c>
      <c r="AD69" t="s">
        <v>1410</v>
      </c>
      <c r="AE69" t="s">
        <v>1410</v>
      </c>
      <c r="AF69" t="str">
        <f t="shared" si="1"/>
        <v>//59 - 0x3B</v>
      </c>
    </row>
    <row r="70" spans="1:32" x14ac:dyDescent="0.25">
      <c r="A70" t="str">
        <f t="shared" si="0"/>
        <v>//60 - 0x3C</v>
      </c>
      <c r="D70" t="s">
        <v>1410</v>
      </c>
      <c r="E70" t="s">
        <v>1410</v>
      </c>
      <c r="F70" t="s">
        <v>3988</v>
      </c>
      <c r="G70" t="s">
        <v>3615</v>
      </c>
      <c r="H70" t="s">
        <v>1410</v>
      </c>
      <c r="I70" t="s">
        <v>4131</v>
      </c>
      <c r="J70" t="s">
        <v>1410</v>
      </c>
      <c r="K70" t="s">
        <v>1410</v>
      </c>
      <c r="L70" t="s">
        <v>1410</v>
      </c>
      <c r="M70" t="s">
        <v>1410</v>
      </c>
      <c r="N70" t="s">
        <v>4306</v>
      </c>
      <c r="O70" t="s">
        <v>4441</v>
      </c>
      <c r="P70" t="s">
        <v>4306</v>
      </c>
      <c r="Q70" t="s">
        <v>4441</v>
      </c>
      <c r="R70" t="s">
        <v>1410</v>
      </c>
      <c r="S70" t="s">
        <v>4306</v>
      </c>
      <c r="T70" t="s">
        <v>4306</v>
      </c>
      <c r="U70" t="s">
        <v>1410</v>
      </c>
      <c r="V70" t="s">
        <v>1410</v>
      </c>
      <c r="W70" t="s">
        <v>1410</v>
      </c>
      <c r="X70" t="s">
        <v>1410</v>
      </c>
      <c r="Y70" t="s">
        <v>1410</v>
      </c>
      <c r="Z70" t="s">
        <v>1410</v>
      </c>
      <c r="AA70" t="s">
        <v>1410</v>
      </c>
      <c r="AB70" t="s">
        <v>1410</v>
      </c>
      <c r="AC70" t="s">
        <v>1410</v>
      </c>
      <c r="AD70" t="s">
        <v>1410</v>
      </c>
      <c r="AE70" t="s">
        <v>1410</v>
      </c>
      <c r="AF70" t="str">
        <f t="shared" si="1"/>
        <v>//60 - 0x3C</v>
      </c>
    </row>
    <row r="71" spans="1:32" x14ac:dyDescent="0.25">
      <c r="A71" t="str">
        <f t="shared" si="0"/>
        <v>//61 - 0x3D</v>
      </c>
      <c r="D71" t="s">
        <v>1410</v>
      </c>
      <c r="E71" t="s">
        <v>1410</v>
      </c>
      <c r="F71" t="s">
        <v>3989</v>
      </c>
      <c r="G71" t="s">
        <v>4372</v>
      </c>
      <c r="H71" t="s">
        <v>1410</v>
      </c>
      <c r="I71" t="s">
        <v>3514</v>
      </c>
      <c r="J71" t="s">
        <v>1410</v>
      </c>
      <c r="K71" t="s">
        <v>1410</v>
      </c>
      <c r="L71" t="s">
        <v>1410</v>
      </c>
      <c r="M71" t="s">
        <v>1410</v>
      </c>
      <c r="N71" t="s">
        <v>4307</v>
      </c>
      <c r="O71" t="s">
        <v>4442</v>
      </c>
      <c r="P71" t="s">
        <v>4307</v>
      </c>
      <c r="Q71" t="s">
        <v>4442</v>
      </c>
      <c r="R71" t="s">
        <v>1410</v>
      </c>
      <c r="S71" t="s">
        <v>4307</v>
      </c>
      <c r="T71" t="s">
        <v>4307</v>
      </c>
      <c r="U71" t="s">
        <v>1410</v>
      </c>
      <c r="V71" t="s">
        <v>1410</v>
      </c>
      <c r="W71" t="s">
        <v>1410</v>
      </c>
      <c r="X71" t="s">
        <v>1410</v>
      </c>
      <c r="Y71" t="s">
        <v>1410</v>
      </c>
      <c r="Z71" t="s">
        <v>1410</v>
      </c>
      <c r="AA71" t="s">
        <v>1410</v>
      </c>
      <c r="AB71" t="s">
        <v>1410</v>
      </c>
      <c r="AC71" t="s">
        <v>1410</v>
      </c>
      <c r="AD71" t="s">
        <v>1410</v>
      </c>
      <c r="AE71" t="s">
        <v>1410</v>
      </c>
      <c r="AF71" t="str">
        <f t="shared" si="1"/>
        <v>//61 - 0x3D</v>
      </c>
    </row>
    <row r="72" spans="1:32" x14ac:dyDescent="0.25">
      <c r="A72" t="str">
        <f t="shared" si="0"/>
        <v>//62 - 0x3E</v>
      </c>
      <c r="D72" t="s">
        <v>1410</v>
      </c>
      <c r="E72" t="s">
        <v>1410</v>
      </c>
      <c r="F72" t="s">
        <v>3990</v>
      </c>
      <c r="G72" t="s">
        <v>4373</v>
      </c>
      <c r="H72" t="s">
        <v>1410</v>
      </c>
      <c r="I72" t="s">
        <v>3515</v>
      </c>
      <c r="J72" t="s">
        <v>1410</v>
      </c>
      <c r="K72" t="s">
        <v>1410</v>
      </c>
      <c r="L72" t="s">
        <v>1410</v>
      </c>
      <c r="M72" t="s">
        <v>1410</v>
      </c>
      <c r="N72" t="s">
        <v>4308</v>
      </c>
      <c r="O72" t="s">
        <v>4443</v>
      </c>
      <c r="P72" t="s">
        <v>4308</v>
      </c>
      <c r="Q72" t="s">
        <v>4443</v>
      </c>
      <c r="R72" t="s">
        <v>1410</v>
      </c>
      <c r="S72" t="s">
        <v>4308</v>
      </c>
      <c r="T72" t="s">
        <v>4308</v>
      </c>
      <c r="U72" t="s">
        <v>1410</v>
      </c>
      <c r="V72" t="s">
        <v>1410</v>
      </c>
      <c r="W72" t="s">
        <v>1410</v>
      </c>
      <c r="X72" t="s">
        <v>1410</v>
      </c>
      <c r="Y72" t="s">
        <v>1410</v>
      </c>
      <c r="Z72" t="s">
        <v>1410</v>
      </c>
      <c r="AA72" t="s">
        <v>1410</v>
      </c>
      <c r="AB72" t="s">
        <v>1410</v>
      </c>
      <c r="AC72" t="s">
        <v>1410</v>
      </c>
      <c r="AD72" t="s">
        <v>1410</v>
      </c>
      <c r="AE72" t="s">
        <v>1410</v>
      </c>
      <c r="AF72" t="str">
        <f t="shared" si="1"/>
        <v>//62 - 0x3E</v>
      </c>
    </row>
    <row r="73" spans="1:32" x14ac:dyDescent="0.25">
      <c r="A73" t="str">
        <f t="shared" si="0"/>
        <v>//63 - 0x3F</v>
      </c>
      <c r="D73" t="s">
        <v>1410</v>
      </c>
      <c r="E73" t="s">
        <v>1410</v>
      </c>
      <c r="F73" t="s">
        <v>3991</v>
      </c>
      <c r="G73" t="s">
        <v>4620</v>
      </c>
      <c r="H73" t="s">
        <v>1410</v>
      </c>
      <c r="I73" t="s">
        <v>3516</v>
      </c>
      <c r="J73" t="s">
        <v>1410</v>
      </c>
      <c r="K73" t="s">
        <v>1410</v>
      </c>
      <c r="L73" t="s">
        <v>1410</v>
      </c>
      <c r="M73" t="s">
        <v>1410</v>
      </c>
      <c r="N73" t="s">
        <v>4309</v>
      </c>
      <c r="O73" t="s">
        <v>4444</v>
      </c>
      <c r="P73" t="s">
        <v>4309</v>
      </c>
      <c r="Q73" t="s">
        <v>4444</v>
      </c>
      <c r="R73" t="s">
        <v>1410</v>
      </c>
      <c r="S73" t="s">
        <v>4309</v>
      </c>
      <c r="T73" t="s">
        <v>4309</v>
      </c>
      <c r="U73" t="s">
        <v>1410</v>
      </c>
      <c r="V73" t="s">
        <v>1410</v>
      </c>
      <c r="W73" t="s">
        <v>1410</v>
      </c>
      <c r="X73" t="s">
        <v>1410</v>
      </c>
      <c r="Y73" t="s">
        <v>1410</v>
      </c>
      <c r="Z73" t="s">
        <v>1410</v>
      </c>
      <c r="AA73" t="s">
        <v>1410</v>
      </c>
      <c r="AB73" t="s">
        <v>1410</v>
      </c>
      <c r="AC73" t="s">
        <v>1410</v>
      </c>
      <c r="AD73" t="s">
        <v>1410</v>
      </c>
      <c r="AE73" t="s">
        <v>1410</v>
      </c>
      <c r="AF73" t="str">
        <f t="shared" si="1"/>
        <v>//63 - 0x3F</v>
      </c>
    </row>
    <row r="74" spans="1:32" x14ac:dyDescent="0.25">
      <c r="A74" t="str">
        <f t="shared" si="0"/>
        <v>//64 - 0x40</v>
      </c>
      <c r="D74" t="s">
        <v>1410</v>
      </c>
      <c r="E74" t="s">
        <v>1410</v>
      </c>
      <c r="F74" t="s">
        <v>3992</v>
      </c>
      <c r="G74" t="s">
        <v>4621</v>
      </c>
      <c r="H74" t="s">
        <v>1410</v>
      </c>
      <c r="I74" t="s">
        <v>3517</v>
      </c>
      <c r="J74" t="s">
        <v>1410</v>
      </c>
      <c r="K74" t="s">
        <v>1410</v>
      </c>
      <c r="L74" t="s">
        <v>1410</v>
      </c>
      <c r="M74" t="s">
        <v>1410</v>
      </c>
      <c r="N74" t="s">
        <v>4374</v>
      </c>
      <c r="O74" t="s">
        <v>4445</v>
      </c>
      <c r="P74" t="s">
        <v>4374</v>
      </c>
      <c r="Q74" t="s">
        <v>4445</v>
      </c>
      <c r="R74" t="s">
        <v>1410</v>
      </c>
      <c r="S74" t="s">
        <v>4310</v>
      </c>
      <c r="T74" t="s">
        <v>4374</v>
      </c>
      <c r="U74" t="s">
        <v>1410</v>
      </c>
      <c r="V74" t="s">
        <v>1410</v>
      </c>
      <c r="W74" t="s">
        <v>1410</v>
      </c>
      <c r="X74" t="s">
        <v>1410</v>
      </c>
      <c r="Y74" t="s">
        <v>1410</v>
      </c>
      <c r="Z74" t="s">
        <v>1410</v>
      </c>
      <c r="AA74" t="s">
        <v>1410</v>
      </c>
      <c r="AB74" t="s">
        <v>1410</v>
      </c>
      <c r="AC74" t="s">
        <v>1410</v>
      </c>
      <c r="AD74" t="s">
        <v>1410</v>
      </c>
      <c r="AE74" t="s">
        <v>1410</v>
      </c>
      <c r="AF74" t="str">
        <f t="shared" si="1"/>
        <v>//64 - 0x40</v>
      </c>
    </row>
    <row r="75" spans="1:32" x14ac:dyDescent="0.25">
      <c r="A75" t="str">
        <f t="shared" ref="A75:A138" si="2">"//" &amp; ROW()-10 &amp; " - 0x" &amp; DEC2HEX(ROW()-10,2)</f>
        <v>//65 - 0x41</v>
      </c>
      <c r="D75" t="s">
        <v>1410</v>
      </c>
      <c r="E75" t="s">
        <v>1410</v>
      </c>
      <c r="F75" t="s">
        <v>3993</v>
      </c>
      <c r="G75" t="s">
        <v>4622</v>
      </c>
      <c r="H75" t="s">
        <v>1410</v>
      </c>
      <c r="I75" t="s">
        <v>3518</v>
      </c>
      <c r="J75" t="s">
        <v>1410</v>
      </c>
      <c r="K75" t="s">
        <v>1410</v>
      </c>
      <c r="L75" t="s">
        <v>1410</v>
      </c>
      <c r="M75" t="s">
        <v>1410</v>
      </c>
      <c r="N75" t="s">
        <v>4375</v>
      </c>
      <c r="O75" t="s">
        <v>4446</v>
      </c>
      <c r="P75" t="s">
        <v>4375</v>
      </c>
      <c r="Q75" t="s">
        <v>4446</v>
      </c>
      <c r="R75" t="s">
        <v>1410</v>
      </c>
      <c r="S75" t="s">
        <v>4311</v>
      </c>
      <c r="T75" t="s">
        <v>4375</v>
      </c>
      <c r="U75" t="s">
        <v>1410</v>
      </c>
      <c r="V75" t="s">
        <v>1410</v>
      </c>
      <c r="W75" t="s">
        <v>1410</v>
      </c>
      <c r="X75" t="s">
        <v>1410</v>
      </c>
      <c r="Y75" t="s">
        <v>1410</v>
      </c>
      <c r="Z75" t="s">
        <v>1410</v>
      </c>
      <c r="AA75" t="s">
        <v>1410</v>
      </c>
      <c r="AB75" t="s">
        <v>1410</v>
      </c>
      <c r="AC75" t="s">
        <v>1410</v>
      </c>
      <c r="AD75" t="s">
        <v>1410</v>
      </c>
      <c r="AE75" t="s">
        <v>1410</v>
      </c>
      <c r="AF75" t="str">
        <f t="shared" ref="AF75:AF138" si="3">"//" &amp; ROW()-10 &amp; " - 0x" &amp; DEC2HEX(ROW()-10,2)</f>
        <v>//65 - 0x41</v>
      </c>
    </row>
    <row r="76" spans="1:32" x14ac:dyDescent="0.25">
      <c r="A76" t="str">
        <f t="shared" si="2"/>
        <v>//66 - 0x42</v>
      </c>
      <c r="D76" t="s">
        <v>1410</v>
      </c>
      <c r="E76" t="s">
        <v>1410</v>
      </c>
      <c r="F76" t="s">
        <v>3994</v>
      </c>
      <c r="G76" t="s">
        <v>1410</v>
      </c>
      <c r="H76" t="s">
        <v>1410</v>
      </c>
      <c r="I76" t="s">
        <v>3519</v>
      </c>
      <c r="J76" t="s">
        <v>1410</v>
      </c>
      <c r="K76" t="s">
        <v>1410</v>
      </c>
      <c r="L76" t="s">
        <v>1410</v>
      </c>
      <c r="M76" t="s">
        <v>1410</v>
      </c>
      <c r="N76" t="s">
        <v>4405</v>
      </c>
      <c r="O76" t="s">
        <v>4405</v>
      </c>
      <c r="P76" t="s">
        <v>4310</v>
      </c>
      <c r="Q76" t="s">
        <v>4405</v>
      </c>
      <c r="R76" t="s">
        <v>1410</v>
      </c>
      <c r="S76" t="s">
        <v>4312</v>
      </c>
      <c r="T76" t="s">
        <v>4312</v>
      </c>
      <c r="U76" t="s">
        <v>1410</v>
      </c>
      <c r="V76" t="s">
        <v>1410</v>
      </c>
      <c r="W76" t="s">
        <v>1410</v>
      </c>
      <c r="X76" t="s">
        <v>1410</v>
      </c>
      <c r="Y76" t="s">
        <v>1410</v>
      </c>
      <c r="Z76" t="s">
        <v>1410</v>
      </c>
      <c r="AA76" t="s">
        <v>1410</v>
      </c>
      <c r="AB76" t="s">
        <v>1410</v>
      </c>
      <c r="AC76" t="s">
        <v>1410</v>
      </c>
      <c r="AD76" t="s">
        <v>1410</v>
      </c>
      <c r="AE76" t="s">
        <v>1410</v>
      </c>
      <c r="AF76" t="str">
        <f t="shared" si="3"/>
        <v>//66 - 0x42</v>
      </c>
    </row>
    <row r="77" spans="1:32" x14ac:dyDescent="0.25">
      <c r="A77" t="str">
        <f t="shared" si="2"/>
        <v>//67 - 0x43</v>
      </c>
      <c r="D77" t="s">
        <v>1410</v>
      </c>
      <c r="E77" t="s">
        <v>1410</v>
      </c>
      <c r="F77" t="s">
        <v>3995</v>
      </c>
      <c r="G77" t="s">
        <v>1410</v>
      </c>
      <c r="H77" t="s">
        <v>1410</v>
      </c>
      <c r="I77" t="s">
        <v>3520</v>
      </c>
      <c r="J77" t="s">
        <v>1410</v>
      </c>
      <c r="K77" t="s">
        <v>1410</v>
      </c>
      <c r="L77" t="s">
        <v>1410</v>
      </c>
      <c r="M77" t="s">
        <v>1410</v>
      </c>
      <c r="N77" t="s">
        <v>4406</v>
      </c>
      <c r="O77" t="s">
        <v>4447</v>
      </c>
      <c r="P77" t="s">
        <v>4311</v>
      </c>
      <c r="Q77" t="s">
        <v>4447</v>
      </c>
      <c r="R77" t="s">
        <v>1410</v>
      </c>
      <c r="S77" t="s">
        <v>4313</v>
      </c>
      <c r="T77" t="s">
        <v>4313</v>
      </c>
      <c r="U77" t="s">
        <v>1410</v>
      </c>
      <c r="V77" t="s">
        <v>1410</v>
      </c>
      <c r="W77" t="s">
        <v>1410</v>
      </c>
      <c r="X77" t="s">
        <v>1410</v>
      </c>
      <c r="Y77" t="s">
        <v>1410</v>
      </c>
      <c r="Z77" t="s">
        <v>1410</v>
      </c>
      <c r="AA77" t="s">
        <v>1410</v>
      </c>
      <c r="AB77" t="s">
        <v>1410</v>
      </c>
      <c r="AC77" t="s">
        <v>1410</v>
      </c>
      <c r="AD77" t="s">
        <v>1410</v>
      </c>
      <c r="AE77" t="s">
        <v>1410</v>
      </c>
      <c r="AF77" t="str">
        <f t="shared" si="3"/>
        <v>//67 - 0x43</v>
      </c>
    </row>
    <row r="78" spans="1:32" x14ac:dyDescent="0.25">
      <c r="A78" t="str">
        <f t="shared" si="2"/>
        <v>//68 - 0x44</v>
      </c>
      <c r="D78" t="s">
        <v>1410</v>
      </c>
      <c r="E78" t="s">
        <v>1410</v>
      </c>
      <c r="F78" t="s">
        <v>3996</v>
      </c>
      <c r="G78" t="s">
        <v>1410</v>
      </c>
      <c r="H78" t="s">
        <v>1410</v>
      </c>
      <c r="I78" t="s">
        <v>3521</v>
      </c>
      <c r="J78" t="s">
        <v>1410</v>
      </c>
      <c r="K78" t="s">
        <v>1410</v>
      </c>
      <c r="L78" t="s">
        <v>1410</v>
      </c>
      <c r="M78" t="s">
        <v>1410</v>
      </c>
      <c r="N78" t="s">
        <v>4407</v>
      </c>
      <c r="O78" t="s">
        <v>1410</v>
      </c>
      <c r="P78" t="s">
        <v>4312</v>
      </c>
      <c r="Q78" t="s">
        <v>1410</v>
      </c>
      <c r="R78" t="s">
        <v>1410</v>
      </c>
      <c r="S78" t="s">
        <v>4314</v>
      </c>
      <c r="T78" t="s">
        <v>4316</v>
      </c>
      <c r="U78" t="s">
        <v>1410</v>
      </c>
      <c r="V78" t="s">
        <v>1410</v>
      </c>
      <c r="W78" t="s">
        <v>1410</v>
      </c>
      <c r="X78" t="s">
        <v>1410</v>
      </c>
      <c r="Y78" t="s">
        <v>1410</v>
      </c>
      <c r="Z78" t="s">
        <v>1410</v>
      </c>
      <c r="AA78" t="s">
        <v>1410</v>
      </c>
      <c r="AB78" t="s">
        <v>1410</v>
      </c>
      <c r="AC78" t="s">
        <v>1410</v>
      </c>
      <c r="AD78" t="s">
        <v>1410</v>
      </c>
      <c r="AE78" t="s">
        <v>1410</v>
      </c>
      <c r="AF78" t="str">
        <f t="shared" si="3"/>
        <v>//68 - 0x44</v>
      </c>
    </row>
    <row r="79" spans="1:32" x14ac:dyDescent="0.25">
      <c r="A79" t="str">
        <f t="shared" si="2"/>
        <v>//69 - 0x45</v>
      </c>
      <c r="D79" t="s">
        <v>1410</v>
      </c>
      <c r="E79" t="s">
        <v>1410</v>
      </c>
      <c r="F79" t="s">
        <v>3997</v>
      </c>
      <c r="G79" t="s">
        <v>1410</v>
      </c>
      <c r="H79" t="s">
        <v>1410</v>
      </c>
      <c r="I79" t="s">
        <v>3522</v>
      </c>
      <c r="J79" t="s">
        <v>1410</v>
      </c>
      <c r="K79" t="s">
        <v>1410</v>
      </c>
      <c r="L79" t="s">
        <v>1410</v>
      </c>
      <c r="M79" t="s">
        <v>1410</v>
      </c>
      <c r="N79" t="s">
        <v>4408</v>
      </c>
      <c r="O79" t="s">
        <v>1410</v>
      </c>
      <c r="P79" t="s">
        <v>4313</v>
      </c>
      <c r="Q79" t="s">
        <v>1410</v>
      </c>
      <c r="R79" t="s">
        <v>1410</v>
      </c>
      <c r="S79" t="s">
        <v>4315</v>
      </c>
      <c r="T79" t="s">
        <v>4317</v>
      </c>
      <c r="U79" t="s">
        <v>1410</v>
      </c>
      <c r="V79" t="s">
        <v>1410</v>
      </c>
      <c r="W79" t="s">
        <v>1410</v>
      </c>
      <c r="X79" t="s">
        <v>1410</v>
      </c>
      <c r="Y79" t="s">
        <v>1410</v>
      </c>
      <c r="Z79" t="s">
        <v>1410</v>
      </c>
      <c r="AA79" t="s">
        <v>1410</v>
      </c>
      <c r="AB79" t="s">
        <v>1410</v>
      </c>
      <c r="AC79" t="s">
        <v>1410</v>
      </c>
      <c r="AD79" t="s">
        <v>1410</v>
      </c>
      <c r="AE79" t="s">
        <v>1410</v>
      </c>
      <c r="AF79" t="str">
        <f t="shared" si="3"/>
        <v>//69 - 0x45</v>
      </c>
    </row>
    <row r="80" spans="1:32" x14ac:dyDescent="0.25">
      <c r="A80" t="str">
        <f t="shared" si="2"/>
        <v>//70 - 0x46</v>
      </c>
      <c r="D80" t="s">
        <v>1410</v>
      </c>
      <c r="E80" t="s">
        <v>1410</v>
      </c>
      <c r="F80" t="s">
        <v>3998</v>
      </c>
      <c r="G80" t="s">
        <v>1410</v>
      </c>
      <c r="H80" t="s">
        <v>1410</v>
      </c>
      <c r="I80" t="s">
        <v>3523</v>
      </c>
      <c r="J80" t="s">
        <v>1410</v>
      </c>
      <c r="K80" t="s">
        <v>1410</v>
      </c>
      <c r="L80" t="s">
        <v>1410</v>
      </c>
      <c r="M80" t="s">
        <v>1410</v>
      </c>
      <c r="N80" t="s">
        <v>4409</v>
      </c>
      <c r="O80" t="s">
        <v>1410</v>
      </c>
      <c r="P80" t="s">
        <v>4314</v>
      </c>
      <c r="Q80" t="s">
        <v>1410</v>
      </c>
      <c r="R80" t="s">
        <v>1410</v>
      </c>
      <c r="S80" t="s">
        <v>4316</v>
      </c>
      <c r="T80" t="s">
        <v>4318</v>
      </c>
      <c r="U80" t="s">
        <v>1410</v>
      </c>
      <c r="V80" t="s">
        <v>1410</v>
      </c>
      <c r="W80" t="s">
        <v>1410</v>
      </c>
      <c r="X80" t="s">
        <v>1410</v>
      </c>
      <c r="Y80" t="s">
        <v>1410</v>
      </c>
      <c r="Z80" t="s">
        <v>1410</v>
      </c>
      <c r="AA80" t="s">
        <v>1410</v>
      </c>
      <c r="AB80" t="s">
        <v>1410</v>
      </c>
      <c r="AC80" t="s">
        <v>1410</v>
      </c>
      <c r="AD80" t="s">
        <v>1410</v>
      </c>
      <c r="AE80" t="s">
        <v>1410</v>
      </c>
      <c r="AF80" t="str">
        <f t="shared" si="3"/>
        <v>//70 - 0x46</v>
      </c>
    </row>
    <row r="81" spans="1:32" x14ac:dyDescent="0.25">
      <c r="A81" t="str">
        <f t="shared" si="2"/>
        <v>//71 - 0x47</v>
      </c>
      <c r="D81" t="s">
        <v>1410</v>
      </c>
      <c r="E81" t="s">
        <v>1410</v>
      </c>
      <c r="F81" t="s">
        <v>1410</v>
      </c>
      <c r="G81" t="s">
        <v>1410</v>
      </c>
      <c r="H81" t="s">
        <v>1410</v>
      </c>
      <c r="I81" t="s">
        <v>3524</v>
      </c>
      <c r="J81" t="s">
        <v>1410</v>
      </c>
      <c r="K81" t="s">
        <v>1410</v>
      </c>
      <c r="L81" t="s">
        <v>1410</v>
      </c>
      <c r="M81" t="s">
        <v>1410</v>
      </c>
      <c r="N81" t="s">
        <v>4410</v>
      </c>
      <c r="O81" t="s">
        <v>1410</v>
      </c>
      <c r="P81" t="s">
        <v>4315</v>
      </c>
      <c r="Q81" t="s">
        <v>1410</v>
      </c>
      <c r="R81" t="s">
        <v>1410</v>
      </c>
      <c r="S81" t="s">
        <v>4317</v>
      </c>
      <c r="T81" t="s">
        <v>4319</v>
      </c>
      <c r="U81" t="s">
        <v>1410</v>
      </c>
      <c r="V81" t="s">
        <v>1410</v>
      </c>
      <c r="W81" t="s">
        <v>1410</v>
      </c>
      <c r="X81" t="s">
        <v>1410</v>
      </c>
      <c r="Y81" t="s">
        <v>1410</v>
      </c>
      <c r="Z81" t="s">
        <v>1410</v>
      </c>
      <c r="AA81" t="s">
        <v>1410</v>
      </c>
      <c r="AB81" t="s">
        <v>1410</v>
      </c>
      <c r="AC81" t="s">
        <v>1410</v>
      </c>
      <c r="AD81" t="s">
        <v>1410</v>
      </c>
      <c r="AE81" t="s">
        <v>1410</v>
      </c>
      <c r="AF81" t="str">
        <f t="shared" si="3"/>
        <v>//71 - 0x47</v>
      </c>
    </row>
    <row r="82" spans="1:32" x14ac:dyDescent="0.25">
      <c r="A82" t="str">
        <f t="shared" si="2"/>
        <v>//72 - 0x48</v>
      </c>
      <c r="D82" t="s">
        <v>1410</v>
      </c>
      <c r="E82" t="s">
        <v>1410</v>
      </c>
      <c r="F82" t="s">
        <v>1410</v>
      </c>
      <c r="G82" t="s">
        <v>1410</v>
      </c>
      <c r="H82" t="s">
        <v>1410</v>
      </c>
      <c r="I82" t="s">
        <v>3525</v>
      </c>
      <c r="J82" t="s">
        <v>1410</v>
      </c>
      <c r="K82" t="s">
        <v>1410</v>
      </c>
      <c r="L82" t="s">
        <v>1410</v>
      </c>
      <c r="M82" t="s">
        <v>1410</v>
      </c>
      <c r="N82" t="s">
        <v>4411</v>
      </c>
      <c r="O82" t="s">
        <v>1410</v>
      </c>
      <c r="P82" t="s">
        <v>4316</v>
      </c>
      <c r="Q82" t="s">
        <v>1410</v>
      </c>
      <c r="R82" t="s">
        <v>1410</v>
      </c>
      <c r="S82" t="s">
        <v>4318</v>
      </c>
      <c r="T82" t="s">
        <v>1410</v>
      </c>
      <c r="U82" t="s">
        <v>1410</v>
      </c>
      <c r="V82" t="s">
        <v>1410</v>
      </c>
      <c r="W82" t="s">
        <v>1410</v>
      </c>
      <c r="X82" t="s">
        <v>1410</v>
      </c>
      <c r="Y82" t="s">
        <v>1410</v>
      </c>
      <c r="Z82" t="s">
        <v>1410</v>
      </c>
      <c r="AA82" t="s">
        <v>1410</v>
      </c>
      <c r="AB82" t="s">
        <v>1410</v>
      </c>
      <c r="AC82" t="s">
        <v>1410</v>
      </c>
      <c r="AD82" t="s">
        <v>1410</v>
      </c>
      <c r="AE82" t="s">
        <v>1410</v>
      </c>
      <c r="AF82" t="str">
        <f t="shared" si="3"/>
        <v>//72 - 0x48</v>
      </c>
    </row>
    <row r="83" spans="1:32" x14ac:dyDescent="0.25">
      <c r="A83" t="str">
        <f t="shared" si="2"/>
        <v>//73 - 0x49</v>
      </c>
      <c r="D83" t="s">
        <v>1410</v>
      </c>
      <c r="E83" t="s">
        <v>1410</v>
      </c>
      <c r="F83" t="s">
        <v>1410</v>
      </c>
      <c r="G83" t="s">
        <v>1410</v>
      </c>
      <c r="H83" t="s">
        <v>1410</v>
      </c>
      <c r="I83" t="s">
        <v>3526</v>
      </c>
      <c r="J83" t="s">
        <v>1410</v>
      </c>
      <c r="K83" t="s">
        <v>1410</v>
      </c>
      <c r="L83" t="s">
        <v>1410</v>
      </c>
      <c r="M83" t="s">
        <v>1410</v>
      </c>
      <c r="N83" t="s">
        <v>1410</v>
      </c>
      <c r="O83" t="s">
        <v>1410</v>
      </c>
      <c r="P83" t="s">
        <v>4317</v>
      </c>
      <c r="Q83" t="s">
        <v>1410</v>
      </c>
      <c r="R83" t="s">
        <v>1410</v>
      </c>
      <c r="S83" t="s">
        <v>4319</v>
      </c>
      <c r="T83" t="s">
        <v>1410</v>
      </c>
      <c r="U83" t="s">
        <v>1410</v>
      </c>
      <c r="V83" t="s">
        <v>1410</v>
      </c>
      <c r="W83" t="s">
        <v>1410</v>
      </c>
      <c r="X83" t="s">
        <v>1410</v>
      </c>
      <c r="Y83" t="s">
        <v>1410</v>
      </c>
      <c r="Z83" t="s">
        <v>1410</v>
      </c>
      <c r="AA83" t="s">
        <v>1410</v>
      </c>
      <c r="AB83" t="s">
        <v>1410</v>
      </c>
      <c r="AC83" t="s">
        <v>1410</v>
      </c>
      <c r="AD83" t="s">
        <v>1410</v>
      </c>
      <c r="AE83" t="s">
        <v>1410</v>
      </c>
      <c r="AF83" t="str">
        <f t="shared" si="3"/>
        <v>//73 - 0x49</v>
      </c>
    </row>
    <row r="84" spans="1:32" x14ac:dyDescent="0.25">
      <c r="A84" t="str">
        <f t="shared" si="2"/>
        <v>//74 - 0x4A</v>
      </c>
      <c r="D84" t="s">
        <v>1410</v>
      </c>
      <c r="E84" t="s">
        <v>1410</v>
      </c>
      <c r="F84" t="s">
        <v>1410</v>
      </c>
      <c r="G84" t="s">
        <v>1410</v>
      </c>
      <c r="H84" t="s">
        <v>1410</v>
      </c>
      <c r="I84" t="s">
        <v>3527</v>
      </c>
      <c r="J84" t="s">
        <v>1410</v>
      </c>
      <c r="K84" t="s">
        <v>1410</v>
      </c>
      <c r="L84" t="s">
        <v>1410</v>
      </c>
      <c r="M84" t="s">
        <v>1410</v>
      </c>
      <c r="N84" t="s">
        <v>1410</v>
      </c>
      <c r="O84" t="s">
        <v>1410</v>
      </c>
      <c r="P84" t="s">
        <v>4318</v>
      </c>
      <c r="Q84" t="s">
        <v>1410</v>
      </c>
      <c r="R84" t="s">
        <v>1410</v>
      </c>
      <c r="S84" t="s">
        <v>4132</v>
      </c>
      <c r="T84" t="s">
        <v>1410</v>
      </c>
      <c r="U84" t="s">
        <v>1410</v>
      </c>
      <c r="V84" t="s">
        <v>1410</v>
      </c>
      <c r="W84" t="s">
        <v>1410</v>
      </c>
      <c r="X84" t="s">
        <v>1410</v>
      </c>
      <c r="Y84" t="s">
        <v>1410</v>
      </c>
      <c r="Z84" t="s">
        <v>1410</v>
      </c>
      <c r="AA84" t="s">
        <v>1410</v>
      </c>
      <c r="AB84" t="s">
        <v>1410</v>
      </c>
      <c r="AC84" t="s">
        <v>1410</v>
      </c>
      <c r="AD84" t="s">
        <v>1410</v>
      </c>
      <c r="AE84" t="s">
        <v>1410</v>
      </c>
      <c r="AF84" t="str">
        <f t="shared" si="3"/>
        <v>//74 - 0x4A</v>
      </c>
    </row>
    <row r="85" spans="1:32" x14ac:dyDescent="0.25">
      <c r="A85" t="str">
        <f t="shared" si="2"/>
        <v>//75 - 0x4B</v>
      </c>
      <c r="D85" t="s">
        <v>1410</v>
      </c>
      <c r="E85" t="s">
        <v>1410</v>
      </c>
      <c r="F85" t="s">
        <v>1410</v>
      </c>
      <c r="G85" t="s">
        <v>1410</v>
      </c>
      <c r="H85" t="s">
        <v>1410</v>
      </c>
      <c r="I85" t="s">
        <v>3528</v>
      </c>
      <c r="J85" t="s">
        <v>1410</v>
      </c>
      <c r="K85" t="s">
        <v>1410</v>
      </c>
      <c r="L85" t="s">
        <v>1410</v>
      </c>
      <c r="M85" t="s">
        <v>1410</v>
      </c>
      <c r="N85" t="s">
        <v>1410</v>
      </c>
      <c r="O85" t="s">
        <v>1410</v>
      </c>
      <c r="P85" t="s">
        <v>4319</v>
      </c>
      <c r="Q85" t="s">
        <v>1410</v>
      </c>
      <c r="R85" t="s">
        <v>1410</v>
      </c>
      <c r="S85" t="s">
        <v>1410</v>
      </c>
      <c r="T85" t="s">
        <v>1410</v>
      </c>
      <c r="U85" t="s">
        <v>1410</v>
      </c>
      <c r="V85" t="s">
        <v>1410</v>
      </c>
      <c r="W85" t="s">
        <v>1410</v>
      </c>
      <c r="X85" t="s">
        <v>1410</v>
      </c>
      <c r="Y85" t="s">
        <v>1410</v>
      </c>
      <c r="Z85" t="s">
        <v>1410</v>
      </c>
      <c r="AA85" t="s">
        <v>1410</v>
      </c>
      <c r="AB85" t="s">
        <v>1410</v>
      </c>
      <c r="AC85" t="s">
        <v>1410</v>
      </c>
      <c r="AD85" t="s">
        <v>1410</v>
      </c>
      <c r="AE85" t="s">
        <v>1410</v>
      </c>
      <c r="AF85" t="str">
        <f t="shared" si="3"/>
        <v>//75 - 0x4B</v>
      </c>
    </row>
    <row r="86" spans="1:32" x14ac:dyDescent="0.25">
      <c r="A86" t="str">
        <f t="shared" si="2"/>
        <v>//76 - 0x4C</v>
      </c>
      <c r="D86" t="s">
        <v>1410</v>
      </c>
      <c r="E86" t="s">
        <v>1410</v>
      </c>
      <c r="F86" t="s">
        <v>1410</v>
      </c>
      <c r="G86" t="s">
        <v>1410</v>
      </c>
      <c r="H86" t="s">
        <v>1410</v>
      </c>
      <c r="I86" t="s">
        <v>3529</v>
      </c>
      <c r="J86" t="s">
        <v>1410</v>
      </c>
      <c r="K86" t="s">
        <v>1410</v>
      </c>
      <c r="L86" t="s">
        <v>1410</v>
      </c>
      <c r="M86" t="s">
        <v>1410</v>
      </c>
      <c r="N86" t="s">
        <v>1410</v>
      </c>
      <c r="O86" t="s">
        <v>1410</v>
      </c>
      <c r="P86" t="s">
        <v>4132</v>
      </c>
      <c r="Q86" t="s">
        <v>1410</v>
      </c>
      <c r="R86" t="s">
        <v>1410</v>
      </c>
      <c r="S86" t="s">
        <v>1410</v>
      </c>
      <c r="T86" t="s">
        <v>1410</v>
      </c>
      <c r="U86" t="s">
        <v>1410</v>
      </c>
      <c r="V86" t="s">
        <v>1410</v>
      </c>
      <c r="W86" t="s">
        <v>1410</v>
      </c>
      <c r="X86" t="s">
        <v>1410</v>
      </c>
      <c r="Y86" t="s">
        <v>1410</v>
      </c>
      <c r="Z86" t="s">
        <v>1410</v>
      </c>
      <c r="AA86" t="s">
        <v>1410</v>
      </c>
      <c r="AB86" t="s">
        <v>1410</v>
      </c>
      <c r="AC86" t="s">
        <v>1410</v>
      </c>
      <c r="AD86" t="s">
        <v>1410</v>
      </c>
      <c r="AE86" t="s">
        <v>1410</v>
      </c>
      <c r="AF86" t="str">
        <f t="shared" si="3"/>
        <v>//76 - 0x4C</v>
      </c>
    </row>
    <row r="87" spans="1:32" x14ac:dyDescent="0.25">
      <c r="A87" t="str">
        <f t="shared" si="2"/>
        <v>//77 - 0x4D</v>
      </c>
      <c r="D87" t="s">
        <v>1410</v>
      </c>
      <c r="E87" t="s">
        <v>1410</v>
      </c>
      <c r="F87" t="s">
        <v>1410</v>
      </c>
      <c r="G87" t="s">
        <v>1410</v>
      </c>
      <c r="H87" t="s">
        <v>1410</v>
      </c>
      <c r="I87" t="s">
        <v>3530</v>
      </c>
      <c r="J87" t="s">
        <v>1410</v>
      </c>
      <c r="K87" t="s">
        <v>1410</v>
      </c>
      <c r="L87" t="s">
        <v>1410</v>
      </c>
      <c r="M87" t="s">
        <v>1410</v>
      </c>
      <c r="N87" t="s">
        <v>1410</v>
      </c>
      <c r="O87" t="s">
        <v>1410</v>
      </c>
      <c r="P87" t="s">
        <v>1410</v>
      </c>
      <c r="Q87" t="s">
        <v>1410</v>
      </c>
      <c r="R87" t="s">
        <v>1410</v>
      </c>
      <c r="S87" t="s">
        <v>1410</v>
      </c>
      <c r="T87" t="s">
        <v>1410</v>
      </c>
      <c r="U87" t="s">
        <v>1410</v>
      </c>
      <c r="V87" t="s">
        <v>1410</v>
      </c>
      <c r="W87" t="s">
        <v>1410</v>
      </c>
      <c r="X87" t="s">
        <v>1410</v>
      </c>
      <c r="Y87" t="s">
        <v>1410</v>
      </c>
      <c r="Z87" t="s">
        <v>1410</v>
      </c>
      <c r="AA87" t="s">
        <v>1410</v>
      </c>
      <c r="AB87" t="s">
        <v>1410</v>
      </c>
      <c r="AC87" t="s">
        <v>1410</v>
      </c>
      <c r="AD87" t="s">
        <v>1410</v>
      </c>
      <c r="AE87" t="s">
        <v>1410</v>
      </c>
      <c r="AF87" t="str">
        <f t="shared" si="3"/>
        <v>//77 - 0x4D</v>
      </c>
    </row>
    <row r="88" spans="1:32" x14ac:dyDescent="0.25">
      <c r="A88" t="str">
        <f t="shared" si="2"/>
        <v>//78 - 0x4E</v>
      </c>
      <c r="D88" t="s">
        <v>1410</v>
      </c>
      <c r="E88" t="s">
        <v>1410</v>
      </c>
      <c r="F88" t="s">
        <v>1410</v>
      </c>
      <c r="G88" t="s">
        <v>1410</v>
      </c>
      <c r="H88" t="s">
        <v>1410</v>
      </c>
      <c r="I88" t="s">
        <v>3531</v>
      </c>
      <c r="J88" t="s">
        <v>1410</v>
      </c>
      <c r="K88" t="s">
        <v>1410</v>
      </c>
      <c r="L88" t="s">
        <v>1410</v>
      </c>
      <c r="M88" t="s">
        <v>1410</v>
      </c>
      <c r="N88" t="s">
        <v>1410</v>
      </c>
      <c r="O88" t="s">
        <v>1410</v>
      </c>
      <c r="P88" t="s">
        <v>1410</v>
      </c>
      <c r="Q88" t="s">
        <v>1410</v>
      </c>
      <c r="R88" t="s">
        <v>1410</v>
      </c>
      <c r="S88" t="s">
        <v>1410</v>
      </c>
      <c r="T88" t="s">
        <v>1410</v>
      </c>
      <c r="U88" t="s">
        <v>1410</v>
      </c>
      <c r="V88" t="s">
        <v>1410</v>
      </c>
      <c r="W88" t="s">
        <v>1410</v>
      </c>
      <c r="X88" t="s">
        <v>1410</v>
      </c>
      <c r="Y88" t="s">
        <v>1410</v>
      </c>
      <c r="Z88" t="s">
        <v>1410</v>
      </c>
      <c r="AA88" t="s">
        <v>1410</v>
      </c>
      <c r="AB88" t="s">
        <v>1410</v>
      </c>
      <c r="AC88" t="s">
        <v>1410</v>
      </c>
      <c r="AD88" t="s">
        <v>1410</v>
      </c>
      <c r="AE88" t="s">
        <v>1410</v>
      </c>
      <c r="AF88" t="str">
        <f t="shared" si="3"/>
        <v>//78 - 0x4E</v>
      </c>
    </row>
    <row r="89" spans="1:32" x14ac:dyDescent="0.25">
      <c r="A89" t="str">
        <f t="shared" si="2"/>
        <v>//79 - 0x4F</v>
      </c>
      <c r="D89" t="s">
        <v>1410</v>
      </c>
      <c r="E89" t="s">
        <v>1410</v>
      </c>
      <c r="F89" t="s">
        <v>1410</v>
      </c>
      <c r="G89" t="s">
        <v>1410</v>
      </c>
      <c r="H89" t="s">
        <v>1410</v>
      </c>
      <c r="I89" t="s">
        <v>4073</v>
      </c>
      <c r="J89" t="s">
        <v>1410</v>
      </c>
      <c r="K89" t="s">
        <v>1410</v>
      </c>
      <c r="L89" t="s">
        <v>1410</v>
      </c>
      <c r="M89" t="s">
        <v>1410</v>
      </c>
      <c r="N89" t="s">
        <v>1410</v>
      </c>
      <c r="O89" t="s">
        <v>1410</v>
      </c>
      <c r="P89" t="s">
        <v>1410</v>
      </c>
      <c r="Q89" t="s">
        <v>1410</v>
      </c>
      <c r="R89" t="s">
        <v>1410</v>
      </c>
      <c r="S89" t="s">
        <v>1410</v>
      </c>
      <c r="T89" t="s">
        <v>1410</v>
      </c>
      <c r="U89" t="s">
        <v>1410</v>
      </c>
      <c r="V89" t="s">
        <v>1410</v>
      </c>
      <c r="W89" t="s">
        <v>1410</v>
      </c>
      <c r="X89" t="s">
        <v>1410</v>
      </c>
      <c r="Y89" t="s">
        <v>1410</v>
      </c>
      <c r="Z89" t="s">
        <v>1410</v>
      </c>
      <c r="AA89" t="s">
        <v>1410</v>
      </c>
      <c r="AB89" t="s">
        <v>1410</v>
      </c>
      <c r="AC89" t="s">
        <v>1410</v>
      </c>
      <c r="AD89" t="s">
        <v>1410</v>
      </c>
      <c r="AE89" t="s">
        <v>1410</v>
      </c>
      <c r="AF89" t="str">
        <f t="shared" si="3"/>
        <v>//79 - 0x4F</v>
      </c>
    </row>
    <row r="90" spans="1:32" x14ac:dyDescent="0.25">
      <c r="A90" t="str">
        <f t="shared" si="2"/>
        <v>//80 - 0x50</v>
      </c>
      <c r="D90" t="s">
        <v>1410</v>
      </c>
      <c r="E90" t="s">
        <v>1410</v>
      </c>
      <c r="F90" t="s">
        <v>1410</v>
      </c>
      <c r="G90" t="s">
        <v>1410</v>
      </c>
      <c r="H90" t="s">
        <v>1410</v>
      </c>
      <c r="I90" t="s">
        <v>4074</v>
      </c>
      <c r="J90" t="s">
        <v>1410</v>
      </c>
      <c r="K90" t="s">
        <v>1410</v>
      </c>
      <c r="L90" t="s">
        <v>1410</v>
      </c>
      <c r="M90" t="s">
        <v>1410</v>
      </c>
      <c r="N90" t="s">
        <v>1410</v>
      </c>
      <c r="O90" t="s">
        <v>1410</v>
      </c>
      <c r="P90" t="s">
        <v>1410</v>
      </c>
      <c r="Q90" t="s">
        <v>1410</v>
      </c>
      <c r="R90" t="s">
        <v>1410</v>
      </c>
      <c r="S90" t="s">
        <v>1410</v>
      </c>
      <c r="T90" t="s">
        <v>1410</v>
      </c>
      <c r="U90" t="s">
        <v>1410</v>
      </c>
      <c r="V90" t="s">
        <v>1410</v>
      </c>
      <c r="W90" t="s">
        <v>1410</v>
      </c>
      <c r="X90" t="s">
        <v>1410</v>
      </c>
      <c r="Y90" t="s">
        <v>1410</v>
      </c>
      <c r="Z90" t="s">
        <v>1410</v>
      </c>
      <c r="AA90" t="s">
        <v>1410</v>
      </c>
      <c r="AB90" t="s">
        <v>1410</v>
      </c>
      <c r="AC90" t="s">
        <v>1410</v>
      </c>
      <c r="AD90" t="s">
        <v>1410</v>
      </c>
      <c r="AE90" t="s">
        <v>1410</v>
      </c>
      <c r="AF90" t="str">
        <f t="shared" si="3"/>
        <v>//80 - 0x50</v>
      </c>
    </row>
    <row r="91" spans="1:32" x14ac:dyDescent="0.25">
      <c r="A91" t="str">
        <f t="shared" si="2"/>
        <v>//81 - 0x51</v>
      </c>
      <c r="D91" t="s">
        <v>1410</v>
      </c>
      <c r="E91" t="s">
        <v>1410</v>
      </c>
      <c r="F91" t="s">
        <v>1410</v>
      </c>
      <c r="G91" t="s">
        <v>1410</v>
      </c>
      <c r="H91" t="s">
        <v>1410</v>
      </c>
      <c r="I91" t="s">
        <v>3532</v>
      </c>
      <c r="J91" t="s">
        <v>1410</v>
      </c>
      <c r="K91" t="s">
        <v>1410</v>
      </c>
      <c r="L91" t="s">
        <v>1410</v>
      </c>
      <c r="M91" t="s">
        <v>1410</v>
      </c>
      <c r="N91" t="s">
        <v>1410</v>
      </c>
      <c r="O91" t="s">
        <v>1410</v>
      </c>
      <c r="P91" t="s">
        <v>1410</v>
      </c>
      <c r="Q91" t="s">
        <v>1410</v>
      </c>
      <c r="R91" t="s">
        <v>1410</v>
      </c>
      <c r="S91" t="s">
        <v>1410</v>
      </c>
      <c r="T91" t="s">
        <v>1410</v>
      </c>
      <c r="U91" t="s">
        <v>1410</v>
      </c>
      <c r="V91" t="s">
        <v>1410</v>
      </c>
      <c r="W91" t="s">
        <v>1410</v>
      </c>
      <c r="X91" t="s">
        <v>1410</v>
      </c>
      <c r="Y91" t="s">
        <v>1410</v>
      </c>
      <c r="Z91" t="s">
        <v>1410</v>
      </c>
      <c r="AA91" t="s">
        <v>1410</v>
      </c>
      <c r="AB91" t="s">
        <v>1410</v>
      </c>
      <c r="AC91" t="s">
        <v>1410</v>
      </c>
      <c r="AD91" t="s">
        <v>1410</v>
      </c>
      <c r="AE91" t="s">
        <v>1410</v>
      </c>
      <c r="AF91" t="str">
        <f t="shared" si="3"/>
        <v>//81 - 0x51</v>
      </c>
    </row>
    <row r="92" spans="1:32" x14ac:dyDescent="0.25">
      <c r="A92" t="str">
        <f t="shared" si="2"/>
        <v>//82 - 0x52</v>
      </c>
      <c r="D92" t="s">
        <v>1410</v>
      </c>
      <c r="E92" t="s">
        <v>1410</v>
      </c>
      <c r="F92" t="s">
        <v>1410</v>
      </c>
      <c r="G92" t="s">
        <v>1410</v>
      </c>
      <c r="H92" t="s">
        <v>1410</v>
      </c>
      <c r="I92" t="s">
        <v>4132</v>
      </c>
      <c r="J92" t="s">
        <v>1410</v>
      </c>
      <c r="K92" t="s">
        <v>1410</v>
      </c>
      <c r="L92" t="s">
        <v>1410</v>
      </c>
      <c r="M92" t="s">
        <v>1410</v>
      </c>
      <c r="N92" t="s">
        <v>1410</v>
      </c>
      <c r="O92" t="s">
        <v>1410</v>
      </c>
      <c r="P92" t="s">
        <v>1410</v>
      </c>
      <c r="Q92" t="s">
        <v>1410</v>
      </c>
      <c r="R92" t="s">
        <v>1410</v>
      </c>
      <c r="S92" t="s">
        <v>1410</v>
      </c>
      <c r="T92" t="s">
        <v>1410</v>
      </c>
      <c r="U92" t="s">
        <v>1410</v>
      </c>
      <c r="V92" t="s">
        <v>1410</v>
      </c>
      <c r="W92" t="s">
        <v>1410</v>
      </c>
      <c r="X92" t="s">
        <v>1410</v>
      </c>
      <c r="Y92" t="s">
        <v>1410</v>
      </c>
      <c r="Z92" t="s">
        <v>1410</v>
      </c>
      <c r="AA92" t="s">
        <v>1410</v>
      </c>
      <c r="AB92" t="s">
        <v>1410</v>
      </c>
      <c r="AC92" t="s">
        <v>1410</v>
      </c>
      <c r="AD92" t="s">
        <v>1410</v>
      </c>
      <c r="AE92" t="s">
        <v>1410</v>
      </c>
      <c r="AF92" t="str">
        <f t="shared" si="3"/>
        <v>//82 - 0x52</v>
      </c>
    </row>
    <row r="93" spans="1:32" x14ac:dyDescent="0.25">
      <c r="A93" t="str">
        <f t="shared" si="2"/>
        <v>//83 - 0x53</v>
      </c>
      <c r="D93" t="s">
        <v>1410</v>
      </c>
      <c r="E93" t="s">
        <v>1410</v>
      </c>
      <c r="F93" t="s">
        <v>1410</v>
      </c>
      <c r="G93" t="s">
        <v>1410</v>
      </c>
      <c r="H93" t="s">
        <v>1410</v>
      </c>
      <c r="I93" t="s">
        <v>1410</v>
      </c>
      <c r="J93" t="s">
        <v>1410</v>
      </c>
      <c r="K93" t="s">
        <v>1410</v>
      </c>
      <c r="L93" t="s">
        <v>1410</v>
      </c>
      <c r="M93" t="s">
        <v>1410</v>
      </c>
      <c r="N93" t="s">
        <v>1410</v>
      </c>
      <c r="O93" t="s">
        <v>1410</v>
      </c>
      <c r="P93" t="s">
        <v>1410</v>
      </c>
      <c r="Q93" t="s">
        <v>1410</v>
      </c>
      <c r="R93" t="s">
        <v>1410</v>
      </c>
      <c r="S93" t="s">
        <v>1410</v>
      </c>
      <c r="T93" t="s">
        <v>1410</v>
      </c>
      <c r="U93" t="s">
        <v>1410</v>
      </c>
      <c r="V93" t="s">
        <v>1410</v>
      </c>
      <c r="W93" t="s">
        <v>1410</v>
      </c>
      <c r="X93" t="s">
        <v>1410</v>
      </c>
      <c r="Y93" t="s">
        <v>1410</v>
      </c>
      <c r="Z93" t="s">
        <v>1410</v>
      </c>
      <c r="AA93" t="s">
        <v>1410</v>
      </c>
      <c r="AB93" t="s">
        <v>1410</v>
      </c>
      <c r="AC93" t="s">
        <v>1410</v>
      </c>
      <c r="AD93" t="s">
        <v>1410</v>
      </c>
      <c r="AE93" t="s">
        <v>1410</v>
      </c>
      <c r="AF93" t="str">
        <f t="shared" si="3"/>
        <v>//83 - 0x53</v>
      </c>
    </row>
    <row r="94" spans="1:32" x14ac:dyDescent="0.25">
      <c r="A94" t="str">
        <f t="shared" si="2"/>
        <v>//84 - 0x54</v>
      </c>
      <c r="D94" t="s">
        <v>1410</v>
      </c>
      <c r="E94" t="s">
        <v>1410</v>
      </c>
      <c r="F94" t="s">
        <v>1410</v>
      </c>
      <c r="G94" t="s">
        <v>1410</v>
      </c>
      <c r="H94" t="s">
        <v>1410</v>
      </c>
      <c r="I94" t="s">
        <v>1410</v>
      </c>
      <c r="J94" t="s">
        <v>1410</v>
      </c>
      <c r="K94" t="s">
        <v>1410</v>
      </c>
      <c r="L94" t="s">
        <v>1410</v>
      </c>
      <c r="M94" t="s">
        <v>1410</v>
      </c>
      <c r="N94" t="s">
        <v>1410</v>
      </c>
      <c r="O94" t="s">
        <v>1410</v>
      </c>
      <c r="P94" t="s">
        <v>1410</v>
      </c>
      <c r="Q94" t="s">
        <v>1410</v>
      </c>
      <c r="R94" t="s">
        <v>1410</v>
      </c>
      <c r="S94" t="s">
        <v>1410</v>
      </c>
      <c r="T94" t="s">
        <v>1410</v>
      </c>
      <c r="U94" t="s">
        <v>1410</v>
      </c>
      <c r="V94" t="s">
        <v>1410</v>
      </c>
      <c r="W94" t="s">
        <v>1410</v>
      </c>
      <c r="X94" t="s">
        <v>1410</v>
      </c>
      <c r="Y94" t="s">
        <v>1410</v>
      </c>
      <c r="Z94" t="s">
        <v>1410</v>
      </c>
      <c r="AA94" t="s">
        <v>1410</v>
      </c>
      <c r="AB94" t="s">
        <v>1410</v>
      </c>
      <c r="AC94" t="s">
        <v>1410</v>
      </c>
      <c r="AD94" t="s">
        <v>1410</v>
      </c>
      <c r="AE94" t="s">
        <v>1410</v>
      </c>
      <c r="AF94" t="str">
        <f t="shared" si="3"/>
        <v>//84 - 0x54</v>
      </c>
    </row>
    <row r="95" spans="1:32" x14ac:dyDescent="0.25">
      <c r="A95" t="str">
        <f t="shared" si="2"/>
        <v>//85 - 0x55</v>
      </c>
      <c r="D95" t="s">
        <v>1410</v>
      </c>
      <c r="E95" t="s">
        <v>1410</v>
      </c>
      <c r="F95" t="s">
        <v>1410</v>
      </c>
      <c r="G95" t="s">
        <v>1410</v>
      </c>
      <c r="H95" t="s">
        <v>1410</v>
      </c>
      <c r="I95" t="s">
        <v>1410</v>
      </c>
      <c r="J95" t="s">
        <v>1410</v>
      </c>
      <c r="K95" t="s">
        <v>1410</v>
      </c>
      <c r="L95" t="s">
        <v>1410</v>
      </c>
      <c r="M95" t="s">
        <v>1410</v>
      </c>
      <c r="N95" t="s">
        <v>1410</v>
      </c>
      <c r="O95" t="s">
        <v>1410</v>
      </c>
      <c r="P95" t="s">
        <v>1410</v>
      </c>
      <c r="Q95" t="s">
        <v>1410</v>
      </c>
      <c r="R95" t="s">
        <v>1410</v>
      </c>
      <c r="S95" t="s">
        <v>1410</v>
      </c>
      <c r="T95" t="s">
        <v>1410</v>
      </c>
      <c r="U95" t="s">
        <v>1410</v>
      </c>
      <c r="V95" t="s">
        <v>1410</v>
      </c>
      <c r="W95" t="s">
        <v>1410</v>
      </c>
      <c r="X95" t="s">
        <v>1410</v>
      </c>
      <c r="Y95" t="s">
        <v>1410</v>
      </c>
      <c r="Z95" t="s">
        <v>1410</v>
      </c>
      <c r="AA95" t="s">
        <v>1410</v>
      </c>
      <c r="AB95" t="s">
        <v>1410</v>
      </c>
      <c r="AC95" t="s">
        <v>1410</v>
      </c>
      <c r="AD95" t="s">
        <v>1410</v>
      </c>
      <c r="AE95" t="s">
        <v>1410</v>
      </c>
      <c r="AF95" t="str">
        <f t="shared" si="3"/>
        <v>//85 - 0x55</v>
      </c>
    </row>
    <row r="96" spans="1:32" x14ac:dyDescent="0.25">
      <c r="A96" t="str">
        <f t="shared" si="2"/>
        <v>//86 - 0x56</v>
      </c>
      <c r="D96" t="s">
        <v>1410</v>
      </c>
      <c r="E96" t="s">
        <v>1410</v>
      </c>
      <c r="F96" t="s">
        <v>1410</v>
      </c>
      <c r="G96" t="s">
        <v>1410</v>
      </c>
      <c r="H96" t="s">
        <v>1410</v>
      </c>
      <c r="I96" t="s">
        <v>1410</v>
      </c>
      <c r="J96" t="s">
        <v>1410</v>
      </c>
      <c r="K96" t="s">
        <v>1410</v>
      </c>
      <c r="L96" t="s">
        <v>1410</v>
      </c>
      <c r="M96" t="s">
        <v>1410</v>
      </c>
      <c r="N96" t="s">
        <v>1410</v>
      </c>
      <c r="O96" t="s">
        <v>1410</v>
      </c>
      <c r="P96" t="s">
        <v>1410</v>
      </c>
      <c r="Q96" t="s">
        <v>1410</v>
      </c>
      <c r="R96" t="s">
        <v>1410</v>
      </c>
      <c r="S96" t="s">
        <v>1410</v>
      </c>
      <c r="T96" t="s">
        <v>1410</v>
      </c>
      <c r="U96" t="s">
        <v>1410</v>
      </c>
      <c r="V96" t="s">
        <v>1410</v>
      </c>
      <c r="W96" t="s">
        <v>1410</v>
      </c>
      <c r="X96" t="s">
        <v>1410</v>
      </c>
      <c r="Y96" t="s">
        <v>1410</v>
      </c>
      <c r="Z96" t="s">
        <v>1410</v>
      </c>
      <c r="AA96" t="s">
        <v>1410</v>
      </c>
      <c r="AB96" t="s">
        <v>1410</v>
      </c>
      <c r="AC96" t="s">
        <v>1410</v>
      </c>
      <c r="AD96" t="s">
        <v>1410</v>
      </c>
      <c r="AE96" t="s">
        <v>1410</v>
      </c>
      <c r="AF96" t="str">
        <f t="shared" si="3"/>
        <v>//86 - 0x56</v>
      </c>
    </row>
    <row r="97" spans="1:32" x14ac:dyDescent="0.25">
      <c r="A97" t="str">
        <f t="shared" si="2"/>
        <v>//87 - 0x57</v>
      </c>
      <c r="D97" t="s">
        <v>1410</v>
      </c>
      <c r="E97" t="s">
        <v>1410</v>
      </c>
      <c r="F97" t="s">
        <v>1410</v>
      </c>
      <c r="G97" t="s">
        <v>1410</v>
      </c>
      <c r="H97" t="s">
        <v>1410</v>
      </c>
      <c r="I97" t="s">
        <v>1410</v>
      </c>
      <c r="J97" t="s">
        <v>1410</v>
      </c>
      <c r="K97" t="s">
        <v>1410</v>
      </c>
      <c r="L97" t="s">
        <v>1410</v>
      </c>
      <c r="M97" t="s">
        <v>1410</v>
      </c>
      <c r="N97" t="s">
        <v>1410</v>
      </c>
      <c r="O97" t="s">
        <v>1410</v>
      </c>
      <c r="P97" t="s">
        <v>1410</v>
      </c>
      <c r="Q97" t="s">
        <v>1410</v>
      </c>
      <c r="R97" t="s">
        <v>1410</v>
      </c>
      <c r="S97" t="s">
        <v>1410</v>
      </c>
      <c r="T97" t="s">
        <v>1410</v>
      </c>
      <c r="U97" t="s">
        <v>1410</v>
      </c>
      <c r="V97" t="s">
        <v>1410</v>
      </c>
      <c r="W97" t="s">
        <v>1410</v>
      </c>
      <c r="X97" t="s">
        <v>1410</v>
      </c>
      <c r="Y97" t="s">
        <v>1410</v>
      </c>
      <c r="Z97" t="s">
        <v>1410</v>
      </c>
      <c r="AA97" t="s">
        <v>1410</v>
      </c>
      <c r="AB97" t="s">
        <v>1410</v>
      </c>
      <c r="AC97" t="s">
        <v>1410</v>
      </c>
      <c r="AD97" t="s">
        <v>1410</v>
      </c>
      <c r="AE97" t="s">
        <v>1410</v>
      </c>
      <c r="AF97" t="str">
        <f t="shared" si="3"/>
        <v>//87 - 0x57</v>
      </c>
    </row>
    <row r="98" spans="1:32" x14ac:dyDescent="0.25">
      <c r="A98" t="str">
        <f t="shared" si="2"/>
        <v>//88 - 0x58</v>
      </c>
      <c r="D98" t="s">
        <v>1410</v>
      </c>
      <c r="E98" t="s">
        <v>1410</v>
      </c>
      <c r="F98" t="s">
        <v>1410</v>
      </c>
      <c r="G98" t="s">
        <v>1410</v>
      </c>
      <c r="H98" t="s">
        <v>1410</v>
      </c>
      <c r="I98" t="s">
        <v>1410</v>
      </c>
      <c r="J98" t="s">
        <v>1410</v>
      </c>
      <c r="K98" t="s">
        <v>1410</v>
      </c>
      <c r="L98" t="s">
        <v>1410</v>
      </c>
      <c r="M98" t="s">
        <v>1410</v>
      </c>
      <c r="N98" t="s">
        <v>1410</v>
      </c>
      <c r="O98" t="s">
        <v>1410</v>
      </c>
      <c r="P98" t="s">
        <v>1410</v>
      </c>
      <c r="Q98" t="s">
        <v>1410</v>
      </c>
      <c r="R98" t="s">
        <v>1410</v>
      </c>
      <c r="S98" t="s">
        <v>1410</v>
      </c>
      <c r="T98" t="s">
        <v>1410</v>
      </c>
      <c r="U98" t="s">
        <v>1410</v>
      </c>
      <c r="V98" t="s">
        <v>1410</v>
      </c>
      <c r="W98" t="s">
        <v>1410</v>
      </c>
      <c r="X98" t="s">
        <v>1410</v>
      </c>
      <c r="Y98" t="s">
        <v>1410</v>
      </c>
      <c r="Z98" t="s">
        <v>1410</v>
      </c>
      <c r="AA98" t="s">
        <v>1410</v>
      </c>
      <c r="AB98" t="s">
        <v>1410</v>
      </c>
      <c r="AC98" t="s">
        <v>1410</v>
      </c>
      <c r="AD98" t="s">
        <v>1410</v>
      </c>
      <c r="AE98" t="s">
        <v>1410</v>
      </c>
      <c r="AF98" t="str">
        <f t="shared" si="3"/>
        <v>//88 - 0x58</v>
      </c>
    </row>
    <row r="99" spans="1:32" x14ac:dyDescent="0.25">
      <c r="A99" t="str">
        <f t="shared" si="2"/>
        <v>//89 - 0x59</v>
      </c>
      <c r="D99" t="s">
        <v>1410</v>
      </c>
      <c r="E99" t="s">
        <v>1410</v>
      </c>
      <c r="F99" t="s">
        <v>1410</v>
      </c>
      <c r="G99" t="s">
        <v>1410</v>
      </c>
      <c r="H99" t="s">
        <v>1410</v>
      </c>
      <c r="I99" t="s">
        <v>1410</v>
      </c>
      <c r="J99" t="s">
        <v>1410</v>
      </c>
      <c r="K99" t="s">
        <v>1410</v>
      </c>
      <c r="L99" t="s">
        <v>1410</v>
      </c>
      <c r="M99" t="s">
        <v>1410</v>
      </c>
      <c r="N99" t="s">
        <v>1410</v>
      </c>
      <c r="O99" t="s">
        <v>1410</v>
      </c>
      <c r="P99" t="s">
        <v>1410</v>
      </c>
      <c r="Q99" t="s">
        <v>1410</v>
      </c>
      <c r="R99" t="s">
        <v>1410</v>
      </c>
      <c r="S99" t="s">
        <v>1410</v>
      </c>
      <c r="T99" t="s">
        <v>1410</v>
      </c>
      <c r="U99" t="s">
        <v>1410</v>
      </c>
      <c r="V99" t="s">
        <v>1410</v>
      </c>
      <c r="W99" t="s">
        <v>1410</v>
      </c>
      <c r="X99" t="s">
        <v>1410</v>
      </c>
      <c r="Y99" t="s">
        <v>1410</v>
      </c>
      <c r="Z99" t="s">
        <v>1410</v>
      </c>
      <c r="AA99" t="s">
        <v>1410</v>
      </c>
      <c r="AB99" t="s">
        <v>1410</v>
      </c>
      <c r="AC99" t="s">
        <v>1410</v>
      </c>
      <c r="AD99" t="s">
        <v>1410</v>
      </c>
      <c r="AE99" t="s">
        <v>1410</v>
      </c>
      <c r="AF99" t="str">
        <f t="shared" si="3"/>
        <v>//89 - 0x59</v>
      </c>
    </row>
    <row r="100" spans="1:32" x14ac:dyDescent="0.25">
      <c r="A100" t="str">
        <f t="shared" si="2"/>
        <v>//90 - 0x5A</v>
      </c>
      <c r="D100" t="s">
        <v>1410</v>
      </c>
      <c r="E100" t="s">
        <v>1410</v>
      </c>
      <c r="F100" t="s">
        <v>1410</v>
      </c>
      <c r="G100" t="s">
        <v>1410</v>
      </c>
      <c r="H100" t="s">
        <v>1410</v>
      </c>
      <c r="I100" t="s">
        <v>1410</v>
      </c>
      <c r="J100" t="s">
        <v>1410</v>
      </c>
      <c r="K100" t="s">
        <v>1410</v>
      </c>
      <c r="L100" t="s">
        <v>1410</v>
      </c>
      <c r="M100" t="s">
        <v>1410</v>
      </c>
      <c r="N100" t="s">
        <v>1410</v>
      </c>
      <c r="O100" t="s">
        <v>1410</v>
      </c>
      <c r="P100" t="s">
        <v>1410</v>
      </c>
      <c r="Q100" t="s">
        <v>1410</v>
      </c>
      <c r="R100" t="s">
        <v>1410</v>
      </c>
      <c r="S100" t="s">
        <v>1410</v>
      </c>
      <c r="T100" t="s">
        <v>1410</v>
      </c>
      <c r="U100" t="s">
        <v>1410</v>
      </c>
      <c r="V100" t="s">
        <v>1410</v>
      </c>
      <c r="W100" t="s">
        <v>1410</v>
      </c>
      <c r="X100" t="s">
        <v>1410</v>
      </c>
      <c r="Y100" t="s">
        <v>1410</v>
      </c>
      <c r="Z100" t="s">
        <v>1410</v>
      </c>
      <c r="AA100" t="s">
        <v>1410</v>
      </c>
      <c r="AB100" t="s">
        <v>1410</v>
      </c>
      <c r="AC100" t="s">
        <v>1410</v>
      </c>
      <c r="AD100" t="s">
        <v>1410</v>
      </c>
      <c r="AE100" t="s">
        <v>1410</v>
      </c>
      <c r="AF100" t="str">
        <f t="shared" si="3"/>
        <v>//90 - 0x5A</v>
      </c>
    </row>
    <row r="101" spans="1:32" x14ac:dyDescent="0.25">
      <c r="A101" t="str">
        <f t="shared" si="2"/>
        <v>//91 - 0x5B</v>
      </c>
      <c r="D101" t="s">
        <v>1410</v>
      </c>
      <c r="E101" t="s">
        <v>1410</v>
      </c>
      <c r="F101" t="s">
        <v>1410</v>
      </c>
      <c r="G101" t="s">
        <v>1410</v>
      </c>
      <c r="H101" t="s">
        <v>1410</v>
      </c>
      <c r="I101" t="s">
        <v>1410</v>
      </c>
      <c r="J101" t="s">
        <v>1410</v>
      </c>
      <c r="K101" t="s">
        <v>1410</v>
      </c>
      <c r="L101" t="s">
        <v>1410</v>
      </c>
      <c r="M101" t="s">
        <v>1410</v>
      </c>
      <c r="N101" t="s">
        <v>1410</v>
      </c>
      <c r="O101" t="s">
        <v>1410</v>
      </c>
      <c r="P101" t="s">
        <v>1410</v>
      </c>
      <c r="Q101" t="s">
        <v>1410</v>
      </c>
      <c r="R101" t="s">
        <v>1410</v>
      </c>
      <c r="S101" t="s">
        <v>1410</v>
      </c>
      <c r="T101" t="s">
        <v>1410</v>
      </c>
      <c r="U101" t="s">
        <v>1410</v>
      </c>
      <c r="V101" t="s">
        <v>1410</v>
      </c>
      <c r="W101" t="s">
        <v>1410</v>
      </c>
      <c r="X101" t="s">
        <v>1410</v>
      </c>
      <c r="Y101" t="s">
        <v>1410</v>
      </c>
      <c r="Z101" t="s">
        <v>1410</v>
      </c>
      <c r="AA101" t="s">
        <v>1410</v>
      </c>
      <c r="AB101" t="s">
        <v>1410</v>
      </c>
      <c r="AC101" t="s">
        <v>1410</v>
      </c>
      <c r="AD101" t="s">
        <v>1410</v>
      </c>
      <c r="AE101" t="s">
        <v>1410</v>
      </c>
      <c r="AF101" t="str">
        <f t="shared" si="3"/>
        <v>//91 - 0x5B</v>
      </c>
    </row>
    <row r="102" spans="1:32" x14ac:dyDescent="0.25">
      <c r="A102" t="str">
        <f t="shared" si="2"/>
        <v>//92 - 0x5C</v>
      </c>
      <c r="D102" t="s">
        <v>1410</v>
      </c>
      <c r="E102" t="s">
        <v>1410</v>
      </c>
      <c r="F102" t="s">
        <v>1410</v>
      </c>
      <c r="G102" t="s">
        <v>1410</v>
      </c>
      <c r="H102" t="s">
        <v>1410</v>
      </c>
      <c r="I102" t="s">
        <v>1410</v>
      </c>
      <c r="J102" t="s">
        <v>1410</v>
      </c>
      <c r="K102" t="s">
        <v>1410</v>
      </c>
      <c r="L102" t="s">
        <v>1410</v>
      </c>
      <c r="M102" t="s">
        <v>1410</v>
      </c>
      <c r="N102" t="s">
        <v>1410</v>
      </c>
      <c r="O102" t="s">
        <v>1410</v>
      </c>
      <c r="P102" t="s">
        <v>1410</v>
      </c>
      <c r="Q102" t="s">
        <v>1410</v>
      </c>
      <c r="R102" t="s">
        <v>1410</v>
      </c>
      <c r="S102" t="s">
        <v>1410</v>
      </c>
      <c r="T102" t="s">
        <v>1410</v>
      </c>
      <c r="U102" t="s">
        <v>1410</v>
      </c>
      <c r="V102" t="s">
        <v>1410</v>
      </c>
      <c r="W102" t="s">
        <v>1410</v>
      </c>
      <c r="X102" t="s">
        <v>1410</v>
      </c>
      <c r="Y102" t="s">
        <v>1410</v>
      </c>
      <c r="Z102" t="s">
        <v>1410</v>
      </c>
      <c r="AA102" t="s">
        <v>1410</v>
      </c>
      <c r="AB102" t="s">
        <v>1410</v>
      </c>
      <c r="AC102" t="s">
        <v>1410</v>
      </c>
      <c r="AD102" t="s">
        <v>1410</v>
      </c>
      <c r="AE102" t="s">
        <v>1410</v>
      </c>
      <c r="AF102" t="str">
        <f t="shared" si="3"/>
        <v>//92 - 0x5C</v>
      </c>
    </row>
    <row r="103" spans="1:32" x14ac:dyDescent="0.25">
      <c r="A103" t="str">
        <f t="shared" si="2"/>
        <v>//93 - 0x5D</v>
      </c>
      <c r="D103" t="s">
        <v>1410</v>
      </c>
      <c r="E103" t="s">
        <v>1410</v>
      </c>
      <c r="F103" t="s">
        <v>1410</v>
      </c>
      <c r="G103" t="s">
        <v>1410</v>
      </c>
      <c r="H103" t="s">
        <v>1410</v>
      </c>
      <c r="I103" t="s">
        <v>1410</v>
      </c>
      <c r="J103" t="s">
        <v>1410</v>
      </c>
      <c r="K103" t="s">
        <v>1410</v>
      </c>
      <c r="L103" t="s">
        <v>1410</v>
      </c>
      <c r="M103" t="s">
        <v>1410</v>
      </c>
      <c r="N103" t="s">
        <v>1410</v>
      </c>
      <c r="O103" t="s">
        <v>1410</v>
      </c>
      <c r="P103" t="s">
        <v>1410</v>
      </c>
      <c r="Q103" t="s">
        <v>1410</v>
      </c>
      <c r="R103" t="s">
        <v>1410</v>
      </c>
      <c r="S103" t="s">
        <v>1410</v>
      </c>
      <c r="T103" t="s">
        <v>1410</v>
      </c>
      <c r="U103" t="s">
        <v>1410</v>
      </c>
      <c r="V103" t="s">
        <v>1410</v>
      </c>
      <c r="W103" t="s">
        <v>1410</v>
      </c>
      <c r="X103" t="s">
        <v>1410</v>
      </c>
      <c r="Y103" t="s">
        <v>1410</v>
      </c>
      <c r="Z103" t="s">
        <v>1410</v>
      </c>
      <c r="AA103" t="s">
        <v>1410</v>
      </c>
      <c r="AB103" t="s">
        <v>1410</v>
      </c>
      <c r="AC103" t="s">
        <v>1410</v>
      </c>
      <c r="AD103" t="s">
        <v>1410</v>
      </c>
      <c r="AE103" t="s">
        <v>1410</v>
      </c>
      <c r="AF103" t="str">
        <f t="shared" si="3"/>
        <v>//93 - 0x5D</v>
      </c>
    </row>
    <row r="104" spans="1:32" x14ac:dyDescent="0.25">
      <c r="A104" t="str">
        <f t="shared" si="2"/>
        <v>//94 - 0x5E</v>
      </c>
      <c r="D104" t="s">
        <v>1410</v>
      </c>
      <c r="E104" t="s">
        <v>1410</v>
      </c>
      <c r="F104" t="s">
        <v>1410</v>
      </c>
      <c r="G104" t="s">
        <v>1410</v>
      </c>
      <c r="H104" t="s">
        <v>1410</v>
      </c>
      <c r="I104" t="s">
        <v>1410</v>
      </c>
      <c r="J104" t="s">
        <v>1410</v>
      </c>
      <c r="K104" t="s">
        <v>1410</v>
      </c>
      <c r="L104" t="s">
        <v>1410</v>
      </c>
      <c r="M104" t="s">
        <v>1410</v>
      </c>
      <c r="N104" t="s">
        <v>1410</v>
      </c>
      <c r="O104" t="s">
        <v>1410</v>
      </c>
      <c r="P104" t="s">
        <v>1410</v>
      </c>
      <c r="Q104" t="s">
        <v>1410</v>
      </c>
      <c r="R104" t="s">
        <v>1410</v>
      </c>
      <c r="S104" t="s">
        <v>1410</v>
      </c>
      <c r="T104" t="s">
        <v>1410</v>
      </c>
      <c r="U104" t="s">
        <v>1410</v>
      </c>
      <c r="V104" t="s">
        <v>1410</v>
      </c>
      <c r="W104" t="s">
        <v>1410</v>
      </c>
      <c r="X104" t="s">
        <v>1410</v>
      </c>
      <c r="Y104" t="s">
        <v>1410</v>
      </c>
      <c r="Z104" t="s">
        <v>1410</v>
      </c>
      <c r="AA104" t="s">
        <v>1410</v>
      </c>
      <c r="AB104" t="s">
        <v>1410</v>
      </c>
      <c r="AC104" t="s">
        <v>1410</v>
      </c>
      <c r="AD104" t="s">
        <v>1410</v>
      </c>
      <c r="AE104" t="s">
        <v>1410</v>
      </c>
      <c r="AF104" t="str">
        <f t="shared" si="3"/>
        <v>//94 - 0x5E</v>
      </c>
    </row>
    <row r="105" spans="1:32" x14ac:dyDescent="0.25">
      <c r="A105" t="str">
        <f t="shared" si="2"/>
        <v>//95 - 0x5F</v>
      </c>
      <c r="D105" t="s">
        <v>1410</v>
      </c>
      <c r="E105" t="s">
        <v>1410</v>
      </c>
      <c r="F105" t="s">
        <v>1410</v>
      </c>
      <c r="G105" t="s">
        <v>1410</v>
      </c>
      <c r="H105" t="s">
        <v>1410</v>
      </c>
      <c r="I105" t="s">
        <v>1410</v>
      </c>
      <c r="J105" t="s">
        <v>1410</v>
      </c>
      <c r="K105" t="s">
        <v>1410</v>
      </c>
      <c r="L105" t="s">
        <v>1410</v>
      </c>
      <c r="M105" t="s">
        <v>1410</v>
      </c>
      <c r="N105" t="s">
        <v>1410</v>
      </c>
      <c r="O105" t="s">
        <v>1410</v>
      </c>
      <c r="P105" t="s">
        <v>1410</v>
      </c>
      <c r="Q105" t="s">
        <v>1410</v>
      </c>
      <c r="R105" t="s">
        <v>1410</v>
      </c>
      <c r="S105" t="s">
        <v>1410</v>
      </c>
      <c r="T105" t="s">
        <v>1410</v>
      </c>
      <c r="U105" t="s">
        <v>1410</v>
      </c>
      <c r="V105" t="s">
        <v>1410</v>
      </c>
      <c r="W105" t="s">
        <v>1410</v>
      </c>
      <c r="X105" t="s">
        <v>1410</v>
      </c>
      <c r="Y105" t="s">
        <v>1410</v>
      </c>
      <c r="Z105" t="s">
        <v>1410</v>
      </c>
      <c r="AA105" t="s">
        <v>1410</v>
      </c>
      <c r="AB105" t="s">
        <v>1410</v>
      </c>
      <c r="AC105" t="s">
        <v>1410</v>
      </c>
      <c r="AD105" t="s">
        <v>1410</v>
      </c>
      <c r="AE105" t="s">
        <v>1410</v>
      </c>
      <c r="AF105" t="str">
        <f t="shared" si="3"/>
        <v>//95 - 0x5F</v>
      </c>
    </row>
    <row r="106" spans="1:32" x14ac:dyDescent="0.25">
      <c r="A106" t="str">
        <f t="shared" si="2"/>
        <v>//96 - 0x60</v>
      </c>
      <c r="D106" t="s">
        <v>1410</v>
      </c>
      <c r="E106" t="s">
        <v>1410</v>
      </c>
      <c r="F106" t="s">
        <v>1410</v>
      </c>
      <c r="G106" t="s">
        <v>1410</v>
      </c>
      <c r="H106" t="s">
        <v>1410</v>
      </c>
      <c r="I106" t="s">
        <v>1410</v>
      </c>
      <c r="J106" t="s">
        <v>1410</v>
      </c>
      <c r="K106" t="s">
        <v>1410</v>
      </c>
      <c r="L106" t="s">
        <v>1410</v>
      </c>
      <c r="M106" t="s">
        <v>1410</v>
      </c>
      <c r="N106" t="s">
        <v>1410</v>
      </c>
      <c r="O106" t="s">
        <v>1410</v>
      </c>
      <c r="P106" t="s">
        <v>1410</v>
      </c>
      <c r="Q106" t="s">
        <v>1410</v>
      </c>
      <c r="R106" t="s">
        <v>1410</v>
      </c>
      <c r="S106" t="s">
        <v>1410</v>
      </c>
      <c r="T106" t="s">
        <v>1410</v>
      </c>
      <c r="U106" t="s">
        <v>1410</v>
      </c>
      <c r="V106" t="s">
        <v>1410</v>
      </c>
      <c r="W106" t="s">
        <v>1410</v>
      </c>
      <c r="X106" t="s">
        <v>1410</v>
      </c>
      <c r="Y106" t="s">
        <v>1410</v>
      </c>
      <c r="Z106" t="s">
        <v>1410</v>
      </c>
      <c r="AA106" t="s">
        <v>1410</v>
      </c>
      <c r="AB106" t="s">
        <v>1410</v>
      </c>
      <c r="AC106" t="s">
        <v>1410</v>
      </c>
      <c r="AD106" t="s">
        <v>1410</v>
      </c>
      <c r="AE106" t="s">
        <v>1410</v>
      </c>
      <c r="AF106" t="str">
        <f t="shared" si="3"/>
        <v>//96 - 0x60</v>
      </c>
    </row>
    <row r="107" spans="1:32" x14ac:dyDescent="0.25">
      <c r="A107" t="str">
        <f t="shared" si="2"/>
        <v>//97 - 0x61</v>
      </c>
      <c r="D107" t="s">
        <v>1410</v>
      </c>
      <c r="E107" t="s">
        <v>1410</v>
      </c>
      <c r="F107" t="s">
        <v>1410</v>
      </c>
      <c r="G107" t="s">
        <v>1410</v>
      </c>
      <c r="H107" t="s">
        <v>1410</v>
      </c>
      <c r="I107" t="s">
        <v>1410</v>
      </c>
      <c r="J107" t="s">
        <v>1410</v>
      </c>
      <c r="K107" t="s">
        <v>1410</v>
      </c>
      <c r="L107" t="s">
        <v>1410</v>
      </c>
      <c r="M107" t="s">
        <v>1410</v>
      </c>
      <c r="N107" t="s">
        <v>1410</v>
      </c>
      <c r="O107" t="s">
        <v>1410</v>
      </c>
      <c r="P107" t="s">
        <v>1410</v>
      </c>
      <c r="Q107" t="s">
        <v>1410</v>
      </c>
      <c r="R107" t="s">
        <v>1410</v>
      </c>
      <c r="S107" t="s">
        <v>1410</v>
      </c>
      <c r="T107" t="s">
        <v>1410</v>
      </c>
      <c r="U107" t="s">
        <v>1410</v>
      </c>
      <c r="V107" t="s">
        <v>1410</v>
      </c>
      <c r="W107" t="s">
        <v>1410</v>
      </c>
      <c r="X107" t="s">
        <v>1410</v>
      </c>
      <c r="Y107" t="s">
        <v>1410</v>
      </c>
      <c r="Z107" t="s">
        <v>1410</v>
      </c>
      <c r="AA107" t="s">
        <v>1410</v>
      </c>
      <c r="AB107" t="s">
        <v>1410</v>
      </c>
      <c r="AC107" t="s">
        <v>1410</v>
      </c>
      <c r="AD107" t="s">
        <v>1410</v>
      </c>
      <c r="AE107" t="s">
        <v>1410</v>
      </c>
      <c r="AF107" t="str">
        <f t="shared" si="3"/>
        <v>//97 - 0x61</v>
      </c>
    </row>
    <row r="108" spans="1:32" x14ac:dyDescent="0.25">
      <c r="A108" t="str">
        <f t="shared" si="2"/>
        <v>//98 - 0x62</v>
      </c>
      <c r="D108" t="s">
        <v>1410</v>
      </c>
      <c r="E108" t="s">
        <v>1410</v>
      </c>
      <c r="F108" t="s">
        <v>1410</v>
      </c>
      <c r="G108" t="s">
        <v>1410</v>
      </c>
      <c r="H108" t="s">
        <v>1410</v>
      </c>
      <c r="I108" t="s">
        <v>1410</v>
      </c>
      <c r="J108" t="s">
        <v>1410</v>
      </c>
      <c r="K108" t="s">
        <v>1410</v>
      </c>
      <c r="L108" t="s">
        <v>1410</v>
      </c>
      <c r="M108" t="s">
        <v>1410</v>
      </c>
      <c r="N108" t="s">
        <v>1410</v>
      </c>
      <c r="O108" t="s">
        <v>1410</v>
      </c>
      <c r="P108" t="s">
        <v>1410</v>
      </c>
      <c r="Q108" t="s">
        <v>1410</v>
      </c>
      <c r="R108" t="s">
        <v>1410</v>
      </c>
      <c r="S108" t="s">
        <v>1410</v>
      </c>
      <c r="T108" t="s">
        <v>1410</v>
      </c>
      <c r="U108" t="s">
        <v>1410</v>
      </c>
      <c r="V108" t="s">
        <v>1410</v>
      </c>
      <c r="W108" t="s">
        <v>1410</v>
      </c>
      <c r="X108" t="s">
        <v>1410</v>
      </c>
      <c r="Y108" t="s">
        <v>1410</v>
      </c>
      <c r="Z108" t="s">
        <v>1410</v>
      </c>
      <c r="AA108" t="s">
        <v>1410</v>
      </c>
      <c r="AB108" t="s">
        <v>1410</v>
      </c>
      <c r="AC108" t="s">
        <v>1410</v>
      </c>
      <c r="AD108" t="s">
        <v>1410</v>
      </c>
      <c r="AE108" t="s">
        <v>1410</v>
      </c>
      <c r="AF108" t="str">
        <f t="shared" si="3"/>
        <v>//98 - 0x62</v>
      </c>
    </row>
    <row r="109" spans="1:32" x14ac:dyDescent="0.25">
      <c r="A109" t="str">
        <f t="shared" si="2"/>
        <v>//99 - 0x63</v>
      </c>
      <c r="D109" t="s">
        <v>1410</v>
      </c>
      <c r="E109" t="s">
        <v>1410</v>
      </c>
      <c r="F109" t="s">
        <v>1410</v>
      </c>
      <c r="G109" t="s">
        <v>1410</v>
      </c>
      <c r="H109" t="s">
        <v>1410</v>
      </c>
      <c r="I109" t="s">
        <v>1410</v>
      </c>
      <c r="J109" t="s">
        <v>1410</v>
      </c>
      <c r="K109" t="s">
        <v>1410</v>
      </c>
      <c r="L109" t="s">
        <v>1410</v>
      </c>
      <c r="M109" t="s">
        <v>1410</v>
      </c>
      <c r="N109" t="s">
        <v>1410</v>
      </c>
      <c r="O109" t="s">
        <v>1410</v>
      </c>
      <c r="P109" t="s">
        <v>1410</v>
      </c>
      <c r="Q109" t="s">
        <v>1410</v>
      </c>
      <c r="R109" t="s">
        <v>1410</v>
      </c>
      <c r="S109" t="s">
        <v>1410</v>
      </c>
      <c r="T109" t="s">
        <v>1410</v>
      </c>
      <c r="U109" t="s">
        <v>1410</v>
      </c>
      <c r="V109" t="s">
        <v>1410</v>
      </c>
      <c r="W109" t="s">
        <v>1410</v>
      </c>
      <c r="X109" t="s">
        <v>1410</v>
      </c>
      <c r="Y109" t="s">
        <v>1410</v>
      </c>
      <c r="Z109" t="s">
        <v>1410</v>
      </c>
      <c r="AA109" t="s">
        <v>1410</v>
      </c>
      <c r="AB109" t="s">
        <v>1410</v>
      </c>
      <c r="AC109" t="s">
        <v>1410</v>
      </c>
      <c r="AD109" t="s">
        <v>1410</v>
      </c>
      <c r="AE109" t="s">
        <v>1410</v>
      </c>
      <c r="AF109" t="str">
        <f t="shared" si="3"/>
        <v>//99 - 0x63</v>
      </c>
    </row>
    <row r="110" spans="1:32" x14ac:dyDescent="0.25">
      <c r="A110" t="str">
        <f t="shared" si="2"/>
        <v>//100 - 0x64</v>
      </c>
      <c r="D110" t="s">
        <v>1410</v>
      </c>
      <c r="E110" t="s">
        <v>1410</v>
      </c>
      <c r="F110" t="s">
        <v>1410</v>
      </c>
      <c r="G110" t="s">
        <v>1410</v>
      </c>
      <c r="H110" t="s">
        <v>1410</v>
      </c>
      <c r="I110" t="s">
        <v>1410</v>
      </c>
      <c r="J110" t="s">
        <v>1410</v>
      </c>
      <c r="K110" t="s">
        <v>1410</v>
      </c>
      <c r="L110" t="s">
        <v>1410</v>
      </c>
      <c r="M110" t="s">
        <v>1410</v>
      </c>
      <c r="N110" t="s">
        <v>1410</v>
      </c>
      <c r="O110" t="s">
        <v>1410</v>
      </c>
      <c r="P110" t="s">
        <v>1410</v>
      </c>
      <c r="Q110" t="s">
        <v>1410</v>
      </c>
      <c r="R110" t="s">
        <v>1410</v>
      </c>
      <c r="S110" t="s">
        <v>1410</v>
      </c>
      <c r="T110" t="s">
        <v>1410</v>
      </c>
      <c r="U110" t="s">
        <v>1410</v>
      </c>
      <c r="V110" t="s">
        <v>1410</v>
      </c>
      <c r="W110" t="s">
        <v>1410</v>
      </c>
      <c r="X110" t="s">
        <v>1410</v>
      </c>
      <c r="Y110" t="s">
        <v>1410</v>
      </c>
      <c r="Z110" t="s">
        <v>1410</v>
      </c>
      <c r="AA110" t="s">
        <v>1410</v>
      </c>
      <c r="AB110" t="s">
        <v>1410</v>
      </c>
      <c r="AC110" t="s">
        <v>1410</v>
      </c>
      <c r="AD110" t="s">
        <v>1410</v>
      </c>
      <c r="AE110" t="s">
        <v>1410</v>
      </c>
      <c r="AF110" t="str">
        <f t="shared" si="3"/>
        <v>//100 - 0x64</v>
      </c>
    </row>
    <row r="111" spans="1:32" x14ac:dyDescent="0.25">
      <c r="A111" t="str">
        <f t="shared" si="2"/>
        <v>//101 - 0x65</v>
      </c>
      <c r="D111" t="s">
        <v>1410</v>
      </c>
      <c r="E111" t="s">
        <v>1410</v>
      </c>
      <c r="F111" t="s">
        <v>1410</v>
      </c>
      <c r="G111" t="s">
        <v>1410</v>
      </c>
      <c r="H111" t="s">
        <v>1410</v>
      </c>
      <c r="I111" t="s">
        <v>1410</v>
      </c>
      <c r="J111" t="s">
        <v>1410</v>
      </c>
      <c r="K111" t="s">
        <v>1410</v>
      </c>
      <c r="L111" t="s">
        <v>1410</v>
      </c>
      <c r="M111" t="s">
        <v>1410</v>
      </c>
      <c r="N111" t="s">
        <v>1410</v>
      </c>
      <c r="O111" t="s">
        <v>1410</v>
      </c>
      <c r="P111" t="s">
        <v>1410</v>
      </c>
      <c r="Q111" t="s">
        <v>1410</v>
      </c>
      <c r="R111" t="s">
        <v>1410</v>
      </c>
      <c r="S111" t="s">
        <v>1410</v>
      </c>
      <c r="T111" t="s">
        <v>1410</v>
      </c>
      <c r="U111" t="s">
        <v>1410</v>
      </c>
      <c r="V111" t="s">
        <v>1410</v>
      </c>
      <c r="W111" t="s">
        <v>1410</v>
      </c>
      <c r="X111" t="s">
        <v>1410</v>
      </c>
      <c r="Y111" t="s">
        <v>1410</v>
      </c>
      <c r="Z111" t="s">
        <v>1410</v>
      </c>
      <c r="AA111" t="s">
        <v>1410</v>
      </c>
      <c r="AB111" t="s">
        <v>1410</v>
      </c>
      <c r="AC111" t="s">
        <v>1410</v>
      </c>
      <c r="AD111" t="s">
        <v>1410</v>
      </c>
      <c r="AE111" t="s">
        <v>1410</v>
      </c>
      <c r="AF111" t="str">
        <f t="shared" si="3"/>
        <v>//101 - 0x65</v>
      </c>
    </row>
    <row r="112" spans="1:32" x14ac:dyDescent="0.25">
      <c r="A112" t="str">
        <f t="shared" si="2"/>
        <v>//102 - 0x66</v>
      </c>
      <c r="D112" t="s">
        <v>1410</v>
      </c>
      <c r="E112" t="s">
        <v>1410</v>
      </c>
      <c r="F112" t="s">
        <v>1410</v>
      </c>
      <c r="G112" t="s">
        <v>1410</v>
      </c>
      <c r="H112" t="s">
        <v>1410</v>
      </c>
      <c r="I112" t="s">
        <v>1410</v>
      </c>
      <c r="J112" t="s">
        <v>1410</v>
      </c>
      <c r="K112" t="s">
        <v>1410</v>
      </c>
      <c r="L112" t="s">
        <v>1410</v>
      </c>
      <c r="M112" t="s">
        <v>1410</v>
      </c>
      <c r="N112" t="s">
        <v>1410</v>
      </c>
      <c r="O112" t="s">
        <v>1410</v>
      </c>
      <c r="P112" t="s">
        <v>1410</v>
      </c>
      <c r="Q112" t="s">
        <v>1410</v>
      </c>
      <c r="R112" t="s">
        <v>1410</v>
      </c>
      <c r="S112" t="s">
        <v>1410</v>
      </c>
      <c r="T112" t="s">
        <v>1410</v>
      </c>
      <c r="U112" t="s">
        <v>1410</v>
      </c>
      <c r="V112" t="s">
        <v>1410</v>
      </c>
      <c r="W112" t="s">
        <v>1410</v>
      </c>
      <c r="X112" t="s">
        <v>1410</v>
      </c>
      <c r="Y112" t="s">
        <v>1410</v>
      </c>
      <c r="Z112" t="s">
        <v>1410</v>
      </c>
      <c r="AA112" t="s">
        <v>1410</v>
      </c>
      <c r="AB112" t="s">
        <v>1410</v>
      </c>
      <c r="AC112" t="s">
        <v>1410</v>
      </c>
      <c r="AD112" t="s">
        <v>1410</v>
      </c>
      <c r="AE112" t="s">
        <v>1410</v>
      </c>
      <c r="AF112" t="str">
        <f t="shared" si="3"/>
        <v>//102 - 0x66</v>
      </c>
    </row>
    <row r="113" spans="1:32" x14ac:dyDescent="0.25">
      <c r="A113" t="str">
        <f t="shared" si="2"/>
        <v>//103 - 0x67</v>
      </c>
      <c r="D113" t="s">
        <v>1410</v>
      </c>
      <c r="E113" t="s">
        <v>1410</v>
      </c>
      <c r="F113" t="s">
        <v>1410</v>
      </c>
      <c r="G113" t="s">
        <v>1410</v>
      </c>
      <c r="H113" t="s">
        <v>1410</v>
      </c>
      <c r="I113" t="s">
        <v>1410</v>
      </c>
      <c r="J113" t="s">
        <v>1410</v>
      </c>
      <c r="K113" t="s">
        <v>1410</v>
      </c>
      <c r="L113" t="s">
        <v>1410</v>
      </c>
      <c r="M113" t="s">
        <v>1410</v>
      </c>
      <c r="N113" t="s">
        <v>1410</v>
      </c>
      <c r="O113" t="s">
        <v>1410</v>
      </c>
      <c r="P113" t="s">
        <v>1410</v>
      </c>
      <c r="Q113" t="s">
        <v>1410</v>
      </c>
      <c r="R113" t="s">
        <v>1410</v>
      </c>
      <c r="S113" t="s">
        <v>1410</v>
      </c>
      <c r="T113" t="s">
        <v>1410</v>
      </c>
      <c r="U113" t="s">
        <v>1410</v>
      </c>
      <c r="V113" t="s">
        <v>1410</v>
      </c>
      <c r="W113" t="s">
        <v>1410</v>
      </c>
      <c r="X113" t="s">
        <v>1410</v>
      </c>
      <c r="Y113" t="s">
        <v>1410</v>
      </c>
      <c r="Z113" t="s">
        <v>1410</v>
      </c>
      <c r="AA113" t="s">
        <v>1410</v>
      </c>
      <c r="AB113" t="s">
        <v>1410</v>
      </c>
      <c r="AC113" t="s">
        <v>1410</v>
      </c>
      <c r="AD113" t="s">
        <v>1410</v>
      </c>
      <c r="AE113" t="s">
        <v>1410</v>
      </c>
      <c r="AF113" t="str">
        <f t="shared" si="3"/>
        <v>//103 - 0x67</v>
      </c>
    </row>
    <row r="114" spans="1:32" x14ac:dyDescent="0.25">
      <c r="A114" t="str">
        <f t="shared" si="2"/>
        <v>//104 - 0x68</v>
      </c>
      <c r="D114" t="s">
        <v>1410</v>
      </c>
      <c r="E114" t="s">
        <v>1410</v>
      </c>
      <c r="F114" t="s">
        <v>1410</v>
      </c>
      <c r="G114" t="s">
        <v>1410</v>
      </c>
      <c r="H114" t="s">
        <v>1410</v>
      </c>
      <c r="I114" t="s">
        <v>1410</v>
      </c>
      <c r="J114" t="s">
        <v>1410</v>
      </c>
      <c r="K114" t="s">
        <v>1410</v>
      </c>
      <c r="L114" t="s">
        <v>1410</v>
      </c>
      <c r="M114" t="s">
        <v>1410</v>
      </c>
      <c r="N114" t="s">
        <v>1410</v>
      </c>
      <c r="O114" t="s">
        <v>1410</v>
      </c>
      <c r="P114" t="s">
        <v>1410</v>
      </c>
      <c r="Q114" t="s">
        <v>1410</v>
      </c>
      <c r="R114" t="s">
        <v>1410</v>
      </c>
      <c r="S114" t="s">
        <v>1410</v>
      </c>
      <c r="T114" t="s">
        <v>1410</v>
      </c>
      <c r="U114" t="s">
        <v>1410</v>
      </c>
      <c r="V114" t="s">
        <v>1410</v>
      </c>
      <c r="W114" t="s">
        <v>1410</v>
      </c>
      <c r="X114" t="s">
        <v>1410</v>
      </c>
      <c r="Y114" t="s">
        <v>1410</v>
      </c>
      <c r="Z114" t="s">
        <v>1410</v>
      </c>
      <c r="AA114" t="s">
        <v>1410</v>
      </c>
      <c r="AB114" t="s">
        <v>1410</v>
      </c>
      <c r="AC114" t="s">
        <v>1410</v>
      </c>
      <c r="AD114" t="s">
        <v>1410</v>
      </c>
      <c r="AE114" t="s">
        <v>1410</v>
      </c>
      <c r="AF114" t="str">
        <f t="shared" si="3"/>
        <v>//104 - 0x68</v>
      </c>
    </row>
    <row r="115" spans="1:32" x14ac:dyDescent="0.25">
      <c r="A115" t="str">
        <f t="shared" si="2"/>
        <v>//105 - 0x69</v>
      </c>
      <c r="D115" t="s">
        <v>1410</v>
      </c>
      <c r="E115" t="s">
        <v>1410</v>
      </c>
      <c r="F115" t="s">
        <v>1410</v>
      </c>
      <c r="G115" t="s">
        <v>1410</v>
      </c>
      <c r="H115" t="s">
        <v>1410</v>
      </c>
      <c r="I115" t="s">
        <v>1410</v>
      </c>
      <c r="J115" t="s">
        <v>1410</v>
      </c>
      <c r="K115" t="s">
        <v>1410</v>
      </c>
      <c r="L115" t="s">
        <v>1410</v>
      </c>
      <c r="M115" t="s">
        <v>1410</v>
      </c>
      <c r="N115" t="s">
        <v>1410</v>
      </c>
      <c r="O115" t="s">
        <v>1410</v>
      </c>
      <c r="P115" t="s">
        <v>1410</v>
      </c>
      <c r="Q115" t="s">
        <v>1410</v>
      </c>
      <c r="R115" t="s">
        <v>1410</v>
      </c>
      <c r="S115" t="s">
        <v>1410</v>
      </c>
      <c r="T115" t="s">
        <v>1410</v>
      </c>
      <c r="U115" t="s">
        <v>1410</v>
      </c>
      <c r="V115" t="s">
        <v>1410</v>
      </c>
      <c r="W115" t="s">
        <v>1410</v>
      </c>
      <c r="X115" t="s">
        <v>1410</v>
      </c>
      <c r="Y115" t="s">
        <v>1410</v>
      </c>
      <c r="Z115" t="s">
        <v>1410</v>
      </c>
      <c r="AA115" t="s">
        <v>1410</v>
      </c>
      <c r="AB115" t="s">
        <v>1410</v>
      </c>
      <c r="AC115" t="s">
        <v>1410</v>
      </c>
      <c r="AD115" t="s">
        <v>1410</v>
      </c>
      <c r="AE115" t="s">
        <v>1410</v>
      </c>
      <c r="AF115" t="str">
        <f t="shared" si="3"/>
        <v>//105 - 0x69</v>
      </c>
    </row>
    <row r="116" spans="1:32" x14ac:dyDescent="0.25">
      <c r="A116" t="str">
        <f t="shared" si="2"/>
        <v>//106 - 0x6A</v>
      </c>
      <c r="D116" t="s">
        <v>1410</v>
      </c>
      <c r="E116" t="s">
        <v>1410</v>
      </c>
      <c r="F116" t="s">
        <v>1410</v>
      </c>
      <c r="G116" t="s">
        <v>1410</v>
      </c>
      <c r="H116" t="s">
        <v>1410</v>
      </c>
      <c r="I116" t="s">
        <v>1410</v>
      </c>
      <c r="J116" t="s">
        <v>1410</v>
      </c>
      <c r="K116" t="s">
        <v>1410</v>
      </c>
      <c r="L116" t="s">
        <v>1410</v>
      </c>
      <c r="M116" t="s">
        <v>1410</v>
      </c>
      <c r="N116" t="s">
        <v>1410</v>
      </c>
      <c r="O116" t="s">
        <v>1410</v>
      </c>
      <c r="P116" t="s">
        <v>1410</v>
      </c>
      <c r="Q116" t="s">
        <v>1410</v>
      </c>
      <c r="R116" t="s">
        <v>1410</v>
      </c>
      <c r="S116" t="s">
        <v>1410</v>
      </c>
      <c r="T116" t="s">
        <v>1410</v>
      </c>
      <c r="U116" t="s">
        <v>1410</v>
      </c>
      <c r="V116" t="s">
        <v>1410</v>
      </c>
      <c r="W116" t="s">
        <v>1410</v>
      </c>
      <c r="X116" t="s">
        <v>1410</v>
      </c>
      <c r="Y116" t="s">
        <v>1410</v>
      </c>
      <c r="Z116" t="s">
        <v>1410</v>
      </c>
      <c r="AA116" t="s">
        <v>1410</v>
      </c>
      <c r="AB116" t="s">
        <v>1410</v>
      </c>
      <c r="AC116" t="s">
        <v>1410</v>
      </c>
      <c r="AD116" t="s">
        <v>1410</v>
      </c>
      <c r="AE116" t="s">
        <v>1410</v>
      </c>
      <c r="AF116" t="str">
        <f t="shared" si="3"/>
        <v>//106 - 0x6A</v>
      </c>
    </row>
    <row r="117" spans="1:32" x14ac:dyDescent="0.25">
      <c r="A117" t="str">
        <f t="shared" si="2"/>
        <v>//107 - 0x6B</v>
      </c>
      <c r="D117" t="s">
        <v>1410</v>
      </c>
      <c r="E117" t="s">
        <v>1410</v>
      </c>
      <c r="F117" t="s">
        <v>1410</v>
      </c>
      <c r="G117" t="s">
        <v>1410</v>
      </c>
      <c r="H117" t="s">
        <v>1410</v>
      </c>
      <c r="I117" t="s">
        <v>1410</v>
      </c>
      <c r="J117" t="s">
        <v>1410</v>
      </c>
      <c r="K117" t="s">
        <v>1410</v>
      </c>
      <c r="L117" t="s">
        <v>1410</v>
      </c>
      <c r="M117" t="s">
        <v>1410</v>
      </c>
      <c r="N117" t="s">
        <v>1410</v>
      </c>
      <c r="O117" t="s">
        <v>1410</v>
      </c>
      <c r="P117" t="s">
        <v>1410</v>
      </c>
      <c r="Q117" t="s">
        <v>1410</v>
      </c>
      <c r="R117" t="s">
        <v>1410</v>
      </c>
      <c r="S117" t="s">
        <v>1410</v>
      </c>
      <c r="T117" t="s">
        <v>1410</v>
      </c>
      <c r="U117" t="s">
        <v>1410</v>
      </c>
      <c r="V117" t="s">
        <v>1410</v>
      </c>
      <c r="W117" t="s">
        <v>1410</v>
      </c>
      <c r="X117" t="s">
        <v>1410</v>
      </c>
      <c r="Y117" t="s">
        <v>1410</v>
      </c>
      <c r="Z117" t="s">
        <v>1410</v>
      </c>
      <c r="AA117" t="s">
        <v>1410</v>
      </c>
      <c r="AB117" t="s">
        <v>1410</v>
      </c>
      <c r="AC117" t="s">
        <v>1410</v>
      </c>
      <c r="AD117" t="s">
        <v>1410</v>
      </c>
      <c r="AE117" t="s">
        <v>1410</v>
      </c>
      <c r="AF117" t="str">
        <f t="shared" si="3"/>
        <v>//107 - 0x6B</v>
      </c>
    </row>
    <row r="118" spans="1:32" x14ac:dyDescent="0.25">
      <c r="A118" t="str">
        <f t="shared" si="2"/>
        <v>//108 - 0x6C</v>
      </c>
      <c r="D118" t="s">
        <v>1410</v>
      </c>
      <c r="E118" t="s">
        <v>1410</v>
      </c>
      <c r="F118" t="s">
        <v>1410</v>
      </c>
      <c r="G118" t="s">
        <v>1410</v>
      </c>
      <c r="H118" t="s">
        <v>1410</v>
      </c>
      <c r="I118" t="s">
        <v>1410</v>
      </c>
      <c r="J118" t="s">
        <v>1410</v>
      </c>
      <c r="K118" t="s">
        <v>1410</v>
      </c>
      <c r="L118" t="s">
        <v>1410</v>
      </c>
      <c r="M118" t="s">
        <v>1410</v>
      </c>
      <c r="N118" t="s">
        <v>1410</v>
      </c>
      <c r="O118" t="s">
        <v>1410</v>
      </c>
      <c r="P118" t="s">
        <v>1410</v>
      </c>
      <c r="Q118" t="s">
        <v>1410</v>
      </c>
      <c r="R118" t="s">
        <v>1410</v>
      </c>
      <c r="S118" t="s">
        <v>1410</v>
      </c>
      <c r="T118" t="s">
        <v>1410</v>
      </c>
      <c r="U118" t="s">
        <v>1410</v>
      </c>
      <c r="V118" t="s">
        <v>1410</v>
      </c>
      <c r="W118" t="s">
        <v>1410</v>
      </c>
      <c r="X118" t="s">
        <v>1410</v>
      </c>
      <c r="Y118" t="s">
        <v>1410</v>
      </c>
      <c r="Z118" t="s">
        <v>1410</v>
      </c>
      <c r="AA118" t="s">
        <v>1410</v>
      </c>
      <c r="AB118" t="s">
        <v>1410</v>
      </c>
      <c r="AC118" t="s">
        <v>1410</v>
      </c>
      <c r="AD118" t="s">
        <v>1410</v>
      </c>
      <c r="AE118" t="s">
        <v>1410</v>
      </c>
      <c r="AF118" t="str">
        <f t="shared" si="3"/>
        <v>//108 - 0x6C</v>
      </c>
    </row>
    <row r="119" spans="1:32" x14ac:dyDescent="0.25">
      <c r="A119" t="str">
        <f t="shared" si="2"/>
        <v>//109 - 0x6D</v>
      </c>
      <c r="D119" t="s">
        <v>1410</v>
      </c>
      <c r="E119" t="s">
        <v>1410</v>
      </c>
      <c r="F119" t="s">
        <v>1410</v>
      </c>
      <c r="G119" t="s">
        <v>1410</v>
      </c>
      <c r="H119" t="s">
        <v>1410</v>
      </c>
      <c r="I119" t="s">
        <v>1410</v>
      </c>
      <c r="J119" t="s">
        <v>1410</v>
      </c>
      <c r="K119" t="s">
        <v>1410</v>
      </c>
      <c r="L119" t="s">
        <v>1410</v>
      </c>
      <c r="M119" t="s">
        <v>1410</v>
      </c>
      <c r="N119" t="s">
        <v>1410</v>
      </c>
      <c r="O119" t="s">
        <v>1410</v>
      </c>
      <c r="P119" t="s">
        <v>1410</v>
      </c>
      <c r="Q119" t="s">
        <v>1410</v>
      </c>
      <c r="R119" t="s">
        <v>1410</v>
      </c>
      <c r="S119" t="s">
        <v>1410</v>
      </c>
      <c r="T119" t="s">
        <v>1410</v>
      </c>
      <c r="U119" t="s">
        <v>1410</v>
      </c>
      <c r="V119" t="s">
        <v>1410</v>
      </c>
      <c r="W119" t="s">
        <v>1410</v>
      </c>
      <c r="X119" t="s">
        <v>1410</v>
      </c>
      <c r="Y119" t="s">
        <v>1410</v>
      </c>
      <c r="Z119" t="s">
        <v>1410</v>
      </c>
      <c r="AA119" t="s">
        <v>1410</v>
      </c>
      <c r="AB119" t="s">
        <v>1410</v>
      </c>
      <c r="AC119" t="s">
        <v>1410</v>
      </c>
      <c r="AD119" t="s">
        <v>1410</v>
      </c>
      <c r="AE119" t="s">
        <v>1410</v>
      </c>
      <c r="AF119" t="str">
        <f t="shared" si="3"/>
        <v>//109 - 0x6D</v>
      </c>
    </row>
    <row r="120" spans="1:32" x14ac:dyDescent="0.25">
      <c r="A120" t="str">
        <f t="shared" si="2"/>
        <v>//110 - 0x6E</v>
      </c>
      <c r="D120" t="s">
        <v>1410</v>
      </c>
      <c r="E120" t="s">
        <v>1410</v>
      </c>
      <c r="F120" t="s">
        <v>1410</v>
      </c>
      <c r="G120" t="s">
        <v>1410</v>
      </c>
      <c r="H120" t="s">
        <v>1410</v>
      </c>
      <c r="I120" t="s">
        <v>1410</v>
      </c>
      <c r="J120" t="s">
        <v>1410</v>
      </c>
      <c r="K120" t="s">
        <v>1410</v>
      </c>
      <c r="L120" t="s">
        <v>1410</v>
      </c>
      <c r="M120" t="s">
        <v>1410</v>
      </c>
      <c r="N120" t="s">
        <v>1410</v>
      </c>
      <c r="O120" t="s">
        <v>1410</v>
      </c>
      <c r="P120" t="s">
        <v>1410</v>
      </c>
      <c r="Q120" t="s">
        <v>1410</v>
      </c>
      <c r="R120" t="s">
        <v>1410</v>
      </c>
      <c r="S120" t="s">
        <v>1410</v>
      </c>
      <c r="T120" t="s">
        <v>1410</v>
      </c>
      <c r="U120" t="s">
        <v>1410</v>
      </c>
      <c r="V120" t="s">
        <v>1410</v>
      </c>
      <c r="W120" t="s">
        <v>1410</v>
      </c>
      <c r="X120" t="s">
        <v>1410</v>
      </c>
      <c r="Y120" t="s">
        <v>1410</v>
      </c>
      <c r="Z120" t="s">
        <v>1410</v>
      </c>
      <c r="AA120" t="s">
        <v>1410</v>
      </c>
      <c r="AB120" t="s">
        <v>1410</v>
      </c>
      <c r="AC120" t="s">
        <v>1410</v>
      </c>
      <c r="AD120" t="s">
        <v>1410</v>
      </c>
      <c r="AE120" t="s">
        <v>1410</v>
      </c>
      <c r="AF120" t="str">
        <f t="shared" si="3"/>
        <v>//110 - 0x6E</v>
      </c>
    </row>
    <row r="121" spans="1:32" x14ac:dyDescent="0.25">
      <c r="A121" t="str">
        <f t="shared" si="2"/>
        <v>//111 - 0x6F</v>
      </c>
      <c r="D121" t="s">
        <v>1410</v>
      </c>
      <c r="E121" t="s">
        <v>1410</v>
      </c>
      <c r="F121" t="s">
        <v>1410</v>
      </c>
      <c r="G121" t="s">
        <v>1410</v>
      </c>
      <c r="H121" t="s">
        <v>1410</v>
      </c>
      <c r="I121" t="s">
        <v>1410</v>
      </c>
      <c r="J121" t="s">
        <v>1410</v>
      </c>
      <c r="K121" t="s">
        <v>1410</v>
      </c>
      <c r="L121" t="s">
        <v>1410</v>
      </c>
      <c r="M121" t="s">
        <v>1410</v>
      </c>
      <c r="N121" t="s">
        <v>1410</v>
      </c>
      <c r="O121" t="s">
        <v>1410</v>
      </c>
      <c r="P121" t="s">
        <v>1410</v>
      </c>
      <c r="Q121" t="s">
        <v>1410</v>
      </c>
      <c r="R121" t="s">
        <v>1410</v>
      </c>
      <c r="S121" t="s">
        <v>1410</v>
      </c>
      <c r="T121" t="s">
        <v>1410</v>
      </c>
      <c r="U121" t="s">
        <v>1410</v>
      </c>
      <c r="V121" t="s">
        <v>1410</v>
      </c>
      <c r="W121" t="s">
        <v>1410</v>
      </c>
      <c r="X121" t="s">
        <v>1410</v>
      </c>
      <c r="Y121" t="s">
        <v>1410</v>
      </c>
      <c r="Z121" t="s">
        <v>1410</v>
      </c>
      <c r="AA121" t="s">
        <v>1410</v>
      </c>
      <c r="AB121" t="s">
        <v>1410</v>
      </c>
      <c r="AC121" t="s">
        <v>1410</v>
      </c>
      <c r="AD121" t="s">
        <v>1410</v>
      </c>
      <c r="AE121" t="s">
        <v>1410</v>
      </c>
      <c r="AF121" t="str">
        <f t="shared" si="3"/>
        <v>//111 - 0x6F</v>
      </c>
    </row>
    <row r="122" spans="1:32" x14ac:dyDescent="0.25">
      <c r="A122" t="str">
        <f t="shared" si="2"/>
        <v>//112 - 0x70</v>
      </c>
      <c r="D122" t="s">
        <v>1410</v>
      </c>
      <c r="E122" t="s">
        <v>1410</v>
      </c>
      <c r="F122" t="s">
        <v>1410</v>
      </c>
      <c r="G122" t="s">
        <v>1410</v>
      </c>
      <c r="H122" t="s">
        <v>1410</v>
      </c>
      <c r="I122" t="s">
        <v>1410</v>
      </c>
      <c r="J122" t="s">
        <v>1410</v>
      </c>
      <c r="K122" t="s">
        <v>1410</v>
      </c>
      <c r="L122" t="s">
        <v>1410</v>
      </c>
      <c r="M122" t="s">
        <v>1410</v>
      </c>
      <c r="N122" t="s">
        <v>1410</v>
      </c>
      <c r="O122" t="s">
        <v>1410</v>
      </c>
      <c r="P122" t="s">
        <v>1410</v>
      </c>
      <c r="Q122" t="s">
        <v>1410</v>
      </c>
      <c r="R122" t="s">
        <v>1410</v>
      </c>
      <c r="S122" t="s">
        <v>1410</v>
      </c>
      <c r="T122" t="s">
        <v>1410</v>
      </c>
      <c r="U122" t="s">
        <v>1410</v>
      </c>
      <c r="V122" t="s">
        <v>1410</v>
      </c>
      <c r="W122" t="s">
        <v>1410</v>
      </c>
      <c r="X122" t="s">
        <v>1410</v>
      </c>
      <c r="Y122" t="s">
        <v>1410</v>
      </c>
      <c r="Z122" t="s">
        <v>1410</v>
      </c>
      <c r="AA122" t="s">
        <v>1410</v>
      </c>
      <c r="AB122" t="s">
        <v>1410</v>
      </c>
      <c r="AC122" t="s">
        <v>1410</v>
      </c>
      <c r="AD122" t="s">
        <v>1410</v>
      </c>
      <c r="AE122" t="s">
        <v>1410</v>
      </c>
      <c r="AF122" t="str">
        <f t="shared" si="3"/>
        <v>//112 - 0x70</v>
      </c>
    </row>
    <row r="123" spans="1:32" x14ac:dyDescent="0.25">
      <c r="A123" t="str">
        <f t="shared" si="2"/>
        <v>//113 - 0x71</v>
      </c>
      <c r="D123" t="s">
        <v>1410</v>
      </c>
      <c r="E123" t="s">
        <v>1410</v>
      </c>
      <c r="F123" t="s">
        <v>1410</v>
      </c>
      <c r="G123" t="s">
        <v>1410</v>
      </c>
      <c r="H123" t="s">
        <v>1410</v>
      </c>
      <c r="I123" t="s">
        <v>1410</v>
      </c>
      <c r="J123" t="s">
        <v>1410</v>
      </c>
      <c r="K123" t="s">
        <v>1410</v>
      </c>
      <c r="L123" t="s">
        <v>1410</v>
      </c>
      <c r="M123" t="s">
        <v>1410</v>
      </c>
      <c r="N123" t="s">
        <v>1410</v>
      </c>
      <c r="O123" t="s">
        <v>1410</v>
      </c>
      <c r="P123" t="s">
        <v>1410</v>
      </c>
      <c r="Q123" t="s">
        <v>1410</v>
      </c>
      <c r="R123" t="s">
        <v>1410</v>
      </c>
      <c r="S123" t="s">
        <v>1410</v>
      </c>
      <c r="T123" t="s">
        <v>1410</v>
      </c>
      <c r="U123" t="s">
        <v>1410</v>
      </c>
      <c r="V123" t="s">
        <v>1410</v>
      </c>
      <c r="W123" t="s">
        <v>1410</v>
      </c>
      <c r="X123" t="s">
        <v>1410</v>
      </c>
      <c r="Y123" t="s">
        <v>1410</v>
      </c>
      <c r="Z123" t="s">
        <v>1410</v>
      </c>
      <c r="AA123" t="s">
        <v>1410</v>
      </c>
      <c r="AB123" t="s">
        <v>1410</v>
      </c>
      <c r="AC123" t="s">
        <v>1410</v>
      </c>
      <c r="AD123" t="s">
        <v>1410</v>
      </c>
      <c r="AE123" t="s">
        <v>1410</v>
      </c>
      <c r="AF123" t="str">
        <f t="shared" si="3"/>
        <v>//113 - 0x71</v>
      </c>
    </row>
    <row r="124" spans="1:32" x14ac:dyDescent="0.25">
      <c r="A124" t="str">
        <f t="shared" si="2"/>
        <v>//114 - 0x72</v>
      </c>
      <c r="D124" t="s">
        <v>1410</v>
      </c>
      <c r="E124" t="s">
        <v>1410</v>
      </c>
      <c r="F124" t="s">
        <v>1410</v>
      </c>
      <c r="G124" t="s">
        <v>1410</v>
      </c>
      <c r="H124" t="s">
        <v>1410</v>
      </c>
      <c r="I124" t="s">
        <v>1410</v>
      </c>
      <c r="J124" t="s">
        <v>1410</v>
      </c>
      <c r="K124" t="s">
        <v>1410</v>
      </c>
      <c r="L124" t="s">
        <v>1410</v>
      </c>
      <c r="M124" t="s">
        <v>1410</v>
      </c>
      <c r="N124" t="s">
        <v>1410</v>
      </c>
      <c r="O124" t="s">
        <v>1410</v>
      </c>
      <c r="P124" t="s">
        <v>1410</v>
      </c>
      <c r="Q124" t="s">
        <v>1410</v>
      </c>
      <c r="R124" t="s">
        <v>1410</v>
      </c>
      <c r="S124" t="s">
        <v>1410</v>
      </c>
      <c r="T124" t="s">
        <v>1410</v>
      </c>
      <c r="U124" t="s">
        <v>1410</v>
      </c>
      <c r="V124" t="s">
        <v>1410</v>
      </c>
      <c r="W124" t="s">
        <v>1410</v>
      </c>
      <c r="X124" t="s">
        <v>1410</v>
      </c>
      <c r="Y124" t="s">
        <v>1410</v>
      </c>
      <c r="Z124" t="s">
        <v>1410</v>
      </c>
      <c r="AA124" t="s">
        <v>1410</v>
      </c>
      <c r="AB124" t="s">
        <v>1410</v>
      </c>
      <c r="AC124" t="s">
        <v>1410</v>
      </c>
      <c r="AD124" t="s">
        <v>1410</v>
      </c>
      <c r="AE124" t="s">
        <v>1410</v>
      </c>
      <c r="AF124" t="str">
        <f t="shared" si="3"/>
        <v>//114 - 0x72</v>
      </c>
    </row>
    <row r="125" spans="1:32" x14ac:dyDescent="0.25">
      <c r="A125" t="str">
        <f t="shared" si="2"/>
        <v>//115 - 0x73</v>
      </c>
      <c r="D125" t="s">
        <v>1410</v>
      </c>
      <c r="E125" t="s">
        <v>1410</v>
      </c>
      <c r="F125" t="s">
        <v>1410</v>
      </c>
      <c r="G125" t="s">
        <v>1410</v>
      </c>
      <c r="H125" t="s">
        <v>1410</v>
      </c>
      <c r="I125" t="s">
        <v>1410</v>
      </c>
      <c r="J125" t="s">
        <v>1410</v>
      </c>
      <c r="K125" t="s">
        <v>1410</v>
      </c>
      <c r="L125" t="s">
        <v>1410</v>
      </c>
      <c r="M125" t="s">
        <v>1410</v>
      </c>
      <c r="N125" t="s">
        <v>1410</v>
      </c>
      <c r="O125" t="s">
        <v>1410</v>
      </c>
      <c r="P125" t="s">
        <v>1410</v>
      </c>
      <c r="Q125" t="s">
        <v>1410</v>
      </c>
      <c r="R125" t="s">
        <v>1410</v>
      </c>
      <c r="S125" t="s">
        <v>1410</v>
      </c>
      <c r="T125" t="s">
        <v>1410</v>
      </c>
      <c r="U125" t="s">
        <v>1410</v>
      </c>
      <c r="V125" t="s">
        <v>1410</v>
      </c>
      <c r="W125" t="s">
        <v>1410</v>
      </c>
      <c r="X125" t="s">
        <v>1410</v>
      </c>
      <c r="Y125" t="s">
        <v>1410</v>
      </c>
      <c r="Z125" t="s">
        <v>1410</v>
      </c>
      <c r="AA125" t="s">
        <v>1410</v>
      </c>
      <c r="AB125" t="s">
        <v>1410</v>
      </c>
      <c r="AC125" t="s">
        <v>1410</v>
      </c>
      <c r="AD125" t="s">
        <v>1410</v>
      </c>
      <c r="AE125" t="s">
        <v>1410</v>
      </c>
      <c r="AF125" t="str">
        <f t="shared" si="3"/>
        <v>//115 - 0x73</v>
      </c>
    </row>
    <row r="126" spans="1:32" x14ac:dyDescent="0.25">
      <c r="A126" t="str">
        <f t="shared" si="2"/>
        <v>//116 - 0x74</v>
      </c>
      <c r="D126" t="s">
        <v>1410</v>
      </c>
      <c r="E126" t="s">
        <v>1410</v>
      </c>
      <c r="F126" t="s">
        <v>1410</v>
      </c>
      <c r="G126" t="s">
        <v>1410</v>
      </c>
      <c r="H126" t="s">
        <v>1410</v>
      </c>
      <c r="I126" t="s">
        <v>1410</v>
      </c>
      <c r="J126" t="s">
        <v>1410</v>
      </c>
      <c r="K126" t="s">
        <v>1410</v>
      </c>
      <c r="L126" t="s">
        <v>1410</v>
      </c>
      <c r="M126" t="s">
        <v>1410</v>
      </c>
      <c r="N126" t="s">
        <v>1410</v>
      </c>
      <c r="O126" t="s">
        <v>1410</v>
      </c>
      <c r="P126" t="s">
        <v>1410</v>
      </c>
      <c r="Q126" t="s">
        <v>1410</v>
      </c>
      <c r="R126" t="s">
        <v>1410</v>
      </c>
      <c r="S126" t="s">
        <v>1410</v>
      </c>
      <c r="T126" t="s">
        <v>1410</v>
      </c>
      <c r="U126" t="s">
        <v>1410</v>
      </c>
      <c r="V126" t="s">
        <v>1410</v>
      </c>
      <c r="W126" t="s">
        <v>1410</v>
      </c>
      <c r="X126" t="s">
        <v>1410</v>
      </c>
      <c r="Y126" t="s">
        <v>1410</v>
      </c>
      <c r="Z126" t="s">
        <v>1410</v>
      </c>
      <c r="AA126" t="s">
        <v>1410</v>
      </c>
      <c r="AB126" t="s">
        <v>1410</v>
      </c>
      <c r="AC126" t="s">
        <v>1410</v>
      </c>
      <c r="AD126" t="s">
        <v>1410</v>
      </c>
      <c r="AE126" t="s">
        <v>1410</v>
      </c>
      <c r="AF126" t="str">
        <f t="shared" si="3"/>
        <v>//116 - 0x74</v>
      </c>
    </row>
    <row r="127" spans="1:32" x14ac:dyDescent="0.25">
      <c r="A127" t="str">
        <f t="shared" si="2"/>
        <v>//117 - 0x75</v>
      </c>
      <c r="D127" t="s">
        <v>1410</v>
      </c>
      <c r="E127" t="s">
        <v>1410</v>
      </c>
      <c r="F127" t="s">
        <v>1410</v>
      </c>
      <c r="G127" t="s">
        <v>1410</v>
      </c>
      <c r="H127" t="s">
        <v>1410</v>
      </c>
      <c r="I127" t="s">
        <v>1410</v>
      </c>
      <c r="J127" t="s">
        <v>1410</v>
      </c>
      <c r="K127" t="s">
        <v>1410</v>
      </c>
      <c r="L127" t="s">
        <v>1410</v>
      </c>
      <c r="M127" t="s">
        <v>1410</v>
      </c>
      <c r="N127" t="s">
        <v>1410</v>
      </c>
      <c r="O127" t="s">
        <v>1410</v>
      </c>
      <c r="P127" t="s">
        <v>1410</v>
      </c>
      <c r="Q127" t="s">
        <v>1410</v>
      </c>
      <c r="R127" t="s">
        <v>1410</v>
      </c>
      <c r="S127" t="s">
        <v>1410</v>
      </c>
      <c r="T127" t="s">
        <v>1410</v>
      </c>
      <c r="U127" t="s">
        <v>1410</v>
      </c>
      <c r="V127" t="s">
        <v>1410</v>
      </c>
      <c r="W127" t="s">
        <v>1410</v>
      </c>
      <c r="X127" t="s">
        <v>1410</v>
      </c>
      <c r="Y127" t="s">
        <v>1410</v>
      </c>
      <c r="Z127" t="s">
        <v>1410</v>
      </c>
      <c r="AA127" t="s">
        <v>1410</v>
      </c>
      <c r="AB127" t="s">
        <v>1410</v>
      </c>
      <c r="AC127" t="s">
        <v>1410</v>
      </c>
      <c r="AD127" t="s">
        <v>1410</v>
      </c>
      <c r="AE127" t="s">
        <v>1410</v>
      </c>
      <c r="AF127" t="str">
        <f t="shared" si="3"/>
        <v>//117 - 0x75</v>
      </c>
    </row>
    <row r="128" spans="1:32" x14ac:dyDescent="0.25">
      <c r="A128" t="str">
        <f t="shared" si="2"/>
        <v>//118 - 0x76</v>
      </c>
      <c r="D128" t="s">
        <v>1410</v>
      </c>
      <c r="E128" t="s">
        <v>1410</v>
      </c>
      <c r="F128" t="s">
        <v>1410</v>
      </c>
      <c r="G128" t="s">
        <v>1410</v>
      </c>
      <c r="H128" t="s">
        <v>1410</v>
      </c>
      <c r="I128" t="s">
        <v>1410</v>
      </c>
      <c r="J128" t="s">
        <v>1410</v>
      </c>
      <c r="K128" t="s">
        <v>1410</v>
      </c>
      <c r="L128" t="s">
        <v>1410</v>
      </c>
      <c r="M128" t="s">
        <v>1410</v>
      </c>
      <c r="N128" t="s">
        <v>1410</v>
      </c>
      <c r="O128" t="s">
        <v>1410</v>
      </c>
      <c r="P128" t="s">
        <v>1410</v>
      </c>
      <c r="Q128" t="s">
        <v>1410</v>
      </c>
      <c r="R128" t="s">
        <v>1410</v>
      </c>
      <c r="S128" t="s">
        <v>1410</v>
      </c>
      <c r="T128" t="s">
        <v>1410</v>
      </c>
      <c r="U128" t="s">
        <v>1410</v>
      </c>
      <c r="V128" t="s">
        <v>1410</v>
      </c>
      <c r="W128" t="s">
        <v>1410</v>
      </c>
      <c r="X128" t="s">
        <v>1410</v>
      </c>
      <c r="Y128" t="s">
        <v>1410</v>
      </c>
      <c r="Z128" t="s">
        <v>1410</v>
      </c>
      <c r="AA128" t="s">
        <v>1410</v>
      </c>
      <c r="AB128" t="s">
        <v>1410</v>
      </c>
      <c r="AC128" t="s">
        <v>1410</v>
      </c>
      <c r="AD128" t="s">
        <v>1410</v>
      </c>
      <c r="AE128" t="s">
        <v>1410</v>
      </c>
      <c r="AF128" t="str">
        <f t="shared" si="3"/>
        <v>//118 - 0x76</v>
      </c>
    </row>
    <row r="129" spans="1:32" x14ac:dyDescent="0.25">
      <c r="A129" t="str">
        <f t="shared" si="2"/>
        <v>//119 - 0x77</v>
      </c>
      <c r="D129" t="s">
        <v>1410</v>
      </c>
      <c r="E129" t="s">
        <v>1410</v>
      </c>
      <c r="F129" t="s">
        <v>1410</v>
      </c>
      <c r="G129" t="s">
        <v>1410</v>
      </c>
      <c r="H129" t="s">
        <v>1410</v>
      </c>
      <c r="I129" t="s">
        <v>1410</v>
      </c>
      <c r="J129" t="s">
        <v>1410</v>
      </c>
      <c r="K129" t="s">
        <v>1410</v>
      </c>
      <c r="L129" t="s">
        <v>1410</v>
      </c>
      <c r="M129" t="s">
        <v>1410</v>
      </c>
      <c r="N129" t="s">
        <v>1410</v>
      </c>
      <c r="O129" t="s">
        <v>1410</v>
      </c>
      <c r="P129" t="s">
        <v>1410</v>
      </c>
      <c r="Q129" t="s">
        <v>1410</v>
      </c>
      <c r="R129" t="s">
        <v>1410</v>
      </c>
      <c r="S129" t="s">
        <v>1410</v>
      </c>
      <c r="T129" t="s">
        <v>1410</v>
      </c>
      <c r="U129" t="s">
        <v>1410</v>
      </c>
      <c r="V129" t="s">
        <v>1410</v>
      </c>
      <c r="W129" t="s">
        <v>1410</v>
      </c>
      <c r="X129" t="s">
        <v>1410</v>
      </c>
      <c r="Y129" t="s">
        <v>1410</v>
      </c>
      <c r="Z129" t="s">
        <v>1410</v>
      </c>
      <c r="AA129" t="s">
        <v>1410</v>
      </c>
      <c r="AB129" t="s">
        <v>1410</v>
      </c>
      <c r="AC129" t="s">
        <v>1410</v>
      </c>
      <c r="AD129" t="s">
        <v>1410</v>
      </c>
      <c r="AE129" t="s">
        <v>1410</v>
      </c>
      <c r="AF129" t="str">
        <f t="shared" si="3"/>
        <v>//119 - 0x77</v>
      </c>
    </row>
    <row r="130" spans="1:32" x14ac:dyDescent="0.25">
      <c r="A130" t="str">
        <f t="shared" si="2"/>
        <v>//120 - 0x78</v>
      </c>
      <c r="D130" t="s">
        <v>1410</v>
      </c>
      <c r="E130" t="s">
        <v>1410</v>
      </c>
      <c r="F130" t="s">
        <v>1410</v>
      </c>
      <c r="G130" t="s">
        <v>1410</v>
      </c>
      <c r="H130" t="s">
        <v>1410</v>
      </c>
      <c r="I130" t="s">
        <v>1410</v>
      </c>
      <c r="J130" t="s">
        <v>1410</v>
      </c>
      <c r="K130" t="s">
        <v>1410</v>
      </c>
      <c r="L130" t="s">
        <v>1410</v>
      </c>
      <c r="M130" t="s">
        <v>1410</v>
      </c>
      <c r="N130" t="s">
        <v>1410</v>
      </c>
      <c r="O130" t="s">
        <v>1410</v>
      </c>
      <c r="P130" t="s">
        <v>1410</v>
      </c>
      <c r="Q130" t="s">
        <v>1410</v>
      </c>
      <c r="R130" t="s">
        <v>1410</v>
      </c>
      <c r="S130" t="s">
        <v>1410</v>
      </c>
      <c r="T130" t="s">
        <v>1410</v>
      </c>
      <c r="U130" t="s">
        <v>1410</v>
      </c>
      <c r="V130" t="s">
        <v>1410</v>
      </c>
      <c r="W130" t="s">
        <v>1410</v>
      </c>
      <c r="X130" t="s">
        <v>1410</v>
      </c>
      <c r="Y130" t="s">
        <v>1410</v>
      </c>
      <c r="Z130" t="s">
        <v>1410</v>
      </c>
      <c r="AA130" t="s">
        <v>1410</v>
      </c>
      <c r="AB130" t="s">
        <v>1410</v>
      </c>
      <c r="AC130" t="s">
        <v>1410</v>
      </c>
      <c r="AD130" t="s">
        <v>1410</v>
      </c>
      <c r="AE130" t="s">
        <v>1410</v>
      </c>
      <c r="AF130" t="str">
        <f t="shared" si="3"/>
        <v>//120 - 0x78</v>
      </c>
    </row>
    <row r="131" spans="1:32" x14ac:dyDescent="0.25">
      <c r="A131" t="str">
        <f t="shared" si="2"/>
        <v>//121 - 0x79</v>
      </c>
      <c r="D131" t="s">
        <v>1410</v>
      </c>
      <c r="E131" t="s">
        <v>1410</v>
      </c>
      <c r="F131" t="s">
        <v>1410</v>
      </c>
      <c r="G131" t="s">
        <v>1410</v>
      </c>
      <c r="H131" t="s">
        <v>1410</v>
      </c>
      <c r="I131" t="s">
        <v>1410</v>
      </c>
      <c r="J131" t="s">
        <v>1410</v>
      </c>
      <c r="K131" t="s">
        <v>1410</v>
      </c>
      <c r="L131" t="s">
        <v>1410</v>
      </c>
      <c r="M131" t="s">
        <v>1410</v>
      </c>
      <c r="N131" t="s">
        <v>1410</v>
      </c>
      <c r="O131" t="s">
        <v>1410</v>
      </c>
      <c r="P131" t="s">
        <v>1410</v>
      </c>
      <c r="Q131" t="s">
        <v>1410</v>
      </c>
      <c r="R131" t="s">
        <v>1410</v>
      </c>
      <c r="S131" t="s">
        <v>1410</v>
      </c>
      <c r="T131" t="s">
        <v>1410</v>
      </c>
      <c r="U131" t="s">
        <v>1410</v>
      </c>
      <c r="V131" t="s">
        <v>1410</v>
      </c>
      <c r="W131" t="s">
        <v>1410</v>
      </c>
      <c r="X131" t="s">
        <v>1410</v>
      </c>
      <c r="Y131" t="s">
        <v>1410</v>
      </c>
      <c r="Z131" t="s">
        <v>1410</v>
      </c>
      <c r="AA131" t="s">
        <v>1410</v>
      </c>
      <c r="AB131" t="s">
        <v>1410</v>
      </c>
      <c r="AC131" t="s">
        <v>1410</v>
      </c>
      <c r="AD131" t="s">
        <v>1410</v>
      </c>
      <c r="AE131" t="s">
        <v>1410</v>
      </c>
      <c r="AF131" t="str">
        <f t="shared" si="3"/>
        <v>//121 - 0x79</v>
      </c>
    </row>
    <row r="132" spans="1:32" x14ac:dyDescent="0.25">
      <c r="A132" t="str">
        <f t="shared" si="2"/>
        <v>//122 - 0x7A</v>
      </c>
      <c r="D132" t="s">
        <v>1410</v>
      </c>
      <c r="E132" t="s">
        <v>1410</v>
      </c>
      <c r="F132" t="s">
        <v>1410</v>
      </c>
      <c r="G132" t="s">
        <v>1410</v>
      </c>
      <c r="H132" t="s">
        <v>1410</v>
      </c>
      <c r="I132" t="s">
        <v>1410</v>
      </c>
      <c r="J132" t="s">
        <v>1410</v>
      </c>
      <c r="K132" t="s">
        <v>1410</v>
      </c>
      <c r="L132" t="s">
        <v>1410</v>
      </c>
      <c r="M132" t="s">
        <v>1410</v>
      </c>
      <c r="N132" t="s">
        <v>1410</v>
      </c>
      <c r="O132" t="s">
        <v>1410</v>
      </c>
      <c r="P132" t="s">
        <v>1410</v>
      </c>
      <c r="Q132" t="s">
        <v>1410</v>
      </c>
      <c r="R132" t="s">
        <v>1410</v>
      </c>
      <c r="S132" t="s">
        <v>1410</v>
      </c>
      <c r="T132" t="s">
        <v>1410</v>
      </c>
      <c r="U132" t="s">
        <v>1410</v>
      </c>
      <c r="V132" t="s">
        <v>1410</v>
      </c>
      <c r="W132" t="s">
        <v>1410</v>
      </c>
      <c r="X132" t="s">
        <v>1410</v>
      </c>
      <c r="Y132" t="s">
        <v>1410</v>
      </c>
      <c r="Z132" t="s">
        <v>1410</v>
      </c>
      <c r="AA132" t="s">
        <v>1410</v>
      </c>
      <c r="AB132" t="s">
        <v>1410</v>
      </c>
      <c r="AC132" t="s">
        <v>1410</v>
      </c>
      <c r="AD132" t="s">
        <v>1410</v>
      </c>
      <c r="AE132" t="s">
        <v>1410</v>
      </c>
      <c r="AF132" t="str">
        <f t="shared" si="3"/>
        <v>//122 - 0x7A</v>
      </c>
    </row>
    <row r="133" spans="1:32" x14ac:dyDescent="0.25">
      <c r="A133" t="str">
        <f t="shared" si="2"/>
        <v>//123 - 0x7B</v>
      </c>
      <c r="D133" t="s">
        <v>1410</v>
      </c>
      <c r="E133" t="s">
        <v>1410</v>
      </c>
      <c r="F133" t="s">
        <v>1410</v>
      </c>
      <c r="G133" t="s">
        <v>1410</v>
      </c>
      <c r="H133" t="s">
        <v>1410</v>
      </c>
      <c r="I133" t="s">
        <v>1410</v>
      </c>
      <c r="J133" t="s">
        <v>1410</v>
      </c>
      <c r="K133" t="s">
        <v>1410</v>
      </c>
      <c r="L133" t="s">
        <v>1410</v>
      </c>
      <c r="M133" t="s">
        <v>1410</v>
      </c>
      <c r="N133" t="s">
        <v>1410</v>
      </c>
      <c r="O133" t="s">
        <v>1410</v>
      </c>
      <c r="P133" t="s">
        <v>1410</v>
      </c>
      <c r="Q133" t="s">
        <v>1410</v>
      </c>
      <c r="R133" t="s">
        <v>1410</v>
      </c>
      <c r="S133" t="s">
        <v>1410</v>
      </c>
      <c r="T133" t="s">
        <v>1410</v>
      </c>
      <c r="U133" t="s">
        <v>1410</v>
      </c>
      <c r="V133" t="s">
        <v>1410</v>
      </c>
      <c r="W133" t="s">
        <v>1410</v>
      </c>
      <c r="X133" t="s">
        <v>1410</v>
      </c>
      <c r="Y133" t="s">
        <v>1410</v>
      </c>
      <c r="Z133" t="s">
        <v>1410</v>
      </c>
      <c r="AA133" t="s">
        <v>1410</v>
      </c>
      <c r="AB133" t="s">
        <v>1410</v>
      </c>
      <c r="AC133" t="s">
        <v>1410</v>
      </c>
      <c r="AD133" t="s">
        <v>1410</v>
      </c>
      <c r="AE133" t="s">
        <v>1410</v>
      </c>
      <c r="AF133" t="str">
        <f t="shared" si="3"/>
        <v>//123 - 0x7B</v>
      </c>
    </row>
    <row r="134" spans="1:32" x14ac:dyDescent="0.25">
      <c r="A134" t="str">
        <f t="shared" si="2"/>
        <v>//124 - 0x7C</v>
      </c>
      <c r="D134" t="s">
        <v>1410</v>
      </c>
      <c r="E134" t="s">
        <v>1410</v>
      </c>
      <c r="F134" t="s">
        <v>1410</v>
      </c>
      <c r="G134" t="s">
        <v>1410</v>
      </c>
      <c r="H134" t="s">
        <v>1410</v>
      </c>
      <c r="I134" t="s">
        <v>1410</v>
      </c>
      <c r="J134" t="s">
        <v>1410</v>
      </c>
      <c r="K134" t="s">
        <v>1410</v>
      </c>
      <c r="L134" t="s">
        <v>1410</v>
      </c>
      <c r="M134" t="s">
        <v>1410</v>
      </c>
      <c r="N134" t="s">
        <v>1410</v>
      </c>
      <c r="O134" t="s">
        <v>1410</v>
      </c>
      <c r="P134" t="s">
        <v>1410</v>
      </c>
      <c r="Q134" t="s">
        <v>1410</v>
      </c>
      <c r="R134" t="s">
        <v>1410</v>
      </c>
      <c r="S134" t="s">
        <v>1410</v>
      </c>
      <c r="T134" t="s">
        <v>1410</v>
      </c>
      <c r="U134" t="s">
        <v>1410</v>
      </c>
      <c r="V134" t="s">
        <v>1410</v>
      </c>
      <c r="W134" t="s">
        <v>1410</v>
      </c>
      <c r="X134" t="s">
        <v>1410</v>
      </c>
      <c r="Y134" t="s">
        <v>1410</v>
      </c>
      <c r="Z134" t="s">
        <v>1410</v>
      </c>
      <c r="AA134" t="s">
        <v>1410</v>
      </c>
      <c r="AB134" t="s">
        <v>1410</v>
      </c>
      <c r="AC134" t="s">
        <v>1410</v>
      </c>
      <c r="AD134" t="s">
        <v>1410</v>
      </c>
      <c r="AE134" t="s">
        <v>1410</v>
      </c>
      <c r="AF134" t="str">
        <f t="shared" si="3"/>
        <v>//124 - 0x7C</v>
      </c>
    </row>
    <row r="135" spans="1:32" x14ac:dyDescent="0.25">
      <c r="A135" t="str">
        <f t="shared" si="2"/>
        <v>//125 - 0x7D</v>
      </c>
      <c r="D135" t="s">
        <v>1410</v>
      </c>
      <c r="E135" t="s">
        <v>1410</v>
      </c>
      <c r="F135" t="s">
        <v>1410</v>
      </c>
      <c r="G135" t="s">
        <v>1410</v>
      </c>
      <c r="H135" t="s">
        <v>1410</v>
      </c>
      <c r="I135" t="s">
        <v>1410</v>
      </c>
      <c r="J135" t="s">
        <v>1410</v>
      </c>
      <c r="K135" t="s">
        <v>1410</v>
      </c>
      <c r="L135" t="s">
        <v>1410</v>
      </c>
      <c r="M135" t="s">
        <v>1410</v>
      </c>
      <c r="N135" t="s">
        <v>1410</v>
      </c>
      <c r="O135" t="s">
        <v>1410</v>
      </c>
      <c r="P135" t="s">
        <v>1410</v>
      </c>
      <c r="Q135" t="s">
        <v>1410</v>
      </c>
      <c r="R135" t="s">
        <v>1410</v>
      </c>
      <c r="S135" t="s">
        <v>1410</v>
      </c>
      <c r="T135" t="s">
        <v>1410</v>
      </c>
      <c r="U135" t="s">
        <v>1410</v>
      </c>
      <c r="V135" t="s">
        <v>1410</v>
      </c>
      <c r="W135" t="s">
        <v>1410</v>
      </c>
      <c r="X135" t="s">
        <v>1410</v>
      </c>
      <c r="Y135" t="s">
        <v>1410</v>
      </c>
      <c r="Z135" t="s">
        <v>1410</v>
      </c>
      <c r="AA135" t="s">
        <v>1410</v>
      </c>
      <c r="AB135" t="s">
        <v>1410</v>
      </c>
      <c r="AC135" t="s">
        <v>1410</v>
      </c>
      <c r="AD135" t="s">
        <v>1410</v>
      </c>
      <c r="AE135" t="s">
        <v>1410</v>
      </c>
      <c r="AF135" t="str">
        <f t="shared" si="3"/>
        <v>//125 - 0x7D</v>
      </c>
    </row>
    <row r="136" spans="1:32" x14ac:dyDescent="0.25">
      <c r="A136" t="str">
        <f t="shared" si="2"/>
        <v>//126 - 0x7E</v>
      </c>
      <c r="D136" t="s">
        <v>1410</v>
      </c>
      <c r="E136" t="s">
        <v>1410</v>
      </c>
      <c r="F136" t="s">
        <v>1410</v>
      </c>
      <c r="G136" t="s">
        <v>1410</v>
      </c>
      <c r="H136" t="s">
        <v>1410</v>
      </c>
      <c r="I136" t="s">
        <v>1410</v>
      </c>
      <c r="J136" t="s">
        <v>1410</v>
      </c>
      <c r="K136" t="s">
        <v>1410</v>
      </c>
      <c r="L136" t="s">
        <v>1410</v>
      </c>
      <c r="M136" t="s">
        <v>1410</v>
      </c>
      <c r="N136" t="s">
        <v>1410</v>
      </c>
      <c r="O136" t="s">
        <v>1410</v>
      </c>
      <c r="P136" t="s">
        <v>1410</v>
      </c>
      <c r="Q136" t="s">
        <v>1410</v>
      </c>
      <c r="R136" t="s">
        <v>1410</v>
      </c>
      <c r="S136" t="s">
        <v>1410</v>
      </c>
      <c r="T136" t="s">
        <v>1410</v>
      </c>
      <c r="U136" t="s">
        <v>1410</v>
      </c>
      <c r="V136" t="s">
        <v>1410</v>
      </c>
      <c r="W136" t="s">
        <v>1410</v>
      </c>
      <c r="X136" t="s">
        <v>1410</v>
      </c>
      <c r="Y136" t="s">
        <v>1410</v>
      </c>
      <c r="Z136" t="s">
        <v>1410</v>
      </c>
      <c r="AA136" t="s">
        <v>1410</v>
      </c>
      <c r="AB136" t="s">
        <v>1410</v>
      </c>
      <c r="AC136" t="s">
        <v>1410</v>
      </c>
      <c r="AD136" t="s">
        <v>1410</v>
      </c>
      <c r="AE136" t="s">
        <v>1410</v>
      </c>
      <c r="AF136" t="str">
        <f t="shared" si="3"/>
        <v>//126 - 0x7E</v>
      </c>
    </row>
    <row r="137" spans="1:32" x14ac:dyDescent="0.25">
      <c r="A137" t="str">
        <f t="shared" si="2"/>
        <v>//127 - 0x7F</v>
      </c>
      <c r="D137" t="s">
        <v>1410</v>
      </c>
      <c r="E137" t="s">
        <v>1410</v>
      </c>
      <c r="F137" t="s">
        <v>1410</v>
      </c>
      <c r="G137" t="s">
        <v>1410</v>
      </c>
      <c r="H137" t="s">
        <v>1410</v>
      </c>
      <c r="I137" t="s">
        <v>1410</v>
      </c>
      <c r="J137" t="s">
        <v>1410</v>
      </c>
      <c r="K137" t="s">
        <v>1410</v>
      </c>
      <c r="L137" t="s">
        <v>1410</v>
      </c>
      <c r="M137" t="s">
        <v>1410</v>
      </c>
      <c r="N137" t="s">
        <v>1410</v>
      </c>
      <c r="O137" t="s">
        <v>1410</v>
      </c>
      <c r="P137" t="s">
        <v>1410</v>
      </c>
      <c r="Q137" t="s">
        <v>1410</v>
      </c>
      <c r="R137" t="s">
        <v>1410</v>
      </c>
      <c r="S137" t="s">
        <v>1410</v>
      </c>
      <c r="T137" t="s">
        <v>1410</v>
      </c>
      <c r="U137" t="s">
        <v>1410</v>
      </c>
      <c r="V137" t="s">
        <v>1410</v>
      </c>
      <c r="W137" t="s">
        <v>1410</v>
      </c>
      <c r="X137" t="s">
        <v>1410</v>
      </c>
      <c r="Y137" t="s">
        <v>1410</v>
      </c>
      <c r="Z137" t="s">
        <v>1410</v>
      </c>
      <c r="AA137" t="s">
        <v>1410</v>
      </c>
      <c r="AB137" t="s">
        <v>1410</v>
      </c>
      <c r="AC137" t="s">
        <v>1410</v>
      </c>
      <c r="AD137" t="s">
        <v>1410</v>
      </c>
      <c r="AE137" t="s">
        <v>1410</v>
      </c>
      <c r="AF137" t="str">
        <f t="shared" si="3"/>
        <v>//127 - 0x7F</v>
      </c>
    </row>
    <row r="138" spans="1:32" x14ac:dyDescent="0.25">
      <c r="A138" t="str">
        <f t="shared" si="2"/>
        <v>//128 - 0x80</v>
      </c>
      <c r="D138" t="s">
        <v>1410</v>
      </c>
      <c r="E138" t="s">
        <v>1410</v>
      </c>
      <c r="F138" t="s">
        <v>1410</v>
      </c>
      <c r="G138" t="s">
        <v>1410</v>
      </c>
      <c r="H138" t="s">
        <v>1410</v>
      </c>
      <c r="I138" t="s">
        <v>1410</v>
      </c>
      <c r="J138" t="s">
        <v>1410</v>
      </c>
      <c r="K138" t="s">
        <v>1410</v>
      </c>
      <c r="L138" t="s">
        <v>1410</v>
      </c>
      <c r="M138" t="s">
        <v>1410</v>
      </c>
      <c r="N138" t="s">
        <v>1410</v>
      </c>
      <c r="O138" t="s">
        <v>1410</v>
      </c>
      <c r="P138" t="s">
        <v>1410</v>
      </c>
      <c r="Q138" t="s">
        <v>1410</v>
      </c>
      <c r="R138" t="s">
        <v>1410</v>
      </c>
      <c r="S138" t="s">
        <v>1410</v>
      </c>
      <c r="T138" t="s">
        <v>1410</v>
      </c>
      <c r="U138" t="s">
        <v>1410</v>
      </c>
      <c r="V138" t="s">
        <v>1410</v>
      </c>
      <c r="W138" t="s">
        <v>1410</v>
      </c>
      <c r="X138" t="s">
        <v>1410</v>
      </c>
      <c r="Y138" t="s">
        <v>1410</v>
      </c>
      <c r="Z138" t="s">
        <v>1410</v>
      </c>
      <c r="AA138" t="s">
        <v>1410</v>
      </c>
      <c r="AB138" t="s">
        <v>1410</v>
      </c>
      <c r="AC138" t="s">
        <v>1410</v>
      </c>
      <c r="AD138" t="s">
        <v>1410</v>
      </c>
      <c r="AE138" t="s">
        <v>1410</v>
      </c>
      <c r="AF138" t="str">
        <f t="shared" si="3"/>
        <v>//128 - 0x80</v>
      </c>
    </row>
    <row r="139" spans="1:32" x14ac:dyDescent="0.25">
      <c r="A139" t="str">
        <f t="shared" ref="A139:A202" si="4">"//" &amp; ROW()-10 &amp; " - 0x" &amp; DEC2HEX(ROW()-10,2)</f>
        <v>//129 - 0x81</v>
      </c>
      <c r="D139" t="s">
        <v>1410</v>
      </c>
      <c r="E139" t="s">
        <v>1410</v>
      </c>
      <c r="F139" t="s">
        <v>1410</v>
      </c>
      <c r="G139" t="s">
        <v>1410</v>
      </c>
      <c r="H139" t="s">
        <v>1410</v>
      </c>
      <c r="I139" t="s">
        <v>1410</v>
      </c>
      <c r="J139" t="s">
        <v>1410</v>
      </c>
      <c r="K139" t="s">
        <v>1410</v>
      </c>
      <c r="L139" t="s">
        <v>1410</v>
      </c>
      <c r="M139" t="s">
        <v>1410</v>
      </c>
      <c r="N139" t="s">
        <v>1410</v>
      </c>
      <c r="O139" t="s">
        <v>1410</v>
      </c>
      <c r="P139" t="s">
        <v>1410</v>
      </c>
      <c r="Q139" t="s">
        <v>1410</v>
      </c>
      <c r="R139" t="s">
        <v>1410</v>
      </c>
      <c r="S139" t="s">
        <v>1410</v>
      </c>
      <c r="T139" t="s">
        <v>1410</v>
      </c>
      <c r="U139" t="s">
        <v>1410</v>
      </c>
      <c r="V139" t="s">
        <v>1410</v>
      </c>
      <c r="W139" t="s">
        <v>1410</v>
      </c>
      <c r="X139" t="s">
        <v>1410</v>
      </c>
      <c r="Y139" t="s">
        <v>1410</v>
      </c>
      <c r="Z139" t="s">
        <v>1410</v>
      </c>
      <c r="AA139" t="s">
        <v>1410</v>
      </c>
      <c r="AB139" t="s">
        <v>1410</v>
      </c>
      <c r="AC139" t="s">
        <v>1410</v>
      </c>
      <c r="AD139" t="s">
        <v>1410</v>
      </c>
      <c r="AE139" t="s">
        <v>1410</v>
      </c>
      <c r="AF139" t="str">
        <f t="shared" ref="AF139:AF202" si="5">"//" &amp; ROW()-10 &amp; " - 0x" &amp; DEC2HEX(ROW()-10,2)</f>
        <v>//129 - 0x81</v>
      </c>
    </row>
    <row r="140" spans="1:32" x14ac:dyDescent="0.25">
      <c r="A140" t="str">
        <f t="shared" si="4"/>
        <v>//130 - 0x82</v>
      </c>
      <c r="D140" t="s">
        <v>1410</v>
      </c>
      <c r="E140" t="s">
        <v>1410</v>
      </c>
      <c r="F140" t="s">
        <v>1410</v>
      </c>
      <c r="G140" t="s">
        <v>1410</v>
      </c>
      <c r="H140" t="s">
        <v>1410</v>
      </c>
      <c r="I140" t="s">
        <v>1410</v>
      </c>
      <c r="J140" t="s">
        <v>1410</v>
      </c>
      <c r="K140" t="s">
        <v>1410</v>
      </c>
      <c r="L140" t="s">
        <v>1410</v>
      </c>
      <c r="M140" t="s">
        <v>1410</v>
      </c>
      <c r="N140" t="s">
        <v>1410</v>
      </c>
      <c r="O140" t="s">
        <v>1410</v>
      </c>
      <c r="P140" t="s">
        <v>1410</v>
      </c>
      <c r="Q140" t="s">
        <v>1410</v>
      </c>
      <c r="R140" t="s">
        <v>1410</v>
      </c>
      <c r="S140" t="s">
        <v>1410</v>
      </c>
      <c r="T140" t="s">
        <v>1410</v>
      </c>
      <c r="U140" t="s">
        <v>1410</v>
      </c>
      <c r="V140" t="s">
        <v>1410</v>
      </c>
      <c r="W140" t="s">
        <v>1410</v>
      </c>
      <c r="X140" t="s">
        <v>1410</v>
      </c>
      <c r="Y140" t="s">
        <v>1410</v>
      </c>
      <c r="Z140" t="s">
        <v>1410</v>
      </c>
      <c r="AA140" t="s">
        <v>1410</v>
      </c>
      <c r="AB140" t="s">
        <v>1410</v>
      </c>
      <c r="AC140" t="s">
        <v>1410</v>
      </c>
      <c r="AD140" t="s">
        <v>1410</v>
      </c>
      <c r="AE140" t="s">
        <v>1410</v>
      </c>
      <c r="AF140" t="str">
        <f t="shared" si="5"/>
        <v>//130 - 0x82</v>
      </c>
    </row>
    <row r="141" spans="1:32" x14ac:dyDescent="0.25">
      <c r="A141" t="str">
        <f t="shared" si="4"/>
        <v>//131 - 0x83</v>
      </c>
      <c r="D141" t="s">
        <v>1410</v>
      </c>
      <c r="E141" t="s">
        <v>1410</v>
      </c>
      <c r="F141" t="s">
        <v>1410</v>
      </c>
      <c r="G141" t="s">
        <v>1410</v>
      </c>
      <c r="H141" t="s">
        <v>1410</v>
      </c>
      <c r="I141" t="s">
        <v>1410</v>
      </c>
      <c r="J141" t="s">
        <v>1410</v>
      </c>
      <c r="K141" t="s">
        <v>1410</v>
      </c>
      <c r="L141" t="s">
        <v>1410</v>
      </c>
      <c r="M141" t="s">
        <v>1410</v>
      </c>
      <c r="N141" t="s">
        <v>1410</v>
      </c>
      <c r="O141" t="s">
        <v>1410</v>
      </c>
      <c r="P141" t="s">
        <v>1410</v>
      </c>
      <c r="Q141" t="s">
        <v>1410</v>
      </c>
      <c r="R141" t="s">
        <v>1410</v>
      </c>
      <c r="S141" t="s">
        <v>1410</v>
      </c>
      <c r="T141" t="s">
        <v>1410</v>
      </c>
      <c r="U141" t="s">
        <v>1410</v>
      </c>
      <c r="V141" t="s">
        <v>1410</v>
      </c>
      <c r="W141" t="s">
        <v>1410</v>
      </c>
      <c r="X141" t="s">
        <v>1410</v>
      </c>
      <c r="Y141" t="s">
        <v>1410</v>
      </c>
      <c r="Z141" t="s">
        <v>1410</v>
      </c>
      <c r="AA141" t="s">
        <v>1410</v>
      </c>
      <c r="AB141" t="s">
        <v>1410</v>
      </c>
      <c r="AC141" t="s">
        <v>1410</v>
      </c>
      <c r="AD141" t="s">
        <v>1410</v>
      </c>
      <c r="AE141" t="s">
        <v>1410</v>
      </c>
      <c r="AF141" t="str">
        <f t="shared" si="5"/>
        <v>//131 - 0x83</v>
      </c>
    </row>
    <row r="142" spans="1:32" x14ac:dyDescent="0.25">
      <c r="A142" t="str">
        <f t="shared" si="4"/>
        <v>//132 - 0x84</v>
      </c>
      <c r="D142" t="s">
        <v>1410</v>
      </c>
      <c r="E142" t="s">
        <v>1410</v>
      </c>
      <c r="F142" t="s">
        <v>1410</v>
      </c>
      <c r="G142" t="s">
        <v>1410</v>
      </c>
      <c r="H142" t="s">
        <v>1410</v>
      </c>
      <c r="I142" t="s">
        <v>1410</v>
      </c>
      <c r="J142" t="s">
        <v>1410</v>
      </c>
      <c r="K142" t="s">
        <v>1410</v>
      </c>
      <c r="L142" t="s">
        <v>1410</v>
      </c>
      <c r="M142" t="s">
        <v>1410</v>
      </c>
      <c r="N142" t="s">
        <v>1410</v>
      </c>
      <c r="O142" t="s">
        <v>1410</v>
      </c>
      <c r="P142" t="s">
        <v>1410</v>
      </c>
      <c r="Q142" t="s">
        <v>1410</v>
      </c>
      <c r="R142" t="s">
        <v>1410</v>
      </c>
      <c r="S142" t="s">
        <v>1410</v>
      </c>
      <c r="T142" t="s">
        <v>1410</v>
      </c>
      <c r="U142" t="s">
        <v>1410</v>
      </c>
      <c r="V142" t="s">
        <v>1410</v>
      </c>
      <c r="W142" t="s">
        <v>1410</v>
      </c>
      <c r="X142" t="s">
        <v>1410</v>
      </c>
      <c r="Y142" t="s">
        <v>1410</v>
      </c>
      <c r="Z142" t="s">
        <v>1410</v>
      </c>
      <c r="AA142" t="s">
        <v>1410</v>
      </c>
      <c r="AB142" t="s">
        <v>1410</v>
      </c>
      <c r="AC142" t="s">
        <v>1410</v>
      </c>
      <c r="AD142" t="s">
        <v>1410</v>
      </c>
      <c r="AE142" t="s">
        <v>1410</v>
      </c>
      <c r="AF142" t="str">
        <f t="shared" si="5"/>
        <v>//132 - 0x84</v>
      </c>
    </row>
    <row r="143" spans="1:32" x14ac:dyDescent="0.25">
      <c r="A143" t="str">
        <f t="shared" si="4"/>
        <v>//133 - 0x85</v>
      </c>
      <c r="D143" t="s">
        <v>1410</v>
      </c>
      <c r="E143" t="s">
        <v>1410</v>
      </c>
      <c r="F143" t="s">
        <v>1410</v>
      </c>
      <c r="G143" t="s">
        <v>1410</v>
      </c>
      <c r="H143" t="s">
        <v>1410</v>
      </c>
      <c r="I143" t="s">
        <v>1410</v>
      </c>
      <c r="J143" t="s">
        <v>1410</v>
      </c>
      <c r="K143" t="s">
        <v>1410</v>
      </c>
      <c r="L143" t="s">
        <v>1410</v>
      </c>
      <c r="M143" t="s">
        <v>1410</v>
      </c>
      <c r="N143" t="s">
        <v>1410</v>
      </c>
      <c r="O143" t="s">
        <v>1410</v>
      </c>
      <c r="P143" t="s">
        <v>1410</v>
      </c>
      <c r="Q143" t="s">
        <v>1410</v>
      </c>
      <c r="R143" t="s">
        <v>1410</v>
      </c>
      <c r="S143" t="s">
        <v>1410</v>
      </c>
      <c r="T143" t="s">
        <v>1410</v>
      </c>
      <c r="U143" t="s">
        <v>1410</v>
      </c>
      <c r="V143" t="s">
        <v>1410</v>
      </c>
      <c r="W143" t="s">
        <v>1410</v>
      </c>
      <c r="X143" t="s">
        <v>1410</v>
      </c>
      <c r="Y143" t="s">
        <v>1410</v>
      </c>
      <c r="Z143" t="s">
        <v>1410</v>
      </c>
      <c r="AA143" t="s">
        <v>1410</v>
      </c>
      <c r="AB143" t="s">
        <v>1410</v>
      </c>
      <c r="AC143" t="s">
        <v>1410</v>
      </c>
      <c r="AD143" t="s">
        <v>1410</v>
      </c>
      <c r="AE143" t="s">
        <v>1410</v>
      </c>
      <c r="AF143" t="str">
        <f t="shared" si="5"/>
        <v>//133 - 0x85</v>
      </c>
    </row>
    <row r="144" spans="1:32" x14ac:dyDescent="0.25">
      <c r="A144" t="str">
        <f t="shared" si="4"/>
        <v>//134 - 0x86</v>
      </c>
      <c r="D144" t="s">
        <v>1410</v>
      </c>
      <c r="E144" t="s">
        <v>1410</v>
      </c>
      <c r="F144" t="s">
        <v>1410</v>
      </c>
      <c r="G144" t="s">
        <v>1410</v>
      </c>
      <c r="H144" t="s">
        <v>1410</v>
      </c>
      <c r="I144" t="s">
        <v>1410</v>
      </c>
      <c r="J144" t="s">
        <v>1410</v>
      </c>
      <c r="K144" t="s">
        <v>1410</v>
      </c>
      <c r="L144" t="s">
        <v>1410</v>
      </c>
      <c r="M144" t="s">
        <v>1410</v>
      </c>
      <c r="N144" t="s">
        <v>1410</v>
      </c>
      <c r="O144" t="s">
        <v>1410</v>
      </c>
      <c r="P144" t="s">
        <v>1410</v>
      </c>
      <c r="Q144" t="s">
        <v>1410</v>
      </c>
      <c r="R144" t="s">
        <v>1410</v>
      </c>
      <c r="S144" t="s">
        <v>1410</v>
      </c>
      <c r="T144" t="s">
        <v>1410</v>
      </c>
      <c r="U144" t="s">
        <v>1410</v>
      </c>
      <c r="V144" t="s">
        <v>1410</v>
      </c>
      <c r="W144" t="s">
        <v>1410</v>
      </c>
      <c r="X144" t="s">
        <v>1410</v>
      </c>
      <c r="Y144" t="s">
        <v>1410</v>
      </c>
      <c r="Z144" t="s">
        <v>1410</v>
      </c>
      <c r="AA144" t="s">
        <v>1410</v>
      </c>
      <c r="AB144" t="s">
        <v>1410</v>
      </c>
      <c r="AC144" t="s">
        <v>1410</v>
      </c>
      <c r="AD144" t="s">
        <v>1410</v>
      </c>
      <c r="AE144" t="s">
        <v>1410</v>
      </c>
      <c r="AF144" t="str">
        <f t="shared" si="5"/>
        <v>//134 - 0x86</v>
      </c>
    </row>
    <row r="145" spans="1:32" x14ac:dyDescent="0.25">
      <c r="A145" t="str">
        <f t="shared" si="4"/>
        <v>//135 - 0x87</v>
      </c>
      <c r="D145" t="s">
        <v>1410</v>
      </c>
      <c r="E145" t="s">
        <v>1410</v>
      </c>
      <c r="F145" t="s">
        <v>1410</v>
      </c>
      <c r="G145" t="s">
        <v>1410</v>
      </c>
      <c r="H145" t="s">
        <v>1410</v>
      </c>
      <c r="I145" t="s">
        <v>1410</v>
      </c>
      <c r="J145" t="s">
        <v>1410</v>
      </c>
      <c r="K145" t="s">
        <v>1410</v>
      </c>
      <c r="L145" t="s">
        <v>1410</v>
      </c>
      <c r="M145" t="s">
        <v>1410</v>
      </c>
      <c r="N145" t="s">
        <v>1410</v>
      </c>
      <c r="O145" t="s">
        <v>1410</v>
      </c>
      <c r="P145" t="s">
        <v>1410</v>
      </c>
      <c r="Q145" t="s">
        <v>1410</v>
      </c>
      <c r="R145" t="s">
        <v>1410</v>
      </c>
      <c r="S145" t="s">
        <v>1410</v>
      </c>
      <c r="T145" t="s">
        <v>1410</v>
      </c>
      <c r="U145" t="s">
        <v>1410</v>
      </c>
      <c r="V145" t="s">
        <v>1410</v>
      </c>
      <c r="W145" t="s">
        <v>1410</v>
      </c>
      <c r="X145" t="s">
        <v>1410</v>
      </c>
      <c r="Y145" t="s">
        <v>1410</v>
      </c>
      <c r="Z145" t="s">
        <v>1410</v>
      </c>
      <c r="AA145" t="s">
        <v>1410</v>
      </c>
      <c r="AB145" t="s">
        <v>1410</v>
      </c>
      <c r="AC145" t="s">
        <v>1410</v>
      </c>
      <c r="AD145" t="s">
        <v>1410</v>
      </c>
      <c r="AE145" t="s">
        <v>1410</v>
      </c>
      <c r="AF145" t="str">
        <f t="shared" si="5"/>
        <v>//135 - 0x87</v>
      </c>
    </row>
    <row r="146" spans="1:32" x14ac:dyDescent="0.25">
      <c r="A146" t="str">
        <f t="shared" si="4"/>
        <v>//136 - 0x88</v>
      </c>
      <c r="D146" t="s">
        <v>1410</v>
      </c>
      <c r="E146" t="s">
        <v>1410</v>
      </c>
      <c r="F146" t="s">
        <v>1410</v>
      </c>
      <c r="G146" t="s">
        <v>1410</v>
      </c>
      <c r="H146" t="s">
        <v>1410</v>
      </c>
      <c r="I146" t="s">
        <v>1410</v>
      </c>
      <c r="J146" t="s">
        <v>1410</v>
      </c>
      <c r="K146" t="s">
        <v>1410</v>
      </c>
      <c r="L146" t="s">
        <v>1410</v>
      </c>
      <c r="M146" t="s">
        <v>1410</v>
      </c>
      <c r="N146" t="s">
        <v>1410</v>
      </c>
      <c r="O146" t="s">
        <v>1410</v>
      </c>
      <c r="P146" t="s">
        <v>1410</v>
      </c>
      <c r="Q146" t="s">
        <v>1410</v>
      </c>
      <c r="R146" t="s">
        <v>1410</v>
      </c>
      <c r="S146" t="s">
        <v>1410</v>
      </c>
      <c r="T146" t="s">
        <v>1410</v>
      </c>
      <c r="U146" t="s">
        <v>1410</v>
      </c>
      <c r="V146" t="s">
        <v>1410</v>
      </c>
      <c r="W146" t="s">
        <v>1410</v>
      </c>
      <c r="X146" t="s">
        <v>1410</v>
      </c>
      <c r="Y146" t="s">
        <v>1410</v>
      </c>
      <c r="Z146" t="s">
        <v>1410</v>
      </c>
      <c r="AA146" t="s">
        <v>1410</v>
      </c>
      <c r="AB146" t="s">
        <v>1410</v>
      </c>
      <c r="AC146" t="s">
        <v>1410</v>
      </c>
      <c r="AD146" t="s">
        <v>1410</v>
      </c>
      <c r="AE146" t="s">
        <v>1410</v>
      </c>
      <c r="AF146" t="str">
        <f t="shared" si="5"/>
        <v>//136 - 0x88</v>
      </c>
    </row>
    <row r="147" spans="1:32" x14ac:dyDescent="0.25">
      <c r="A147" t="str">
        <f t="shared" si="4"/>
        <v>//137 - 0x89</v>
      </c>
      <c r="D147" t="s">
        <v>1410</v>
      </c>
      <c r="E147" t="s">
        <v>1410</v>
      </c>
      <c r="F147" t="s">
        <v>1410</v>
      </c>
      <c r="G147" t="s">
        <v>1410</v>
      </c>
      <c r="H147" t="s">
        <v>1410</v>
      </c>
      <c r="I147" t="s">
        <v>1410</v>
      </c>
      <c r="J147" t="s">
        <v>1410</v>
      </c>
      <c r="K147" t="s">
        <v>1410</v>
      </c>
      <c r="L147" t="s">
        <v>1410</v>
      </c>
      <c r="M147" t="s">
        <v>1410</v>
      </c>
      <c r="N147" t="s">
        <v>1410</v>
      </c>
      <c r="O147" t="s">
        <v>1410</v>
      </c>
      <c r="P147" t="s">
        <v>1410</v>
      </c>
      <c r="Q147" t="s">
        <v>1410</v>
      </c>
      <c r="R147" t="s">
        <v>1410</v>
      </c>
      <c r="S147" t="s">
        <v>1410</v>
      </c>
      <c r="T147" t="s">
        <v>1410</v>
      </c>
      <c r="U147" t="s">
        <v>1410</v>
      </c>
      <c r="V147" t="s">
        <v>1410</v>
      </c>
      <c r="W147" t="s">
        <v>1410</v>
      </c>
      <c r="X147" t="s">
        <v>1410</v>
      </c>
      <c r="Y147" t="s">
        <v>1410</v>
      </c>
      <c r="Z147" t="s">
        <v>1410</v>
      </c>
      <c r="AA147" t="s">
        <v>1410</v>
      </c>
      <c r="AB147" t="s">
        <v>1410</v>
      </c>
      <c r="AC147" t="s">
        <v>1410</v>
      </c>
      <c r="AD147" t="s">
        <v>1410</v>
      </c>
      <c r="AE147" t="s">
        <v>1410</v>
      </c>
      <c r="AF147" t="str">
        <f t="shared" si="5"/>
        <v>//137 - 0x89</v>
      </c>
    </row>
    <row r="148" spans="1:32" x14ac:dyDescent="0.25">
      <c r="A148" t="str">
        <f t="shared" si="4"/>
        <v>//138 - 0x8A</v>
      </c>
      <c r="D148" t="s">
        <v>1410</v>
      </c>
      <c r="E148" t="s">
        <v>1410</v>
      </c>
      <c r="F148" t="s">
        <v>1410</v>
      </c>
      <c r="G148" t="s">
        <v>1410</v>
      </c>
      <c r="H148" t="s">
        <v>1410</v>
      </c>
      <c r="I148" t="s">
        <v>1410</v>
      </c>
      <c r="J148" t="s">
        <v>1410</v>
      </c>
      <c r="K148" t="s">
        <v>1410</v>
      </c>
      <c r="L148" t="s">
        <v>1410</v>
      </c>
      <c r="M148" t="s">
        <v>1410</v>
      </c>
      <c r="N148" t="s">
        <v>1410</v>
      </c>
      <c r="O148" t="s">
        <v>1410</v>
      </c>
      <c r="P148" t="s">
        <v>1410</v>
      </c>
      <c r="Q148" t="s">
        <v>1410</v>
      </c>
      <c r="R148" t="s">
        <v>1410</v>
      </c>
      <c r="S148" t="s">
        <v>1410</v>
      </c>
      <c r="T148" t="s">
        <v>1410</v>
      </c>
      <c r="U148" t="s">
        <v>1410</v>
      </c>
      <c r="V148" t="s">
        <v>1410</v>
      </c>
      <c r="W148" t="s">
        <v>1410</v>
      </c>
      <c r="X148" t="s">
        <v>1410</v>
      </c>
      <c r="Y148" t="s">
        <v>1410</v>
      </c>
      <c r="Z148" t="s">
        <v>1410</v>
      </c>
      <c r="AA148" t="s">
        <v>1410</v>
      </c>
      <c r="AB148" t="s">
        <v>1410</v>
      </c>
      <c r="AC148" t="s">
        <v>1410</v>
      </c>
      <c r="AD148" t="s">
        <v>1410</v>
      </c>
      <c r="AE148" t="s">
        <v>1410</v>
      </c>
      <c r="AF148" t="str">
        <f t="shared" si="5"/>
        <v>//138 - 0x8A</v>
      </c>
    </row>
    <row r="149" spans="1:32" x14ac:dyDescent="0.25">
      <c r="A149" t="str">
        <f t="shared" si="4"/>
        <v>//139 - 0x8B</v>
      </c>
      <c r="D149" t="s">
        <v>1410</v>
      </c>
      <c r="E149" t="s">
        <v>1410</v>
      </c>
      <c r="F149" t="s">
        <v>1410</v>
      </c>
      <c r="G149" t="s">
        <v>1410</v>
      </c>
      <c r="H149" t="s">
        <v>1410</v>
      </c>
      <c r="I149" t="s">
        <v>1410</v>
      </c>
      <c r="J149" t="s">
        <v>1410</v>
      </c>
      <c r="K149" t="s">
        <v>1410</v>
      </c>
      <c r="L149" t="s">
        <v>1410</v>
      </c>
      <c r="M149" t="s">
        <v>1410</v>
      </c>
      <c r="N149" t="s">
        <v>1410</v>
      </c>
      <c r="O149" t="s">
        <v>1410</v>
      </c>
      <c r="P149" t="s">
        <v>1410</v>
      </c>
      <c r="Q149" t="s">
        <v>1410</v>
      </c>
      <c r="R149" t="s">
        <v>1410</v>
      </c>
      <c r="S149" t="s">
        <v>1410</v>
      </c>
      <c r="T149" t="s">
        <v>1410</v>
      </c>
      <c r="U149" t="s">
        <v>1410</v>
      </c>
      <c r="V149" t="s">
        <v>1410</v>
      </c>
      <c r="W149" t="s">
        <v>1410</v>
      </c>
      <c r="X149" t="s">
        <v>1410</v>
      </c>
      <c r="Y149" t="s">
        <v>1410</v>
      </c>
      <c r="Z149" t="s">
        <v>1410</v>
      </c>
      <c r="AA149" t="s">
        <v>1410</v>
      </c>
      <c r="AB149" t="s">
        <v>1410</v>
      </c>
      <c r="AC149" t="s">
        <v>1410</v>
      </c>
      <c r="AD149" t="s">
        <v>1410</v>
      </c>
      <c r="AE149" t="s">
        <v>1410</v>
      </c>
      <c r="AF149" t="str">
        <f t="shared" si="5"/>
        <v>//139 - 0x8B</v>
      </c>
    </row>
    <row r="150" spans="1:32" x14ac:dyDescent="0.25">
      <c r="A150" t="str">
        <f t="shared" si="4"/>
        <v>//140 - 0x8C</v>
      </c>
      <c r="D150" t="s">
        <v>1410</v>
      </c>
      <c r="E150" t="s">
        <v>1410</v>
      </c>
      <c r="F150" t="s">
        <v>1410</v>
      </c>
      <c r="G150" t="s">
        <v>1410</v>
      </c>
      <c r="H150" t="s">
        <v>1410</v>
      </c>
      <c r="I150" t="s">
        <v>1410</v>
      </c>
      <c r="J150" t="s">
        <v>1410</v>
      </c>
      <c r="K150" t="s">
        <v>1410</v>
      </c>
      <c r="L150" t="s">
        <v>1410</v>
      </c>
      <c r="M150" t="s">
        <v>1410</v>
      </c>
      <c r="N150" t="s">
        <v>1410</v>
      </c>
      <c r="O150" t="s">
        <v>1410</v>
      </c>
      <c r="P150" t="s">
        <v>1410</v>
      </c>
      <c r="Q150" t="s">
        <v>1410</v>
      </c>
      <c r="R150" t="s">
        <v>1410</v>
      </c>
      <c r="S150" t="s">
        <v>1410</v>
      </c>
      <c r="T150" t="s">
        <v>1410</v>
      </c>
      <c r="U150" t="s">
        <v>1410</v>
      </c>
      <c r="V150" t="s">
        <v>1410</v>
      </c>
      <c r="W150" t="s">
        <v>1410</v>
      </c>
      <c r="X150" t="s">
        <v>1410</v>
      </c>
      <c r="Y150" t="s">
        <v>1410</v>
      </c>
      <c r="Z150" t="s">
        <v>1410</v>
      </c>
      <c r="AA150" t="s">
        <v>1410</v>
      </c>
      <c r="AB150" t="s">
        <v>1410</v>
      </c>
      <c r="AC150" t="s">
        <v>1410</v>
      </c>
      <c r="AD150" t="s">
        <v>1410</v>
      </c>
      <c r="AE150" t="s">
        <v>1410</v>
      </c>
      <c r="AF150" t="str">
        <f t="shared" si="5"/>
        <v>//140 - 0x8C</v>
      </c>
    </row>
    <row r="151" spans="1:32" x14ac:dyDescent="0.25">
      <c r="A151" t="str">
        <f t="shared" si="4"/>
        <v>//141 - 0x8D</v>
      </c>
      <c r="D151" t="s">
        <v>1410</v>
      </c>
      <c r="E151" t="s">
        <v>1410</v>
      </c>
      <c r="F151" t="s">
        <v>1410</v>
      </c>
      <c r="G151" t="s">
        <v>1410</v>
      </c>
      <c r="H151" t="s">
        <v>1410</v>
      </c>
      <c r="I151" t="s">
        <v>1410</v>
      </c>
      <c r="J151" t="s">
        <v>1410</v>
      </c>
      <c r="K151" t="s">
        <v>1410</v>
      </c>
      <c r="L151" t="s">
        <v>1410</v>
      </c>
      <c r="M151" t="s">
        <v>1410</v>
      </c>
      <c r="N151" t="s">
        <v>1410</v>
      </c>
      <c r="O151" t="s">
        <v>1410</v>
      </c>
      <c r="P151" t="s">
        <v>1410</v>
      </c>
      <c r="Q151" t="s">
        <v>1410</v>
      </c>
      <c r="R151" t="s">
        <v>1410</v>
      </c>
      <c r="S151" t="s">
        <v>1410</v>
      </c>
      <c r="T151" t="s">
        <v>1410</v>
      </c>
      <c r="U151" t="s">
        <v>1410</v>
      </c>
      <c r="V151" t="s">
        <v>1410</v>
      </c>
      <c r="W151" t="s">
        <v>1410</v>
      </c>
      <c r="X151" t="s">
        <v>1410</v>
      </c>
      <c r="Y151" t="s">
        <v>1410</v>
      </c>
      <c r="Z151" t="s">
        <v>1410</v>
      </c>
      <c r="AA151" t="s">
        <v>1410</v>
      </c>
      <c r="AB151" t="s">
        <v>1410</v>
      </c>
      <c r="AC151" t="s">
        <v>1410</v>
      </c>
      <c r="AD151" t="s">
        <v>1410</v>
      </c>
      <c r="AE151" t="s">
        <v>1410</v>
      </c>
      <c r="AF151" t="str">
        <f t="shared" si="5"/>
        <v>//141 - 0x8D</v>
      </c>
    </row>
    <row r="152" spans="1:32" x14ac:dyDescent="0.25">
      <c r="A152" t="str">
        <f t="shared" si="4"/>
        <v>//142 - 0x8E</v>
      </c>
      <c r="D152" t="s">
        <v>1410</v>
      </c>
      <c r="E152" t="s">
        <v>1410</v>
      </c>
      <c r="F152" t="s">
        <v>1410</v>
      </c>
      <c r="G152" t="s">
        <v>1410</v>
      </c>
      <c r="H152" t="s">
        <v>1410</v>
      </c>
      <c r="I152" t="s">
        <v>1410</v>
      </c>
      <c r="J152" t="s">
        <v>1410</v>
      </c>
      <c r="K152" t="s">
        <v>1410</v>
      </c>
      <c r="L152" t="s">
        <v>1410</v>
      </c>
      <c r="M152" t="s">
        <v>1410</v>
      </c>
      <c r="N152" t="s">
        <v>1410</v>
      </c>
      <c r="O152" t="s">
        <v>1410</v>
      </c>
      <c r="P152" t="s">
        <v>1410</v>
      </c>
      <c r="Q152" t="s">
        <v>1410</v>
      </c>
      <c r="R152" t="s">
        <v>1410</v>
      </c>
      <c r="S152" t="s">
        <v>1410</v>
      </c>
      <c r="T152" t="s">
        <v>1410</v>
      </c>
      <c r="U152" t="s">
        <v>1410</v>
      </c>
      <c r="V152" t="s">
        <v>1410</v>
      </c>
      <c r="W152" t="s">
        <v>1410</v>
      </c>
      <c r="X152" t="s">
        <v>1410</v>
      </c>
      <c r="Y152" t="s">
        <v>1410</v>
      </c>
      <c r="Z152" t="s">
        <v>1410</v>
      </c>
      <c r="AA152" t="s">
        <v>1410</v>
      </c>
      <c r="AB152" t="s">
        <v>1410</v>
      </c>
      <c r="AC152" t="s">
        <v>1410</v>
      </c>
      <c r="AD152" t="s">
        <v>1410</v>
      </c>
      <c r="AE152" t="s">
        <v>1410</v>
      </c>
      <c r="AF152" t="str">
        <f t="shared" si="5"/>
        <v>//142 - 0x8E</v>
      </c>
    </row>
    <row r="153" spans="1:32" x14ac:dyDescent="0.25">
      <c r="A153" t="str">
        <f t="shared" si="4"/>
        <v>//143 - 0x8F</v>
      </c>
      <c r="D153" t="s">
        <v>1410</v>
      </c>
      <c r="E153" t="s">
        <v>1410</v>
      </c>
      <c r="F153" t="s">
        <v>1410</v>
      </c>
      <c r="G153" t="s">
        <v>1410</v>
      </c>
      <c r="H153" t="s">
        <v>1410</v>
      </c>
      <c r="I153" t="s">
        <v>1410</v>
      </c>
      <c r="J153" t="s">
        <v>1410</v>
      </c>
      <c r="K153" t="s">
        <v>1410</v>
      </c>
      <c r="L153" t="s">
        <v>1410</v>
      </c>
      <c r="M153" t="s">
        <v>1410</v>
      </c>
      <c r="N153" t="s">
        <v>1410</v>
      </c>
      <c r="O153" t="s">
        <v>1410</v>
      </c>
      <c r="P153" t="s">
        <v>1410</v>
      </c>
      <c r="Q153" t="s">
        <v>1410</v>
      </c>
      <c r="R153" t="s">
        <v>1410</v>
      </c>
      <c r="S153" t="s">
        <v>1410</v>
      </c>
      <c r="T153" t="s">
        <v>1410</v>
      </c>
      <c r="U153" t="s">
        <v>1410</v>
      </c>
      <c r="V153" t="s">
        <v>1410</v>
      </c>
      <c r="W153" t="s">
        <v>1410</v>
      </c>
      <c r="X153" t="s">
        <v>1410</v>
      </c>
      <c r="Y153" t="s">
        <v>1410</v>
      </c>
      <c r="Z153" t="s">
        <v>1410</v>
      </c>
      <c r="AA153" t="s">
        <v>1410</v>
      </c>
      <c r="AB153" t="s">
        <v>1410</v>
      </c>
      <c r="AC153" t="s">
        <v>1410</v>
      </c>
      <c r="AD153" t="s">
        <v>1410</v>
      </c>
      <c r="AE153" t="s">
        <v>1410</v>
      </c>
      <c r="AF153" t="str">
        <f t="shared" si="5"/>
        <v>//143 - 0x8F</v>
      </c>
    </row>
    <row r="154" spans="1:32" x14ac:dyDescent="0.25">
      <c r="A154" t="str">
        <f t="shared" si="4"/>
        <v>//144 - 0x90</v>
      </c>
      <c r="D154" t="s">
        <v>1410</v>
      </c>
      <c r="E154" t="s">
        <v>1410</v>
      </c>
      <c r="F154" t="s">
        <v>1410</v>
      </c>
      <c r="G154" t="s">
        <v>1410</v>
      </c>
      <c r="H154" t="s">
        <v>1410</v>
      </c>
      <c r="I154" t="s">
        <v>1410</v>
      </c>
      <c r="J154" t="s">
        <v>1410</v>
      </c>
      <c r="K154" t="s">
        <v>1410</v>
      </c>
      <c r="L154" t="s">
        <v>1410</v>
      </c>
      <c r="M154" t="s">
        <v>1410</v>
      </c>
      <c r="N154" t="s">
        <v>1410</v>
      </c>
      <c r="O154" t="s">
        <v>1410</v>
      </c>
      <c r="P154" t="s">
        <v>1410</v>
      </c>
      <c r="Q154" t="s">
        <v>1410</v>
      </c>
      <c r="R154" t="s">
        <v>1410</v>
      </c>
      <c r="S154" t="s">
        <v>1410</v>
      </c>
      <c r="T154" t="s">
        <v>1410</v>
      </c>
      <c r="U154" t="s">
        <v>1410</v>
      </c>
      <c r="V154" t="s">
        <v>1410</v>
      </c>
      <c r="W154" t="s">
        <v>1410</v>
      </c>
      <c r="X154" t="s">
        <v>1410</v>
      </c>
      <c r="Y154" t="s">
        <v>1410</v>
      </c>
      <c r="Z154" t="s">
        <v>1410</v>
      </c>
      <c r="AA154" t="s">
        <v>1410</v>
      </c>
      <c r="AB154" t="s">
        <v>1410</v>
      </c>
      <c r="AC154" t="s">
        <v>1410</v>
      </c>
      <c r="AD154" t="s">
        <v>1410</v>
      </c>
      <c r="AE154" t="s">
        <v>1410</v>
      </c>
      <c r="AF154" t="str">
        <f t="shared" si="5"/>
        <v>//144 - 0x90</v>
      </c>
    </row>
    <row r="155" spans="1:32" x14ac:dyDescent="0.25">
      <c r="A155" t="str">
        <f t="shared" si="4"/>
        <v>//145 - 0x91</v>
      </c>
      <c r="D155" t="s">
        <v>1410</v>
      </c>
      <c r="E155" t="s">
        <v>1410</v>
      </c>
      <c r="F155" t="s">
        <v>1410</v>
      </c>
      <c r="G155" t="s">
        <v>1410</v>
      </c>
      <c r="H155" t="s">
        <v>1410</v>
      </c>
      <c r="I155" t="s">
        <v>1410</v>
      </c>
      <c r="J155" t="s">
        <v>1410</v>
      </c>
      <c r="K155" t="s">
        <v>1410</v>
      </c>
      <c r="L155" t="s">
        <v>1410</v>
      </c>
      <c r="M155" t="s">
        <v>1410</v>
      </c>
      <c r="N155" t="s">
        <v>1410</v>
      </c>
      <c r="O155" t="s">
        <v>1410</v>
      </c>
      <c r="P155" t="s">
        <v>1410</v>
      </c>
      <c r="Q155" t="s">
        <v>1410</v>
      </c>
      <c r="R155" t="s">
        <v>1410</v>
      </c>
      <c r="S155" t="s">
        <v>1410</v>
      </c>
      <c r="T155" t="s">
        <v>1410</v>
      </c>
      <c r="U155" t="s">
        <v>1410</v>
      </c>
      <c r="V155" t="s">
        <v>1410</v>
      </c>
      <c r="W155" t="s">
        <v>1410</v>
      </c>
      <c r="X155" t="s">
        <v>1410</v>
      </c>
      <c r="Y155" t="s">
        <v>1410</v>
      </c>
      <c r="Z155" t="s">
        <v>1410</v>
      </c>
      <c r="AA155" t="s">
        <v>1410</v>
      </c>
      <c r="AB155" t="s">
        <v>1410</v>
      </c>
      <c r="AC155" t="s">
        <v>1410</v>
      </c>
      <c r="AD155" t="s">
        <v>1410</v>
      </c>
      <c r="AE155" t="s">
        <v>1410</v>
      </c>
      <c r="AF155" t="str">
        <f t="shared" si="5"/>
        <v>//145 - 0x91</v>
      </c>
    </row>
    <row r="156" spans="1:32" x14ac:dyDescent="0.25">
      <c r="A156" t="str">
        <f t="shared" si="4"/>
        <v>//146 - 0x92</v>
      </c>
      <c r="D156" t="s">
        <v>1410</v>
      </c>
      <c r="E156" t="s">
        <v>1410</v>
      </c>
      <c r="F156" t="s">
        <v>1410</v>
      </c>
      <c r="G156" t="s">
        <v>1410</v>
      </c>
      <c r="H156" t="s">
        <v>1410</v>
      </c>
      <c r="I156" t="s">
        <v>1410</v>
      </c>
      <c r="J156" t="s">
        <v>1410</v>
      </c>
      <c r="K156" t="s">
        <v>1410</v>
      </c>
      <c r="L156" t="s">
        <v>1410</v>
      </c>
      <c r="M156" t="s">
        <v>1410</v>
      </c>
      <c r="N156" t="s">
        <v>1410</v>
      </c>
      <c r="O156" t="s">
        <v>1410</v>
      </c>
      <c r="P156" t="s">
        <v>1410</v>
      </c>
      <c r="Q156" t="s">
        <v>1410</v>
      </c>
      <c r="R156" t="s">
        <v>1410</v>
      </c>
      <c r="S156" t="s">
        <v>1410</v>
      </c>
      <c r="T156" t="s">
        <v>1410</v>
      </c>
      <c r="U156" t="s">
        <v>1410</v>
      </c>
      <c r="V156" t="s">
        <v>1410</v>
      </c>
      <c r="W156" t="s">
        <v>1410</v>
      </c>
      <c r="X156" t="s">
        <v>1410</v>
      </c>
      <c r="Y156" t="s">
        <v>1410</v>
      </c>
      <c r="Z156" t="s">
        <v>1410</v>
      </c>
      <c r="AA156" t="s">
        <v>1410</v>
      </c>
      <c r="AB156" t="s">
        <v>1410</v>
      </c>
      <c r="AC156" t="s">
        <v>1410</v>
      </c>
      <c r="AD156" t="s">
        <v>1410</v>
      </c>
      <c r="AE156" t="s">
        <v>1410</v>
      </c>
      <c r="AF156" t="str">
        <f t="shared" si="5"/>
        <v>//146 - 0x92</v>
      </c>
    </row>
    <row r="157" spans="1:32" x14ac:dyDescent="0.25">
      <c r="A157" t="str">
        <f t="shared" si="4"/>
        <v>//147 - 0x93</v>
      </c>
      <c r="D157" t="s">
        <v>1410</v>
      </c>
      <c r="E157" t="s">
        <v>1410</v>
      </c>
      <c r="F157" t="s">
        <v>1410</v>
      </c>
      <c r="G157" t="s">
        <v>1410</v>
      </c>
      <c r="H157" t="s">
        <v>1410</v>
      </c>
      <c r="I157" t="s">
        <v>1410</v>
      </c>
      <c r="J157" t="s">
        <v>1410</v>
      </c>
      <c r="K157" t="s">
        <v>1410</v>
      </c>
      <c r="L157" t="s">
        <v>1410</v>
      </c>
      <c r="M157" t="s">
        <v>1410</v>
      </c>
      <c r="N157" t="s">
        <v>1410</v>
      </c>
      <c r="O157" t="s">
        <v>1410</v>
      </c>
      <c r="P157" t="s">
        <v>1410</v>
      </c>
      <c r="Q157" t="s">
        <v>1410</v>
      </c>
      <c r="R157" t="s">
        <v>1410</v>
      </c>
      <c r="S157" t="s">
        <v>1410</v>
      </c>
      <c r="T157" t="s">
        <v>1410</v>
      </c>
      <c r="U157" t="s">
        <v>1410</v>
      </c>
      <c r="V157" t="s">
        <v>1410</v>
      </c>
      <c r="W157" t="s">
        <v>1410</v>
      </c>
      <c r="X157" t="s">
        <v>1410</v>
      </c>
      <c r="Y157" t="s">
        <v>1410</v>
      </c>
      <c r="Z157" t="s">
        <v>1410</v>
      </c>
      <c r="AA157" t="s">
        <v>1410</v>
      </c>
      <c r="AB157" t="s">
        <v>1410</v>
      </c>
      <c r="AC157" t="s">
        <v>1410</v>
      </c>
      <c r="AD157" t="s">
        <v>1410</v>
      </c>
      <c r="AE157" t="s">
        <v>1410</v>
      </c>
      <c r="AF157" t="str">
        <f t="shared" si="5"/>
        <v>//147 - 0x93</v>
      </c>
    </row>
    <row r="158" spans="1:32" x14ac:dyDescent="0.25">
      <c r="A158" t="str">
        <f t="shared" si="4"/>
        <v>//148 - 0x94</v>
      </c>
      <c r="D158" t="s">
        <v>1410</v>
      </c>
      <c r="E158" t="s">
        <v>1410</v>
      </c>
      <c r="F158" t="s">
        <v>1410</v>
      </c>
      <c r="G158" t="s">
        <v>1410</v>
      </c>
      <c r="H158" t="s">
        <v>1410</v>
      </c>
      <c r="I158" t="s">
        <v>1410</v>
      </c>
      <c r="J158" t="s">
        <v>1410</v>
      </c>
      <c r="K158" t="s">
        <v>1410</v>
      </c>
      <c r="L158" t="s">
        <v>1410</v>
      </c>
      <c r="M158" t="s">
        <v>1410</v>
      </c>
      <c r="N158" t="s">
        <v>1410</v>
      </c>
      <c r="O158" t="s">
        <v>1410</v>
      </c>
      <c r="P158" t="s">
        <v>1410</v>
      </c>
      <c r="Q158" t="s">
        <v>1410</v>
      </c>
      <c r="R158" t="s">
        <v>1410</v>
      </c>
      <c r="S158" t="s">
        <v>1410</v>
      </c>
      <c r="T158" t="s">
        <v>1410</v>
      </c>
      <c r="U158" t="s">
        <v>1410</v>
      </c>
      <c r="V158" t="s">
        <v>1410</v>
      </c>
      <c r="W158" t="s">
        <v>1410</v>
      </c>
      <c r="X158" t="s">
        <v>1410</v>
      </c>
      <c r="Y158" t="s">
        <v>1410</v>
      </c>
      <c r="Z158" t="s">
        <v>1410</v>
      </c>
      <c r="AA158" t="s">
        <v>1410</v>
      </c>
      <c r="AB158" t="s">
        <v>1410</v>
      </c>
      <c r="AC158" t="s">
        <v>1410</v>
      </c>
      <c r="AD158" t="s">
        <v>1410</v>
      </c>
      <c r="AE158" t="s">
        <v>1410</v>
      </c>
      <c r="AF158" t="str">
        <f t="shared" si="5"/>
        <v>//148 - 0x94</v>
      </c>
    </row>
    <row r="159" spans="1:32" x14ac:dyDescent="0.25">
      <c r="A159" t="str">
        <f t="shared" si="4"/>
        <v>//149 - 0x95</v>
      </c>
      <c r="D159" t="s">
        <v>1410</v>
      </c>
      <c r="E159" t="s">
        <v>1410</v>
      </c>
      <c r="F159" t="s">
        <v>1410</v>
      </c>
      <c r="G159" t="s">
        <v>1410</v>
      </c>
      <c r="H159" t="s">
        <v>1410</v>
      </c>
      <c r="I159" t="s">
        <v>1410</v>
      </c>
      <c r="J159" t="s">
        <v>1410</v>
      </c>
      <c r="K159" t="s">
        <v>1410</v>
      </c>
      <c r="L159" t="s">
        <v>1410</v>
      </c>
      <c r="M159" t="s">
        <v>1410</v>
      </c>
      <c r="N159" t="s">
        <v>1410</v>
      </c>
      <c r="O159" t="s">
        <v>1410</v>
      </c>
      <c r="P159" t="s">
        <v>1410</v>
      </c>
      <c r="Q159" t="s">
        <v>1410</v>
      </c>
      <c r="R159" t="s">
        <v>1410</v>
      </c>
      <c r="S159" t="s">
        <v>1410</v>
      </c>
      <c r="T159" t="s">
        <v>1410</v>
      </c>
      <c r="U159" t="s">
        <v>1410</v>
      </c>
      <c r="V159" t="s">
        <v>1410</v>
      </c>
      <c r="W159" t="s">
        <v>1410</v>
      </c>
      <c r="X159" t="s">
        <v>1410</v>
      </c>
      <c r="Y159" t="s">
        <v>1410</v>
      </c>
      <c r="Z159" t="s">
        <v>1410</v>
      </c>
      <c r="AA159" t="s">
        <v>1410</v>
      </c>
      <c r="AB159" t="s">
        <v>1410</v>
      </c>
      <c r="AC159" t="s">
        <v>1410</v>
      </c>
      <c r="AD159" t="s">
        <v>1410</v>
      </c>
      <c r="AE159" t="s">
        <v>1410</v>
      </c>
      <c r="AF159" t="str">
        <f t="shared" si="5"/>
        <v>//149 - 0x95</v>
      </c>
    </row>
    <row r="160" spans="1:32" x14ac:dyDescent="0.25">
      <c r="A160" t="str">
        <f t="shared" si="4"/>
        <v>//150 - 0x96</v>
      </c>
      <c r="D160" t="s">
        <v>1410</v>
      </c>
      <c r="E160" t="s">
        <v>1410</v>
      </c>
      <c r="F160" t="s">
        <v>1410</v>
      </c>
      <c r="G160" t="s">
        <v>1410</v>
      </c>
      <c r="H160" t="s">
        <v>1410</v>
      </c>
      <c r="I160" t="s">
        <v>1410</v>
      </c>
      <c r="J160" t="s">
        <v>1410</v>
      </c>
      <c r="K160" t="s">
        <v>1410</v>
      </c>
      <c r="L160" t="s">
        <v>1410</v>
      </c>
      <c r="M160" t="s">
        <v>1410</v>
      </c>
      <c r="N160" t="s">
        <v>1410</v>
      </c>
      <c r="O160" t="s">
        <v>1410</v>
      </c>
      <c r="P160" t="s">
        <v>1410</v>
      </c>
      <c r="Q160" t="s">
        <v>1410</v>
      </c>
      <c r="R160" t="s">
        <v>1410</v>
      </c>
      <c r="S160" t="s">
        <v>1410</v>
      </c>
      <c r="T160" t="s">
        <v>1410</v>
      </c>
      <c r="U160" t="s">
        <v>1410</v>
      </c>
      <c r="V160" t="s">
        <v>1410</v>
      </c>
      <c r="W160" t="s">
        <v>1410</v>
      </c>
      <c r="X160" t="s">
        <v>1410</v>
      </c>
      <c r="Y160" t="s">
        <v>1410</v>
      </c>
      <c r="Z160" t="s">
        <v>1410</v>
      </c>
      <c r="AA160" t="s">
        <v>1410</v>
      </c>
      <c r="AB160" t="s">
        <v>1410</v>
      </c>
      <c r="AC160" t="s">
        <v>1410</v>
      </c>
      <c r="AD160" t="s">
        <v>1410</v>
      </c>
      <c r="AE160" t="s">
        <v>1410</v>
      </c>
      <c r="AF160" t="str">
        <f t="shared" si="5"/>
        <v>//150 - 0x96</v>
      </c>
    </row>
    <row r="161" spans="1:32" x14ac:dyDescent="0.25">
      <c r="A161" t="str">
        <f t="shared" si="4"/>
        <v>//151 - 0x97</v>
      </c>
      <c r="D161" t="s">
        <v>1410</v>
      </c>
      <c r="E161" t="s">
        <v>1410</v>
      </c>
      <c r="F161" t="s">
        <v>1410</v>
      </c>
      <c r="G161" t="s">
        <v>1410</v>
      </c>
      <c r="H161" t="s">
        <v>1410</v>
      </c>
      <c r="I161" t="s">
        <v>1410</v>
      </c>
      <c r="J161" t="s">
        <v>1410</v>
      </c>
      <c r="K161" t="s">
        <v>1410</v>
      </c>
      <c r="L161" t="s">
        <v>1410</v>
      </c>
      <c r="M161" t="s">
        <v>1410</v>
      </c>
      <c r="N161" t="s">
        <v>1410</v>
      </c>
      <c r="O161" t="s">
        <v>1410</v>
      </c>
      <c r="P161" t="s">
        <v>1410</v>
      </c>
      <c r="Q161" t="s">
        <v>1410</v>
      </c>
      <c r="R161" t="s">
        <v>1410</v>
      </c>
      <c r="S161" t="s">
        <v>1410</v>
      </c>
      <c r="T161" t="s">
        <v>1410</v>
      </c>
      <c r="U161" t="s">
        <v>1410</v>
      </c>
      <c r="V161" t="s">
        <v>1410</v>
      </c>
      <c r="W161" t="s">
        <v>1410</v>
      </c>
      <c r="X161" t="s">
        <v>1410</v>
      </c>
      <c r="Y161" t="s">
        <v>1410</v>
      </c>
      <c r="Z161" t="s">
        <v>1410</v>
      </c>
      <c r="AA161" t="s">
        <v>1410</v>
      </c>
      <c r="AB161" t="s">
        <v>1410</v>
      </c>
      <c r="AC161" t="s">
        <v>1410</v>
      </c>
      <c r="AD161" t="s">
        <v>1410</v>
      </c>
      <c r="AE161" t="s">
        <v>1410</v>
      </c>
      <c r="AF161" t="str">
        <f t="shared" si="5"/>
        <v>//151 - 0x97</v>
      </c>
    </row>
    <row r="162" spans="1:32" x14ac:dyDescent="0.25">
      <c r="A162" t="str">
        <f t="shared" si="4"/>
        <v>//152 - 0x98</v>
      </c>
      <c r="D162" t="s">
        <v>1410</v>
      </c>
      <c r="E162" t="s">
        <v>1410</v>
      </c>
      <c r="F162" t="s">
        <v>1410</v>
      </c>
      <c r="G162" t="s">
        <v>1410</v>
      </c>
      <c r="H162" t="s">
        <v>1410</v>
      </c>
      <c r="I162" t="s">
        <v>1410</v>
      </c>
      <c r="J162" t="s">
        <v>1410</v>
      </c>
      <c r="K162" t="s">
        <v>1410</v>
      </c>
      <c r="L162" t="s">
        <v>1410</v>
      </c>
      <c r="M162" t="s">
        <v>1410</v>
      </c>
      <c r="N162" t="s">
        <v>1410</v>
      </c>
      <c r="O162" t="s">
        <v>1410</v>
      </c>
      <c r="P162" t="s">
        <v>1410</v>
      </c>
      <c r="Q162" t="s">
        <v>1410</v>
      </c>
      <c r="R162" t="s">
        <v>1410</v>
      </c>
      <c r="S162" t="s">
        <v>1410</v>
      </c>
      <c r="T162" t="s">
        <v>1410</v>
      </c>
      <c r="U162" t="s">
        <v>1410</v>
      </c>
      <c r="V162" t="s">
        <v>1410</v>
      </c>
      <c r="W162" t="s">
        <v>1410</v>
      </c>
      <c r="X162" t="s">
        <v>1410</v>
      </c>
      <c r="Y162" t="s">
        <v>1410</v>
      </c>
      <c r="Z162" t="s">
        <v>1410</v>
      </c>
      <c r="AA162" t="s">
        <v>1410</v>
      </c>
      <c r="AB162" t="s">
        <v>1410</v>
      </c>
      <c r="AC162" t="s">
        <v>1410</v>
      </c>
      <c r="AD162" t="s">
        <v>1410</v>
      </c>
      <c r="AE162" t="s">
        <v>1410</v>
      </c>
      <c r="AF162" t="str">
        <f t="shared" si="5"/>
        <v>//152 - 0x98</v>
      </c>
    </row>
    <row r="163" spans="1:32" x14ac:dyDescent="0.25">
      <c r="A163" t="str">
        <f t="shared" si="4"/>
        <v>//153 - 0x99</v>
      </c>
      <c r="D163" t="s">
        <v>1410</v>
      </c>
      <c r="E163" t="s">
        <v>1410</v>
      </c>
      <c r="F163" t="s">
        <v>1410</v>
      </c>
      <c r="G163" t="s">
        <v>1410</v>
      </c>
      <c r="H163" t="s">
        <v>1410</v>
      </c>
      <c r="I163" t="s">
        <v>1410</v>
      </c>
      <c r="J163" t="s">
        <v>1410</v>
      </c>
      <c r="K163" t="s">
        <v>1410</v>
      </c>
      <c r="L163" t="s">
        <v>1410</v>
      </c>
      <c r="M163" t="s">
        <v>1410</v>
      </c>
      <c r="N163" t="s">
        <v>1410</v>
      </c>
      <c r="O163" t="s">
        <v>1410</v>
      </c>
      <c r="P163" t="s">
        <v>1410</v>
      </c>
      <c r="Q163" t="s">
        <v>1410</v>
      </c>
      <c r="R163" t="s">
        <v>1410</v>
      </c>
      <c r="S163" t="s">
        <v>1410</v>
      </c>
      <c r="T163" t="s">
        <v>1410</v>
      </c>
      <c r="U163" t="s">
        <v>1410</v>
      </c>
      <c r="V163" t="s">
        <v>1410</v>
      </c>
      <c r="W163" t="s">
        <v>1410</v>
      </c>
      <c r="X163" t="s">
        <v>1410</v>
      </c>
      <c r="Y163" t="s">
        <v>1410</v>
      </c>
      <c r="Z163" t="s">
        <v>1410</v>
      </c>
      <c r="AA163" t="s">
        <v>1410</v>
      </c>
      <c r="AB163" t="s">
        <v>1410</v>
      </c>
      <c r="AC163" t="s">
        <v>1410</v>
      </c>
      <c r="AD163" t="s">
        <v>1410</v>
      </c>
      <c r="AE163" t="s">
        <v>1410</v>
      </c>
      <c r="AF163" t="str">
        <f t="shared" si="5"/>
        <v>//153 - 0x99</v>
      </c>
    </row>
    <row r="164" spans="1:32" x14ac:dyDescent="0.25">
      <c r="A164" t="str">
        <f t="shared" si="4"/>
        <v>//154 - 0x9A</v>
      </c>
      <c r="D164" t="s">
        <v>1410</v>
      </c>
      <c r="E164" t="s">
        <v>1410</v>
      </c>
      <c r="F164" t="s">
        <v>1410</v>
      </c>
      <c r="G164" t="s">
        <v>1410</v>
      </c>
      <c r="H164" t="s">
        <v>1410</v>
      </c>
      <c r="I164" t="s">
        <v>1410</v>
      </c>
      <c r="J164" t="s">
        <v>1410</v>
      </c>
      <c r="K164" t="s">
        <v>1410</v>
      </c>
      <c r="L164" t="s">
        <v>1410</v>
      </c>
      <c r="M164" t="s">
        <v>1410</v>
      </c>
      <c r="N164" t="s">
        <v>1410</v>
      </c>
      <c r="O164" t="s">
        <v>1410</v>
      </c>
      <c r="P164" t="s">
        <v>1410</v>
      </c>
      <c r="Q164" t="s">
        <v>1410</v>
      </c>
      <c r="R164" t="s">
        <v>1410</v>
      </c>
      <c r="S164" t="s">
        <v>1410</v>
      </c>
      <c r="T164" t="s">
        <v>1410</v>
      </c>
      <c r="U164" t="s">
        <v>1410</v>
      </c>
      <c r="V164" t="s">
        <v>1410</v>
      </c>
      <c r="W164" t="s">
        <v>1410</v>
      </c>
      <c r="X164" t="s">
        <v>1410</v>
      </c>
      <c r="Y164" t="s">
        <v>1410</v>
      </c>
      <c r="Z164" t="s">
        <v>1410</v>
      </c>
      <c r="AA164" t="s">
        <v>1410</v>
      </c>
      <c r="AB164" t="s">
        <v>1410</v>
      </c>
      <c r="AC164" t="s">
        <v>1410</v>
      </c>
      <c r="AD164" t="s">
        <v>1410</v>
      </c>
      <c r="AE164" t="s">
        <v>1410</v>
      </c>
      <c r="AF164" t="str">
        <f t="shared" si="5"/>
        <v>//154 - 0x9A</v>
      </c>
    </row>
    <row r="165" spans="1:32" x14ac:dyDescent="0.25">
      <c r="A165" t="str">
        <f t="shared" si="4"/>
        <v>//155 - 0x9B</v>
      </c>
      <c r="D165" t="s">
        <v>1410</v>
      </c>
      <c r="E165" t="s">
        <v>1410</v>
      </c>
      <c r="F165" t="s">
        <v>1410</v>
      </c>
      <c r="G165" t="s">
        <v>1410</v>
      </c>
      <c r="H165" t="s">
        <v>1410</v>
      </c>
      <c r="I165" t="s">
        <v>1410</v>
      </c>
      <c r="J165" t="s">
        <v>1410</v>
      </c>
      <c r="K165" t="s">
        <v>1410</v>
      </c>
      <c r="L165" t="s">
        <v>1410</v>
      </c>
      <c r="M165" t="s">
        <v>1410</v>
      </c>
      <c r="N165" t="s">
        <v>1410</v>
      </c>
      <c r="O165" t="s">
        <v>1410</v>
      </c>
      <c r="P165" t="s">
        <v>1410</v>
      </c>
      <c r="Q165" t="s">
        <v>1410</v>
      </c>
      <c r="R165" t="s">
        <v>1410</v>
      </c>
      <c r="S165" t="s">
        <v>1410</v>
      </c>
      <c r="T165" t="s">
        <v>1410</v>
      </c>
      <c r="U165" t="s">
        <v>1410</v>
      </c>
      <c r="V165" t="s">
        <v>1410</v>
      </c>
      <c r="W165" t="s">
        <v>1410</v>
      </c>
      <c r="X165" t="s">
        <v>1410</v>
      </c>
      <c r="Y165" t="s">
        <v>1410</v>
      </c>
      <c r="Z165" t="s">
        <v>1410</v>
      </c>
      <c r="AA165" t="s">
        <v>1410</v>
      </c>
      <c r="AB165" t="s">
        <v>1410</v>
      </c>
      <c r="AC165" t="s">
        <v>1410</v>
      </c>
      <c r="AD165" t="s">
        <v>1410</v>
      </c>
      <c r="AE165" t="s">
        <v>1410</v>
      </c>
      <c r="AF165" t="str">
        <f t="shared" si="5"/>
        <v>//155 - 0x9B</v>
      </c>
    </row>
    <row r="166" spans="1:32" x14ac:dyDescent="0.25">
      <c r="A166" t="str">
        <f t="shared" si="4"/>
        <v>//156 - 0x9C</v>
      </c>
      <c r="D166" t="s">
        <v>1410</v>
      </c>
      <c r="E166" t="s">
        <v>1410</v>
      </c>
      <c r="F166" t="s">
        <v>1410</v>
      </c>
      <c r="G166" t="s">
        <v>1410</v>
      </c>
      <c r="H166" t="s">
        <v>1410</v>
      </c>
      <c r="I166" t="s">
        <v>1410</v>
      </c>
      <c r="J166" t="s">
        <v>1410</v>
      </c>
      <c r="K166" t="s">
        <v>1410</v>
      </c>
      <c r="L166" t="s">
        <v>1410</v>
      </c>
      <c r="M166" t="s">
        <v>1410</v>
      </c>
      <c r="N166" t="s">
        <v>1410</v>
      </c>
      <c r="O166" t="s">
        <v>1410</v>
      </c>
      <c r="P166" t="s">
        <v>1410</v>
      </c>
      <c r="Q166" t="s">
        <v>1410</v>
      </c>
      <c r="R166" t="s">
        <v>1410</v>
      </c>
      <c r="S166" t="s">
        <v>1410</v>
      </c>
      <c r="T166" t="s">
        <v>1410</v>
      </c>
      <c r="U166" t="s">
        <v>1410</v>
      </c>
      <c r="V166" t="s">
        <v>1410</v>
      </c>
      <c r="W166" t="s">
        <v>1410</v>
      </c>
      <c r="X166" t="s">
        <v>1410</v>
      </c>
      <c r="Y166" t="s">
        <v>1410</v>
      </c>
      <c r="Z166" t="s">
        <v>1410</v>
      </c>
      <c r="AA166" t="s">
        <v>1410</v>
      </c>
      <c r="AB166" t="s">
        <v>1410</v>
      </c>
      <c r="AC166" t="s">
        <v>1410</v>
      </c>
      <c r="AD166" t="s">
        <v>1410</v>
      </c>
      <c r="AE166" t="s">
        <v>1410</v>
      </c>
      <c r="AF166" t="str">
        <f t="shared" si="5"/>
        <v>//156 - 0x9C</v>
      </c>
    </row>
    <row r="167" spans="1:32" x14ac:dyDescent="0.25">
      <c r="A167" t="str">
        <f t="shared" si="4"/>
        <v>//157 - 0x9D</v>
      </c>
      <c r="D167" t="s">
        <v>1410</v>
      </c>
      <c r="E167" t="s">
        <v>1410</v>
      </c>
      <c r="F167" t="s">
        <v>1410</v>
      </c>
      <c r="G167" t="s">
        <v>1410</v>
      </c>
      <c r="H167" t="s">
        <v>1410</v>
      </c>
      <c r="I167" t="s">
        <v>1410</v>
      </c>
      <c r="J167" t="s">
        <v>1410</v>
      </c>
      <c r="K167" t="s">
        <v>1410</v>
      </c>
      <c r="L167" t="s">
        <v>1410</v>
      </c>
      <c r="M167" t="s">
        <v>1410</v>
      </c>
      <c r="N167" t="s">
        <v>1410</v>
      </c>
      <c r="O167" t="s">
        <v>1410</v>
      </c>
      <c r="P167" t="s">
        <v>1410</v>
      </c>
      <c r="Q167" t="s">
        <v>1410</v>
      </c>
      <c r="R167" t="s">
        <v>1410</v>
      </c>
      <c r="S167" t="s">
        <v>1410</v>
      </c>
      <c r="T167" t="s">
        <v>1410</v>
      </c>
      <c r="U167" t="s">
        <v>1410</v>
      </c>
      <c r="V167" t="s">
        <v>1410</v>
      </c>
      <c r="W167" t="s">
        <v>1410</v>
      </c>
      <c r="X167" t="s">
        <v>1410</v>
      </c>
      <c r="Y167" t="s">
        <v>1410</v>
      </c>
      <c r="Z167" t="s">
        <v>1410</v>
      </c>
      <c r="AA167" t="s">
        <v>1410</v>
      </c>
      <c r="AB167" t="s">
        <v>1410</v>
      </c>
      <c r="AC167" t="s">
        <v>1410</v>
      </c>
      <c r="AD167" t="s">
        <v>1410</v>
      </c>
      <c r="AE167" t="s">
        <v>1410</v>
      </c>
      <c r="AF167" t="str">
        <f t="shared" si="5"/>
        <v>//157 - 0x9D</v>
      </c>
    </row>
    <row r="168" spans="1:32" x14ac:dyDescent="0.25">
      <c r="A168" t="str">
        <f t="shared" si="4"/>
        <v>//158 - 0x9E</v>
      </c>
      <c r="D168" t="s">
        <v>1410</v>
      </c>
      <c r="E168" t="s">
        <v>1410</v>
      </c>
      <c r="F168" t="s">
        <v>1410</v>
      </c>
      <c r="G168" t="s">
        <v>1410</v>
      </c>
      <c r="H168" t="s">
        <v>1410</v>
      </c>
      <c r="I168" t="s">
        <v>1410</v>
      </c>
      <c r="J168" t="s">
        <v>1410</v>
      </c>
      <c r="K168" t="s">
        <v>1410</v>
      </c>
      <c r="L168" t="s">
        <v>1410</v>
      </c>
      <c r="M168" t="s">
        <v>1410</v>
      </c>
      <c r="N168" t="s">
        <v>1410</v>
      </c>
      <c r="O168" t="s">
        <v>1410</v>
      </c>
      <c r="P168" t="s">
        <v>1410</v>
      </c>
      <c r="Q168" t="s">
        <v>1410</v>
      </c>
      <c r="R168" t="s">
        <v>1410</v>
      </c>
      <c r="S168" t="s">
        <v>1410</v>
      </c>
      <c r="T168" t="s">
        <v>1410</v>
      </c>
      <c r="U168" t="s">
        <v>1410</v>
      </c>
      <c r="V168" t="s">
        <v>1410</v>
      </c>
      <c r="W168" t="s">
        <v>1410</v>
      </c>
      <c r="X168" t="s">
        <v>1410</v>
      </c>
      <c r="Y168" t="s">
        <v>1410</v>
      </c>
      <c r="Z168" t="s">
        <v>1410</v>
      </c>
      <c r="AA168" t="s">
        <v>1410</v>
      </c>
      <c r="AB168" t="s">
        <v>1410</v>
      </c>
      <c r="AC168" t="s">
        <v>1410</v>
      </c>
      <c r="AD168" t="s">
        <v>1410</v>
      </c>
      <c r="AE168" t="s">
        <v>1410</v>
      </c>
      <c r="AF168" t="str">
        <f t="shared" si="5"/>
        <v>//158 - 0x9E</v>
      </c>
    </row>
    <row r="169" spans="1:32" x14ac:dyDescent="0.25">
      <c r="A169" t="str">
        <f t="shared" si="4"/>
        <v>//159 - 0x9F</v>
      </c>
      <c r="D169" t="s">
        <v>1410</v>
      </c>
      <c r="E169" t="s">
        <v>1410</v>
      </c>
      <c r="F169" t="s">
        <v>1410</v>
      </c>
      <c r="G169" t="s">
        <v>1410</v>
      </c>
      <c r="H169" t="s">
        <v>1410</v>
      </c>
      <c r="I169" t="s">
        <v>1410</v>
      </c>
      <c r="J169" t="s">
        <v>1410</v>
      </c>
      <c r="K169" t="s">
        <v>1410</v>
      </c>
      <c r="L169" t="s">
        <v>1410</v>
      </c>
      <c r="M169" t="s">
        <v>1410</v>
      </c>
      <c r="N169" t="s">
        <v>1410</v>
      </c>
      <c r="O169" t="s">
        <v>1410</v>
      </c>
      <c r="P169" t="s">
        <v>1410</v>
      </c>
      <c r="Q169" t="s">
        <v>1410</v>
      </c>
      <c r="R169" t="s">
        <v>1410</v>
      </c>
      <c r="S169" t="s">
        <v>1410</v>
      </c>
      <c r="T169" t="s">
        <v>1410</v>
      </c>
      <c r="U169" t="s">
        <v>1410</v>
      </c>
      <c r="V169" t="s">
        <v>1410</v>
      </c>
      <c r="W169" t="s">
        <v>1410</v>
      </c>
      <c r="X169" t="s">
        <v>1410</v>
      </c>
      <c r="Y169" t="s">
        <v>1410</v>
      </c>
      <c r="Z169" t="s">
        <v>1410</v>
      </c>
      <c r="AA169" t="s">
        <v>1410</v>
      </c>
      <c r="AB169" t="s">
        <v>1410</v>
      </c>
      <c r="AC169" t="s">
        <v>1410</v>
      </c>
      <c r="AD169" t="s">
        <v>1410</v>
      </c>
      <c r="AE169" t="s">
        <v>1410</v>
      </c>
      <c r="AF169" t="str">
        <f t="shared" si="5"/>
        <v>//159 - 0x9F</v>
      </c>
    </row>
    <row r="170" spans="1:32" x14ac:dyDescent="0.25">
      <c r="A170" t="str">
        <f t="shared" si="4"/>
        <v>//160 - 0xA0</v>
      </c>
      <c r="D170" t="s">
        <v>1410</v>
      </c>
      <c r="E170" t="s">
        <v>1410</v>
      </c>
      <c r="F170" t="s">
        <v>1410</v>
      </c>
      <c r="G170" t="s">
        <v>1410</v>
      </c>
      <c r="H170" t="s">
        <v>1410</v>
      </c>
      <c r="I170" t="s">
        <v>1410</v>
      </c>
      <c r="J170" t="s">
        <v>1410</v>
      </c>
      <c r="K170" t="s">
        <v>1410</v>
      </c>
      <c r="L170" t="s">
        <v>1410</v>
      </c>
      <c r="M170" t="s">
        <v>1410</v>
      </c>
      <c r="N170" t="s">
        <v>1410</v>
      </c>
      <c r="O170" t="s">
        <v>1410</v>
      </c>
      <c r="P170" t="s">
        <v>1410</v>
      </c>
      <c r="Q170" t="s">
        <v>1410</v>
      </c>
      <c r="R170" t="s">
        <v>1410</v>
      </c>
      <c r="S170" t="s">
        <v>1410</v>
      </c>
      <c r="T170" t="s">
        <v>1410</v>
      </c>
      <c r="U170" t="s">
        <v>1410</v>
      </c>
      <c r="V170" t="s">
        <v>1410</v>
      </c>
      <c r="W170" t="s">
        <v>1410</v>
      </c>
      <c r="X170" t="s">
        <v>1410</v>
      </c>
      <c r="Y170" t="s">
        <v>1410</v>
      </c>
      <c r="Z170" t="s">
        <v>1410</v>
      </c>
      <c r="AA170" t="s">
        <v>1410</v>
      </c>
      <c r="AB170" t="s">
        <v>1410</v>
      </c>
      <c r="AC170" t="s">
        <v>1410</v>
      </c>
      <c r="AD170" t="s">
        <v>1410</v>
      </c>
      <c r="AE170" t="s">
        <v>1410</v>
      </c>
      <c r="AF170" t="str">
        <f t="shared" si="5"/>
        <v>//160 - 0xA0</v>
      </c>
    </row>
    <row r="171" spans="1:32" x14ac:dyDescent="0.25">
      <c r="A171" t="str">
        <f t="shared" si="4"/>
        <v>//161 - 0xA1</v>
      </c>
      <c r="D171" t="s">
        <v>1410</v>
      </c>
      <c r="E171" t="s">
        <v>1410</v>
      </c>
      <c r="F171" t="s">
        <v>1410</v>
      </c>
      <c r="G171" t="s">
        <v>1410</v>
      </c>
      <c r="H171" t="s">
        <v>1410</v>
      </c>
      <c r="I171" t="s">
        <v>1410</v>
      </c>
      <c r="J171" t="s">
        <v>1410</v>
      </c>
      <c r="K171" t="s">
        <v>1410</v>
      </c>
      <c r="L171" t="s">
        <v>1410</v>
      </c>
      <c r="M171" t="s">
        <v>1410</v>
      </c>
      <c r="N171" t="s">
        <v>1410</v>
      </c>
      <c r="O171" t="s">
        <v>1410</v>
      </c>
      <c r="P171" t="s">
        <v>1410</v>
      </c>
      <c r="Q171" t="s">
        <v>1410</v>
      </c>
      <c r="R171" t="s">
        <v>1410</v>
      </c>
      <c r="S171" t="s">
        <v>1410</v>
      </c>
      <c r="T171" t="s">
        <v>1410</v>
      </c>
      <c r="U171" t="s">
        <v>1410</v>
      </c>
      <c r="V171" t="s">
        <v>1410</v>
      </c>
      <c r="W171" t="s">
        <v>1410</v>
      </c>
      <c r="X171" t="s">
        <v>1410</v>
      </c>
      <c r="Y171" t="s">
        <v>1410</v>
      </c>
      <c r="Z171" t="s">
        <v>1410</v>
      </c>
      <c r="AA171" t="s">
        <v>1410</v>
      </c>
      <c r="AB171" t="s">
        <v>1410</v>
      </c>
      <c r="AC171" t="s">
        <v>1410</v>
      </c>
      <c r="AD171" t="s">
        <v>1410</v>
      </c>
      <c r="AE171" t="s">
        <v>1410</v>
      </c>
      <c r="AF171" t="str">
        <f t="shared" si="5"/>
        <v>//161 - 0xA1</v>
      </c>
    </row>
    <row r="172" spans="1:32" x14ac:dyDescent="0.25">
      <c r="A172" t="str">
        <f t="shared" si="4"/>
        <v>//162 - 0xA2</v>
      </c>
      <c r="D172" t="s">
        <v>1410</v>
      </c>
      <c r="E172" t="s">
        <v>1410</v>
      </c>
      <c r="F172" t="s">
        <v>1410</v>
      </c>
      <c r="G172" t="s">
        <v>1410</v>
      </c>
      <c r="H172" t="s">
        <v>1410</v>
      </c>
      <c r="I172" t="s">
        <v>1410</v>
      </c>
      <c r="J172" t="s">
        <v>1410</v>
      </c>
      <c r="K172" t="s">
        <v>1410</v>
      </c>
      <c r="L172" t="s">
        <v>1410</v>
      </c>
      <c r="M172" t="s">
        <v>1410</v>
      </c>
      <c r="N172" t="s">
        <v>1410</v>
      </c>
      <c r="O172" t="s">
        <v>1410</v>
      </c>
      <c r="P172" t="s">
        <v>1410</v>
      </c>
      <c r="Q172" t="s">
        <v>1410</v>
      </c>
      <c r="R172" t="s">
        <v>1410</v>
      </c>
      <c r="S172" t="s">
        <v>1410</v>
      </c>
      <c r="T172" t="s">
        <v>1410</v>
      </c>
      <c r="U172" t="s">
        <v>1410</v>
      </c>
      <c r="V172" t="s">
        <v>1410</v>
      </c>
      <c r="W172" t="s">
        <v>1410</v>
      </c>
      <c r="X172" t="s">
        <v>1410</v>
      </c>
      <c r="Y172" t="s">
        <v>1410</v>
      </c>
      <c r="Z172" t="s">
        <v>1410</v>
      </c>
      <c r="AA172" t="s">
        <v>1410</v>
      </c>
      <c r="AB172" t="s">
        <v>1410</v>
      </c>
      <c r="AC172" t="s">
        <v>1410</v>
      </c>
      <c r="AD172" t="s">
        <v>1410</v>
      </c>
      <c r="AE172" t="s">
        <v>1410</v>
      </c>
      <c r="AF172" t="str">
        <f t="shared" si="5"/>
        <v>//162 - 0xA2</v>
      </c>
    </row>
    <row r="173" spans="1:32" x14ac:dyDescent="0.25">
      <c r="A173" t="str">
        <f t="shared" si="4"/>
        <v>//163 - 0xA3</v>
      </c>
      <c r="D173" t="s">
        <v>1410</v>
      </c>
      <c r="E173" t="s">
        <v>1410</v>
      </c>
      <c r="F173" t="s">
        <v>1410</v>
      </c>
      <c r="G173" t="s">
        <v>1410</v>
      </c>
      <c r="H173" t="s">
        <v>1410</v>
      </c>
      <c r="I173" t="s">
        <v>1410</v>
      </c>
      <c r="J173" t="s">
        <v>1410</v>
      </c>
      <c r="K173" t="s">
        <v>1410</v>
      </c>
      <c r="L173" t="s">
        <v>1410</v>
      </c>
      <c r="M173" t="s">
        <v>1410</v>
      </c>
      <c r="N173" t="s">
        <v>1410</v>
      </c>
      <c r="O173" t="s">
        <v>1410</v>
      </c>
      <c r="P173" t="s">
        <v>1410</v>
      </c>
      <c r="Q173" t="s">
        <v>1410</v>
      </c>
      <c r="R173" t="s">
        <v>1410</v>
      </c>
      <c r="S173" t="s">
        <v>1410</v>
      </c>
      <c r="T173" t="s">
        <v>1410</v>
      </c>
      <c r="U173" t="s">
        <v>1410</v>
      </c>
      <c r="V173" t="s">
        <v>1410</v>
      </c>
      <c r="W173" t="s">
        <v>1410</v>
      </c>
      <c r="X173" t="s">
        <v>1410</v>
      </c>
      <c r="Y173" t="s">
        <v>1410</v>
      </c>
      <c r="Z173" t="s">
        <v>1410</v>
      </c>
      <c r="AA173" t="s">
        <v>1410</v>
      </c>
      <c r="AB173" t="s">
        <v>1410</v>
      </c>
      <c r="AC173" t="s">
        <v>1410</v>
      </c>
      <c r="AD173" t="s">
        <v>1410</v>
      </c>
      <c r="AE173" t="s">
        <v>1410</v>
      </c>
      <c r="AF173" t="str">
        <f t="shared" si="5"/>
        <v>//163 - 0xA3</v>
      </c>
    </row>
    <row r="174" spans="1:32" x14ac:dyDescent="0.25">
      <c r="A174" t="str">
        <f t="shared" si="4"/>
        <v>//164 - 0xA4</v>
      </c>
      <c r="D174" t="s">
        <v>1410</v>
      </c>
      <c r="E174" t="s">
        <v>1410</v>
      </c>
      <c r="F174" t="s">
        <v>1410</v>
      </c>
      <c r="G174" t="s">
        <v>1410</v>
      </c>
      <c r="H174" t="s">
        <v>1410</v>
      </c>
      <c r="I174" t="s">
        <v>1410</v>
      </c>
      <c r="J174" t="s">
        <v>1410</v>
      </c>
      <c r="K174" t="s">
        <v>1410</v>
      </c>
      <c r="L174" t="s">
        <v>1410</v>
      </c>
      <c r="M174" t="s">
        <v>1410</v>
      </c>
      <c r="N174" t="s">
        <v>1410</v>
      </c>
      <c r="O174" t="s">
        <v>1410</v>
      </c>
      <c r="P174" t="s">
        <v>1410</v>
      </c>
      <c r="Q174" t="s">
        <v>1410</v>
      </c>
      <c r="R174" t="s">
        <v>1410</v>
      </c>
      <c r="S174" t="s">
        <v>1410</v>
      </c>
      <c r="T174" t="s">
        <v>1410</v>
      </c>
      <c r="U174" t="s">
        <v>1410</v>
      </c>
      <c r="V174" t="s">
        <v>1410</v>
      </c>
      <c r="W174" t="s">
        <v>1410</v>
      </c>
      <c r="X174" t="s">
        <v>1410</v>
      </c>
      <c r="Y174" t="s">
        <v>1410</v>
      </c>
      <c r="Z174" t="s">
        <v>1410</v>
      </c>
      <c r="AA174" t="s">
        <v>1410</v>
      </c>
      <c r="AB174" t="s">
        <v>1410</v>
      </c>
      <c r="AC174" t="s">
        <v>1410</v>
      </c>
      <c r="AD174" t="s">
        <v>1410</v>
      </c>
      <c r="AE174" t="s">
        <v>1410</v>
      </c>
      <c r="AF174" t="str">
        <f t="shared" si="5"/>
        <v>//164 - 0xA4</v>
      </c>
    </row>
    <row r="175" spans="1:32" x14ac:dyDescent="0.25">
      <c r="A175" t="str">
        <f t="shared" si="4"/>
        <v>//165 - 0xA5</v>
      </c>
      <c r="D175" t="s">
        <v>1410</v>
      </c>
      <c r="E175" t="s">
        <v>1410</v>
      </c>
      <c r="F175" t="s">
        <v>1410</v>
      </c>
      <c r="G175" t="s">
        <v>1410</v>
      </c>
      <c r="H175" t="s">
        <v>1410</v>
      </c>
      <c r="I175" t="s">
        <v>1410</v>
      </c>
      <c r="J175" t="s">
        <v>1410</v>
      </c>
      <c r="K175" t="s">
        <v>1410</v>
      </c>
      <c r="L175" t="s">
        <v>1410</v>
      </c>
      <c r="M175" t="s">
        <v>1410</v>
      </c>
      <c r="N175" t="s">
        <v>1410</v>
      </c>
      <c r="O175" t="s">
        <v>1410</v>
      </c>
      <c r="P175" t="s">
        <v>1410</v>
      </c>
      <c r="Q175" t="s">
        <v>1410</v>
      </c>
      <c r="R175" t="s">
        <v>1410</v>
      </c>
      <c r="S175" t="s">
        <v>1410</v>
      </c>
      <c r="T175" t="s">
        <v>1410</v>
      </c>
      <c r="U175" t="s">
        <v>1410</v>
      </c>
      <c r="V175" t="s">
        <v>1410</v>
      </c>
      <c r="W175" t="s">
        <v>1410</v>
      </c>
      <c r="X175" t="s">
        <v>1410</v>
      </c>
      <c r="Y175" t="s">
        <v>1410</v>
      </c>
      <c r="Z175" t="s">
        <v>1410</v>
      </c>
      <c r="AA175" t="s">
        <v>1410</v>
      </c>
      <c r="AB175" t="s">
        <v>1410</v>
      </c>
      <c r="AC175" t="s">
        <v>1410</v>
      </c>
      <c r="AD175" t="s">
        <v>1410</v>
      </c>
      <c r="AE175" t="s">
        <v>1410</v>
      </c>
      <c r="AF175" t="str">
        <f t="shared" si="5"/>
        <v>//165 - 0xA5</v>
      </c>
    </row>
    <row r="176" spans="1:32" x14ac:dyDescent="0.25">
      <c r="A176" t="str">
        <f t="shared" si="4"/>
        <v>//166 - 0xA6</v>
      </c>
      <c r="D176" t="s">
        <v>1410</v>
      </c>
      <c r="E176" t="s">
        <v>1410</v>
      </c>
      <c r="F176" t="s">
        <v>1410</v>
      </c>
      <c r="G176" t="s">
        <v>1410</v>
      </c>
      <c r="H176" t="s">
        <v>1410</v>
      </c>
      <c r="I176" t="s">
        <v>1410</v>
      </c>
      <c r="J176" t="s">
        <v>1410</v>
      </c>
      <c r="K176" t="s">
        <v>1410</v>
      </c>
      <c r="L176" t="s">
        <v>1410</v>
      </c>
      <c r="M176" t="s">
        <v>1410</v>
      </c>
      <c r="N176" t="s">
        <v>1410</v>
      </c>
      <c r="O176" t="s">
        <v>1410</v>
      </c>
      <c r="P176" t="s">
        <v>1410</v>
      </c>
      <c r="Q176" t="s">
        <v>1410</v>
      </c>
      <c r="R176" t="s">
        <v>1410</v>
      </c>
      <c r="S176" t="s">
        <v>1410</v>
      </c>
      <c r="T176" t="s">
        <v>1410</v>
      </c>
      <c r="U176" t="s">
        <v>1410</v>
      </c>
      <c r="V176" t="s">
        <v>1410</v>
      </c>
      <c r="W176" t="s">
        <v>1410</v>
      </c>
      <c r="X176" t="s">
        <v>1410</v>
      </c>
      <c r="Y176" t="s">
        <v>1410</v>
      </c>
      <c r="Z176" t="s">
        <v>1410</v>
      </c>
      <c r="AA176" t="s">
        <v>1410</v>
      </c>
      <c r="AB176" t="s">
        <v>1410</v>
      </c>
      <c r="AC176" t="s">
        <v>1410</v>
      </c>
      <c r="AD176" t="s">
        <v>1410</v>
      </c>
      <c r="AE176" t="s">
        <v>1410</v>
      </c>
      <c r="AF176" t="str">
        <f t="shared" si="5"/>
        <v>//166 - 0xA6</v>
      </c>
    </row>
    <row r="177" spans="1:32" x14ac:dyDescent="0.25">
      <c r="A177" t="str">
        <f t="shared" si="4"/>
        <v>//167 - 0xA7</v>
      </c>
      <c r="D177" t="s">
        <v>1410</v>
      </c>
      <c r="E177" t="s">
        <v>1410</v>
      </c>
      <c r="F177" t="s">
        <v>1410</v>
      </c>
      <c r="G177" t="s">
        <v>1410</v>
      </c>
      <c r="H177" t="s">
        <v>1410</v>
      </c>
      <c r="I177" t="s">
        <v>1410</v>
      </c>
      <c r="J177" t="s">
        <v>1410</v>
      </c>
      <c r="K177" t="s">
        <v>1410</v>
      </c>
      <c r="L177" t="s">
        <v>1410</v>
      </c>
      <c r="M177" t="s">
        <v>1410</v>
      </c>
      <c r="N177" t="s">
        <v>1410</v>
      </c>
      <c r="O177" t="s">
        <v>1410</v>
      </c>
      <c r="P177" t="s">
        <v>1410</v>
      </c>
      <c r="Q177" t="s">
        <v>1410</v>
      </c>
      <c r="R177" t="s">
        <v>1410</v>
      </c>
      <c r="S177" t="s">
        <v>1410</v>
      </c>
      <c r="T177" t="s">
        <v>1410</v>
      </c>
      <c r="U177" t="s">
        <v>1410</v>
      </c>
      <c r="V177" t="s">
        <v>1410</v>
      </c>
      <c r="W177" t="s">
        <v>1410</v>
      </c>
      <c r="X177" t="s">
        <v>1410</v>
      </c>
      <c r="Y177" t="s">
        <v>1410</v>
      </c>
      <c r="Z177" t="s">
        <v>1410</v>
      </c>
      <c r="AA177" t="s">
        <v>1410</v>
      </c>
      <c r="AB177" t="s">
        <v>1410</v>
      </c>
      <c r="AC177" t="s">
        <v>1410</v>
      </c>
      <c r="AD177" t="s">
        <v>1410</v>
      </c>
      <c r="AE177" t="s">
        <v>1410</v>
      </c>
      <c r="AF177" t="str">
        <f t="shared" si="5"/>
        <v>//167 - 0xA7</v>
      </c>
    </row>
    <row r="178" spans="1:32" x14ac:dyDescent="0.25">
      <c r="A178" t="str">
        <f t="shared" si="4"/>
        <v>//168 - 0xA8</v>
      </c>
      <c r="D178" t="s">
        <v>1410</v>
      </c>
      <c r="E178" t="s">
        <v>1410</v>
      </c>
      <c r="F178" t="s">
        <v>1410</v>
      </c>
      <c r="G178" t="s">
        <v>1410</v>
      </c>
      <c r="H178" t="s">
        <v>1410</v>
      </c>
      <c r="I178" t="s">
        <v>1410</v>
      </c>
      <c r="J178" t="s">
        <v>1410</v>
      </c>
      <c r="K178" t="s">
        <v>1410</v>
      </c>
      <c r="L178" t="s">
        <v>1410</v>
      </c>
      <c r="M178" t="s">
        <v>1410</v>
      </c>
      <c r="N178" t="s">
        <v>1410</v>
      </c>
      <c r="O178" t="s">
        <v>1410</v>
      </c>
      <c r="P178" t="s">
        <v>1410</v>
      </c>
      <c r="Q178" t="s">
        <v>1410</v>
      </c>
      <c r="R178" t="s">
        <v>1410</v>
      </c>
      <c r="S178" t="s">
        <v>1410</v>
      </c>
      <c r="T178" t="s">
        <v>1410</v>
      </c>
      <c r="U178" t="s">
        <v>1410</v>
      </c>
      <c r="V178" t="s">
        <v>1410</v>
      </c>
      <c r="W178" t="s">
        <v>1410</v>
      </c>
      <c r="X178" t="s">
        <v>1410</v>
      </c>
      <c r="Y178" t="s">
        <v>1410</v>
      </c>
      <c r="Z178" t="s">
        <v>1410</v>
      </c>
      <c r="AA178" t="s">
        <v>1410</v>
      </c>
      <c r="AB178" t="s">
        <v>1410</v>
      </c>
      <c r="AC178" t="s">
        <v>1410</v>
      </c>
      <c r="AD178" t="s">
        <v>1410</v>
      </c>
      <c r="AE178" t="s">
        <v>1410</v>
      </c>
      <c r="AF178" t="str">
        <f t="shared" si="5"/>
        <v>//168 - 0xA8</v>
      </c>
    </row>
    <row r="179" spans="1:32" x14ac:dyDescent="0.25">
      <c r="A179" t="str">
        <f t="shared" si="4"/>
        <v>//169 - 0xA9</v>
      </c>
      <c r="D179" t="s">
        <v>1410</v>
      </c>
      <c r="E179" t="s">
        <v>1410</v>
      </c>
      <c r="F179" t="s">
        <v>1410</v>
      </c>
      <c r="G179" t="s">
        <v>1410</v>
      </c>
      <c r="H179" t="s">
        <v>1410</v>
      </c>
      <c r="I179" t="s">
        <v>1410</v>
      </c>
      <c r="J179" t="s">
        <v>1410</v>
      </c>
      <c r="K179" t="s">
        <v>1410</v>
      </c>
      <c r="L179" t="s">
        <v>1410</v>
      </c>
      <c r="M179" t="s">
        <v>1410</v>
      </c>
      <c r="N179" t="s">
        <v>1410</v>
      </c>
      <c r="O179" t="s">
        <v>1410</v>
      </c>
      <c r="P179" t="s">
        <v>1410</v>
      </c>
      <c r="Q179" t="s">
        <v>1410</v>
      </c>
      <c r="R179" t="s">
        <v>1410</v>
      </c>
      <c r="S179" t="s">
        <v>1410</v>
      </c>
      <c r="T179" t="s">
        <v>1410</v>
      </c>
      <c r="U179" t="s">
        <v>1410</v>
      </c>
      <c r="V179" t="s">
        <v>1410</v>
      </c>
      <c r="W179" t="s">
        <v>1410</v>
      </c>
      <c r="X179" t="s">
        <v>1410</v>
      </c>
      <c r="Y179" t="s">
        <v>1410</v>
      </c>
      <c r="Z179" t="s">
        <v>1410</v>
      </c>
      <c r="AA179" t="s">
        <v>1410</v>
      </c>
      <c r="AB179" t="s">
        <v>1410</v>
      </c>
      <c r="AC179" t="s">
        <v>1410</v>
      </c>
      <c r="AD179" t="s">
        <v>1410</v>
      </c>
      <c r="AE179" t="s">
        <v>1410</v>
      </c>
      <c r="AF179" t="str">
        <f t="shared" si="5"/>
        <v>//169 - 0xA9</v>
      </c>
    </row>
    <row r="180" spans="1:32" x14ac:dyDescent="0.25">
      <c r="A180" t="str">
        <f t="shared" si="4"/>
        <v>//170 - 0xAA</v>
      </c>
      <c r="D180" t="s">
        <v>1410</v>
      </c>
      <c r="E180" t="s">
        <v>1410</v>
      </c>
      <c r="F180" t="s">
        <v>1410</v>
      </c>
      <c r="G180" t="s">
        <v>1410</v>
      </c>
      <c r="H180" t="s">
        <v>1410</v>
      </c>
      <c r="I180" t="s">
        <v>1410</v>
      </c>
      <c r="J180" t="s">
        <v>1410</v>
      </c>
      <c r="K180" t="s">
        <v>1410</v>
      </c>
      <c r="L180" t="s">
        <v>1410</v>
      </c>
      <c r="M180" t="s">
        <v>1410</v>
      </c>
      <c r="N180" t="s">
        <v>1410</v>
      </c>
      <c r="O180" t="s">
        <v>1410</v>
      </c>
      <c r="P180" t="s">
        <v>1410</v>
      </c>
      <c r="Q180" t="s">
        <v>1410</v>
      </c>
      <c r="R180" t="s">
        <v>1410</v>
      </c>
      <c r="S180" t="s">
        <v>1410</v>
      </c>
      <c r="T180" t="s">
        <v>1410</v>
      </c>
      <c r="U180" t="s">
        <v>1410</v>
      </c>
      <c r="V180" t="s">
        <v>1410</v>
      </c>
      <c r="W180" t="s">
        <v>1410</v>
      </c>
      <c r="X180" t="s">
        <v>1410</v>
      </c>
      <c r="Y180" t="s">
        <v>1410</v>
      </c>
      <c r="Z180" t="s">
        <v>1410</v>
      </c>
      <c r="AA180" t="s">
        <v>1410</v>
      </c>
      <c r="AB180" t="s">
        <v>1410</v>
      </c>
      <c r="AC180" t="s">
        <v>1410</v>
      </c>
      <c r="AD180" t="s">
        <v>1410</v>
      </c>
      <c r="AE180" t="s">
        <v>1410</v>
      </c>
      <c r="AF180" t="str">
        <f t="shared" si="5"/>
        <v>//170 - 0xAA</v>
      </c>
    </row>
    <row r="181" spans="1:32" x14ac:dyDescent="0.25">
      <c r="A181" t="str">
        <f t="shared" si="4"/>
        <v>//171 - 0xAB</v>
      </c>
      <c r="D181" t="s">
        <v>1410</v>
      </c>
      <c r="E181" t="s">
        <v>1410</v>
      </c>
      <c r="F181" t="s">
        <v>1410</v>
      </c>
      <c r="G181" t="s">
        <v>1410</v>
      </c>
      <c r="H181" t="s">
        <v>1410</v>
      </c>
      <c r="I181" t="s">
        <v>1410</v>
      </c>
      <c r="J181" t="s">
        <v>1410</v>
      </c>
      <c r="K181" t="s">
        <v>1410</v>
      </c>
      <c r="L181" t="s">
        <v>1410</v>
      </c>
      <c r="M181" t="s">
        <v>1410</v>
      </c>
      <c r="N181" t="s">
        <v>1410</v>
      </c>
      <c r="O181" t="s">
        <v>1410</v>
      </c>
      <c r="P181" t="s">
        <v>1410</v>
      </c>
      <c r="Q181" t="s">
        <v>1410</v>
      </c>
      <c r="R181" t="s">
        <v>1410</v>
      </c>
      <c r="S181" t="s">
        <v>1410</v>
      </c>
      <c r="T181" t="s">
        <v>1410</v>
      </c>
      <c r="U181" t="s">
        <v>1410</v>
      </c>
      <c r="V181" t="s">
        <v>1410</v>
      </c>
      <c r="W181" t="s">
        <v>1410</v>
      </c>
      <c r="X181" t="s">
        <v>1410</v>
      </c>
      <c r="Y181" t="s">
        <v>1410</v>
      </c>
      <c r="Z181" t="s">
        <v>1410</v>
      </c>
      <c r="AA181" t="s">
        <v>1410</v>
      </c>
      <c r="AB181" t="s">
        <v>1410</v>
      </c>
      <c r="AC181" t="s">
        <v>1410</v>
      </c>
      <c r="AD181" t="s">
        <v>1410</v>
      </c>
      <c r="AE181" t="s">
        <v>1410</v>
      </c>
      <c r="AF181" t="str">
        <f t="shared" si="5"/>
        <v>//171 - 0xAB</v>
      </c>
    </row>
    <row r="182" spans="1:32" x14ac:dyDescent="0.25">
      <c r="A182" t="str">
        <f t="shared" si="4"/>
        <v>//172 - 0xAC</v>
      </c>
      <c r="D182" t="s">
        <v>1410</v>
      </c>
      <c r="E182" t="s">
        <v>1410</v>
      </c>
      <c r="F182" t="s">
        <v>1410</v>
      </c>
      <c r="G182" t="s">
        <v>1410</v>
      </c>
      <c r="H182" t="s">
        <v>1410</v>
      </c>
      <c r="I182" t="s">
        <v>1410</v>
      </c>
      <c r="J182" t="s">
        <v>1410</v>
      </c>
      <c r="K182" t="s">
        <v>1410</v>
      </c>
      <c r="L182" t="s">
        <v>1410</v>
      </c>
      <c r="M182" t="s">
        <v>1410</v>
      </c>
      <c r="N182" t="s">
        <v>1410</v>
      </c>
      <c r="O182" t="s">
        <v>1410</v>
      </c>
      <c r="P182" t="s">
        <v>1410</v>
      </c>
      <c r="Q182" t="s">
        <v>1410</v>
      </c>
      <c r="R182" t="s">
        <v>1410</v>
      </c>
      <c r="S182" t="s">
        <v>1410</v>
      </c>
      <c r="T182" t="s">
        <v>1410</v>
      </c>
      <c r="U182" t="s">
        <v>1410</v>
      </c>
      <c r="V182" t="s">
        <v>1410</v>
      </c>
      <c r="W182" t="s">
        <v>1410</v>
      </c>
      <c r="X182" t="s">
        <v>1410</v>
      </c>
      <c r="Y182" t="s">
        <v>1410</v>
      </c>
      <c r="Z182" t="s">
        <v>1410</v>
      </c>
      <c r="AA182" t="s">
        <v>1410</v>
      </c>
      <c r="AB182" t="s">
        <v>1410</v>
      </c>
      <c r="AC182" t="s">
        <v>1410</v>
      </c>
      <c r="AD182" t="s">
        <v>1410</v>
      </c>
      <c r="AE182" t="s">
        <v>1410</v>
      </c>
      <c r="AF182" t="str">
        <f t="shared" si="5"/>
        <v>//172 - 0xAC</v>
      </c>
    </row>
    <row r="183" spans="1:32" x14ac:dyDescent="0.25">
      <c r="A183" t="str">
        <f t="shared" si="4"/>
        <v>//173 - 0xAD</v>
      </c>
      <c r="D183" t="s">
        <v>1410</v>
      </c>
      <c r="E183" t="s">
        <v>1410</v>
      </c>
      <c r="F183" t="s">
        <v>1410</v>
      </c>
      <c r="G183" t="s">
        <v>1410</v>
      </c>
      <c r="H183" t="s">
        <v>1410</v>
      </c>
      <c r="I183" t="s">
        <v>1410</v>
      </c>
      <c r="J183" t="s">
        <v>1410</v>
      </c>
      <c r="K183" t="s">
        <v>1410</v>
      </c>
      <c r="L183" t="s">
        <v>1410</v>
      </c>
      <c r="M183" t="s">
        <v>1410</v>
      </c>
      <c r="N183" t="s">
        <v>1410</v>
      </c>
      <c r="O183" t="s">
        <v>1410</v>
      </c>
      <c r="P183" t="s">
        <v>1410</v>
      </c>
      <c r="Q183" t="s">
        <v>1410</v>
      </c>
      <c r="R183" t="s">
        <v>1410</v>
      </c>
      <c r="S183" t="s">
        <v>1410</v>
      </c>
      <c r="T183" t="s">
        <v>1410</v>
      </c>
      <c r="U183" t="s">
        <v>1410</v>
      </c>
      <c r="V183" t="s">
        <v>1410</v>
      </c>
      <c r="W183" t="s">
        <v>1410</v>
      </c>
      <c r="X183" t="s">
        <v>1410</v>
      </c>
      <c r="Y183" t="s">
        <v>1410</v>
      </c>
      <c r="Z183" t="s">
        <v>1410</v>
      </c>
      <c r="AA183" t="s">
        <v>1410</v>
      </c>
      <c r="AB183" t="s">
        <v>1410</v>
      </c>
      <c r="AC183" t="s">
        <v>1410</v>
      </c>
      <c r="AD183" t="s">
        <v>1410</v>
      </c>
      <c r="AE183" t="s">
        <v>1410</v>
      </c>
      <c r="AF183" t="str">
        <f t="shared" si="5"/>
        <v>//173 - 0xAD</v>
      </c>
    </row>
    <row r="184" spans="1:32" x14ac:dyDescent="0.25">
      <c r="A184" t="str">
        <f t="shared" si="4"/>
        <v>//174 - 0xAE</v>
      </c>
      <c r="D184" t="s">
        <v>1410</v>
      </c>
      <c r="E184" t="s">
        <v>1410</v>
      </c>
      <c r="F184" t="s">
        <v>1410</v>
      </c>
      <c r="G184" t="s">
        <v>1410</v>
      </c>
      <c r="H184" t="s">
        <v>1410</v>
      </c>
      <c r="I184" t="s">
        <v>1410</v>
      </c>
      <c r="J184" t="s">
        <v>1410</v>
      </c>
      <c r="K184" t="s">
        <v>1410</v>
      </c>
      <c r="L184" t="s">
        <v>1410</v>
      </c>
      <c r="M184" t="s">
        <v>1410</v>
      </c>
      <c r="N184" t="s">
        <v>1410</v>
      </c>
      <c r="O184" t="s">
        <v>1410</v>
      </c>
      <c r="P184" t="s">
        <v>1410</v>
      </c>
      <c r="Q184" t="s">
        <v>1410</v>
      </c>
      <c r="R184" t="s">
        <v>1410</v>
      </c>
      <c r="S184" t="s">
        <v>1410</v>
      </c>
      <c r="T184" t="s">
        <v>1410</v>
      </c>
      <c r="U184" t="s">
        <v>1410</v>
      </c>
      <c r="V184" t="s">
        <v>1410</v>
      </c>
      <c r="W184" t="s">
        <v>1410</v>
      </c>
      <c r="X184" t="s">
        <v>1410</v>
      </c>
      <c r="Y184" t="s">
        <v>1410</v>
      </c>
      <c r="Z184" t="s">
        <v>1410</v>
      </c>
      <c r="AA184" t="s">
        <v>1410</v>
      </c>
      <c r="AB184" t="s">
        <v>1410</v>
      </c>
      <c r="AC184" t="s">
        <v>1410</v>
      </c>
      <c r="AD184" t="s">
        <v>1410</v>
      </c>
      <c r="AE184" t="s">
        <v>1410</v>
      </c>
      <c r="AF184" t="str">
        <f t="shared" si="5"/>
        <v>//174 - 0xAE</v>
      </c>
    </row>
    <row r="185" spans="1:32" x14ac:dyDescent="0.25">
      <c r="A185" t="str">
        <f t="shared" si="4"/>
        <v>//175 - 0xAF</v>
      </c>
      <c r="D185" t="s">
        <v>1410</v>
      </c>
      <c r="E185" t="s">
        <v>1410</v>
      </c>
      <c r="F185" t="s">
        <v>1410</v>
      </c>
      <c r="G185" t="s">
        <v>1410</v>
      </c>
      <c r="H185" t="s">
        <v>1410</v>
      </c>
      <c r="I185" t="s">
        <v>1410</v>
      </c>
      <c r="J185" t="s">
        <v>1410</v>
      </c>
      <c r="K185" t="s">
        <v>1410</v>
      </c>
      <c r="L185" t="s">
        <v>1410</v>
      </c>
      <c r="M185" t="s">
        <v>1410</v>
      </c>
      <c r="N185" t="s">
        <v>1410</v>
      </c>
      <c r="O185" t="s">
        <v>1410</v>
      </c>
      <c r="P185" t="s">
        <v>1410</v>
      </c>
      <c r="Q185" t="s">
        <v>1410</v>
      </c>
      <c r="R185" t="s">
        <v>1410</v>
      </c>
      <c r="S185" t="s">
        <v>1410</v>
      </c>
      <c r="T185" t="s">
        <v>1410</v>
      </c>
      <c r="U185" t="s">
        <v>1410</v>
      </c>
      <c r="V185" t="s">
        <v>1410</v>
      </c>
      <c r="W185" t="s">
        <v>1410</v>
      </c>
      <c r="X185" t="s">
        <v>1410</v>
      </c>
      <c r="Y185" t="s">
        <v>1410</v>
      </c>
      <c r="Z185" t="s">
        <v>1410</v>
      </c>
      <c r="AA185" t="s">
        <v>1410</v>
      </c>
      <c r="AB185" t="s">
        <v>1410</v>
      </c>
      <c r="AC185" t="s">
        <v>1410</v>
      </c>
      <c r="AD185" t="s">
        <v>1410</v>
      </c>
      <c r="AE185" t="s">
        <v>1410</v>
      </c>
      <c r="AF185" t="str">
        <f t="shared" si="5"/>
        <v>//175 - 0xAF</v>
      </c>
    </row>
    <row r="186" spans="1:32" x14ac:dyDescent="0.25">
      <c r="A186" t="str">
        <f t="shared" si="4"/>
        <v>//176 - 0xB0</v>
      </c>
      <c r="D186" t="s">
        <v>1410</v>
      </c>
      <c r="E186" t="s">
        <v>1410</v>
      </c>
      <c r="F186" t="s">
        <v>1410</v>
      </c>
      <c r="G186" t="s">
        <v>1410</v>
      </c>
      <c r="H186" t="s">
        <v>1410</v>
      </c>
      <c r="I186" t="s">
        <v>1410</v>
      </c>
      <c r="J186" t="s">
        <v>1410</v>
      </c>
      <c r="K186" t="s">
        <v>1410</v>
      </c>
      <c r="L186" t="s">
        <v>1410</v>
      </c>
      <c r="M186" t="s">
        <v>1410</v>
      </c>
      <c r="N186" t="s">
        <v>1410</v>
      </c>
      <c r="O186" t="s">
        <v>1410</v>
      </c>
      <c r="P186" t="s">
        <v>1410</v>
      </c>
      <c r="Q186" t="s">
        <v>1410</v>
      </c>
      <c r="R186" t="s">
        <v>1410</v>
      </c>
      <c r="S186" t="s">
        <v>1410</v>
      </c>
      <c r="T186" t="s">
        <v>1410</v>
      </c>
      <c r="U186" t="s">
        <v>1410</v>
      </c>
      <c r="V186" t="s">
        <v>1410</v>
      </c>
      <c r="W186" t="s">
        <v>1410</v>
      </c>
      <c r="X186" t="s">
        <v>1410</v>
      </c>
      <c r="Y186" t="s">
        <v>1410</v>
      </c>
      <c r="Z186" t="s">
        <v>1410</v>
      </c>
      <c r="AA186" t="s">
        <v>1410</v>
      </c>
      <c r="AB186" t="s">
        <v>1410</v>
      </c>
      <c r="AC186" t="s">
        <v>1410</v>
      </c>
      <c r="AD186" t="s">
        <v>1410</v>
      </c>
      <c r="AE186" t="s">
        <v>1410</v>
      </c>
      <c r="AF186" t="str">
        <f t="shared" si="5"/>
        <v>//176 - 0xB0</v>
      </c>
    </row>
    <row r="187" spans="1:32" x14ac:dyDescent="0.25">
      <c r="A187" t="str">
        <f t="shared" si="4"/>
        <v>//177 - 0xB1</v>
      </c>
      <c r="D187" t="s">
        <v>1410</v>
      </c>
      <c r="E187" t="s">
        <v>1410</v>
      </c>
      <c r="F187" t="s">
        <v>1410</v>
      </c>
      <c r="G187" t="s">
        <v>1410</v>
      </c>
      <c r="H187" t="s">
        <v>1410</v>
      </c>
      <c r="I187" t="s">
        <v>1410</v>
      </c>
      <c r="J187" t="s">
        <v>1410</v>
      </c>
      <c r="K187" t="s">
        <v>1410</v>
      </c>
      <c r="L187" t="s">
        <v>1410</v>
      </c>
      <c r="M187" t="s">
        <v>1410</v>
      </c>
      <c r="N187" t="s">
        <v>1410</v>
      </c>
      <c r="O187" t="s">
        <v>1410</v>
      </c>
      <c r="P187" t="s">
        <v>1410</v>
      </c>
      <c r="Q187" t="s">
        <v>1410</v>
      </c>
      <c r="R187" t="s">
        <v>1410</v>
      </c>
      <c r="S187" t="s">
        <v>1410</v>
      </c>
      <c r="T187" t="s">
        <v>1410</v>
      </c>
      <c r="U187" t="s">
        <v>1410</v>
      </c>
      <c r="V187" t="s">
        <v>1410</v>
      </c>
      <c r="W187" t="s">
        <v>1410</v>
      </c>
      <c r="X187" t="s">
        <v>1410</v>
      </c>
      <c r="Y187" t="s">
        <v>1410</v>
      </c>
      <c r="Z187" t="s">
        <v>1410</v>
      </c>
      <c r="AA187" t="s">
        <v>1410</v>
      </c>
      <c r="AB187" t="s">
        <v>1410</v>
      </c>
      <c r="AC187" t="s">
        <v>1410</v>
      </c>
      <c r="AD187" t="s">
        <v>1410</v>
      </c>
      <c r="AE187" t="s">
        <v>1410</v>
      </c>
      <c r="AF187" t="str">
        <f t="shared" si="5"/>
        <v>//177 - 0xB1</v>
      </c>
    </row>
    <row r="188" spans="1:32" x14ac:dyDescent="0.25">
      <c r="A188" t="str">
        <f t="shared" si="4"/>
        <v>//178 - 0xB2</v>
      </c>
      <c r="D188" t="s">
        <v>1410</v>
      </c>
      <c r="E188" t="s">
        <v>1410</v>
      </c>
      <c r="F188" t="s">
        <v>1410</v>
      </c>
      <c r="G188" t="s">
        <v>1410</v>
      </c>
      <c r="H188" t="s">
        <v>1410</v>
      </c>
      <c r="I188" t="s">
        <v>1410</v>
      </c>
      <c r="J188" t="s">
        <v>1410</v>
      </c>
      <c r="K188" t="s">
        <v>1410</v>
      </c>
      <c r="L188" t="s">
        <v>1410</v>
      </c>
      <c r="M188" t="s">
        <v>1410</v>
      </c>
      <c r="N188" t="s">
        <v>1410</v>
      </c>
      <c r="O188" t="s">
        <v>1410</v>
      </c>
      <c r="P188" t="s">
        <v>1410</v>
      </c>
      <c r="Q188" t="s">
        <v>1410</v>
      </c>
      <c r="R188" t="s">
        <v>1410</v>
      </c>
      <c r="S188" t="s">
        <v>1410</v>
      </c>
      <c r="T188" t="s">
        <v>1410</v>
      </c>
      <c r="U188" t="s">
        <v>1410</v>
      </c>
      <c r="V188" t="s">
        <v>1410</v>
      </c>
      <c r="W188" t="s">
        <v>1410</v>
      </c>
      <c r="X188" t="s">
        <v>1410</v>
      </c>
      <c r="Y188" t="s">
        <v>1410</v>
      </c>
      <c r="Z188" t="s">
        <v>1410</v>
      </c>
      <c r="AA188" t="s">
        <v>1410</v>
      </c>
      <c r="AB188" t="s">
        <v>1410</v>
      </c>
      <c r="AC188" t="s">
        <v>1410</v>
      </c>
      <c r="AD188" t="s">
        <v>1410</v>
      </c>
      <c r="AE188" t="s">
        <v>1410</v>
      </c>
      <c r="AF188" t="str">
        <f t="shared" si="5"/>
        <v>//178 - 0xB2</v>
      </c>
    </row>
    <row r="189" spans="1:32" x14ac:dyDescent="0.25">
      <c r="A189" t="str">
        <f t="shared" si="4"/>
        <v>//179 - 0xB3</v>
      </c>
      <c r="D189" t="s">
        <v>1410</v>
      </c>
      <c r="E189" t="s">
        <v>1410</v>
      </c>
      <c r="F189" t="s">
        <v>1410</v>
      </c>
      <c r="G189" t="s">
        <v>1410</v>
      </c>
      <c r="H189" t="s">
        <v>1410</v>
      </c>
      <c r="I189" t="s">
        <v>1410</v>
      </c>
      <c r="J189" t="s">
        <v>1410</v>
      </c>
      <c r="K189" t="s">
        <v>1410</v>
      </c>
      <c r="L189" t="s">
        <v>1410</v>
      </c>
      <c r="M189" t="s">
        <v>1410</v>
      </c>
      <c r="N189" t="s">
        <v>1410</v>
      </c>
      <c r="O189" t="s">
        <v>1410</v>
      </c>
      <c r="P189" t="s">
        <v>1410</v>
      </c>
      <c r="Q189" t="s">
        <v>1410</v>
      </c>
      <c r="R189" t="s">
        <v>1410</v>
      </c>
      <c r="S189" t="s">
        <v>1410</v>
      </c>
      <c r="T189" t="s">
        <v>1410</v>
      </c>
      <c r="U189" t="s">
        <v>1410</v>
      </c>
      <c r="V189" t="s">
        <v>1410</v>
      </c>
      <c r="W189" t="s">
        <v>1410</v>
      </c>
      <c r="X189" t="s">
        <v>1410</v>
      </c>
      <c r="Y189" t="s">
        <v>1410</v>
      </c>
      <c r="Z189" t="s">
        <v>1410</v>
      </c>
      <c r="AA189" t="s">
        <v>1410</v>
      </c>
      <c r="AB189" t="s">
        <v>1410</v>
      </c>
      <c r="AC189" t="s">
        <v>1410</v>
      </c>
      <c r="AD189" t="s">
        <v>1410</v>
      </c>
      <c r="AE189" t="s">
        <v>1410</v>
      </c>
      <c r="AF189" t="str">
        <f t="shared" si="5"/>
        <v>//179 - 0xB3</v>
      </c>
    </row>
    <row r="190" spans="1:32" x14ac:dyDescent="0.25">
      <c r="A190" t="str">
        <f t="shared" si="4"/>
        <v>//180 - 0xB4</v>
      </c>
      <c r="D190" t="s">
        <v>1410</v>
      </c>
      <c r="E190" t="s">
        <v>1410</v>
      </c>
      <c r="F190" t="s">
        <v>1410</v>
      </c>
      <c r="G190" t="s">
        <v>1410</v>
      </c>
      <c r="H190" t="s">
        <v>1410</v>
      </c>
      <c r="I190" t="s">
        <v>1410</v>
      </c>
      <c r="J190" t="s">
        <v>1410</v>
      </c>
      <c r="K190" t="s">
        <v>1410</v>
      </c>
      <c r="L190" t="s">
        <v>1410</v>
      </c>
      <c r="M190" t="s">
        <v>1410</v>
      </c>
      <c r="N190" t="s">
        <v>1410</v>
      </c>
      <c r="O190" t="s">
        <v>1410</v>
      </c>
      <c r="P190" t="s">
        <v>1410</v>
      </c>
      <c r="Q190" t="s">
        <v>1410</v>
      </c>
      <c r="R190" t="s">
        <v>1410</v>
      </c>
      <c r="S190" t="s">
        <v>1410</v>
      </c>
      <c r="T190" t="s">
        <v>1410</v>
      </c>
      <c r="U190" t="s">
        <v>1410</v>
      </c>
      <c r="V190" t="s">
        <v>1410</v>
      </c>
      <c r="W190" t="s">
        <v>1410</v>
      </c>
      <c r="X190" t="s">
        <v>1410</v>
      </c>
      <c r="Y190" t="s">
        <v>1410</v>
      </c>
      <c r="Z190" t="s">
        <v>1410</v>
      </c>
      <c r="AA190" t="s">
        <v>1410</v>
      </c>
      <c r="AB190" t="s">
        <v>1410</v>
      </c>
      <c r="AC190" t="s">
        <v>1410</v>
      </c>
      <c r="AD190" t="s">
        <v>1410</v>
      </c>
      <c r="AE190" t="s">
        <v>1410</v>
      </c>
      <c r="AF190" t="str">
        <f t="shared" si="5"/>
        <v>//180 - 0xB4</v>
      </c>
    </row>
    <row r="191" spans="1:32" x14ac:dyDescent="0.25">
      <c r="A191" t="str">
        <f t="shared" si="4"/>
        <v>//181 - 0xB5</v>
      </c>
      <c r="D191" t="s">
        <v>1410</v>
      </c>
      <c r="E191" t="s">
        <v>1410</v>
      </c>
      <c r="F191" t="s">
        <v>1410</v>
      </c>
      <c r="G191" t="s">
        <v>1410</v>
      </c>
      <c r="H191" t="s">
        <v>1410</v>
      </c>
      <c r="I191" t="s">
        <v>1410</v>
      </c>
      <c r="J191" t="s">
        <v>1410</v>
      </c>
      <c r="K191" t="s">
        <v>1410</v>
      </c>
      <c r="L191" t="s">
        <v>1410</v>
      </c>
      <c r="M191" t="s">
        <v>1410</v>
      </c>
      <c r="N191" t="s">
        <v>1410</v>
      </c>
      <c r="O191" t="s">
        <v>1410</v>
      </c>
      <c r="P191" t="s">
        <v>1410</v>
      </c>
      <c r="Q191" t="s">
        <v>1410</v>
      </c>
      <c r="R191" t="s">
        <v>1410</v>
      </c>
      <c r="S191" t="s">
        <v>1410</v>
      </c>
      <c r="T191" t="s">
        <v>1410</v>
      </c>
      <c r="U191" t="s">
        <v>1410</v>
      </c>
      <c r="V191" t="s">
        <v>1410</v>
      </c>
      <c r="W191" t="s">
        <v>1410</v>
      </c>
      <c r="X191" t="s">
        <v>1410</v>
      </c>
      <c r="Y191" t="s">
        <v>1410</v>
      </c>
      <c r="Z191" t="s">
        <v>1410</v>
      </c>
      <c r="AA191" t="s">
        <v>1410</v>
      </c>
      <c r="AB191" t="s">
        <v>1410</v>
      </c>
      <c r="AC191" t="s">
        <v>1410</v>
      </c>
      <c r="AD191" t="s">
        <v>1410</v>
      </c>
      <c r="AE191" t="s">
        <v>1410</v>
      </c>
      <c r="AF191" t="str">
        <f t="shared" si="5"/>
        <v>//181 - 0xB5</v>
      </c>
    </row>
    <row r="192" spans="1:32" x14ac:dyDescent="0.25">
      <c r="A192" t="str">
        <f t="shared" si="4"/>
        <v>//182 - 0xB6</v>
      </c>
      <c r="D192" t="s">
        <v>1410</v>
      </c>
      <c r="E192" t="s">
        <v>1410</v>
      </c>
      <c r="F192" t="s">
        <v>1410</v>
      </c>
      <c r="G192" t="s">
        <v>1410</v>
      </c>
      <c r="H192" t="s">
        <v>1410</v>
      </c>
      <c r="I192" t="s">
        <v>1410</v>
      </c>
      <c r="J192" t="s">
        <v>1410</v>
      </c>
      <c r="K192" t="s">
        <v>1410</v>
      </c>
      <c r="L192" t="s">
        <v>1410</v>
      </c>
      <c r="M192" t="s">
        <v>1410</v>
      </c>
      <c r="N192" t="s">
        <v>1410</v>
      </c>
      <c r="O192" t="s">
        <v>1410</v>
      </c>
      <c r="P192" t="s">
        <v>1410</v>
      </c>
      <c r="Q192" t="s">
        <v>1410</v>
      </c>
      <c r="R192" t="s">
        <v>1410</v>
      </c>
      <c r="S192" t="s">
        <v>1410</v>
      </c>
      <c r="T192" t="s">
        <v>1410</v>
      </c>
      <c r="U192" t="s">
        <v>1410</v>
      </c>
      <c r="V192" t="s">
        <v>1410</v>
      </c>
      <c r="W192" t="s">
        <v>1410</v>
      </c>
      <c r="X192" t="s">
        <v>1410</v>
      </c>
      <c r="Y192" t="s">
        <v>1410</v>
      </c>
      <c r="Z192" t="s">
        <v>1410</v>
      </c>
      <c r="AA192" t="s">
        <v>1410</v>
      </c>
      <c r="AB192" t="s">
        <v>1410</v>
      </c>
      <c r="AC192" t="s">
        <v>1410</v>
      </c>
      <c r="AD192" t="s">
        <v>1410</v>
      </c>
      <c r="AE192" t="s">
        <v>1410</v>
      </c>
      <c r="AF192" t="str">
        <f t="shared" si="5"/>
        <v>//182 - 0xB6</v>
      </c>
    </row>
    <row r="193" spans="1:32" x14ac:dyDescent="0.25">
      <c r="A193" t="str">
        <f t="shared" si="4"/>
        <v>//183 - 0xB7</v>
      </c>
      <c r="D193" t="s">
        <v>1410</v>
      </c>
      <c r="E193" t="s">
        <v>1410</v>
      </c>
      <c r="F193" t="s">
        <v>1410</v>
      </c>
      <c r="G193" t="s">
        <v>1410</v>
      </c>
      <c r="H193" t="s">
        <v>1410</v>
      </c>
      <c r="I193" t="s">
        <v>1410</v>
      </c>
      <c r="J193" t="s">
        <v>1410</v>
      </c>
      <c r="K193" t="s">
        <v>1410</v>
      </c>
      <c r="L193" t="s">
        <v>1410</v>
      </c>
      <c r="M193" t="s">
        <v>1410</v>
      </c>
      <c r="N193" t="s">
        <v>1410</v>
      </c>
      <c r="O193" t="s">
        <v>1410</v>
      </c>
      <c r="P193" t="s">
        <v>1410</v>
      </c>
      <c r="Q193" t="s">
        <v>1410</v>
      </c>
      <c r="R193" t="s">
        <v>1410</v>
      </c>
      <c r="S193" t="s">
        <v>1410</v>
      </c>
      <c r="T193" t="s">
        <v>1410</v>
      </c>
      <c r="U193" t="s">
        <v>1410</v>
      </c>
      <c r="V193" t="s">
        <v>1410</v>
      </c>
      <c r="W193" t="s">
        <v>1410</v>
      </c>
      <c r="X193" t="s">
        <v>1410</v>
      </c>
      <c r="Y193" t="s">
        <v>1410</v>
      </c>
      <c r="Z193" t="s">
        <v>1410</v>
      </c>
      <c r="AA193" t="s">
        <v>1410</v>
      </c>
      <c r="AB193" t="s">
        <v>1410</v>
      </c>
      <c r="AC193" t="s">
        <v>1410</v>
      </c>
      <c r="AD193" t="s">
        <v>1410</v>
      </c>
      <c r="AE193" t="s">
        <v>1410</v>
      </c>
      <c r="AF193" t="str">
        <f t="shared" si="5"/>
        <v>//183 - 0xB7</v>
      </c>
    </row>
    <row r="194" spans="1:32" x14ac:dyDescent="0.25">
      <c r="A194" t="str">
        <f t="shared" si="4"/>
        <v>//184 - 0xB8</v>
      </c>
      <c r="D194" t="s">
        <v>1410</v>
      </c>
      <c r="E194" t="s">
        <v>1410</v>
      </c>
      <c r="F194" t="s">
        <v>1410</v>
      </c>
      <c r="G194" t="s">
        <v>1410</v>
      </c>
      <c r="H194" t="s">
        <v>1410</v>
      </c>
      <c r="I194" t="s">
        <v>1410</v>
      </c>
      <c r="J194" t="s">
        <v>1410</v>
      </c>
      <c r="K194" t="s">
        <v>1410</v>
      </c>
      <c r="L194" t="s">
        <v>1410</v>
      </c>
      <c r="M194" t="s">
        <v>1410</v>
      </c>
      <c r="N194" t="s">
        <v>1410</v>
      </c>
      <c r="O194" t="s">
        <v>1410</v>
      </c>
      <c r="P194" t="s">
        <v>1410</v>
      </c>
      <c r="Q194" t="s">
        <v>1410</v>
      </c>
      <c r="R194" t="s">
        <v>1410</v>
      </c>
      <c r="S194" t="s">
        <v>1410</v>
      </c>
      <c r="T194" t="s">
        <v>1410</v>
      </c>
      <c r="U194" t="s">
        <v>1410</v>
      </c>
      <c r="V194" t="s">
        <v>1410</v>
      </c>
      <c r="W194" t="s">
        <v>1410</v>
      </c>
      <c r="X194" t="s">
        <v>1410</v>
      </c>
      <c r="Y194" t="s">
        <v>1410</v>
      </c>
      <c r="Z194" t="s">
        <v>1410</v>
      </c>
      <c r="AA194" t="s">
        <v>1410</v>
      </c>
      <c r="AB194" t="s">
        <v>1410</v>
      </c>
      <c r="AC194" t="s">
        <v>1410</v>
      </c>
      <c r="AD194" t="s">
        <v>1410</v>
      </c>
      <c r="AE194" t="s">
        <v>1410</v>
      </c>
      <c r="AF194" t="str">
        <f t="shared" si="5"/>
        <v>//184 - 0xB8</v>
      </c>
    </row>
    <row r="195" spans="1:32" x14ac:dyDescent="0.25">
      <c r="A195" t="str">
        <f t="shared" si="4"/>
        <v>//185 - 0xB9</v>
      </c>
      <c r="D195" t="s">
        <v>1410</v>
      </c>
      <c r="E195" t="s">
        <v>1410</v>
      </c>
      <c r="F195" t="s">
        <v>1410</v>
      </c>
      <c r="G195" t="s">
        <v>1410</v>
      </c>
      <c r="H195" t="s">
        <v>1410</v>
      </c>
      <c r="I195" t="s">
        <v>1410</v>
      </c>
      <c r="J195" t="s">
        <v>1410</v>
      </c>
      <c r="K195" t="s">
        <v>1410</v>
      </c>
      <c r="L195" t="s">
        <v>1410</v>
      </c>
      <c r="M195" t="s">
        <v>1410</v>
      </c>
      <c r="N195" t="s">
        <v>1410</v>
      </c>
      <c r="O195" t="s">
        <v>1410</v>
      </c>
      <c r="P195" t="s">
        <v>1410</v>
      </c>
      <c r="Q195" t="s">
        <v>1410</v>
      </c>
      <c r="R195" t="s">
        <v>1410</v>
      </c>
      <c r="S195" t="s">
        <v>1410</v>
      </c>
      <c r="T195" t="s">
        <v>1410</v>
      </c>
      <c r="U195" t="s">
        <v>1410</v>
      </c>
      <c r="V195" t="s">
        <v>1410</v>
      </c>
      <c r="W195" t="s">
        <v>1410</v>
      </c>
      <c r="X195" t="s">
        <v>1410</v>
      </c>
      <c r="Y195" t="s">
        <v>1410</v>
      </c>
      <c r="Z195" t="s">
        <v>1410</v>
      </c>
      <c r="AA195" t="s">
        <v>1410</v>
      </c>
      <c r="AB195" t="s">
        <v>1410</v>
      </c>
      <c r="AC195" t="s">
        <v>1410</v>
      </c>
      <c r="AD195" t="s">
        <v>1410</v>
      </c>
      <c r="AE195" t="s">
        <v>1410</v>
      </c>
      <c r="AF195" t="str">
        <f t="shared" si="5"/>
        <v>//185 - 0xB9</v>
      </c>
    </row>
    <row r="196" spans="1:32" x14ac:dyDescent="0.25">
      <c r="A196" t="str">
        <f t="shared" si="4"/>
        <v>//186 - 0xBA</v>
      </c>
      <c r="D196" t="s">
        <v>1410</v>
      </c>
      <c r="E196" t="s">
        <v>1410</v>
      </c>
      <c r="F196" t="s">
        <v>1410</v>
      </c>
      <c r="G196" t="s">
        <v>1410</v>
      </c>
      <c r="H196" t="s">
        <v>1410</v>
      </c>
      <c r="I196" t="s">
        <v>1410</v>
      </c>
      <c r="J196" t="s">
        <v>1410</v>
      </c>
      <c r="K196" t="s">
        <v>1410</v>
      </c>
      <c r="L196" t="s">
        <v>1410</v>
      </c>
      <c r="M196" t="s">
        <v>1410</v>
      </c>
      <c r="N196" t="s">
        <v>1410</v>
      </c>
      <c r="O196" t="s">
        <v>1410</v>
      </c>
      <c r="P196" t="s">
        <v>1410</v>
      </c>
      <c r="Q196" t="s">
        <v>1410</v>
      </c>
      <c r="R196" t="s">
        <v>1410</v>
      </c>
      <c r="S196" t="s">
        <v>1410</v>
      </c>
      <c r="T196" t="s">
        <v>1410</v>
      </c>
      <c r="U196" t="s">
        <v>1410</v>
      </c>
      <c r="V196" t="s">
        <v>1410</v>
      </c>
      <c r="W196" t="s">
        <v>1410</v>
      </c>
      <c r="X196" t="s">
        <v>1410</v>
      </c>
      <c r="Y196" t="s">
        <v>1410</v>
      </c>
      <c r="Z196" t="s">
        <v>1410</v>
      </c>
      <c r="AA196" t="s">
        <v>1410</v>
      </c>
      <c r="AB196" t="s">
        <v>1410</v>
      </c>
      <c r="AC196" t="s">
        <v>1410</v>
      </c>
      <c r="AD196" t="s">
        <v>1410</v>
      </c>
      <c r="AE196" t="s">
        <v>1410</v>
      </c>
      <c r="AF196" t="str">
        <f t="shared" si="5"/>
        <v>//186 - 0xBA</v>
      </c>
    </row>
    <row r="197" spans="1:32" x14ac:dyDescent="0.25">
      <c r="A197" t="str">
        <f t="shared" si="4"/>
        <v>//187 - 0xBB</v>
      </c>
      <c r="D197" t="s">
        <v>1410</v>
      </c>
      <c r="E197" t="s">
        <v>1410</v>
      </c>
      <c r="F197" t="s">
        <v>1410</v>
      </c>
      <c r="G197" t="s">
        <v>1410</v>
      </c>
      <c r="H197" t="s">
        <v>1410</v>
      </c>
      <c r="I197" t="s">
        <v>1410</v>
      </c>
      <c r="J197" t="s">
        <v>1410</v>
      </c>
      <c r="K197" t="s">
        <v>1410</v>
      </c>
      <c r="L197" t="s">
        <v>1410</v>
      </c>
      <c r="M197" t="s">
        <v>1410</v>
      </c>
      <c r="N197" t="s">
        <v>1410</v>
      </c>
      <c r="O197" t="s">
        <v>1410</v>
      </c>
      <c r="P197" t="s">
        <v>1410</v>
      </c>
      <c r="Q197" t="s">
        <v>1410</v>
      </c>
      <c r="R197" t="s">
        <v>1410</v>
      </c>
      <c r="S197" t="s">
        <v>1410</v>
      </c>
      <c r="T197" t="s">
        <v>1410</v>
      </c>
      <c r="U197" t="s">
        <v>1410</v>
      </c>
      <c r="V197" t="s">
        <v>1410</v>
      </c>
      <c r="W197" t="s">
        <v>1410</v>
      </c>
      <c r="X197" t="s">
        <v>1410</v>
      </c>
      <c r="Y197" t="s">
        <v>1410</v>
      </c>
      <c r="Z197" t="s">
        <v>1410</v>
      </c>
      <c r="AA197" t="s">
        <v>1410</v>
      </c>
      <c r="AB197" t="s">
        <v>1410</v>
      </c>
      <c r="AC197" t="s">
        <v>1410</v>
      </c>
      <c r="AD197" t="s">
        <v>1410</v>
      </c>
      <c r="AE197" t="s">
        <v>1410</v>
      </c>
      <c r="AF197" t="str">
        <f t="shared" si="5"/>
        <v>//187 - 0xBB</v>
      </c>
    </row>
    <row r="198" spans="1:32" x14ac:dyDescent="0.25">
      <c r="A198" t="str">
        <f t="shared" si="4"/>
        <v>//188 - 0xBC</v>
      </c>
      <c r="D198" t="s">
        <v>1410</v>
      </c>
      <c r="E198" t="s">
        <v>1410</v>
      </c>
      <c r="F198" t="s">
        <v>1410</v>
      </c>
      <c r="G198" t="s">
        <v>1410</v>
      </c>
      <c r="H198" t="s">
        <v>1410</v>
      </c>
      <c r="I198" t="s">
        <v>1410</v>
      </c>
      <c r="J198" t="s">
        <v>1410</v>
      </c>
      <c r="K198" t="s">
        <v>1410</v>
      </c>
      <c r="L198" t="s">
        <v>1410</v>
      </c>
      <c r="M198" t="s">
        <v>1410</v>
      </c>
      <c r="N198" t="s">
        <v>1410</v>
      </c>
      <c r="O198" t="s">
        <v>1410</v>
      </c>
      <c r="P198" t="s">
        <v>1410</v>
      </c>
      <c r="Q198" t="s">
        <v>1410</v>
      </c>
      <c r="R198" t="s">
        <v>1410</v>
      </c>
      <c r="S198" t="s">
        <v>1410</v>
      </c>
      <c r="T198" t="s">
        <v>1410</v>
      </c>
      <c r="U198" t="s">
        <v>1410</v>
      </c>
      <c r="V198" t="s">
        <v>1410</v>
      </c>
      <c r="W198" t="s">
        <v>1410</v>
      </c>
      <c r="X198" t="s">
        <v>1410</v>
      </c>
      <c r="Y198" t="s">
        <v>1410</v>
      </c>
      <c r="Z198" t="s">
        <v>1410</v>
      </c>
      <c r="AA198" t="s">
        <v>1410</v>
      </c>
      <c r="AB198" t="s">
        <v>1410</v>
      </c>
      <c r="AC198" t="s">
        <v>1410</v>
      </c>
      <c r="AD198" t="s">
        <v>1410</v>
      </c>
      <c r="AE198" t="s">
        <v>1410</v>
      </c>
      <c r="AF198" t="str">
        <f t="shared" si="5"/>
        <v>//188 - 0xBC</v>
      </c>
    </row>
    <row r="199" spans="1:32" x14ac:dyDescent="0.25">
      <c r="A199" t="str">
        <f t="shared" si="4"/>
        <v>//189 - 0xBD</v>
      </c>
      <c r="D199" t="s">
        <v>1410</v>
      </c>
      <c r="E199" t="s">
        <v>1410</v>
      </c>
      <c r="F199" t="s">
        <v>1410</v>
      </c>
      <c r="G199" t="s">
        <v>1410</v>
      </c>
      <c r="H199" t="s">
        <v>1410</v>
      </c>
      <c r="I199" t="s">
        <v>1410</v>
      </c>
      <c r="J199" t="s">
        <v>1410</v>
      </c>
      <c r="K199" t="s">
        <v>1410</v>
      </c>
      <c r="L199" t="s">
        <v>1410</v>
      </c>
      <c r="M199" t="s">
        <v>1410</v>
      </c>
      <c r="N199" t="s">
        <v>1410</v>
      </c>
      <c r="O199" t="s">
        <v>1410</v>
      </c>
      <c r="P199" t="s">
        <v>1410</v>
      </c>
      <c r="Q199" t="s">
        <v>1410</v>
      </c>
      <c r="R199" t="s">
        <v>1410</v>
      </c>
      <c r="S199" t="s">
        <v>1410</v>
      </c>
      <c r="T199" t="s">
        <v>1410</v>
      </c>
      <c r="U199" t="s">
        <v>1410</v>
      </c>
      <c r="V199" t="s">
        <v>1410</v>
      </c>
      <c r="W199" t="s">
        <v>1410</v>
      </c>
      <c r="X199" t="s">
        <v>1410</v>
      </c>
      <c r="Y199" t="s">
        <v>1410</v>
      </c>
      <c r="Z199" t="s">
        <v>1410</v>
      </c>
      <c r="AA199" t="s">
        <v>1410</v>
      </c>
      <c r="AB199" t="s">
        <v>1410</v>
      </c>
      <c r="AC199" t="s">
        <v>1410</v>
      </c>
      <c r="AD199" t="s">
        <v>1410</v>
      </c>
      <c r="AE199" t="s">
        <v>1410</v>
      </c>
      <c r="AF199" t="str">
        <f t="shared" si="5"/>
        <v>//189 - 0xBD</v>
      </c>
    </row>
    <row r="200" spans="1:32" x14ac:dyDescent="0.25">
      <c r="A200" t="str">
        <f t="shared" si="4"/>
        <v>//190 - 0xBE</v>
      </c>
      <c r="D200" t="s">
        <v>1410</v>
      </c>
      <c r="E200" t="s">
        <v>1410</v>
      </c>
      <c r="F200" t="s">
        <v>1410</v>
      </c>
      <c r="G200" t="s">
        <v>1410</v>
      </c>
      <c r="H200" t="s">
        <v>1410</v>
      </c>
      <c r="I200" t="s">
        <v>1410</v>
      </c>
      <c r="J200" t="s">
        <v>1410</v>
      </c>
      <c r="K200" t="s">
        <v>1410</v>
      </c>
      <c r="L200" t="s">
        <v>1410</v>
      </c>
      <c r="M200" t="s">
        <v>1410</v>
      </c>
      <c r="N200" t="s">
        <v>1410</v>
      </c>
      <c r="O200" t="s">
        <v>1410</v>
      </c>
      <c r="P200" t="s">
        <v>1410</v>
      </c>
      <c r="Q200" t="s">
        <v>1410</v>
      </c>
      <c r="R200" t="s">
        <v>1410</v>
      </c>
      <c r="S200" t="s">
        <v>1410</v>
      </c>
      <c r="T200" t="s">
        <v>1410</v>
      </c>
      <c r="U200" t="s">
        <v>1410</v>
      </c>
      <c r="V200" t="s">
        <v>1410</v>
      </c>
      <c r="W200" t="s">
        <v>1410</v>
      </c>
      <c r="X200" t="s">
        <v>1410</v>
      </c>
      <c r="Y200" t="s">
        <v>1410</v>
      </c>
      <c r="Z200" t="s">
        <v>1410</v>
      </c>
      <c r="AA200" t="s">
        <v>1410</v>
      </c>
      <c r="AB200" t="s">
        <v>1410</v>
      </c>
      <c r="AC200" t="s">
        <v>1410</v>
      </c>
      <c r="AD200" t="s">
        <v>1410</v>
      </c>
      <c r="AE200" t="s">
        <v>1410</v>
      </c>
      <c r="AF200" t="str">
        <f t="shared" si="5"/>
        <v>//190 - 0xBE</v>
      </c>
    </row>
    <row r="201" spans="1:32" x14ac:dyDescent="0.25">
      <c r="A201" t="str">
        <f t="shared" si="4"/>
        <v>//191 - 0xBF</v>
      </c>
      <c r="D201" t="s">
        <v>1410</v>
      </c>
      <c r="E201" t="s">
        <v>1410</v>
      </c>
      <c r="F201" t="s">
        <v>1410</v>
      </c>
      <c r="G201" t="s">
        <v>1410</v>
      </c>
      <c r="H201" t="s">
        <v>1410</v>
      </c>
      <c r="I201" t="s">
        <v>1410</v>
      </c>
      <c r="J201" t="s">
        <v>1410</v>
      </c>
      <c r="K201" t="s">
        <v>1410</v>
      </c>
      <c r="L201" t="s">
        <v>1410</v>
      </c>
      <c r="M201" t="s">
        <v>1410</v>
      </c>
      <c r="N201" t="s">
        <v>1410</v>
      </c>
      <c r="O201" t="s">
        <v>1410</v>
      </c>
      <c r="P201" t="s">
        <v>1410</v>
      </c>
      <c r="Q201" t="s">
        <v>1410</v>
      </c>
      <c r="R201" t="s">
        <v>1410</v>
      </c>
      <c r="S201" t="s">
        <v>1410</v>
      </c>
      <c r="T201" t="s">
        <v>1410</v>
      </c>
      <c r="U201" t="s">
        <v>1410</v>
      </c>
      <c r="V201" t="s">
        <v>1410</v>
      </c>
      <c r="W201" t="s">
        <v>1410</v>
      </c>
      <c r="X201" t="s">
        <v>1410</v>
      </c>
      <c r="Y201" t="s">
        <v>1410</v>
      </c>
      <c r="Z201" t="s">
        <v>1410</v>
      </c>
      <c r="AA201" t="s">
        <v>1410</v>
      </c>
      <c r="AB201" t="s">
        <v>1410</v>
      </c>
      <c r="AC201" t="s">
        <v>1410</v>
      </c>
      <c r="AD201" t="s">
        <v>1410</v>
      </c>
      <c r="AE201" t="s">
        <v>1410</v>
      </c>
      <c r="AF201" t="str">
        <f t="shared" si="5"/>
        <v>//191 - 0xBF</v>
      </c>
    </row>
    <row r="202" spans="1:32" x14ac:dyDescent="0.25">
      <c r="A202" t="str">
        <f t="shared" si="4"/>
        <v>//192 - 0xC0</v>
      </c>
      <c r="D202" t="s">
        <v>1410</v>
      </c>
      <c r="E202" t="s">
        <v>1410</v>
      </c>
      <c r="F202" t="s">
        <v>1410</v>
      </c>
      <c r="G202" t="s">
        <v>1410</v>
      </c>
      <c r="H202" t="s">
        <v>1410</v>
      </c>
      <c r="I202" t="s">
        <v>1410</v>
      </c>
      <c r="J202" t="s">
        <v>1410</v>
      </c>
      <c r="K202" t="s">
        <v>1410</v>
      </c>
      <c r="L202" t="s">
        <v>1410</v>
      </c>
      <c r="M202" t="s">
        <v>1410</v>
      </c>
      <c r="N202" t="s">
        <v>1410</v>
      </c>
      <c r="O202" t="s">
        <v>1410</v>
      </c>
      <c r="P202" t="s">
        <v>1410</v>
      </c>
      <c r="Q202" t="s">
        <v>1410</v>
      </c>
      <c r="R202" t="s">
        <v>1410</v>
      </c>
      <c r="S202" t="s">
        <v>1410</v>
      </c>
      <c r="T202" t="s">
        <v>1410</v>
      </c>
      <c r="U202" t="s">
        <v>1410</v>
      </c>
      <c r="V202" t="s">
        <v>1410</v>
      </c>
      <c r="W202" t="s">
        <v>1410</v>
      </c>
      <c r="X202" t="s">
        <v>1410</v>
      </c>
      <c r="Y202" t="s">
        <v>1410</v>
      </c>
      <c r="Z202" t="s">
        <v>1410</v>
      </c>
      <c r="AA202" t="s">
        <v>1410</v>
      </c>
      <c r="AB202" t="s">
        <v>1410</v>
      </c>
      <c r="AC202" t="s">
        <v>1410</v>
      </c>
      <c r="AD202" t="s">
        <v>1410</v>
      </c>
      <c r="AE202" t="s">
        <v>1410</v>
      </c>
      <c r="AF202" t="str">
        <f t="shared" si="5"/>
        <v>//192 - 0xC0</v>
      </c>
    </row>
    <row r="203" spans="1:32" x14ac:dyDescent="0.25">
      <c r="A203" t="str">
        <f t="shared" ref="A203:A265" si="6">"//" &amp; ROW()-10 &amp; " - 0x" &amp; DEC2HEX(ROW()-10,2)</f>
        <v>//193 - 0xC1</v>
      </c>
      <c r="D203" t="s">
        <v>1410</v>
      </c>
      <c r="E203" t="s">
        <v>1410</v>
      </c>
      <c r="F203" t="s">
        <v>1410</v>
      </c>
      <c r="G203" t="s">
        <v>1410</v>
      </c>
      <c r="H203" t="s">
        <v>1410</v>
      </c>
      <c r="I203" t="s">
        <v>1410</v>
      </c>
      <c r="J203" t="s">
        <v>1410</v>
      </c>
      <c r="K203" t="s">
        <v>1410</v>
      </c>
      <c r="L203" t="s">
        <v>1410</v>
      </c>
      <c r="M203" t="s">
        <v>1410</v>
      </c>
      <c r="N203" t="s">
        <v>1410</v>
      </c>
      <c r="O203" t="s">
        <v>1410</v>
      </c>
      <c r="P203" t="s">
        <v>1410</v>
      </c>
      <c r="Q203" t="s">
        <v>1410</v>
      </c>
      <c r="R203" t="s">
        <v>1410</v>
      </c>
      <c r="S203" t="s">
        <v>1410</v>
      </c>
      <c r="T203" t="s">
        <v>1410</v>
      </c>
      <c r="U203" t="s">
        <v>1410</v>
      </c>
      <c r="V203" t="s">
        <v>1410</v>
      </c>
      <c r="W203" t="s">
        <v>1410</v>
      </c>
      <c r="X203" t="s">
        <v>1410</v>
      </c>
      <c r="Y203" t="s">
        <v>1410</v>
      </c>
      <c r="Z203" t="s">
        <v>1410</v>
      </c>
      <c r="AA203" t="s">
        <v>1410</v>
      </c>
      <c r="AB203" t="s">
        <v>1410</v>
      </c>
      <c r="AC203" t="s">
        <v>1410</v>
      </c>
      <c r="AD203" t="s">
        <v>1410</v>
      </c>
      <c r="AE203" t="s">
        <v>1410</v>
      </c>
      <c r="AF203" t="str">
        <f t="shared" ref="AF203:AF265" si="7">"//" &amp; ROW()-10 &amp; " - 0x" &amp; DEC2HEX(ROW()-10,2)</f>
        <v>//193 - 0xC1</v>
      </c>
    </row>
    <row r="204" spans="1:32" x14ac:dyDescent="0.25">
      <c r="A204" t="str">
        <f t="shared" si="6"/>
        <v>//194 - 0xC2</v>
      </c>
      <c r="D204" t="s">
        <v>1410</v>
      </c>
      <c r="E204" t="s">
        <v>1410</v>
      </c>
      <c r="F204" t="s">
        <v>1410</v>
      </c>
      <c r="G204" t="s">
        <v>1410</v>
      </c>
      <c r="H204" t="s">
        <v>1410</v>
      </c>
      <c r="I204" t="s">
        <v>1410</v>
      </c>
      <c r="J204" t="s">
        <v>1410</v>
      </c>
      <c r="K204" t="s">
        <v>1410</v>
      </c>
      <c r="L204" t="s">
        <v>1410</v>
      </c>
      <c r="M204" t="s">
        <v>1410</v>
      </c>
      <c r="N204" t="s">
        <v>1410</v>
      </c>
      <c r="O204" t="s">
        <v>1410</v>
      </c>
      <c r="P204" t="s">
        <v>1410</v>
      </c>
      <c r="Q204" t="s">
        <v>1410</v>
      </c>
      <c r="R204" t="s">
        <v>1410</v>
      </c>
      <c r="S204" t="s">
        <v>1410</v>
      </c>
      <c r="T204" t="s">
        <v>1410</v>
      </c>
      <c r="U204" t="s">
        <v>1410</v>
      </c>
      <c r="V204" t="s">
        <v>1410</v>
      </c>
      <c r="W204" t="s">
        <v>1410</v>
      </c>
      <c r="X204" t="s">
        <v>1410</v>
      </c>
      <c r="Y204" t="s">
        <v>1410</v>
      </c>
      <c r="Z204" t="s">
        <v>1410</v>
      </c>
      <c r="AA204" t="s">
        <v>1410</v>
      </c>
      <c r="AB204" t="s">
        <v>1410</v>
      </c>
      <c r="AC204" t="s">
        <v>1410</v>
      </c>
      <c r="AD204" t="s">
        <v>1410</v>
      </c>
      <c r="AE204" t="s">
        <v>1410</v>
      </c>
      <c r="AF204" t="str">
        <f t="shared" si="7"/>
        <v>//194 - 0xC2</v>
      </c>
    </row>
    <row r="205" spans="1:32" x14ac:dyDescent="0.25">
      <c r="A205" t="str">
        <f t="shared" si="6"/>
        <v>//195 - 0xC3</v>
      </c>
      <c r="D205" t="s">
        <v>1410</v>
      </c>
      <c r="E205" t="s">
        <v>1410</v>
      </c>
      <c r="F205" t="s">
        <v>1410</v>
      </c>
      <c r="G205" t="s">
        <v>1410</v>
      </c>
      <c r="H205" t="s">
        <v>1410</v>
      </c>
      <c r="I205" t="s">
        <v>1410</v>
      </c>
      <c r="J205" t="s">
        <v>1410</v>
      </c>
      <c r="K205" t="s">
        <v>1410</v>
      </c>
      <c r="L205" t="s">
        <v>1410</v>
      </c>
      <c r="M205" t="s">
        <v>1410</v>
      </c>
      <c r="N205" t="s">
        <v>1410</v>
      </c>
      <c r="O205" t="s">
        <v>1410</v>
      </c>
      <c r="P205" t="s">
        <v>1410</v>
      </c>
      <c r="Q205" t="s">
        <v>1410</v>
      </c>
      <c r="R205" t="s">
        <v>1410</v>
      </c>
      <c r="S205" t="s">
        <v>1410</v>
      </c>
      <c r="T205" t="s">
        <v>1410</v>
      </c>
      <c r="U205" t="s">
        <v>1410</v>
      </c>
      <c r="V205" t="s">
        <v>1410</v>
      </c>
      <c r="W205" t="s">
        <v>1410</v>
      </c>
      <c r="X205" t="s">
        <v>1410</v>
      </c>
      <c r="Y205" t="s">
        <v>1410</v>
      </c>
      <c r="Z205" t="s">
        <v>1410</v>
      </c>
      <c r="AA205" t="s">
        <v>1410</v>
      </c>
      <c r="AB205" t="s">
        <v>1410</v>
      </c>
      <c r="AC205" t="s">
        <v>1410</v>
      </c>
      <c r="AD205" t="s">
        <v>1410</v>
      </c>
      <c r="AE205" t="s">
        <v>1410</v>
      </c>
      <c r="AF205" t="str">
        <f t="shared" si="7"/>
        <v>//195 - 0xC3</v>
      </c>
    </row>
    <row r="206" spans="1:32" x14ac:dyDescent="0.25">
      <c r="A206" t="str">
        <f t="shared" si="6"/>
        <v>//196 - 0xC4</v>
      </c>
      <c r="D206" t="s">
        <v>1410</v>
      </c>
      <c r="E206" t="s">
        <v>1410</v>
      </c>
      <c r="F206" t="s">
        <v>1410</v>
      </c>
      <c r="G206" t="s">
        <v>1410</v>
      </c>
      <c r="H206" t="s">
        <v>1410</v>
      </c>
      <c r="I206" t="s">
        <v>1410</v>
      </c>
      <c r="J206" t="s">
        <v>1410</v>
      </c>
      <c r="K206" t="s">
        <v>1410</v>
      </c>
      <c r="L206" t="s">
        <v>1410</v>
      </c>
      <c r="M206" t="s">
        <v>1410</v>
      </c>
      <c r="N206" t="s">
        <v>1410</v>
      </c>
      <c r="O206" t="s">
        <v>1410</v>
      </c>
      <c r="P206" t="s">
        <v>1410</v>
      </c>
      <c r="Q206" t="s">
        <v>1410</v>
      </c>
      <c r="R206" t="s">
        <v>1410</v>
      </c>
      <c r="S206" t="s">
        <v>1410</v>
      </c>
      <c r="T206" t="s">
        <v>1410</v>
      </c>
      <c r="U206" t="s">
        <v>1410</v>
      </c>
      <c r="V206" t="s">
        <v>1410</v>
      </c>
      <c r="W206" t="s">
        <v>1410</v>
      </c>
      <c r="X206" t="s">
        <v>1410</v>
      </c>
      <c r="Y206" t="s">
        <v>1410</v>
      </c>
      <c r="Z206" t="s">
        <v>1410</v>
      </c>
      <c r="AA206" t="s">
        <v>1410</v>
      </c>
      <c r="AB206" t="s">
        <v>1410</v>
      </c>
      <c r="AC206" t="s">
        <v>1410</v>
      </c>
      <c r="AD206" t="s">
        <v>1410</v>
      </c>
      <c r="AE206" t="s">
        <v>1410</v>
      </c>
      <c r="AF206" t="str">
        <f t="shared" si="7"/>
        <v>//196 - 0xC4</v>
      </c>
    </row>
    <row r="207" spans="1:32" x14ac:dyDescent="0.25">
      <c r="A207" t="str">
        <f t="shared" si="6"/>
        <v>//197 - 0xC5</v>
      </c>
      <c r="D207" t="s">
        <v>1410</v>
      </c>
      <c r="E207" t="s">
        <v>1410</v>
      </c>
      <c r="F207" t="s">
        <v>1410</v>
      </c>
      <c r="G207" t="s">
        <v>1410</v>
      </c>
      <c r="H207" t="s">
        <v>1410</v>
      </c>
      <c r="I207" t="s">
        <v>1410</v>
      </c>
      <c r="J207" t="s">
        <v>1410</v>
      </c>
      <c r="K207" t="s">
        <v>1410</v>
      </c>
      <c r="L207" t="s">
        <v>1410</v>
      </c>
      <c r="M207" t="s">
        <v>1410</v>
      </c>
      <c r="N207" t="s">
        <v>1410</v>
      </c>
      <c r="O207" t="s">
        <v>1410</v>
      </c>
      <c r="P207" t="s">
        <v>1410</v>
      </c>
      <c r="Q207" t="s">
        <v>1410</v>
      </c>
      <c r="R207" t="s">
        <v>1410</v>
      </c>
      <c r="S207" t="s">
        <v>1410</v>
      </c>
      <c r="T207" t="s">
        <v>1410</v>
      </c>
      <c r="U207" t="s">
        <v>1410</v>
      </c>
      <c r="V207" t="s">
        <v>1410</v>
      </c>
      <c r="W207" t="s">
        <v>1410</v>
      </c>
      <c r="X207" t="s">
        <v>1410</v>
      </c>
      <c r="Y207" t="s">
        <v>1410</v>
      </c>
      <c r="Z207" t="s">
        <v>1410</v>
      </c>
      <c r="AA207" t="s">
        <v>1410</v>
      </c>
      <c r="AB207" t="s">
        <v>1410</v>
      </c>
      <c r="AC207" t="s">
        <v>1410</v>
      </c>
      <c r="AD207" t="s">
        <v>1410</v>
      </c>
      <c r="AE207" t="s">
        <v>1410</v>
      </c>
      <c r="AF207" t="str">
        <f t="shared" si="7"/>
        <v>//197 - 0xC5</v>
      </c>
    </row>
    <row r="208" spans="1:32" x14ac:dyDescent="0.25">
      <c r="A208" t="str">
        <f t="shared" si="6"/>
        <v>//198 - 0xC6</v>
      </c>
      <c r="D208" t="s">
        <v>1410</v>
      </c>
      <c r="E208" t="s">
        <v>1410</v>
      </c>
      <c r="F208" t="s">
        <v>1410</v>
      </c>
      <c r="G208" t="s">
        <v>1410</v>
      </c>
      <c r="H208" t="s">
        <v>1410</v>
      </c>
      <c r="I208" t="s">
        <v>1410</v>
      </c>
      <c r="J208" t="s">
        <v>1410</v>
      </c>
      <c r="K208" t="s">
        <v>1410</v>
      </c>
      <c r="L208" t="s">
        <v>1410</v>
      </c>
      <c r="M208" t="s">
        <v>1410</v>
      </c>
      <c r="N208" t="s">
        <v>1410</v>
      </c>
      <c r="O208" t="s">
        <v>1410</v>
      </c>
      <c r="P208" t="s">
        <v>1410</v>
      </c>
      <c r="Q208" t="s">
        <v>1410</v>
      </c>
      <c r="R208" t="s">
        <v>1410</v>
      </c>
      <c r="S208" t="s">
        <v>1410</v>
      </c>
      <c r="T208" t="s">
        <v>1410</v>
      </c>
      <c r="U208" t="s">
        <v>1410</v>
      </c>
      <c r="V208" t="s">
        <v>1410</v>
      </c>
      <c r="W208" t="s">
        <v>1410</v>
      </c>
      <c r="X208" t="s">
        <v>1410</v>
      </c>
      <c r="Y208" t="s">
        <v>1410</v>
      </c>
      <c r="Z208" t="s">
        <v>1410</v>
      </c>
      <c r="AA208" t="s">
        <v>1410</v>
      </c>
      <c r="AB208" t="s">
        <v>1410</v>
      </c>
      <c r="AC208" t="s">
        <v>1410</v>
      </c>
      <c r="AD208" t="s">
        <v>1410</v>
      </c>
      <c r="AE208" t="s">
        <v>1410</v>
      </c>
      <c r="AF208" t="str">
        <f t="shared" si="7"/>
        <v>//198 - 0xC6</v>
      </c>
    </row>
    <row r="209" spans="1:32" x14ac:dyDescent="0.25">
      <c r="A209" t="str">
        <f t="shared" si="6"/>
        <v>//199 - 0xC7</v>
      </c>
      <c r="D209" t="s">
        <v>1410</v>
      </c>
      <c r="E209" t="s">
        <v>1410</v>
      </c>
      <c r="F209" t="s">
        <v>1410</v>
      </c>
      <c r="G209" t="s">
        <v>1410</v>
      </c>
      <c r="H209" t="s">
        <v>1410</v>
      </c>
      <c r="I209" t="s">
        <v>1410</v>
      </c>
      <c r="J209" t="s">
        <v>1410</v>
      </c>
      <c r="K209" t="s">
        <v>1410</v>
      </c>
      <c r="L209" t="s">
        <v>1410</v>
      </c>
      <c r="M209" t="s">
        <v>1410</v>
      </c>
      <c r="N209" t="s">
        <v>1410</v>
      </c>
      <c r="O209" t="s">
        <v>1410</v>
      </c>
      <c r="P209" t="s">
        <v>1410</v>
      </c>
      <c r="Q209" t="s">
        <v>1410</v>
      </c>
      <c r="R209" t="s">
        <v>1410</v>
      </c>
      <c r="S209" t="s">
        <v>1410</v>
      </c>
      <c r="T209" t="s">
        <v>1410</v>
      </c>
      <c r="U209" t="s">
        <v>1410</v>
      </c>
      <c r="V209" t="s">
        <v>1410</v>
      </c>
      <c r="W209" t="s">
        <v>1410</v>
      </c>
      <c r="X209" t="s">
        <v>1410</v>
      </c>
      <c r="Y209" t="s">
        <v>1410</v>
      </c>
      <c r="Z209" t="s">
        <v>1410</v>
      </c>
      <c r="AA209" t="s">
        <v>1410</v>
      </c>
      <c r="AB209" t="s">
        <v>1410</v>
      </c>
      <c r="AC209" t="s">
        <v>1410</v>
      </c>
      <c r="AD209" t="s">
        <v>1410</v>
      </c>
      <c r="AE209" t="s">
        <v>1410</v>
      </c>
      <c r="AF209" t="str">
        <f t="shared" si="7"/>
        <v>//199 - 0xC7</v>
      </c>
    </row>
    <row r="210" spans="1:32" x14ac:dyDescent="0.25">
      <c r="A210" t="str">
        <f t="shared" si="6"/>
        <v>//200 - 0xC8</v>
      </c>
      <c r="D210" t="s">
        <v>1410</v>
      </c>
      <c r="E210" t="s">
        <v>1410</v>
      </c>
      <c r="F210" t="s">
        <v>1410</v>
      </c>
      <c r="G210" t="s">
        <v>1410</v>
      </c>
      <c r="H210" t="s">
        <v>1410</v>
      </c>
      <c r="I210" t="s">
        <v>1410</v>
      </c>
      <c r="J210" t="s">
        <v>1410</v>
      </c>
      <c r="K210" t="s">
        <v>1410</v>
      </c>
      <c r="L210" t="s">
        <v>1410</v>
      </c>
      <c r="M210" t="s">
        <v>1410</v>
      </c>
      <c r="N210" t="s">
        <v>1410</v>
      </c>
      <c r="O210" t="s">
        <v>1410</v>
      </c>
      <c r="P210" t="s">
        <v>1410</v>
      </c>
      <c r="Q210" t="s">
        <v>1410</v>
      </c>
      <c r="R210" t="s">
        <v>1410</v>
      </c>
      <c r="S210" t="s">
        <v>1410</v>
      </c>
      <c r="T210" t="s">
        <v>1410</v>
      </c>
      <c r="U210" t="s">
        <v>1410</v>
      </c>
      <c r="V210" t="s">
        <v>1410</v>
      </c>
      <c r="W210" t="s">
        <v>1410</v>
      </c>
      <c r="X210" t="s">
        <v>1410</v>
      </c>
      <c r="Y210" t="s">
        <v>1410</v>
      </c>
      <c r="Z210" t="s">
        <v>1410</v>
      </c>
      <c r="AA210" t="s">
        <v>1410</v>
      </c>
      <c r="AB210" t="s">
        <v>1410</v>
      </c>
      <c r="AC210" t="s">
        <v>1410</v>
      </c>
      <c r="AD210" t="s">
        <v>1410</v>
      </c>
      <c r="AE210" t="s">
        <v>1410</v>
      </c>
      <c r="AF210" t="str">
        <f t="shared" si="7"/>
        <v>//200 - 0xC8</v>
      </c>
    </row>
    <row r="211" spans="1:32" x14ac:dyDescent="0.25">
      <c r="A211" t="str">
        <f t="shared" si="6"/>
        <v>//201 - 0xC9</v>
      </c>
      <c r="D211" t="s">
        <v>1410</v>
      </c>
      <c r="E211" t="s">
        <v>1410</v>
      </c>
      <c r="F211" t="s">
        <v>1410</v>
      </c>
      <c r="G211" t="s">
        <v>1410</v>
      </c>
      <c r="H211" t="s">
        <v>1410</v>
      </c>
      <c r="I211" t="s">
        <v>1410</v>
      </c>
      <c r="J211" t="s">
        <v>1410</v>
      </c>
      <c r="K211" t="s">
        <v>1410</v>
      </c>
      <c r="L211" t="s">
        <v>1410</v>
      </c>
      <c r="M211" t="s">
        <v>1410</v>
      </c>
      <c r="N211" t="s">
        <v>1410</v>
      </c>
      <c r="O211" t="s">
        <v>1410</v>
      </c>
      <c r="P211" t="s">
        <v>1410</v>
      </c>
      <c r="Q211" t="s">
        <v>1410</v>
      </c>
      <c r="R211" t="s">
        <v>1410</v>
      </c>
      <c r="S211" t="s">
        <v>1410</v>
      </c>
      <c r="T211" t="s">
        <v>1410</v>
      </c>
      <c r="U211" t="s">
        <v>1410</v>
      </c>
      <c r="V211" t="s">
        <v>1410</v>
      </c>
      <c r="W211" t="s">
        <v>1410</v>
      </c>
      <c r="X211" t="s">
        <v>1410</v>
      </c>
      <c r="Y211" t="s">
        <v>1410</v>
      </c>
      <c r="Z211" t="s">
        <v>1410</v>
      </c>
      <c r="AA211" t="s">
        <v>1410</v>
      </c>
      <c r="AB211" t="s">
        <v>1410</v>
      </c>
      <c r="AC211" t="s">
        <v>1410</v>
      </c>
      <c r="AD211" t="s">
        <v>1410</v>
      </c>
      <c r="AE211" t="s">
        <v>1410</v>
      </c>
      <c r="AF211" t="str">
        <f t="shared" si="7"/>
        <v>//201 - 0xC9</v>
      </c>
    </row>
    <row r="212" spans="1:32" x14ac:dyDescent="0.25">
      <c r="A212" t="str">
        <f t="shared" si="6"/>
        <v>//202 - 0xCA</v>
      </c>
      <c r="D212" t="s">
        <v>1410</v>
      </c>
      <c r="E212" t="s">
        <v>1410</v>
      </c>
      <c r="F212" t="s">
        <v>1410</v>
      </c>
      <c r="G212" t="s">
        <v>1410</v>
      </c>
      <c r="H212" t="s">
        <v>1410</v>
      </c>
      <c r="I212" t="s">
        <v>1410</v>
      </c>
      <c r="J212" t="s">
        <v>1410</v>
      </c>
      <c r="K212" t="s">
        <v>1410</v>
      </c>
      <c r="L212" t="s">
        <v>1410</v>
      </c>
      <c r="M212" t="s">
        <v>1410</v>
      </c>
      <c r="N212" t="s">
        <v>1410</v>
      </c>
      <c r="O212" t="s">
        <v>1410</v>
      </c>
      <c r="P212" t="s">
        <v>1410</v>
      </c>
      <c r="Q212" t="s">
        <v>1410</v>
      </c>
      <c r="R212" t="s">
        <v>1410</v>
      </c>
      <c r="S212" t="s">
        <v>1410</v>
      </c>
      <c r="T212" t="s">
        <v>1410</v>
      </c>
      <c r="U212" t="s">
        <v>1410</v>
      </c>
      <c r="V212" t="s">
        <v>1410</v>
      </c>
      <c r="W212" t="s">
        <v>1410</v>
      </c>
      <c r="X212" t="s">
        <v>1410</v>
      </c>
      <c r="Y212" t="s">
        <v>1410</v>
      </c>
      <c r="Z212" t="s">
        <v>1410</v>
      </c>
      <c r="AA212" t="s">
        <v>1410</v>
      </c>
      <c r="AB212" t="s">
        <v>1410</v>
      </c>
      <c r="AC212" t="s">
        <v>1410</v>
      </c>
      <c r="AD212" t="s">
        <v>1410</v>
      </c>
      <c r="AE212" t="s">
        <v>1410</v>
      </c>
      <c r="AF212" t="str">
        <f t="shared" si="7"/>
        <v>//202 - 0xCA</v>
      </c>
    </row>
    <row r="213" spans="1:32" x14ac:dyDescent="0.25">
      <c r="A213" t="str">
        <f t="shared" si="6"/>
        <v>//203 - 0xCB</v>
      </c>
      <c r="D213" t="s">
        <v>1410</v>
      </c>
      <c r="E213" t="s">
        <v>1410</v>
      </c>
      <c r="F213" t="s">
        <v>1410</v>
      </c>
      <c r="G213" t="s">
        <v>1410</v>
      </c>
      <c r="H213" t="s">
        <v>1410</v>
      </c>
      <c r="I213" t="s">
        <v>1410</v>
      </c>
      <c r="J213" t="s">
        <v>1410</v>
      </c>
      <c r="K213" t="s">
        <v>1410</v>
      </c>
      <c r="L213" t="s">
        <v>1410</v>
      </c>
      <c r="M213" t="s">
        <v>1410</v>
      </c>
      <c r="N213" t="s">
        <v>1410</v>
      </c>
      <c r="O213" t="s">
        <v>1410</v>
      </c>
      <c r="P213" t="s">
        <v>1410</v>
      </c>
      <c r="Q213" t="s">
        <v>1410</v>
      </c>
      <c r="R213" t="s">
        <v>1410</v>
      </c>
      <c r="S213" t="s">
        <v>1410</v>
      </c>
      <c r="T213" t="s">
        <v>1410</v>
      </c>
      <c r="U213" t="s">
        <v>1410</v>
      </c>
      <c r="V213" t="s">
        <v>1410</v>
      </c>
      <c r="W213" t="s">
        <v>1410</v>
      </c>
      <c r="X213" t="s">
        <v>1410</v>
      </c>
      <c r="Y213" t="s">
        <v>1410</v>
      </c>
      <c r="Z213" t="s">
        <v>1410</v>
      </c>
      <c r="AA213" t="s">
        <v>1410</v>
      </c>
      <c r="AB213" t="s">
        <v>1410</v>
      </c>
      <c r="AC213" t="s">
        <v>1410</v>
      </c>
      <c r="AD213" t="s">
        <v>1410</v>
      </c>
      <c r="AE213" t="s">
        <v>1410</v>
      </c>
      <c r="AF213" t="str">
        <f t="shared" si="7"/>
        <v>//203 - 0xCB</v>
      </c>
    </row>
    <row r="214" spans="1:32" x14ac:dyDescent="0.25">
      <c r="A214" t="str">
        <f t="shared" si="6"/>
        <v>//204 - 0xCC</v>
      </c>
      <c r="D214" t="s">
        <v>1410</v>
      </c>
      <c r="E214" t="s">
        <v>1410</v>
      </c>
      <c r="F214" t="s">
        <v>1410</v>
      </c>
      <c r="G214" t="s">
        <v>1410</v>
      </c>
      <c r="H214" t="s">
        <v>1410</v>
      </c>
      <c r="I214" t="s">
        <v>1410</v>
      </c>
      <c r="J214" t="s">
        <v>1410</v>
      </c>
      <c r="K214" t="s">
        <v>1410</v>
      </c>
      <c r="L214" t="s">
        <v>1410</v>
      </c>
      <c r="M214" t="s">
        <v>1410</v>
      </c>
      <c r="N214" t="s">
        <v>1410</v>
      </c>
      <c r="O214" t="s">
        <v>1410</v>
      </c>
      <c r="P214" t="s">
        <v>1410</v>
      </c>
      <c r="Q214" t="s">
        <v>1410</v>
      </c>
      <c r="R214" t="s">
        <v>1410</v>
      </c>
      <c r="S214" t="s">
        <v>1410</v>
      </c>
      <c r="T214" t="s">
        <v>1410</v>
      </c>
      <c r="U214" t="s">
        <v>1410</v>
      </c>
      <c r="V214" t="s">
        <v>1410</v>
      </c>
      <c r="W214" t="s">
        <v>1410</v>
      </c>
      <c r="X214" t="s">
        <v>1410</v>
      </c>
      <c r="Y214" t="s">
        <v>1410</v>
      </c>
      <c r="Z214" t="s">
        <v>1410</v>
      </c>
      <c r="AA214" t="s">
        <v>1410</v>
      </c>
      <c r="AB214" t="s">
        <v>1410</v>
      </c>
      <c r="AC214" t="s">
        <v>1410</v>
      </c>
      <c r="AD214" t="s">
        <v>1410</v>
      </c>
      <c r="AE214" t="s">
        <v>1410</v>
      </c>
      <c r="AF214" t="str">
        <f t="shared" si="7"/>
        <v>//204 - 0xCC</v>
      </c>
    </row>
    <row r="215" spans="1:32" x14ac:dyDescent="0.25">
      <c r="A215" t="str">
        <f t="shared" si="6"/>
        <v>//205 - 0xCD</v>
      </c>
      <c r="D215" t="s">
        <v>1410</v>
      </c>
      <c r="E215" t="s">
        <v>1410</v>
      </c>
      <c r="F215" t="s">
        <v>1410</v>
      </c>
      <c r="G215" t="s">
        <v>1410</v>
      </c>
      <c r="H215" t="s">
        <v>1410</v>
      </c>
      <c r="I215" t="s">
        <v>1410</v>
      </c>
      <c r="J215" t="s">
        <v>1410</v>
      </c>
      <c r="K215" t="s">
        <v>1410</v>
      </c>
      <c r="L215" t="s">
        <v>1410</v>
      </c>
      <c r="M215" t="s">
        <v>1410</v>
      </c>
      <c r="N215" t="s">
        <v>1410</v>
      </c>
      <c r="O215" t="s">
        <v>1410</v>
      </c>
      <c r="P215" t="s">
        <v>1410</v>
      </c>
      <c r="Q215" t="s">
        <v>1410</v>
      </c>
      <c r="R215" t="s">
        <v>1410</v>
      </c>
      <c r="S215" t="s">
        <v>1410</v>
      </c>
      <c r="T215" t="s">
        <v>1410</v>
      </c>
      <c r="U215" t="s">
        <v>1410</v>
      </c>
      <c r="V215" t="s">
        <v>1410</v>
      </c>
      <c r="W215" t="s">
        <v>1410</v>
      </c>
      <c r="X215" t="s">
        <v>1410</v>
      </c>
      <c r="Y215" t="s">
        <v>1410</v>
      </c>
      <c r="Z215" t="s">
        <v>1410</v>
      </c>
      <c r="AA215" t="s">
        <v>1410</v>
      </c>
      <c r="AB215" t="s">
        <v>1410</v>
      </c>
      <c r="AC215" t="s">
        <v>1410</v>
      </c>
      <c r="AD215" t="s">
        <v>1410</v>
      </c>
      <c r="AE215" t="s">
        <v>1410</v>
      </c>
      <c r="AF215" t="str">
        <f t="shared" si="7"/>
        <v>//205 - 0xCD</v>
      </c>
    </row>
    <row r="216" spans="1:32" x14ac:dyDescent="0.25">
      <c r="A216" t="str">
        <f t="shared" si="6"/>
        <v>//206 - 0xCE</v>
      </c>
      <c r="D216" t="s">
        <v>1410</v>
      </c>
      <c r="E216" t="s">
        <v>1410</v>
      </c>
      <c r="F216" t="s">
        <v>1410</v>
      </c>
      <c r="G216" t="s">
        <v>1410</v>
      </c>
      <c r="H216" t="s">
        <v>1410</v>
      </c>
      <c r="I216" t="s">
        <v>1410</v>
      </c>
      <c r="J216" t="s">
        <v>1410</v>
      </c>
      <c r="K216" t="s">
        <v>1410</v>
      </c>
      <c r="L216" t="s">
        <v>1410</v>
      </c>
      <c r="M216" t="s">
        <v>1410</v>
      </c>
      <c r="N216" t="s">
        <v>1410</v>
      </c>
      <c r="O216" t="s">
        <v>1410</v>
      </c>
      <c r="P216" t="s">
        <v>1410</v>
      </c>
      <c r="Q216" t="s">
        <v>1410</v>
      </c>
      <c r="R216" t="s">
        <v>1410</v>
      </c>
      <c r="S216" t="s">
        <v>1410</v>
      </c>
      <c r="T216" t="s">
        <v>1410</v>
      </c>
      <c r="U216" t="s">
        <v>1410</v>
      </c>
      <c r="V216" t="s">
        <v>1410</v>
      </c>
      <c r="W216" t="s">
        <v>1410</v>
      </c>
      <c r="X216" t="s">
        <v>1410</v>
      </c>
      <c r="Y216" t="s">
        <v>1410</v>
      </c>
      <c r="Z216" t="s">
        <v>1410</v>
      </c>
      <c r="AA216" t="s">
        <v>1410</v>
      </c>
      <c r="AB216" t="s">
        <v>1410</v>
      </c>
      <c r="AC216" t="s">
        <v>1410</v>
      </c>
      <c r="AD216" t="s">
        <v>1410</v>
      </c>
      <c r="AE216" t="s">
        <v>1410</v>
      </c>
      <c r="AF216" t="str">
        <f t="shared" si="7"/>
        <v>//206 - 0xCE</v>
      </c>
    </row>
    <row r="217" spans="1:32" x14ac:dyDescent="0.25">
      <c r="A217" t="str">
        <f t="shared" si="6"/>
        <v>//207 - 0xCF</v>
      </c>
      <c r="D217" t="s">
        <v>1410</v>
      </c>
      <c r="E217" t="s">
        <v>1410</v>
      </c>
      <c r="F217" t="s">
        <v>1410</v>
      </c>
      <c r="G217" t="s">
        <v>1410</v>
      </c>
      <c r="H217" t="s">
        <v>1410</v>
      </c>
      <c r="I217" t="s">
        <v>1410</v>
      </c>
      <c r="J217" t="s">
        <v>1410</v>
      </c>
      <c r="K217" t="s">
        <v>1410</v>
      </c>
      <c r="L217" t="s">
        <v>1410</v>
      </c>
      <c r="M217" t="s">
        <v>1410</v>
      </c>
      <c r="N217" t="s">
        <v>1410</v>
      </c>
      <c r="O217" t="s">
        <v>1410</v>
      </c>
      <c r="P217" t="s">
        <v>1410</v>
      </c>
      <c r="Q217" t="s">
        <v>1410</v>
      </c>
      <c r="R217" t="s">
        <v>1410</v>
      </c>
      <c r="S217" t="s">
        <v>1410</v>
      </c>
      <c r="T217" t="s">
        <v>1410</v>
      </c>
      <c r="U217" t="s">
        <v>1410</v>
      </c>
      <c r="V217" t="s">
        <v>1410</v>
      </c>
      <c r="W217" t="s">
        <v>1410</v>
      </c>
      <c r="X217" t="s">
        <v>1410</v>
      </c>
      <c r="Y217" t="s">
        <v>1410</v>
      </c>
      <c r="Z217" t="s">
        <v>1410</v>
      </c>
      <c r="AA217" t="s">
        <v>1410</v>
      </c>
      <c r="AB217" t="s">
        <v>1410</v>
      </c>
      <c r="AC217" t="s">
        <v>1410</v>
      </c>
      <c r="AD217" t="s">
        <v>1410</v>
      </c>
      <c r="AE217" t="s">
        <v>1410</v>
      </c>
      <c r="AF217" t="str">
        <f t="shared" si="7"/>
        <v>//207 - 0xCF</v>
      </c>
    </row>
    <row r="218" spans="1:32" x14ac:dyDescent="0.25">
      <c r="A218" t="str">
        <f t="shared" si="6"/>
        <v>//208 - 0xD0</v>
      </c>
      <c r="D218" t="s">
        <v>1410</v>
      </c>
      <c r="E218" t="s">
        <v>1410</v>
      </c>
      <c r="F218" t="s">
        <v>1410</v>
      </c>
      <c r="G218" t="s">
        <v>1410</v>
      </c>
      <c r="H218" t="s">
        <v>1410</v>
      </c>
      <c r="I218" t="s">
        <v>1410</v>
      </c>
      <c r="J218" t="s">
        <v>1410</v>
      </c>
      <c r="K218" t="s">
        <v>1410</v>
      </c>
      <c r="L218" t="s">
        <v>1410</v>
      </c>
      <c r="M218" t="s">
        <v>1410</v>
      </c>
      <c r="N218" t="s">
        <v>1410</v>
      </c>
      <c r="O218" t="s">
        <v>1410</v>
      </c>
      <c r="P218" t="s">
        <v>1410</v>
      </c>
      <c r="Q218" t="s">
        <v>1410</v>
      </c>
      <c r="R218" t="s">
        <v>1410</v>
      </c>
      <c r="S218" t="s">
        <v>1410</v>
      </c>
      <c r="T218" t="s">
        <v>1410</v>
      </c>
      <c r="U218" t="s">
        <v>1410</v>
      </c>
      <c r="V218" t="s">
        <v>1410</v>
      </c>
      <c r="W218" t="s">
        <v>1410</v>
      </c>
      <c r="X218" t="s">
        <v>1410</v>
      </c>
      <c r="Y218" t="s">
        <v>1410</v>
      </c>
      <c r="Z218" t="s">
        <v>1410</v>
      </c>
      <c r="AA218" t="s">
        <v>1410</v>
      </c>
      <c r="AB218" t="s">
        <v>1410</v>
      </c>
      <c r="AC218" t="s">
        <v>1410</v>
      </c>
      <c r="AD218" t="s">
        <v>1410</v>
      </c>
      <c r="AE218" t="s">
        <v>1410</v>
      </c>
      <c r="AF218" t="str">
        <f t="shared" si="7"/>
        <v>//208 - 0xD0</v>
      </c>
    </row>
    <row r="219" spans="1:32" x14ac:dyDescent="0.25">
      <c r="A219" t="str">
        <f t="shared" si="6"/>
        <v>//209 - 0xD1</v>
      </c>
      <c r="D219" t="s">
        <v>1410</v>
      </c>
      <c r="E219" t="s">
        <v>1410</v>
      </c>
      <c r="F219" t="s">
        <v>1410</v>
      </c>
      <c r="G219" t="s">
        <v>1410</v>
      </c>
      <c r="H219" t="s">
        <v>1410</v>
      </c>
      <c r="I219" t="s">
        <v>1410</v>
      </c>
      <c r="J219" t="s">
        <v>1410</v>
      </c>
      <c r="K219" t="s">
        <v>1410</v>
      </c>
      <c r="L219" t="s">
        <v>1410</v>
      </c>
      <c r="M219" t="s">
        <v>1410</v>
      </c>
      <c r="N219" t="s">
        <v>1410</v>
      </c>
      <c r="O219" t="s">
        <v>1410</v>
      </c>
      <c r="P219" t="s">
        <v>1410</v>
      </c>
      <c r="Q219" t="s">
        <v>1410</v>
      </c>
      <c r="R219" t="s">
        <v>1410</v>
      </c>
      <c r="S219" t="s">
        <v>1410</v>
      </c>
      <c r="T219" t="s">
        <v>1410</v>
      </c>
      <c r="U219" t="s">
        <v>1410</v>
      </c>
      <c r="V219" t="s">
        <v>1410</v>
      </c>
      <c r="W219" t="s">
        <v>1410</v>
      </c>
      <c r="X219" t="s">
        <v>1410</v>
      </c>
      <c r="Y219" t="s">
        <v>1410</v>
      </c>
      <c r="Z219" t="s">
        <v>1410</v>
      </c>
      <c r="AA219" t="s">
        <v>1410</v>
      </c>
      <c r="AB219" t="s">
        <v>1410</v>
      </c>
      <c r="AC219" t="s">
        <v>1410</v>
      </c>
      <c r="AD219" t="s">
        <v>1410</v>
      </c>
      <c r="AE219" t="s">
        <v>1410</v>
      </c>
      <c r="AF219" t="str">
        <f t="shared" si="7"/>
        <v>//209 - 0xD1</v>
      </c>
    </row>
    <row r="220" spans="1:32" x14ac:dyDescent="0.25">
      <c r="A220" t="str">
        <f t="shared" si="6"/>
        <v>//210 - 0xD2</v>
      </c>
      <c r="D220" t="s">
        <v>1410</v>
      </c>
      <c r="E220" t="s">
        <v>1410</v>
      </c>
      <c r="F220" t="s">
        <v>1410</v>
      </c>
      <c r="G220" t="s">
        <v>1410</v>
      </c>
      <c r="H220" t="s">
        <v>1410</v>
      </c>
      <c r="I220" t="s">
        <v>1410</v>
      </c>
      <c r="J220" t="s">
        <v>1410</v>
      </c>
      <c r="K220" t="s">
        <v>1410</v>
      </c>
      <c r="L220" t="s">
        <v>1410</v>
      </c>
      <c r="M220" t="s">
        <v>1410</v>
      </c>
      <c r="N220" t="s">
        <v>1410</v>
      </c>
      <c r="O220" t="s">
        <v>1410</v>
      </c>
      <c r="P220" t="s">
        <v>1410</v>
      </c>
      <c r="Q220" t="s">
        <v>1410</v>
      </c>
      <c r="R220" t="s">
        <v>1410</v>
      </c>
      <c r="S220" t="s">
        <v>1410</v>
      </c>
      <c r="T220" t="s">
        <v>1410</v>
      </c>
      <c r="U220" t="s">
        <v>1410</v>
      </c>
      <c r="V220" t="s">
        <v>1410</v>
      </c>
      <c r="W220" t="s">
        <v>1410</v>
      </c>
      <c r="X220" t="s">
        <v>1410</v>
      </c>
      <c r="Y220" t="s">
        <v>1410</v>
      </c>
      <c r="Z220" t="s">
        <v>1410</v>
      </c>
      <c r="AA220" t="s">
        <v>1410</v>
      </c>
      <c r="AB220" t="s">
        <v>1410</v>
      </c>
      <c r="AC220" t="s">
        <v>1410</v>
      </c>
      <c r="AD220" t="s">
        <v>1410</v>
      </c>
      <c r="AE220" t="s">
        <v>1410</v>
      </c>
      <c r="AF220" t="str">
        <f t="shared" si="7"/>
        <v>//210 - 0xD2</v>
      </c>
    </row>
    <row r="221" spans="1:32" x14ac:dyDescent="0.25">
      <c r="A221" t="str">
        <f t="shared" si="6"/>
        <v>//211 - 0xD3</v>
      </c>
      <c r="D221" t="s">
        <v>1410</v>
      </c>
      <c r="E221" t="s">
        <v>1410</v>
      </c>
      <c r="F221" t="s">
        <v>1410</v>
      </c>
      <c r="G221" t="s">
        <v>1410</v>
      </c>
      <c r="H221" t="s">
        <v>1410</v>
      </c>
      <c r="I221" t="s">
        <v>1410</v>
      </c>
      <c r="J221" t="s">
        <v>1410</v>
      </c>
      <c r="K221" t="s">
        <v>1410</v>
      </c>
      <c r="L221" t="s">
        <v>1410</v>
      </c>
      <c r="M221" t="s">
        <v>1410</v>
      </c>
      <c r="N221" t="s">
        <v>1410</v>
      </c>
      <c r="O221" t="s">
        <v>1410</v>
      </c>
      <c r="P221" t="s">
        <v>1410</v>
      </c>
      <c r="Q221" t="s">
        <v>1410</v>
      </c>
      <c r="R221" t="s">
        <v>1410</v>
      </c>
      <c r="S221" t="s">
        <v>1410</v>
      </c>
      <c r="T221" t="s">
        <v>1410</v>
      </c>
      <c r="U221" t="s">
        <v>1410</v>
      </c>
      <c r="V221" t="s">
        <v>1410</v>
      </c>
      <c r="W221" t="s">
        <v>1410</v>
      </c>
      <c r="X221" t="s">
        <v>1410</v>
      </c>
      <c r="Y221" t="s">
        <v>1410</v>
      </c>
      <c r="Z221" t="s">
        <v>1410</v>
      </c>
      <c r="AA221" t="s">
        <v>1410</v>
      </c>
      <c r="AB221" t="s">
        <v>1410</v>
      </c>
      <c r="AC221" t="s">
        <v>1410</v>
      </c>
      <c r="AD221" t="s">
        <v>1410</v>
      </c>
      <c r="AE221" t="s">
        <v>1410</v>
      </c>
      <c r="AF221" t="str">
        <f t="shared" si="7"/>
        <v>//211 - 0xD3</v>
      </c>
    </row>
    <row r="222" spans="1:32" x14ac:dyDescent="0.25">
      <c r="A222" t="str">
        <f t="shared" si="6"/>
        <v>//212 - 0xD4</v>
      </c>
      <c r="D222" t="s">
        <v>1410</v>
      </c>
      <c r="E222" t="s">
        <v>1410</v>
      </c>
      <c r="F222" t="s">
        <v>1410</v>
      </c>
      <c r="G222" t="s">
        <v>1410</v>
      </c>
      <c r="H222" t="s">
        <v>1410</v>
      </c>
      <c r="I222" t="s">
        <v>1410</v>
      </c>
      <c r="J222" t="s">
        <v>1410</v>
      </c>
      <c r="K222" t="s">
        <v>1410</v>
      </c>
      <c r="L222" t="s">
        <v>1410</v>
      </c>
      <c r="M222" t="s">
        <v>1410</v>
      </c>
      <c r="N222" t="s">
        <v>1410</v>
      </c>
      <c r="O222" t="s">
        <v>1410</v>
      </c>
      <c r="P222" t="s">
        <v>1410</v>
      </c>
      <c r="Q222" t="s">
        <v>1410</v>
      </c>
      <c r="R222" t="s">
        <v>1410</v>
      </c>
      <c r="S222" t="s">
        <v>1410</v>
      </c>
      <c r="T222" t="s">
        <v>1410</v>
      </c>
      <c r="U222" t="s">
        <v>1410</v>
      </c>
      <c r="V222" t="s">
        <v>1410</v>
      </c>
      <c r="W222" t="s">
        <v>1410</v>
      </c>
      <c r="X222" t="s">
        <v>1410</v>
      </c>
      <c r="Y222" t="s">
        <v>1410</v>
      </c>
      <c r="Z222" t="s">
        <v>1410</v>
      </c>
      <c r="AA222" t="s">
        <v>1410</v>
      </c>
      <c r="AB222" t="s">
        <v>1410</v>
      </c>
      <c r="AC222" t="s">
        <v>1410</v>
      </c>
      <c r="AD222" t="s">
        <v>1410</v>
      </c>
      <c r="AE222" t="s">
        <v>1410</v>
      </c>
      <c r="AF222" t="str">
        <f t="shared" si="7"/>
        <v>//212 - 0xD4</v>
      </c>
    </row>
    <row r="223" spans="1:32" x14ac:dyDescent="0.25">
      <c r="A223" t="str">
        <f t="shared" si="6"/>
        <v>//213 - 0xD5</v>
      </c>
      <c r="D223" t="s">
        <v>1410</v>
      </c>
      <c r="E223" t="s">
        <v>1410</v>
      </c>
      <c r="F223" t="s">
        <v>1410</v>
      </c>
      <c r="G223" t="s">
        <v>1410</v>
      </c>
      <c r="H223" t="s">
        <v>1410</v>
      </c>
      <c r="I223" t="s">
        <v>1410</v>
      </c>
      <c r="J223" t="s">
        <v>1410</v>
      </c>
      <c r="K223" t="s">
        <v>1410</v>
      </c>
      <c r="L223" t="s">
        <v>1410</v>
      </c>
      <c r="M223" t="s">
        <v>1410</v>
      </c>
      <c r="N223" t="s">
        <v>1410</v>
      </c>
      <c r="O223" t="s">
        <v>1410</v>
      </c>
      <c r="P223" t="s">
        <v>1410</v>
      </c>
      <c r="Q223" t="s">
        <v>1410</v>
      </c>
      <c r="R223" t="s">
        <v>1410</v>
      </c>
      <c r="S223" t="s">
        <v>1410</v>
      </c>
      <c r="T223" t="s">
        <v>1410</v>
      </c>
      <c r="U223" t="s">
        <v>1410</v>
      </c>
      <c r="V223" t="s">
        <v>1410</v>
      </c>
      <c r="W223" t="s">
        <v>1410</v>
      </c>
      <c r="X223" t="s">
        <v>1410</v>
      </c>
      <c r="Y223" t="s">
        <v>1410</v>
      </c>
      <c r="Z223" t="s">
        <v>1410</v>
      </c>
      <c r="AA223" t="s">
        <v>1410</v>
      </c>
      <c r="AB223" t="s">
        <v>1410</v>
      </c>
      <c r="AC223" t="s">
        <v>1410</v>
      </c>
      <c r="AD223" t="s">
        <v>1410</v>
      </c>
      <c r="AE223" t="s">
        <v>1410</v>
      </c>
      <c r="AF223" t="str">
        <f t="shared" si="7"/>
        <v>//213 - 0xD5</v>
      </c>
    </row>
    <row r="224" spans="1:32" x14ac:dyDescent="0.25">
      <c r="A224" t="str">
        <f t="shared" si="6"/>
        <v>//214 - 0xD6</v>
      </c>
      <c r="D224" t="s">
        <v>1410</v>
      </c>
      <c r="E224" t="s">
        <v>1410</v>
      </c>
      <c r="F224" t="s">
        <v>1410</v>
      </c>
      <c r="G224" t="s">
        <v>1410</v>
      </c>
      <c r="H224" t="s">
        <v>1410</v>
      </c>
      <c r="I224" t="s">
        <v>1410</v>
      </c>
      <c r="J224" t="s">
        <v>1410</v>
      </c>
      <c r="K224" t="s">
        <v>1410</v>
      </c>
      <c r="L224" t="s">
        <v>1410</v>
      </c>
      <c r="M224" t="s">
        <v>1410</v>
      </c>
      <c r="N224" t="s">
        <v>1410</v>
      </c>
      <c r="O224" t="s">
        <v>1410</v>
      </c>
      <c r="P224" t="s">
        <v>1410</v>
      </c>
      <c r="Q224" t="s">
        <v>1410</v>
      </c>
      <c r="R224" t="s">
        <v>1410</v>
      </c>
      <c r="S224" t="s">
        <v>1410</v>
      </c>
      <c r="T224" t="s">
        <v>1410</v>
      </c>
      <c r="U224" t="s">
        <v>1410</v>
      </c>
      <c r="V224" t="s">
        <v>1410</v>
      </c>
      <c r="W224" t="s">
        <v>1410</v>
      </c>
      <c r="X224" t="s">
        <v>1410</v>
      </c>
      <c r="Y224" t="s">
        <v>1410</v>
      </c>
      <c r="Z224" t="s">
        <v>1410</v>
      </c>
      <c r="AA224" t="s">
        <v>1410</v>
      </c>
      <c r="AB224" t="s">
        <v>1410</v>
      </c>
      <c r="AC224" t="s">
        <v>1410</v>
      </c>
      <c r="AD224" t="s">
        <v>1410</v>
      </c>
      <c r="AE224" t="s">
        <v>1410</v>
      </c>
      <c r="AF224" t="str">
        <f t="shared" si="7"/>
        <v>//214 - 0xD6</v>
      </c>
    </row>
    <row r="225" spans="1:32" x14ac:dyDescent="0.25">
      <c r="A225" t="str">
        <f t="shared" si="6"/>
        <v>//215 - 0xD7</v>
      </c>
      <c r="D225" t="s">
        <v>1410</v>
      </c>
      <c r="E225" t="s">
        <v>1410</v>
      </c>
      <c r="F225" t="s">
        <v>1410</v>
      </c>
      <c r="G225" t="s">
        <v>1410</v>
      </c>
      <c r="H225" t="s">
        <v>1410</v>
      </c>
      <c r="I225" t="s">
        <v>1410</v>
      </c>
      <c r="J225" t="s">
        <v>1410</v>
      </c>
      <c r="K225" t="s">
        <v>1410</v>
      </c>
      <c r="L225" t="s">
        <v>1410</v>
      </c>
      <c r="M225" t="s">
        <v>1410</v>
      </c>
      <c r="N225" t="s">
        <v>1410</v>
      </c>
      <c r="O225" t="s">
        <v>1410</v>
      </c>
      <c r="P225" t="s">
        <v>1410</v>
      </c>
      <c r="Q225" t="s">
        <v>1410</v>
      </c>
      <c r="R225" t="s">
        <v>1410</v>
      </c>
      <c r="S225" t="s">
        <v>1410</v>
      </c>
      <c r="T225" t="s">
        <v>1410</v>
      </c>
      <c r="U225" t="s">
        <v>1410</v>
      </c>
      <c r="V225" t="s">
        <v>1410</v>
      </c>
      <c r="W225" t="s">
        <v>1410</v>
      </c>
      <c r="X225" t="s">
        <v>1410</v>
      </c>
      <c r="Y225" t="s">
        <v>1410</v>
      </c>
      <c r="Z225" t="s">
        <v>1410</v>
      </c>
      <c r="AA225" t="s">
        <v>1410</v>
      </c>
      <c r="AB225" t="s">
        <v>1410</v>
      </c>
      <c r="AC225" t="s">
        <v>1410</v>
      </c>
      <c r="AD225" t="s">
        <v>1410</v>
      </c>
      <c r="AE225" t="s">
        <v>1410</v>
      </c>
      <c r="AF225" t="str">
        <f t="shared" si="7"/>
        <v>//215 - 0xD7</v>
      </c>
    </row>
    <row r="226" spans="1:32" x14ac:dyDescent="0.25">
      <c r="A226" t="str">
        <f t="shared" si="6"/>
        <v>//216 - 0xD8</v>
      </c>
      <c r="D226" t="s">
        <v>1410</v>
      </c>
      <c r="E226" t="s">
        <v>1410</v>
      </c>
      <c r="F226" t="s">
        <v>1410</v>
      </c>
      <c r="G226" t="s">
        <v>1410</v>
      </c>
      <c r="H226" t="s">
        <v>1410</v>
      </c>
      <c r="I226" t="s">
        <v>1410</v>
      </c>
      <c r="J226" t="s">
        <v>1410</v>
      </c>
      <c r="K226" t="s">
        <v>1410</v>
      </c>
      <c r="L226" t="s">
        <v>1410</v>
      </c>
      <c r="M226" t="s">
        <v>1410</v>
      </c>
      <c r="N226" t="s">
        <v>1410</v>
      </c>
      <c r="O226" t="s">
        <v>1410</v>
      </c>
      <c r="P226" t="s">
        <v>1410</v>
      </c>
      <c r="Q226" t="s">
        <v>1410</v>
      </c>
      <c r="R226" t="s">
        <v>1410</v>
      </c>
      <c r="S226" t="s">
        <v>1410</v>
      </c>
      <c r="T226" t="s">
        <v>1410</v>
      </c>
      <c r="U226" t="s">
        <v>1410</v>
      </c>
      <c r="V226" t="s">
        <v>1410</v>
      </c>
      <c r="W226" t="s">
        <v>1410</v>
      </c>
      <c r="X226" t="s">
        <v>1410</v>
      </c>
      <c r="Y226" t="s">
        <v>1410</v>
      </c>
      <c r="Z226" t="s">
        <v>1410</v>
      </c>
      <c r="AA226" t="s">
        <v>1410</v>
      </c>
      <c r="AB226" t="s">
        <v>1410</v>
      </c>
      <c r="AC226" t="s">
        <v>1410</v>
      </c>
      <c r="AD226" t="s">
        <v>1410</v>
      </c>
      <c r="AE226" t="s">
        <v>1410</v>
      </c>
      <c r="AF226" t="str">
        <f t="shared" si="7"/>
        <v>//216 - 0xD8</v>
      </c>
    </row>
    <row r="227" spans="1:32" x14ac:dyDescent="0.25">
      <c r="A227" t="str">
        <f t="shared" si="6"/>
        <v>//217 - 0xD9</v>
      </c>
      <c r="D227" t="s">
        <v>1410</v>
      </c>
      <c r="E227" t="s">
        <v>1410</v>
      </c>
      <c r="F227" t="s">
        <v>1410</v>
      </c>
      <c r="G227" t="s">
        <v>1410</v>
      </c>
      <c r="H227" t="s">
        <v>1410</v>
      </c>
      <c r="I227" t="s">
        <v>1410</v>
      </c>
      <c r="J227" t="s">
        <v>1410</v>
      </c>
      <c r="K227" t="s">
        <v>1410</v>
      </c>
      <c r="L227" t="s">
        <v>1410</v>
      </c>
      <c r="M227" t="s">
        <v>1410</v>
      </c>
      <c r="N227" t="s">
        <v>1410</v>
      </c>
      <c r="O227" t="s">
        <v>1410</v>
      </c>
      <c r="P227" t="s">
        <v>1410</v>
      </c>
      <c r="Q227" t="s">
        <v>1410</v>
      </c>
      <c r="R227" t="s">
        <v>1410</v>
      </c>
      <c r="S227" t="s">
        <v>1410</v>
      </c>
      <c r="T227" t="s">
        <v>1410</v>
      </c>
      <c r="U227" t="s">
        <v>1410</v>
      </c>
      <c r="V227" t="s">
        <v>1410</v>
      </c>
      <c r="W227" t="s">
        <v>1410</v>
      </c>
      <c r="X227" t="s">
        <v>1410</v>
      </c>
      <c r="Y227" t="s">
        <v>1410</v>
      </c>
      <c r="Z227" t="s">
        <v>1410</v>
      </c>
      <c r="AA227" t="s">
        <v>1410</v>
      </c>
      <c r="AB227" t="s">
        <v>1410</v>
      </c>
      <c r="AC227" t="s">
        <v>1410</v>
      </c>
      <c r="AD227" t="s">
        <v>1410</v>
      </c>
      <c r="AE227" t="s">
        <v>1410</v>
      </c>
      <c r="AF227" t="str">
        <f t="shared" si="7"/>
        <v>//217 - 0xD9</v>
      </c>
    </row>
    <row r="228" spans="1:32" x14ac:dyDescent="0.25">
      <c r="A228" t="str">
        <f t="shared" si="6"/>
        <v>//218 - 0xDA</v>
      </c>
      <c r="D228" t="s">
        <v>1410</v>
      </c>
      <c r="E228" t="s">
        <v>1410</v>
      </c>
      <c r="F228" t="s">
        <v>1410</v>
      </c>
      <c r="G228" t="s">
        <v>1410</v>
      </c>
      <c r="H228" t="s">
        <v>1410</v>
      </c>
      <c r="I228" t="s">
        <v>1410</v>
      </c>
      <c r="J228" t="s">
        <v>1410</v>
      </c>
      <c r="K228" t="s">
        <v>1410</v>
      </c>
      <c r="L228" t="s">
        <v>1410</v>
      </c>
      <c r="M228" t="s">
        <v>1410</v>
      </c>
      <c r="N228" t="s">
        <v>1410</v>
      </c>
      <c r="O228" t="s">
        <v>1410</v>
      </c>
      <c r="P228" t="s">
        <v>1410</v>
      </c>
      <c r="Q228" t="s">
        <v>1410</v>
      </c>
      <c r="R228" t="s">
        <v>1410</v>
      </c>
      <c r="S228" t="s">
        <v>1410</v>
      </c>
      <c r="T228" t="s">
        <v>1410</v>
      </c>
      <c r="U228" t="s">
        <v>1410</v>
      </c>
      <c r="V228" t="s">
        <v>1410</v>
      </c>
      <c r="W228" t="s">
        <v>1410</v>
      </c>
      <c r="X228" t="s">
        <v>1410</v>
      </c>
      <c r="Y228" t="s">
        <v>1410</v>
      </c>
      <c r="Z228" t="s">
        <v>1410</v>
      </c>
      <c r="AA228" t="s">
        <v>1410</v>
      </c>
      <c r="AB228" t="s">
        <v>1410</v>
      </c>
      <c r="AC228" t="s">
        <v>1410</v>
      </c>
      <c r="AD228" t="s">
        <v>1410</v>
      </c>
      <c r="AE228" t="s">
        <v>1410</v>
      </c>
      <c r="AF228" t="str">
        <f t="shared" si="7"/>
        <v>//218 - 0xDA</v>
      </c>
    </row>
    <row r="229" spans="1:32" x14ac:dyDescent="0.25">
      <c r="A229" t="str">
        <f t="shared" si="6"/>
        <v>//219 - 0xDB</v>
      </c>
      <c r="D229" t="s">
        <v>1410</v>
      </c>
      <c r="E229" t="s">
        <v>1410</v>
      </c>
      <c r="F229" t="s">
        <v>1410</v>
      </c>
      <c r="G229" t="s">
        <v>1410</v>
      </c>
      <c r="H229" t="s">
        <v>1410</v>
      </c>
      <c r="I229" t="s">
        <v>1410</v>
      </c>
      <c r="J229" t="s">
        <v>1410</v>
      </c>
      <c r="K229" t="s">
        <v>1410</v>
      </c>
      <c r="L229" t="s">
        <v>1410</v>
      </c>
      <c r="M229" t="s">
        <v>1410</v>
      </c>
      <c r="N229" t="s">
        <v>1410</v>
      </c>
      <c r="O229" t="s">
        <v>1410</v>
      </c>
      <c r="P229" t="s">
        <v>1410</v>
      </c>
      <c r="Q229" t="s">
        <v>1410</v>
      </c>
      <c r="R229" t="s">
        <v>1410</v>
      </c>
      <c r="S229" t="s">
        <v>1410</v>
      </c>
      <c r="T229" t="s">
        <v>1410</v>
      </c>
      <c r="U229" t="s">
        <v>1410</v>
      </c>
      <c r="V229" t="s">
        <v>1410</v>
      </c>
      <c r="W229" t="s">
        <v>1410</v>
      </c>
      <c r="X229" t="s">
        <v>1410</v>
      </c>
      <c r="Y229" t="s">
        <v>1410</v>
      </c>
      <c r="Z229" t="s">
        <v>1410</v>
      </c>
      <c r="AA229" t="s">
        <v>1410</v>
      </c>
      <c r="AB229" t="s">
        <v>1410</v>
      </c>
      <c r="AC229" t="s">
        <v>1410</v>
      </c>
      <c r="AD229" t="s">
        <v>1410</v>
      </c>
      <c r="AE229" t="s">
        <v>1410</v>
      </c>
      <c r="AF229" t="str">
        <f t="shared" si="7"/>
        <v>//219 - 0xDB</v>
      </c>
    </row>
    <row r="230" spans="1:32" x14ac:dyDescent="0.25">
      <c r="A230" t="str">
        <f t="shared" si="6"/>
        <v>//220 - 0xDC</v>
      </c>
      <c r="D230" t="s">
        <v>1410</v>
      </c>
      <c r="E230" t="s">
        <v>1410</v>
      </c>
      <c r="F230" t="s">
        <v>1410</v>
      </c>
      <c r="G230" t="s">
        <v>1410</v>
      </c>
      <c r="H230" t="s">
        <v>1410</v>
      </c>
      <c r="I230" t="s">
        <v>1410</v>
      </c>
      <c r="J230" t="s">
        <v>1410</v>
      </c>
      <c r="K230" t="s">
        <v>1410</v>
      </c>
      <c r="L230" t="s">
        <v>1410</v>
      </c>
      <c r="M230" t="s">
        <v>1410</v>
      </c>
      <c r="N230" t="s">
        <v>1410</v>
      </c>
      <c r="O230" t="s">
        <v>1410</v>
      </c>
      <c r="P230" t="s">
        <v>1410</v>
      </c>
      <c r="Q230" t="s">
        <v>1410</v>
      </c>
      <c r="R230" t="s">
        <v>1410</v>
      </c>
      <c r="S230" t="s">
        <v>1410</v>
      </c>
      <c r="T230" t="s">
        <v>1410</v>
      </c>
      <c r="U230" t="s">
        <v>1410</v>
      </c>
      <c r="V230" t="s">
        <v>1410</v>
      </c>
      <c r="W230" t="s">
        <v>1410</v>
      </c>
      <c r="X230" t="s">
        <v>1410</v>
      </c>
      <c r="Y230" t="s">
        <v>1410</v>
      </c>
      <c r="Z230" t="s">
        <v>1410</v>
      </c>
      <c r="AA230" t="s">
        <v>1410</v>
      </c>
      <c r="AB230" t="s">
        <v>1410</v>
      </c>
      <c r="AC230" t="s">
        <v>1410</v>
      </c>
      <c r="AD230" t="s">
        <v>1410</v>
      </c>
      <c r="AE230" t="s">
        <v>1410</v>
      </c>
      <c r="AF230" t="str">
        <f t="shared" si="7"/>
        <v>//220 - 0xDC</v>
      </c>
    </row>
    <row r="231" spans="1:32" x14ac:dyDescent="0.25">
      <c r="A231" t="str">
        <f t="shared" si="6"/>
        <v>//221 - 0xDD</v>
      </c>
      <c r="D231" t="s">
        <v>1410</v>
      </c>
      <c r="E231" t="s">
        <v>1410</v>
      </c>
      <c r="F231" t="s">
        <v>1410</v>
      </c>
      <c r="G231" t="s">
        <v>1410</v>
      </c>
      <c r="H231" t="s">
        <v>1410</v>
      </c>
      <c r="I231" t="s">
        <v>1410</v>
      </c>
      <c r="J231" t="s">
        <v>1410</v>
      </c>
      <c r="K231" t="s">
        <v>1410</v>
      </c>
      <c r="L231" t="s">
        <v>1410</v>
      </c>
      <c r="M231" t="s">
        <v>1410</v>
      </c>
      <c r="N231" t="s">
        <v>1410</v>
      </c>
      <c r="O231" t="s">
        <v>1410</v>
      </c>
      <c r="P231" t="s">
        <v>1410</v>
      </c>
      <c r="Q231" t="s">
        <v>1410</v>
      </c>
      <c r="R231" t="s">
        <v>1410</v>
      </c>
      <c r="S231" t="s">
        <v>1410</v>
      </c>
      <c r="T231" t="s">
        <v>1410</v>
      </c>
      <c r="U231" t="s">
        <v>1410</v>
      </c>
      <c r="V231" t="s">
        <v>1410</v>
      </c>
      <c r="W231" t="s">
        <v>1410</v>
      </c>
      <c r="X231" t="s">
        <v>1410</v>
      </c>
      <c r="Y231" t="s">
        <v>1410</v>
      </c>
      <c r="Z231" t="s">
        <v>1410</v>
      </c>
      <c r="AA231" t="s">
        <v>1410</v>
      </c>
      <c r="AB231" t="s">
        <v>1410</v>
      </c>
      <c r="AC231" t="s">
        <v>1410</v>
      </c>
      <c r="AD231" t="s">
        <v>1410</v>
      </c>
      <c r="AE231" t="s">
        <v>1410</v>
      </c>
      <c r="AF231" t="str">
        <f t="shared" si="7"/>
        <v>//221 - 0xDD</v>
      </c>
    </row>
    <row r="232" spans="1:32" x14ac:dyDescent="0.25">
      <c r="A232" t="str">
        <f t="shared" si="6"/>
        <v>//222 - 0xDE</v>
      </c>
      <c r="D232" t="s">
        <v>1410</v>
      </c>
      <c r="E232" t="s">
        <v>1410</v>
      </c>
      <c r="F232" t="s">
        <v>1410</v>
      </c>
      <c r="G232" t="s">
        <v>1410</v>
      </c>
      <c r="H232" t="s">
        <v>1410</v>
      </c>
      <c r="I232" t="s">
        <v>1410</v>
      </c>
      <c r="J232" t="s">
        <v>1410</v>
      </c>
      <c r="K232" t="s">
        <v>1410</v>
      </c>
      <c r="L232" t="s">
        <v>1410</v>
      </c>
      <c r="M232" t="s">
        <v>1410</v>
      </c>
      <c r="N232" t="s">
        <v>1410</v>
      </c>
      <c r="O232" t="s">
        <v>1410</v>
      </c>
      <c r="P232" t="s">
        <v>1410</v>
      </c>
      <c r="Q232" t="s">
        <v>1410</v>
      </c>
      <c r="R232" t="s">
        <v>1410</v>
      </c>
      <c r="S232" t="s">
        <v>1410</v>
      </c>
      <c r="T232" t="s">
        <v>1410</v>
      </c>
      <c r="U232" t="s">
        <v>1410</v>
      </c>
      <c r="V232" t="s">
        <v>1410</v>
      </c>
      <c r="W232" t="s">
        <v>1410</v>
      </c>
      <c r="X232" t="s">
        <v>1410</v>
      </c>
      <c r="Y232" t="s">
        <v>1410</v>
      </c>
      <c r="Z232" t="s">
        <v>1410</v>
      </c>
      <c r="AA232" t="s">
        <v>1410</v>
      </c>
      <c r="AB232" t="s">
        <v>1410</v>
      </c>
      <c r="AC232" t="s">
        <v>1410</v>
      </c>
      <c r="AD232" t="s">
        <v>1410</v>
      </c>
      <c r="AE232" t="s">
        <v>1410</v>
      </c>
      <c r="AF232" t="str">
        <f t="shared" si="7"/>
        <v>//222 - 0xDE</v>
      </c>
    </row>
    <row r="233" spans="1:32" x14ac:dyDescent="0.25">
      <c r="A233" t="str">
        <f t="shared" si="6"/>
        <v>//223 - 0xDF</v>
      </c>
      <c r="D233" t="s">
        <v>1410</v>
      </c>
      <c r="E233" t="s">
        <v>1410</v>
      </c>
      <c r="F233" t="s">
        <v>1410</v>
      </c>
      <c r="G233" t="s">
        <v>1410</v>
      </c>
      <c r="H233" t="s">
        <v>1410</v>
      </c>
      <c r="I233" t="s">
        <v>1410</v>
      </c>
      <c r="J233" t="s">
        <v>1410</v>
      </c>
      <c r="K233" t="s">
        <v>1410</v>
      </c>
      <c r="L233" t="s">
        <v>1410</v>
      </c>
      <c r="M233" t="s">
        <v>1410</v>
      </c>
      <c r="N233" t="s">
        <v>1410</v>
      </c>
      <c r="O233" t="s">
        <v>1410</v>
      </c>
      <c r="P233" t="s">
        <v>1410</v>
      </c>
      <c r="Q233" t="s">
        <v>1410</v>
      </c>
      <c r="R233" t="s">
        <v>1410</v>
      </c>
      <c r="S233" t="s">
        <v>1410</v>
      </c>
      <c r="T233" t="s">
        <v>1410</v>
      </c>
      <c r="U233" t="s">
        <v>1410</v>
      </c>
      <c r="V233" t="s">
        <v>1410</v>
      </c>
      <c r="W233" t="s">
        <v>1410</v>
      </c>
      <c r="X233" t="s">
        <v>1410</v>
      </c>
      <c r="Y233" t="s">
        <v>1410</v>
      </c>
      <c r="Z233" t="s">
        <v>1410</v>
      </c>
      <c r="AA233" t="s">
        <v>1410</v>
      </c>
      <c r="AB233" t="s">
        <v>1410</v>
      </c>
      <c r="AC233" t="s">
        <v>1410</v>
      </c>
      <c r="AD233" t="s">
        <v>1410</v>
      </c>
      <c r="AE233" t="s">
        <v>1410</v>
      </c>
      <c r="AF233" t="str">
        <f t="shared" si="7"/>
        <v>//223 - 0xDF</v>
      </c>
    </row>
    <row r="234" spans="1:32" x14ac:dyDescent="0.25">
      <c r="A234" t="str">
        <f t="shared" si="6"/>
        <v>//224 - 0xE0</v>
      </c>
      <c r="D234" t="s">
        <v>1410</v>
      </c>
      <c r="E234" t="s">
        <v>1410</v>
      </c>
      <c r="F234" t="s">
        <v>1410</v>
      </c>
      <c r="G234" t="s">
        <v>1410</v>
      </c>
      <c r="H234" t="s">
        <v>1410</v>
      </c>
      <c r="I234" t="s">
        <v>1410</v>
      </c>
      <c r="J234" t="s">
        <v>1410</v>
      </c>
      <c r="K234" t="s">
        <v>1410</v>
      </c>
      <c r="L234" t="s">
        <v>1410</v>
      </c>
      <c r="M234" t="s">
        <v>1410</v>
      </c>
      <c r="N234" t="s">
        <v>1410</v>
      </c>
      <c r="O234" t="s">
        <v>1410</v>
      </c>
      <c r="P234" t="s">
        <v>1410</v>
      </c>
      <c r="Q234" t="s">
        <v>1410</v>
      </c>
      <c r="R234" t="s">
        <v>1410</v>
      </c>
      <c r="S234" t="s">
        <v>1410</v>
      </c>
      <c r="T234" t="s">
        <v>1410</v>
      </c>
      <c r="U234" t="s">
        <v>1410</v>
      </c>
      <c r="V234" t="s">
        <v>1410</v>
      </c>
      <c r="W234" t="s">
        <v>1410</v>
      </c>
      <c r="X234" t="s">
        <v>1410</v>
      </c>
      <c r="Y234" t="s">
        <v>1410</v>
      </c>
      <c r="Z234" t="s">
        <v>1410</v>
      </c>
      <c r="AA234" t="s">
        <v>1410</v>
      </c>
      <c r="AB234" t="s">
        <v>1410</v>
      </c>
      <c r="AC234" t="s">
        <v>1410</v>
      </c>
      <c r="AD234" t="s">
        <v>1410</v>
      </c>
      <c r="AE234" t="s">
        <v>1410</v>
      </c>
      <c r="AF234" t="str">
        <f t="shared" si="7"/>
        <v>//224 - 0xE0</v>
      </c>
    </row>
    <row r="235" spans="1:32" x14ac:dyDescent="0.25">
      <c r="A235" t="str">
        <f t="shared" si="6"/>
        <v>//225 - 0xE1</v>
      </c>
      <c r="D235" t="s">
        <v>1410</v>
      </c>
      <c r="E235" t="s">
        <v>1410</v>
      </c>
      <c r="F235" t="s">
        <v>1410</v>
      </c>
      <c r="G235" t="s">
        <v>1410</v>
      </c>
      <c r="H235" t="s">
        <v>1410</v>
      </c>
      <c r="I235" t="s">
        <v>1410</v>
      </c>
      <c r="J235" t="s">
        <v>1410</v>
      </c>
      <c r="K235" t="s">
        <v>1410</v>
      </c>
      <c r="L235" t="s">
        <v>1410</v>
      </c>
      <c r="M235" t="s">
        <v>1410</v>
      </c>
      <c r="N235" t="s">
        <v>1410</v>
      </c>
      <c r="O235" t="s">
        <v>1410</v>
      </c>
      <c r="P235" t="s">
        <v>1410</v>
      </c>
      <c r="Q235" t="s">
        <v>1410</v>
      </c>
      <c r="R235" t="s">
        <v>1410</v>
      </c>
      <c r="S235" t="s">
        <v>1410</v>
      </c>
      <c r="T235" t="s">
        <v>1410</v>
      </c>
      <c r="U235" t="s">
        <v>1410</v>
      </c>
      <c r="V235" t="s">
        <v>1410</v>
      </c>
      <c r="W235" t="s">
        <v>1410</v>
      </c>
      <c r="X235" t="s">
        <v>1410</v>
      </c>
      <c r="Y235" t="s">
        <v>1410</v>
      </c>
      <c r="Z235" t="s">
        <v>1410</v>
      </c>
      <c r="AA235" t="s">
        <v>1410</v>
      </c>
      <c r="AB235" t="s">
        <v>1410</v>
      </c>
      <c r="AC235" t="s">
        <v>1410</v>
      </c>
      <c r="AD235" t="s">
        <v>1410</v>
      </c>
      <c r="AE235" t="s">
        <v>1410</v>
      </c>
      <c r="AF235" t="str">
        <f t="shared" si="7"/>
        <v>//225 - 0xE1</v>
      </c>
    </row>
    <row r="236" spans="1:32" x14ac:dyDescent="0.25">
      <c r="A236" t="str">
        <f t="shared" si="6"/>
        <v>//226 - 0xE2</v>
      </c>
      <c r="D236" t="s">
        <v>1410</v>
      </c>
      <c r="E236" t="s">
        <v>1410</v>
      </c>
      <c r="F236" t="s">
        <v>1410</v>
      </c>
      <c r="G236" t="s">
        <v>1410</v>
      </c>
      <c r="H236" t="s">
        <v>1410</v>
      </c>
      <c r="I236" t="s">
        <v>1410</v>
      </c>
      <c r="J236" t="s">
        <v>1410</v>
      </c>
      <c r="K236" t="s">
        <v>1410</v>
      </c>
      <c r="L236" t="s">
        <v>1410</v>
      </c>
      <c r="M236" t="s">
        <v>1410</v>
      </c>
      <c r="N236" t="s">
        <v>1410</v>
      </c>
      <c r="O236" t="s">
        <v>1410</v>
      </c>
      <c r="P236" t="s">
        <v>1410</v>
      </c>
      <c r="Q236" t="s">
        <v>1410</v>
      </c>
      <c r="R236" t="s">
        <v>1410</v>
      </c>
      <c r="S236" t="s">
        <v>1410</v>
      </c>
      <c r="T236" t="s">
        <v>1410</v>
      </c>
      <c r="U236" t="s">
        <v>1410</v>
      </c>
      <c r="V236" t="s">
        <v>1410</v>
      </c>
      <c r="W236" t="s">
        <v>1410</v>
      </c>
      <c r="X236" t="s">
        <v>1410</v>
      </c>
      <c r="Y236" t="s">
        <v>1410</v>
      </c>
      <c r="Z236" t="s">
        <v>1410</v>
      </c>
      <c r="AA236" t="s">
        <v>1410</v>
      </c>
      <c r="AB236" t="s">
        <v>1410</v>
      </c>
      <c r="AC236" t="s">
        <v>1410</v>
      </c>
      <c r="AD236" t="s">
        <v>1410</v>
      </c>
      <c r="AE236" t="s">
        <v>1410</v>
      </c>
      <c r="AF236" t="str">
        <f t="shared" si="7"/>
        <v>//226 - 0xE2</v>
      </c>
    </row>
    <row r="237" spans="1:32" x14ac:dyDescent="0.25">
      <c r="A237" t="str">
        <f t="shared" si="6"/>
        <v>//227 - 0xE3</v>
      </c>
      <c r="D237" t="s">
        <v>1410</v>
      </c>
      <c r="E237" t="s">
        <v>1410</v>
      </c>
      <c r="F237" t="s">
        <v>1410</v>
      </c>
      <c r="G237" t="s">
        <v>1410</v>
      </c>
      <c r="H237" t="s">
        <v>1410</v>
      </c>
      <c r="I237" t="s">
        <v>1410</v>
      </c>
      <c r="J237" t="s">
        <v>1410</v>
      </c>
      <c r="K237" t="s">
        <v>1410</v>
      </c>
      <c r="L237" t="s">
        <v>1410</v>
      </c>
      <c r="M237" t="s">
        <v>1410</v>
      </c>
      <c r="N237" t="s">
        <v>1410</v>
      </c>
      <c r="O237" t="s">
        <v>1410</v>
      </c>
      <c r="P237" t="s">
        <v>1410</v>
      </c>
      <c r="Q237" t="s">
        <v>1410</v>
      </c>
      <c r="R237" t="s">
        <v>1410</v>
      </c>
      <c r="S237" t="s">
        <v>1410</v>
      </c>
      <c r="T237" t="s">
        <v>1410</v>
      </c>
      <c r="U237" t="s">
        <v>1410</v>
      </c>
      <c r="V237" t="s">
        <v>1410</v>
      </c>
      <c r="W237" t="s">
        <v>1410</v>
      </c>
      <c r="X237" t="s">
        <v>1410</v>
      </c>
      <c r="Y237" t="s">
        <v>1410</v>
      </c>
      <c r="Z237" t="s">
        <v>1410</v>
      </c>
      <c r="AA237" t="s">
        <v>1410</v>
      </c>
      <c r="AB237" t="s">
        <v>1410</v>
      </c>
      <c r="AC237" t="s">
        <v>1410</v>
      </c>
      <c r="AD237" t="s">
        <v>1410</v>
      </c>
      <c r="AE237" t="s">
        <v>1410</v>
      </c>
      <c r="AF237" t="str">
        <f t="shared" si="7"/>
        <v>//227 - 0xE3</v>
      </c>
    </row>
    <row r="238" spans="1:32" x14ac:dyDescent="0.25">
      <c r="A238" t="str">
        <f t="shared" si="6"/>
        <v>//228 - 0xE4</v>
      </c>
      <c r="D238" t="s">
        <v>1410</v>
      </c>
      <c r="E238" t="s">
        <v>1410</v>
      </c>
      <c r="F238" t="s">
        <v>1410</v>
      </c>
      <c r="G238" t="s">
        <v>1410</v>
      </c>
      <c r="H238" t="s">
        <v>1410</v>
      </c>
      <c r="I238" t="s">
        <v>1410</v>
      </c>
      <c r="J238" t="s">
        <v>1410</v>
      </c>
      <c r="K238" t="s">
        <v>1410</v>
      </c>
      <c r="L238" t="s">
        <v>1410</v>
      </c>
      <c r="M238" t="s">
        <v>1410</v>
      </c>
      <c r="N238" t="s">
        <v>1410</v>
      </c>
      <c r="O238" t="s">
        <v>1410</v>
      </c>
      <c r="P238" t="s">
        <v>1410</v>
      </c>
      <c r="Q238" t="s">
        <v>1410</v>
      </c>
      <c r="R238" t="s">
        <v>1410</v>
      </c>
      <c r="S238" t="s">
        <v>1410</v>
      </c>
      <c r="T238" t="s">
        <v>1410</v>
      </c>
      <c r="U238" t="s">
        <v>1410</v>
      </c>
      <c r="V238" t="s">
        <v>1410</v>
      </c>
      <c r="W238" t="s">
        <v>1410</v>
      </c>
      <c r="X238" t="s">
        <v>1410</v>
      </c>
      <c r="Y238" t="s">
        <v>1410</v>
      </c>
      <c r="Z238" t="s">
        <v>1410</v>
      </c>
      <c r="AA238" t="s">
        <v>1410</v>
      </c>
      <c r="AB238" t="s">
        <v>1410</v>
      </c>
      <c r="AC238" t="s">
        <v>1410</v>
      </c>
      <c r="AD238" t="s">
        <v>1410</v>
      </c>
      <c r="AE238" t="s">
        <v>1410</v>
      </c>
      <c r="AF238" t="str">
        <f t="shared" si="7"/>
        <v>//228 - 0xE4</v>
      </c>
    </row>
    <row r="239" spans="1:32" x14ac:dyDescent="0.25">
      <c r="A239" t="str">
        <f t="shared" si="6"/>
        <v>//229 - 0xE5</v>
      </c>
      <c r="D239" t="s">
        <v>1410</v>
      </c>
      <c r="E239" t="s">
        <v>1410</v>
      </c>
      <c r="F239" t="s">
        <v>1410</v>
      </c>
      <c r="G239" t="s">
        <v>1410</v>
      </c>
      <c r="H239" t="s">
        <v>1410</v>
      </c>
      <c r="I239" t="s">
        <v>1410</v>
      </c>
      <c r="J239" t="s">
        <v>1410</v>
      </c>
      <c r="K239" t="s">
        <v>1410</v>
      </c>
      <c r="L239" t="s">
        <v>1410</v>
      </c>
      <c r="M239" t="s">
        <v>1410</v>
      </c>
      <c r="N239" t="s">
        <v>1410</v>
      </c>
      <c r="O239" t="s">
        <v>1410</v>
      </c>
      <c r="P239" t="s">
        <v>1410</v>
      </c>
      <c r="Q239" t="s">
        <v>1410</v>
      </c>
      <c r="R239" t="s">
        <v>1410</v>
      </c>
      <c r="S239" t="s">
        <v>1410</v>
      </c>
      <c r="T239" t="s">
        <v>1410</v>
      </c>
      <c r="U239" t="s">
        <v>1410</v>
      </c>
      <c r="V239" t="s">
        <v>1410</v>
      </c>
      <c r="W239" t="s">
        <v>1410</v>
      </c>
      <c r="X239" t="s">
        <v>1410</v>
      </c>
      <c r="Y239" t="s">
        <v>1410</v>
      </c>
      <c r="Z239" t="s">
        <v>1410</v>
      </c>
      <c r="AA239" t="s">
        <v>1410</v>
      </c>
      <c r="AB239" t="s">
        <v>1410</v>
      </c>
      <c r="AC239" t="s">
        <v>1410</v>
      </c>
      <c r="AD239" t="s">
        <v>1410</v>
      </c>
      <c r="AE239" t="s">
        <v>1410</v>
      </c>
      <c r="AF239" t="str">
        <f t="shared" si="7"/>
        <v>//229 - 0xE5</v>
      </c>
    </row>
    <row r="240" spans="1:32" x14ac:dyDescent="0.25">
      <c r="A240" t="str">
        <f t="shared" si="6"/>
        <v>//230 - 0xE6</v>
      </c>
      <c r="D240" t="s">
        <v>1410</v>
      </c>
      <c r="E240" t="s">
        <v>1410</v>
      </c>
      <c r="F240" t="s">
        <v>1410</v>
      </c>
      <c r="G240" t="s">
        <v>1410</v>
      </c>
      <c r="H240" t="s">
        <v>1410</v>
      </c>
      <c r="I240" t="s">
        <v>1410</v>
      </c>
      <c r="J240" t="s">
        <v>1410</v>
      </c>
      <c r="K240" t="s">
        <v>1410</v>
      </c>
      <c r="L240" t="s">
        <v>1410</v>
      </c>
      <c r="M240" t="s">
        <v>1410</v>
      </c>
      <c r="N240" t="s">
        <v>1410</v>
      </c>
      <c r="O240" t="s">
        <v>1410</v>
      </c>
      <c r="P240" t="s">
        <v>1410</v>
      </c>
      <c r="Q240" t="s">
        <v>1410</v>
      </c>
      <c r="R240" t="s">
        <v>1410</v>
      </c>
      <c r="S240" t="s">
        <v>1410</v>
      </c>
      <c r="T240" t="s">
        <v>1410</v>
      </c>
      <c r="U240" t="s">
        <v>1410</v>
      </c>
      <c r="V240" t="s">
        <v>1410</v>
      </c>
      <c r="W240" t="s">
        <v>1410</v>
      </c>
      <c r="X240" t="s">
        <v>1410</v>
      </c>
      <c r="Y240" t="s">
        <v>1410</v>
      </c>
      <c r="Z240" t="s">
        <v>1410</v>
      </c>
      <c r="AA240" t="s">
        <v>1410</v>
      </c>
      <c r="AB240" t="s">
        <v>1410</v>
      </c>
      <c r="AC240" t="s">
        <v>1410</v>
      </c>
      <c r="AD240" t="s">
        <v>1410</v>
      </c>
      <c r="AE240" t="s">
        <v>1410</v>
      </c>
      <c r="AF240" t="str">
        <f t="shared" si="7"/>
        <v>//230 - 0xE6</v>
      </c>
    </row>
    <row r="241" spans="1:32" x14ac:dyDescent="0.25">
      <c r="A241" t="str">
        <f t="shared" si="6"/>
        <v>//231 - 0xE7</v>
      </c>
      <c r="D241" t="s">
        <v>1410</v>
      </c>
      <c r="E241" t="s">
        <v>1410</v>
      </c>
      <c r="F241" t="s">
        <v>1410</v>
      </c>
      <c r="G241" t="s">
        <v>1410</v>
      </c>
      <c r="H241" t="s">
        <v>1410</v>
      </c>
      <c r="I241" t="s">
        <v>1410</v>
      </c>
      <c r="J241" t="s">
        <v>1410</v>
      </c>
      <c r="K241" t="s">
        <v>1410</v>
      </c>
      <c r="L241" t="s">
        <v>1410</v>
      </c>
      <c r="M241" t="s">
        <v>1410</v>
      </c>
      <c r="N241" t="s">
        <v>1410</v>
      </c>
      <c r="O241" t="s">
        <v>1410</v>
      </c>
      <c r="P241" t="s">
        <v>1410</v>
      </c>
      <c r="Q241" t="s">
        <v>1410</v>
      </c>
      <c r="R241" t="s">
        <v>1410</v>
      </c>
      <c r="S241" t="s">
        <v>1410</v>
      </c>
      <c r="T241" t="s">
        <v>1410</v>
      </c>
      <c r="U241" t="s">
        <v>1410</v>
      </c>
      <c r="V241" t="s">
        <v>1410</v>
      </c>
      <c r="W241" t="s">
        <v>1410</v>
      </c>
      <c r="X241" t="s">
        <v>1410</v>
      </c>
      <c r="Y241" t="s">
        <v>1410</v>
      </c>
      <c r="Z241" t="s">
        <v>1410</v>
      </c>
      <c r="AA241" t="s">
        <v>1410</v>
      </c>
      <c r="AB241" t="s">
        <v>1410</v>
      </c>
      <c r="AC241" t="s">
        <v>1410</v>
      </c>
      <c r="AD241" t="s">
        <v>1410</v>
      </c>
      <c r="AE241" t="s">
        <v>1410</v>
      </c>
      <c r="AF241" t="str">
        <f t="shared" si="7"/>
        <v>//231 - 0xE7</v>
      </c>
    </row>
    <row r="242" spans="1:32" x14ac:dyDescent="0.25">
      <c r="A242" t="str">
        <f t="shared" si="6"/>
        <v>//232 - 0xE8</v>
      </c>
      <c r="D242" t="s">
        <v>1410</v>
      </c>
      <c r="E242" t="s">
        <v>1410</v>
      </c>
      <c r="F242" t="s">
        <v>1410</v>
      </c>
      <c r="G242" t="s">
        <v>1410</v>
      </c>
      <c r="H242" t="s">
        <v>1410</v>
      </c>
      <c r="I242" t="s">
        <v>1410</v>
      </c>
      <c r="J242" t="s">
        <v>1410</v>
      </c>
      <c r="K242" t="s">
        <v>1410</v>
      </c>
      <c r="L242" t="s">
        <v>1410</v>
      </c>
      <c r="M242" t="s">
        <v>1410</v>
      </c>
      <c r="N242" t="s">
        <v>1410</v>
      </c>
      <c r="O242" t="s">
        <v>1410</v>
      </c>
      <c r="P242" t="s">
        <v>1410</v>
      </c>
      <c r="Q242" t="s">
        <v>1410</v>
      </c>
      <c r="R242" t="s">
        <v>1410</v>
      </c>
      <c r="S242" t="s">
        <v>1410</v>
      </c>
      <c r="T242" t="s">
        <v>1410</v>
      </c>
      <c r="U242" t="s">
        <v>1410</v>
      </c>
      <c r="V242" t="s">
        <v>1410</v>
      </c>
      <c r="W242" t="s">
        <v>1410</v>
      </c>
      <c r="X242" t="s">
        <v>1410</v>
      </c>
      <c r="Y242" t="s">
        <v>1410</v>
      </c>
      <c r="Z242" t="s">
        <v>1410</v>
      </c>
      <c r="AA242" t="s">
        <v>1410</v>
      </c>
      <c r="AB242" t="s">
        <v>1410</v>
      </c>
      <c r="AC242" t="s">
        <v>1410</v>
      </c>
      <c r="AD242" t="s">
        <v>1410</v>
      </c>
      <c r="AE242" t="s">
        <v>1410</v>
      </c>
      <c r="AF242" t="str">
        <f t="shared" si="7"/>
        <v>//232 - 0xE8</v>
      </c>
    </row>
    <row r="243" spans="1:32" x14ac:dyDescent="0.25">
      <c r="A243" t="str">
        <f t="shared" si="6"/>
        <v>//233 - 0xE9</v>
      </c>
      <c r="D243" t="s">
        <v>1410</v>
      </c>
      <c r="E243" t="s">
        <v>1410</v>
      </c>
      <c r="F243" t="s">
        <v>1410</v>
      </c>
      <c r="G243" t="s">
        <v>1410</v>
      </c>
      <c r="H243" t="s">
        <v>1410</v>
      </c>
      <c r="I243" t="s">
        <v>1410</v>
      </c>
      <c r="J243" t="s">
        <v>1410</v>
      </c>
      <c r="K243" t="s">
        <v>1410</v>
      </c>
      <c r="L243" t="s">
        <v>1410</v>
      </c>
      <c r="M243" t="s">
        <v>1410</v>
      </c>
      <c r="N243" t="s">
        <v>1410</v>
      </c>
      <c r="O243" t="s">
        <v>1410</v>
      </c>
      <c r="P243" t="s">
        <v>1410</v>
      </c>
      <c r="Q243" t="s">
        <v>1410</v>
      </c>
      <c r="R243" t="s">
        <v>1410</v>
      </c>
      <c r="S243" t="s">
        <v>1410</v>
      </c>
      <c r="T243" t="s">
        <v>1410</v>
      </c>
      <c r="U243" t="s">
        <v>1410</v>
      </c>
      <c r="V243" t="s">
        <v>1410</v>
      </c>
      <c r="W243" t="s">
        <v>1410</v>
      </c>
      <c r="X243" t="s">
        <v>1410</v>
      </c>
      <c r="Y243" t="s">
        <v>1410</v>
      </c>
      <c r="Z243" t="s">
        <v>1410</v>
      </c>
      <c r="AA243" t="s">
        <v>1410</v>
      </c>
      <c r="AB243" t="s">
        <v>1410</v>
      </c>
      <c r="AC243" t="s">
        <v>1410</v>
      </c>
      <c r="AD243" t="s">
        <v>1410</v>
      </c>
      <c r="AE243" t="s">
        <v>1410</v>
      </c>
      <c r="AF243" t="str">
        <f t="shared" si="7"/>
        <v>//233 - 0xE9</v>
      </c>
    </row>
    <row r="244" spans="1:32" x14ac:dyDescent="0.25">
      <c r="A244" t="str">
        <f t="shared" si="6"/>
        <v>//234 - 0xEA</v>
      </c>
      <c r="D244" t="s">
        <v>1410</v>
      </c>
      <c r="E244" t="s">
        <v>1410</v>
      </c>
      <c r="F244" t="s">
        <v>1410</v>
      </c>
      <c r="G244" t="s">
        <v>1410</v>
      </c>
      <c r="H244" t="s">
        <v>1410</v>
      </c>
      <c r="I244" t="s">
        <v>1410</v>
      </c>
      <c r="J244" t="s">
        <v>1410</v>
      </c>
      <c r="K244" t="s">
        <v>1410</v>
      </c>
      <c r="L244" t="s">
        <v>1410</v>
      </c>
      <c r="M244" t="s">
        <v>1410</v>
      </c>
      <c r="N244" t="s">
        <v>1410</v>
      </c>
      <c r="O244" t="s">
        <v>1410</v>
      </c>
      <c r="P244" t="s">
        <v>1410</v>
      </c>
      <c r="Q244" t="s">
        <v>1410</v>
      </c>
      <c r="R244" t="s">
        <v>1410</v>
      </c>
      <c r="S244" t="s">
        <v>1410</v>
      </c>
      <c r="T244" t="s">
        <v>1410</v>
      </c>
      <c r="U244" t="s">
        <v>1410</v>
      </c>
      <c r="V244" t="s">
        <v>1410</v>
      </c>
      <c r="W244" t="s">
        <v>1410</v>
      </c>
      <c r="X244" t="s">
        <v>1410</v>
      </c>
      <c r="Y244" t="s">
        <v>1410</v>
      </c>
      <c r="Z244" t="s">
        <v>1410</v>
      </c>
      <c r="AA244" t="s">
        <v>1410</v>
      </c>
      <c r="AB244" t="s">
        <v>1410</v>
      </c>
      <c r="AC244" t="s">
        <v>1410</v>
      </c>
      <c r="AD244" t="s">
        <v>1410</v>
      </c>
      <c r="AE244" t="s">
        <v>1410</v>
      </c>
      <c r="AF244" t="str">
        <f t="shared" si="7"/>
        <v>//234 - 0xEA</v>
      </c>
    </row>
    <row r="245" spans="1:32" x14ac:dyDescent="0.25">
      <c r="A245" t="str">
        <f t="shared" si="6"/>
        <v>//235 - 0xEB</v>
      </c>
      <c r="D245" t="s">
        <v>1410</v>
      </c>
      <c r="E245" t="s">
        <v>1410</v>
      </c>
      <c r="F245" t="s">
        <v>1410</v>
      </c>
      <c r="G245" t="s">
        <v>1410</v>
      </c>
      <c r="H245" t="s">
        <v>1410</v>
      </c>
      <c r="I245" t="s">
        <v>1410</v>
      </c>
      <c r="J245" t="s">
        <v>1410</v>
      </c>
      <c r="K245" t="s">
        <v>1410</v>
      </c>
      <c r="L245" t="s">
        <v>1410</v>
      </c>
      <c r="M245" t="s">
        <v>1410</v>
      </c>
      <c r="N245" t="s">
        <v>1410</v>
      </c>
      <c r="O245" t="s">
        <v>1410</v>
      </c>
      <c r="P245" t="s">
        <v>1410</v>
      </c>
      <c r="Q245" t="s">
        <v>1410</v>
      </c>
      <c r="R245" t="s">
        <v>1410</v>
      </c>
      <c r="S245" t="s">
        <v>1410</v>
      </c>
      <c r="T245" t="s">
        <v>1410</v>
      </c>
      <c r="U245" t="s">
        <v>1410</v>
      </c>
      <c r="V245" t="s">
        <v>1410</v>
      </c>
      <c r="W245" t="s">
        <v>1410</v>
      </c>
      <c r="X245" t="s">
        <v>1410</v>
      </c>
      <c r="Y245" t="s">
        <v>1410</v>
      </c>
      <c r="Z245" t="s">
        <v>1410</v>
      </c>
      <c r="AA245" t="s">
        <v>1410</v>
      </c>
      <c r="AB245" t="s">
        <v>1410</v>
      </c>
      <c r="AC245" t="s">
        <v>1410</v>
      </c>
      <c r="AD245" t="s">
        <v>1410</v>
      </c>
      <c r="AE245" t="s">
        <v>1410</v>
      </c>
      <c r="AF245" t="str">
        <f t="shared" si="7"/>
        <v>//235 - 0xEB</v>
      </c>
    </row>
    <row r="246" spans="1:32" x14ac:dyDescent="0.25">
      <c r="A246" t="str">
        <f t="shared" si="6"/>
        <v>//236 - 0xEC</v>
      </c>
      <c r="D246" t="s">
        <v>1410</v>
      </c>
      <c r="E246" t="s">
        <v>1410</v>
      </c>
      <c r="F246" t="s">
        <v>1410</v>
      </c>
      <c r="G246" t="s">
        <v>1410</v>
      </c>
      <c r="H246" t="s">
        <v>1410</v>
      </c>
      <c r="I246" t="s">
        <v>1410</v>
      </c>
      <c r="J246" t="s">
        <v>1410</v>
      </c>
      <c r="K246" t="s">
        <v>1410</v>
      </c>
      <c r="L246" t="s">
        <v>1410</v>
      </c>
      <c r="M246" t="s">
        <v>1410</v>
      </c>
      <c r="N246" t="s">
        <v>1410</v>
      </c>
      <c r="O246" t="s">
        <v>1410</v>
      </c>
      <c r="P246" t="s">
        <v>1410</v>
      </c>
      <c r="Q246" t="s">
        <v>1410</v>
      </c>
      <c r="R246" t="s">
        <v>1410</v>
      </c>
      <c r="S246" t="s">
        <v>1410</v>
      </c>
      <c r="T246" t="s">
        <v>1410</v>
      </c>
      <c r="U246" t="s">
        <v>1410</v>
      </c>
      <c r="V246" t="s">
        <v>1410</v>
      </c>
      <c r="W246" t="s">
        <v>1410</v>
      </c>
      <c r="X246" t="s">
        <v>1410</v>
      </c>
      <c r="Y246" t="s">
        <v>1410</v>
      </c>
      <c r="Z246" t="s">
        <v>1410</v>
      </c>
      <c r="AA246" t="s">
        <v>1410</v>
      </c>
      <c r="AB246" t="s">
        <v>1410</v>
      </c>
      <c r="AC246" t="s">
        <v>1410</v>
      </c>
      <c r="AD246" t="s">
        <v>1410</v>
      </c>
      <c r="AE246" t="s">
        <v>1410</v>
      </c>
      <c r="AF246" t="str">
        <f t="shared" si="7"/>
        <v>//236 - 0xEC</v>
      </c>
    </row>
    <row r="247" spans="1:32" x14ac:dyDescent="0.25">
      <c r="A247" t="str">
        <f t="shared" si="6"/>
        <v>//237 - 0xED</v>
      </c>
      <c r="D247" t="s">
        <v>1410</v>
      </c>
      <c r="E247" t="s">
        <v>1410</v>
      </c>
      <c r="F247" t="s">
        <v>1410</v>
      </c>
      <c r="G247" t="s">
        <v>1410</v>
      </c>
      <c r="H247" t="s">
        <v>1410</v>
      </c>
      <c r="I247" t="s">
        <v>1410</v>
      </c>
      <c r="J247" t="s">
        <v>1410</v>
      </c>
      <c r="K247" t="s">
        <v>1410</v>
      </c>
      <c r="L247" t="s">
        <v>1410</v>
      </c>
      <c r="M247" t="s">
        <v>1410</v>
      </c>
      <c r="N247" t="s">
        <v>1410</v>
      </c>
      <c r="O247" t="s">
        <v>1410</v>
      </c>
      <c r="P247" t="s">
        <v>1410</v>
      </c>
      <c r="Q247" t="s">
        <v>1410</v>
      </c>
      <c r="R247" t="s">
        <v>1410</v>
      </c>
      <c r="S247" t="s">
        <v>1410</v>
      </c>
      <c r="T247" t="s">
        <v>1410</v>
      </c>
      <c r="U247" t="s">
        <v>1410</v>
      </c>
      <c r="V247" t="s">
        <v>1410</v>
      </c>
      <c r="W247" t="s">
        <v>1410</v>
      </c>
      <c r="X247" t="s">
        <v>1410</v>
      </c>
      <c r="Y247" t="s">
        <v>1410</v>
      </c>
      <c r="Z247" t="s">
        <v>1410</v>
      </c>
      <c r="AA247" t="s">
        <v>1410</v>
      </c>
      <c r="AB247" t="s">
        <v>1410</v>
      </c>
      <c r="AC247" t="s">
        <v>1410</v>
      </c>
      <c r="AD247" t="s">
        <v>1410</v>
      </c>
      <c r="AE247" t="s">
        <v>1410</v>
      </c>
      <c r="AF247" t="str">
        <f t="shared" si="7"/>
        <v>//237 - 0xED</v>
      </c>
    </row>
    <row r="248" spans="1:32" x14ac:dyDescent="0.25">
      <c r="A248" t="str">
        <f t="shared" si="6"/>
        <v>//238 - 0xEE</v>
      </c>
      <c r="D248" t="s">
        <v>1410</v>
      </c>
      <c r="E248" t="s">
        <v>1410</v>
      </c>
      <c r="F248" t="s">
        <v>1410</v>
      </c>
      <c r="G248" t="s">
        <v>1410</v>
      </c>
      <c r="H248" t="s">
        <v>1410</v>
      </c>
      <c r="I248" t="s">
        <v>1410</v>
      </c>
      <c r="J248" t="s">
        <v>1410</v>
      </c>
      <c r="K248" t="s">
        <v>1410</v>
      </c>
      <c r="L248" t="s">
        <v>1410</v>
      </c>
      <c r="M248" t="s">
        <v>1410</v>
      </c>
      <c r="N248" t="s">
        <v>1410</v>
      </c>
      <c r="O248" t="s">
        <v>1410</v>
      </c>
      <c r="P248" t="s">
        <v>1410</v>
      </c>
      <c r="Q248" t="s">
        <v>1410</v>
      </c>
      <c r="R248" t="s">
        <v>1410</v>
      </c>
      <c r="S248" t="s">
        <v>1410</v>
      </c>
      <c r="T248" t="s">
        <v>1410</v>
      </c>
      <c r="U248" t="s">
        <v>1410</v>
      </c>
      <c r="V248" t="s">
        <v>1410</v>
      </c>
      <c r="W248" t="s">
        <v>1410</v>
      </c>
      <c r="X248" t="s">
        <v>1410</v>
      </c>
      <c r="Y248" t="s">
        <v>1410</v>
      </c>
      <c r="Z248" t="s">
        <v>1410</v>
      </c>
      <c r="AA248" t="s">
        <v>1410</v>
      </c>
      <c r="AB248" t="s">
        <v>1410</v>
      </c>
      <c r="AC248" t="s">
        <v>1410</v>
      </c>
      <c r="AD248" t="s">
        <v>1410</v>
      </c>
      <c r="AE248" t="s">
        <v>1410</v>
      </c>
      <c r="AF248" t="str">
        <f t="shared" si="7"/>
        <v>//238 - 0xEE</v>
      </c>
    </row>
    <row r="249" spans="1:32" x14ac:dyDescent="0.25">
      <c r="A249" t="str">
        <f t="shared" si="6"/>
        <v>//239 - 0xEF</v>
      </c>
      <c r="D249" t="s">
        <v>1410</v>
      </c>
      <c r="E249" t="s">
        <v>1410</v>
      </c>
      <c r="F249" t="s">
        <v>1410</v>
      </c>
      <c r="G249" t="s">
        <v>1410</v>
      </c>
      <c r="H249" t="s">
        <v>1410</v>
      </c>
      <c r="I249" t="s">
        <v>1410</v>
      </c>
      <c r="J249" t="s">
        <v>1410</v>
      </c>
      <c r="K249" t="s">
        <v>1410</v>
      </c>
      <c r="L249" t="s">
        <v>1410</v>
      </c>
      <c r="M249" t="s">
        <v>1410</v>
      </c>
      <c r="N249" t="s">
        <v>1410</v>
      </c>
      <c r="O249" t="s">
        <v>1410</v>
      </c>
      <c r="P249" t="s">
        <v>1410</v>
      </c>
      <c r="Q249" t="s">
        <v>1410</v>
      </c>
      <c r="R249" t="s">
        <v>1410</v>
      </c>
      <c r="S249" t="s">
        <v>1410</v>
      </c>
      <c r="T249" t="s">
        <v>1410</v>
      </c>
      <c r="U249" t="s">
        <v>1410</v>
      </c>
      <c r="V249" t="s">
        <v>1410</v>
      </c>
      <c r="W249" t="s">
        <v>1410</v>
      </c>
      <c r="X249" t="s">
        <v>1410</v>
      </c>
      <c r="Y249" t="s">
        <v>1410</v>
      </c>
      <c r="Z249" t="s">
        <v>1410</v>
      </c>
      <c r="AA249" t="s">
        <v>1410</v>
      </c>
      <c r="AB249" t="s">
        <v>1410</v>
      </c>
      <c r="AC249" t="s">
        <v>1410</v>
      </c>
      <c r="AD249" t="s">
        <v>1410</v>
      </c>
      <c r="AE249" t="s">
        <v>1410</v>
      </c>
      <c r="AF249" t="str">
        <f t="shared" si="7"/>
        <v>//239 - 0xEF</v>
      </c>
    </row>
    <row r="250" spans="1:32" x14ac:dyDescent="0.25">
      <c r="A250" t="str">
        <f t="shared" si="6"/>
        <v>//240 - 0xF0</v>
      </c>
      <c r="D250" t="s">
        <v>1410</v>
      </c>
      <c r="E250" t="s">
        <v>1410</v>
      </c>
      <c r="F250" t="s">
        <v>1410</v>
      </c>
      <c r="G250" t="s">
        <v>1410</v>
      </c>
      <c r="H250" t="s">
        <v>1410</v>
      </c>
      <c r="I250" t="s">
        <v>1410</v>
      </c>
      <c r="J250" t="s">
        <v>1410</v>
      </c>
      <c r="K250" t="s">
        <v>1410</v>
      </c>
      <c r="L250" t="s">
        <v>1410</v>
      </c>
      <c r="M250" t="s">
        <v>1410</v>
      </c>
      <c r="N250" t="s">
        <v>1410</v>
      </c>
      <c r="O250" t="s">
        <v>1410</v>
      </c>
      <c r="P250" t="s">
        <v>1410</v>
      </c>
      <c r="Q250" t="s">
        <v>1410</v>
      </c>
      <c r="R250" t="s">
        <v>1410</v>
      </c>
      <c r="S250" t="s">
        <v>1410</v>
      </c>
      <c r="T250" t="s">
        <v>1410</v>
      </c>
      <c r="U250" t="s">
        <v>1410</v>
      </c>
      <c r="V250" t="s">
        <v>1410</v>
      </c>
      <c r="W250" t="s">
        <v>1410</v>
      </c>
      <c r="X250" t="s">
        <v>1410</v>
      </c>
      <c r="Y250" t="s">
        <v>1410</v>
      </c>
      <c r="Z250" t="s">
        <v>1410</v>
      </c>
      <c r="AA250" t="s">
        <v>1410</v>
      </c>
      <c r="AB250" t="s">
        <v>1410</v>
      </c>
      <c r="AC250" t="s">
        <v>1410</v>
      </c>
      <c r="AD250" t="s">
        <v>1410</v>
      </c>
      <c r="AE250" t="s">
        <v>1410</v>
      </c>
      <c r="AF250" t="str">
        <f t="shared" si="7"/>
        <v>//240 - 0xF0</v>
      </c>
    </row>
    <row r="251" spans="1:32" x14ac:dyDescent="0.25">
      <c r="A251" t="str">
        <f t="shared" si="6"/>
        <v>//241 - 0xF1</v>
      </c>
      <c r="D251" t="s">
        <v>1410</v>
      </c>
      <c r="E251" t="s">
        <v>1410</v>
      </c>
      <c r="F251" t="s">
        <v>1410</v>
      </c>
      <c r="G251" t="s">
        <v>1410</v>
      </c>
      <c r="H251" t="s">
        <v>1410</v>
      </c>
      <c r="I251" t="s">
        <v>1410</v>
      </c>
      <c r="J251" t="s">
        <v>1410</v>
      </c>
      <c r="K251" t="s">
        <v>1410</v>
      </c>
      <c r="L251" t="s">
        <v>1410</v>
      </c>
      <c r="M251" t="s">
        <v>1410</v>
      </c>
      <c r="N251" t="s">
        <v>1410</v>
      </c>
      <c r="O251" t="s">
        <v>1410</v>
      </c>
      <c r="P251" t="s">
        <v>1410</v>
      </c>
      <c r="Q251" t="s">
        <v>1410</v>
      </c>
      <c r="R251" t="s">
        <v>1410</v>
      </c>
      <c r="S251" t="s">
        <v>1410</v>
      </c>
      <c r="T251" t="s">
        <v>1410</v>
      </c>
      <c r="U251" t="s">
        <v>1410</v>
      </c>
      <c r="V251" t="s">
        <v>1410</v>
      </c>
      <c r="W251" t="s">
        <v>1410</v>
      </c>
      <c r="X251" t="s">
        <v>1410</v>
      </c>
      <c r="Y251" t="s">
        <v>1410</v>
      </c>
      <c r="Z251" t="s">
        <v>1410</v>
      </c>
      <c r="AA251" t="s">
        <v>1410</v>
      </c>
      <c r="AB251" t="s">
        <v>1410</v>
      </c>
      <c r="AC251" t="s">
        <v>1410</v>
      </c>
      <c r="AD251" t="s">
        <v>1410</v>
      </c>
      <c r="AE251" t="s">
        <v>1410</v>
      </c>
      <c r="AF251" t="str">
        <f t="shared" si="7"/>
        <v>//241 - 0xF1</v>
      </c>
    </row>
    <row r="252" spans="1:32" x14ac:dyDescent="0.25">
      <c r="A252" t="str">
        <f t="shared" si="6"/>
        <v>//242 - 0xF2</v>
      </c>
      <c r="D252" t="s">
        <v>1410</v>
      </c>
      <c r="E252" t="s">
        <v>1410</v>
      </c>
      <c r="F252" t="s">
        <v>1410</v>
      </c>
      <c r="G252" t="s">
        <v>1410</v>
      </c>
      <c r="H252" t="s">
        <v>1410</v>
      </c>
      <c r="I252" t="s">
        <v>1410</v>
      </c>
      <c r="J252" t="s">
        <v>1410</v>
      </c>
      <c r="K252" t="s">
        <v>1410</v>
      </c>
      <c r="L252" t="s">
        <v>1410</v>
      </c>
      <c r="M252" t="s">
        <v>1410</v>
      </c>
      <c r="N252" t="s">
        <v>1410</v>
      </c>
      <c r="O252" t="s">
        <v>1410</v>
      </c>
      <c r="P252" t="s">
        <v>1410</v>
      </c>
      <c r="Q252" t="s">
        <v>1410</v>
      </c>
      <c r="R252" t="s">
        <v>1410</v>
      </c>
      <c r="S252" t="s">
        <v>1410</v>
      </c>
      <c r="T252" t="s">
        <v>1410</v>
      </c>
      <c r="U252" t="s">
        <v>1410</v>
      </c>
      <c r="V252" t="s">
        <v>1410</v>
      </c>
      <c r="W252" t="s">
        <v>1410</v>
      </c>
      <c r="X252" t="s">
        <v>1410</v>
      </c>
      <c r="Y252" t="s">
        <v>1410</v>
      </c>
      <c r="Z252" t="s">
        <v>1410</v>
      </c>
      <c r="AA252" t="s">
        <v>1410</v>
      </c>
      <c r="AB252" t="s">
        <v>1410</v>
      </c>
      <c r="AC252" t="s">
        <v>1410</v>
      </c>
      <c r="AD252" t="s">
        <v>1410</v>
      </c>
      <c r="AE252" t="s">
        <v>1410</v>
      </c>
      <c r="AF252" t="str">
        <f t="shared" si="7"/>
        <v>//242 - 0xF2</v>
      </c>
    </row>
    <row r="253" spans="1:32" x14ac:dyDescent="0.25">
      <c r="A253" t="str">
        <f t="shared" si="6"/>
        <v>//243 - 0xF3</v>
      </c>
      <c r="D253" t="s">
        <v>1410</v>
      </c>
      <c r="E253" t="s">
        <v>1410</v>
      </c>
      <c r="F253" t="s">
        <v>1410</v>
      </c>
      <c r="G253" t="s">
        <v>1410</v>
      </c>
      <c r="H253" t="s">
        <v>1410</v>
      </c>
      <c r="I253" t="s">
        <v>1410</v>
      </c>
      <c r="J253" t="s">
        <v>1410</v>
      </c>
      <c r="K253" t="s">
        <v>1410</v>
      </c>
      <c r="L253" t="s">
        <v>1410</v>
      </c>
      <c r="M253" t="s">
        <v>1410</v>
      </c>
      <c r="N253" t="s">
        <v>1410</v>
      </c>
      <c r="O253" t="s">
        <v>1410</v>
      </c>
      <c r="P253" t="s">
        <v>1410</v>
      </c>
      <c r="Q253" t="s">
        <v>1410</v>
      </c>
      <c r="R253" t="s">
        <v>1410</v>
      </c>
      <c r="S253" t="s">
        <v>1410</v>
      </c>
      <c r="T253" t="s">
        <v>1410</v>
      </c>
      <c r="U253" t="s">
        <v>1410</v>
      </c>
      <c r="V253" t="s">
        <v>1410</v>
      </c>
      <c r="W253" t="s">
        <v>1410</v>
      </c>
      <c r="X253" t="s">
        <v>1410</v>
      </c>
      <c r="Y253" t="s">
        <v>1410</v>
      </c>
      <c r="Z253" t="s">
        <v>1410</v>
      </c>
      <c r="AA253" t="s">
        <v>1410</v>
      </c>
      <c r="AB253" t="s">
        <v>1410</v>
      </c>
      <c r="AC253" t="s">
        <v>1410</v>
      </c>
      <c r="AD253" t="s">
        <v>1410</v>
      </c>
      <c r="AE253" t="s">
        <v>1410</v>
      </c>
      <c r="AF253" t="str">
        <f t="shared" si="7"/>
        <v>//243 - 0xF3</v>
      </c>
    </row>
    <row r="254" spans="1:32" x14ac:dyDescent="0.25">
      <c r="A254" t="str">
        <f t="shared" si="6"/>
        <v>//244 - 0xF4</v>
      </c>
      <c r="D254" t="s">
        <v>1410</v>
      </c>
      <c r="E254" t="s">
        <v>1410</v>
      </c>
      <c r="F254" t="s">
        <v>1410</v>
      </c>
      <c r="G254" t="s">
        <v>1410</v>
      </c>
      <c r="H254" t="s">
        <v>1410</v>
      </c>
      <c r="I254" t="s">
        <v>1410</v>
      </c>
      <c r="J254" t="s">
        <v>1410</v>
      </c>
      <c r="K254" t="s">
        <v>1410</v>
      </c>
      <c r="L254" t="s">
        <v>1410</v>
      </c>
      <c r="M254" t="s">
        <v>1410</v>
      </c>
      <c r="N254" t="s">
        <v>1410</v>
      </c>
      <c r="O254" t="s">
        <v>1410</v>
      </c>
      <c r="P254" t="s">
        <v>1410</v>
      </c>
      <c r="Q254" t="s">
        <v>1410</v>
      </c>
      <c r="R254" t="s">
        <v>1410</v>
      </c>
      <c r="S254" t="s">
        <v>1410</v>
      </c>
      <c r="T254" t="s">
        <v>1410</v>
      </c>
      <c r="U254" t="s">
        <v>1410</v>
      </c>
      <c r="V254" t="s">
        <v>1410</v>
      </c>
      <c r="W254" t="s">
        <v>1410</v>
      </c>
      <c r="X254" t="s">
        <v>1410</v>
      </c>
      <c r="Y254" t="s">
        <v>1410</v>
      </c>
      <c r="Z254" t="s">
        <v>1410</v>
      </c>
      <c r="AA254" t="s">
        <v>1410</v>
      </c>
      <c r="AB254" t="s">
        <v>1410</v>
      </c>
      <c r="AC254" t="s">
        <v>1410</v>
      </c>
      <c r="AD254" t="s">
        <v>1410</v>
      </c>
      <c r="AE254" t="s">
        <v>1410</v>
      </c>
      <c r="AF254" t="str">
        <f t="shared" si="7"/>
        <v>//244 - 0xF4</v>
      </c>
    </row>
    <row r="255" spans="1:32" x14ac:dyDescent="0.25">
      <c r="A255" t="str">
        <f t="shared" si="6"/>
        <v>//245 - 0xF5</v>
      </c>
      <c r="D255" t="s">
        <v>1410</v>
      </c>
      <c r="E255" t="s">
        <v>1410</v>
      </c>
      <c r="F255" t="s">
        <v>1410</v>
      </c>
      <c r="G255" t="s">
        <v>1410</v>
      </c>
      <c r="H255" t="s">
        <v>1410</v>
      </c>
      <c r="I255" t="s">
        <v>1410</v>
      </c>
      <c r="J255" t="s">
        <v>1410</v>
      </c>
      <c r="K255" t="s">
        <v>1410</v>
      </c>
      <c r="L255" t="s">
        <v>1410</v>
      </c>
      <c r="M255" t="s">
        <v>1410</v>
      </c>
      <c r="N255" t="s">
        <v>1410</v>
      </c>
      <c r="O255" t="s">
        <v>1410</v>
      </c>
      <c r="P255" t="s">
        <v>1410</v>
      </c>
      <c r="Q255" t="s">
        <v>1410</v>
      </c>
      <c r="R255" t="s">
        <v>1410</v>
      </c>
      <c r="S255" t="s">
        <v>1410</v>
      </c>
      <c r="T255" t="s">
        <v>1410</v>
      </c>
      <c r="U255" t="s">
        <v>1410</v>
      </c>
      <c r="V255" t="s">
        <v>1410</v>
      </c>
      <c r="W255" t="s">
        <v>1410</v>
      </c>
      <c r="X255" t="s">
        <v>1410</v>
      </c>
      <c r="Y255" t="s">
        <v>1410</v>
      </c>
      <c r="Z255" t="s">
        <v>1410</v>
      </c>
      <c r="AA255" t="s">
        <v>1410</v>
      </c>
      <c r="AB255" t="s">
        <v>1410</v>
      </c>
      <c r="AC255" t="s">
        <v>1410</v>
      </c>
      <c r="AD255" t="s">
        <v>1410</v>
      </c>
      <c r="AE255" t="s">
        <v>1410</v>
      </c>
      <c r="AF255" t="str">
        <f t="shared" si="7"/>
        <v>//245 - 0xF5</v>
      </c>
    </row>
    <row r="256" spans="1:32" x14ac:dyDescent="0.25">
      <c r="A256" t="str">
        <f t="shared" si="6"/>
        <v>//246 - 0xF6</v>
      </c>
      <c r="D256" t="s">
        <v>1410</v>
      </c>
      <c r="E256" t="s">
        <v>1410</v>
      </c>
      <c r="F256" t="s">
        <v>1410</v>
      </c>
      <c r="G256" t="s">
        <v>1410</v>
      </c>
      <c r="H256" t="s">
        <v>1410</v>
      </c>
      <c r="I256" t="s">
        <v>1410</v>
      </c>
      <c r="J256" t="s">
        <v>1410</v>
      </c>
      <c r="K256" t="s">
        <v>1410</v>
      </c>
      <c r="L256" t="s">
        <v>1410</v>
      </c>
      <c r="M256" t="s">
        <v>1410</v>
      </c>
      <c r="N256" t="s">
        <v>1410</v>
      </c>
      <c r="O256" t="s">
        <v>1410</v>
      </c>
      <c r="P256" t="s">
        <v>1410</v>
      </c>
      <c r="Q256" t="s">
        <v>1410</v>
      </c>
      <c r="R256" t="s">
        <v>1410</v>
      </c>
      <c r="S256" t="s">
        <v>1410</v>
      </c>
      <c r="T256" t="s">
        <v>1410</v>
      </c>
      <c r="U256" t="s">
        <v>1410</v>
      </c>
      <c r="V256" t="s">
        <v>1410</v>
      </c>
      <c r="W256" t="s">
        <v>1410</v>
      </c>
      <c r="X256" t="s">
        <v>1410</v>
      </c>
      <c r="Y256" t="s">
        <v>1410</v>
      </c>
      <c r="Z256" t="s">
        <v>1410</v>
      </c>
      <c r="AA256" t="s">
        <v>1410</v>
      </c>
      <c r="AB256" t="s">
        <v>1410</v>
      </c>
      <c r="AC256" t="s">
        <v>1410</v>
      </c>
      <c r="AD256" t="s">
        <v>1410</v>
      </c>
      <c r="AE256" t="s">
        <v>1410</v>
      </c>
      <c r="AF256" t="str">
        <f t="shared" si="7"/>
        <v>//246 - 0xF6</v>
      </c>
    </row>
    <row r="257" spans="1:32" x14ac:dyDescent="0.25">
      <c r="A257" t="str">
        <f t="shared" si="6"/>
        <v>//247 - 0xF7</v>
      </c>
      <c r="D257" t="s">
        <v>1410</v>
      </c>
      <c r="E257" t="s">
        <v>1410</v>
      </c>
      <c r="F257" t="s">
        <v>1410</v>
      </c>
      <c r="G257" t="s">
        <v>1410</v>
      </c>
      <c r="H257" t="s">
        <v>1410</v>
      </c>
      <c r="I257" t="s">
        <v>1410</v>
      </c>
      <c r="J257" t="s">
        <v>1410</v>
      </c>
      <c r="K257" t="s">
        <v>1410</v>
      </c>
      <c r="L257" t="s">
        <v>1410</v>
      </c>
      <c r="M257" t="s">
        <v>1410</v>
      </c>
      <c r="N257" t="s">
        <v>1410</v>
      </c>
      <c r="O257" t="s">
        <v>1410</v>
      </c>
      <c r="P257" t="s">
        <v>1410</v>
      </c>
      <c r="Q257" t="s">
        <v>1410</v>
      </c>
      <c r="R257" t="s">
        <v>1410</v>
      </c>
      <c r="S257" t="s">
        <v>1410</v>
      </c>
      <c r="T257" t="s">
        <v>1410</v>
      </c>
      <c r="U257" t="s">
        <v>1410</v>
      </c>
      <c r="V257" t="s">
        <v>1410</v>
      </c>
      <c r="W257" t="s">
        <v>1410</v>
      </c>
      <c r="X257" t="s">
        <v>1410</v>
      </c>
      <c r="Y257" t="s">
        <v>1410</v>
      </c>
      <c r="Z257" t="s">
        <v>1410</v>
      </c>
      <c r="AA257" t="s">
        <v>1410</v>
      </c>
      <c r="AB257" t="s">
        <v>1410</v>
      </c>
      <c r="AC257" t="s">
        <v>1410</v>
      </c>
      <c r="AD257" t="s">
        <v>1410</v>
      </c>
      <c r="AE257" t="s">
        <v>1410</v>
      </c>
      <c r="AF257" t="str">
        <f t="shared" si="7"/>
        <v>//247 - 0xF7</v>
      </c>
    </row>
    <row r="258" spans="1:32" x14ac:dyDescent="0.25">
      <c r="A258" t="str">
        <f t="shared" si="6"/>
        <v>//248 - 0xF8</v>
      </c>
      <c r="D258" t="s">
        <v>1410</v>
      </c>
      <c r="E258" t="s">
        <v>1410</v>
      </c>
      <c r="F258" t="s">
        <v>1410</v>
      </c>
      <c r="G258" t="s">
        <v>1410</v>
      </c>
      <c r="H258" t="s">
        <v>1410</v>
      </c>
      <c r="I258" t="s">
        <v>1410</v>
      </c>
      <c r="J258" t="s">
        <v>1410</v>
      </c>
      <c r="K258" t="s">
        <v>1410</v>
      </c>
      <c r="L258" t="s">
        <v>1410</v>
      </c>
      <c r="M258" t="s">
        <v>1410</v>
      </c>
      <c r="N258" t="s">
        <v>1410</v>
      </c>
      <c r="O258" t="s">
        <v>1410</v>
      </c>
      <c r="P258" t="s">
        <v>1410</v>
      </c>
      <c r="Q258" t="s">
        <v>1410</v>
      </c>
      <c r="R258" t="s">
        <v>1410</v>
      </c>
      <c r="S258" t="s">
        <v>1410</v>
      </c>
      <c r="T258" t="s">
        <v>1410</v>
      </c>
      <c r="U258" t="s">
        <v>1410</v>
      </c>
      <c r="V258" t="s">
        <v>1410</v>
      </c>
      <c r="W258" t="s">
        <v>1410</v>
      </c>
      <c r="X258" t="s">
        <v>1410</v>
      </c>
      <c r="Y258" t="s">
        <v>1410</v>
      </c>
      <c r="Z258" t="s">
        <v>1410</v>
      </c>
      <c r="AA258" t="s">
        <v>1410</v>
      </c>
      <c r="AB258" t="s">
        <v>1410</v>
      </c>
      <c r="AC258" t="s">
        <v>1410</v>
      </c>
      <c r="AD258" t="s">
        <v>1410</v>
      </c>
      <c r="AE258" t="s">
        <v>1410</v>
      </c>
      <c r="AF258" t="str">
        <f t="shared" si="7"/>
        <v>//248 - 0xF8</v>
      </c>
    </row>
    <row r="259" spans="1:32" x14ac:dyDescent="0.25">
      <c r="A259" t="str">
        <f t="shared" si="6"/>
        <v>//249 - 0xF9</v>
      </c>
      <c r="D259" t="s">
        <v>1410</v>
      </c>
      <c r="E259" t="s">
        <v>1410</v>
      </c>
      <c r="F259" t="s">
        <v>1410</v>
      </c>
      <c r="G259" t="s">
        <v>1410</v>
      </c>
      <c r="H259" t="s">
        <v>1410</v>
      </c>
      <c r="I259" t="s">
        <v>1410</v>
      </c>
      <c r="J259" t="s">
        <v>1410</v>
      </c>
      <c r="K259" t="s">
        <v>1410</v>
      </c>
      <c r="L259" t="s">
        <v>1410</v>
      </c>
      <c r="M259" t="s">
        <v>1410</v>
      </c>
      <c r="N259" t="s">
        <v>1410</v>
      </c>
      <c r="O259" t="s">
        <v>1410</v>
      </c>
      <c r="P259" t="s">
        <v>1410</v>
      </c>
      <c r="Q259" t="s">
        <v>1410</v>
      </c>
      <c r="R259" t="s">
        <v>1410</v>
      </c>
      <c r="S259" t="s">
        <v>1410</v>
      </c>
      <c r="T259" t="s">
        <v>1410</v>
      </c>
      <c r="U259" t="s">
        <v>1410</v>
      </c>
      <c r="V259" t="s">
        <v>1410</v>
      </c>
      <c r="W259" t="s">
        <v>1410</v>
      </c>
      <c r="X259" t="s">
        <v>1410</v>
      </c>
      <c r="Y259" t="s">
        <v>1410</v>
      </c>
      <c r="Z259" t="s">
        <v>1410</v>
      </c>
      <c r="AA259" t="s">
        <v>1410</v>
      </c>
      <c r="AB259" t="s">
        <v>1410</v>
      </c>
      <c r="AC259" t="s">
        <v>1410</v>
      </c>
      <c r="AD259" t="s">
        <v>1410</v>
      </c>
      <c r="AE259" t="s">
        <v>1410</v>
      </c>
      <c r="AF259" t="str">
        <f t="shared" si="7"/>
        <v>//249 - 0xF9</v>
      </c>
    </row>
    <row r="260" spans="1:32" x14ac:dyDescent="0.25">
      <c r="A260" t="str">
        <f t="shared" si="6"/>
        <v>//250 - 0xFA</v>
      </c>
      <c r="D260" t="s">
        <v>1410</v>
      </c>
      <c r="E260" t="s">
        <v>1410</v>
      </c>
      <c r="F260" t="s">
        <v>1410</v>
      </c>
      <c r="G260" t="s">
        <v>1410</v>
      </c>
      <c r="H260" t="s">
        <v>1410</v>
      </c>
      <c r="I260" t="s">
        <v>1410</v>
      </c>
      <c r="J260" t="s">
        <v>1410</v>
      </c>
      <c r="K260" t="s">
        <v>1410</v>
      </c>
      <c r="L260" t="s">
        <v>1410</v>
      </c>
      <c r="M260" t="s">
        <v>1410</v>
      </c>
      <c r="N260" t="s">
        <v>1410</v>
      </c>
      <c r="O260" t="s">
        <v>1410</v>
      </c>
      <c r="P260" t="s">
        <v>1410</v>
      </c>
      <c r="Q260" t="s">
        <v>1410</v>
      </c>
      <c r="R260" t="s">
        <v>1410</v>
      </c>
      <c r="S260" t="s">
        <v>1410</v>
      </c>
      <c r="T260" t="s">
        <v>1410</v>
      </c>
      <c r="U260" t="s">
        <v>1410</v>
      </c>
      <c r="V260" t="s">
        <v>1410</v>
      </c>
      <c r="W260" t="s">
        <v>1410</v>
      </c>
      <c r="X260" t="s">
        <v>1410</v>
      </c>
      <c r="Y260" t="s">
        <v>1410</v>
      </c>
      <c r="Z260" t="s">
        <v>1410</v>
      </c>
      <c r="AA260" t="s">
        <v>1410</v>
      </c>
      <c r="AB260" t="s">
        <v>1410</v>
      </c>
      <c r="AC260" t="s">
        <v>1410</v>
      </c>
      <c r="AD260" t="s">
        <v>1410</v>
      </c>
      <c r="AE260" t="s">
        <v>1410</v>
      </c>
      <c r="AF260" t="str">
        <f t="shared" si="7"/>
        <v>//250 - 0xFA</v>
      </c>
    </row>
    <row r="261" spans="1:32" x14ac:dyDescent="0.25">
      <c r="A261" t="str">
        <f t="shared" si="6"/>
        <v>//251 - 0xFB</v>
      </c>
      <c r="D261" t="s">
        <v>1410</v>
      </c>
      <c r="E261" t="s">
        <v>1410</v>
      </c>
      <c r="F261" t="s">
        <v>1410</v>
      </c>
      <c r="G261" t="s">
        <v>1410</v>
      </c>
      <c r="H261" t="s">
        <v>1410</v>
      </c>
      <c r="I261" t="s">
        <v>1410</v>
      </c>
      <c r="J261" t="s">
        <v>1410</v>
      </c>
      <c r="K261" t="s">
        <v>1410</v>
      </c>
      <c r="L261" t="s">
        <v>1410</v>
      </c>
      <c r="M261" t="s">
        <v>1410</v>
      </c>
      <c r="N261" t="s">
        <v>1410</v>
      </c>
      <c r="O261" t="s">
        <v>1410</v>
      </c>
      <c r="P261" t="s">
        <v>1410</v>
      </c>
      <c r="Q261" t="s">
        <v>1410</v>
      </c>
      <c r="R261" t="s">
        <v>1410</v>
      </c>
      <c r="S261" t="s">
        <v>1410</v>
      </c>
      <c r="T261" t="s">
        <v>1410</v>
      </c>
      <c r="U261" t="s">
        <v>1410</v>
      </c>
      <c r="V261" t="s">
        <v>1410</v>
      </c>
      <c r="W261" t="s">
        <v>1410</v>
      </c>
      <c r="X261" t="s">
        <v>1410</v>
      </c>
      <c r="Y261" t="s">
        <v>1410</v>
      </c>
      <c r="Z261" t="s">
        <v>1410</v>
      </c>
      <c r="AA261" t="s">
        <v>1410</v>
      </c>
      <c r="AB261" t="s">
        <v>1410</v>
      </c>
      <c r="AC261" t="s">
        <v>1410</v>
      </c>
      <c r="AD261" t="s">
        <v>1410</v>
      </c>
      <c r="AE261" t="s">
        <v>1410</v>
      </c>
      <c r="AF261" t="str">
        <f t="shared" si="7"/>
        <v>//251 - 0xFB</v>
      </c>
    </row>
    <row r="262" spans="1:32" x14ac:dyDescent="0.25">
      <c r="A262" t="str">
        <f t="shared" si="6"/>
        <v>//252 - 0xFC</v>
      </c>
      <c r="D262" t="s">
        <v>1410</v>
      </c>
      <c r="E262" t="s">
        <v>1410</v>
      </c>
      <c r="F262" t="s">
        <v>1410</v>
      </c>
      <c r="G262" t="s">
        <v>1410</v>
      </c>
      <c r="H262" t="s">
        <v>1410</v>
      </c>
      <c r="I262" t="s">
        <v>1410</v>
      </c>
      <c r="J262" t="s">
        <v>1410</v>
      </c>
      <c r="K262" t="s">
        <v>1410</v>
      </c>
      <c r="L262" t="s">
        <v>1410</v>
      </c>
      <c r="M262" t="s">
        <v>1410</v>
      </c>
      <c r="N262" t="s">
        <v>1410</v>
      </c>
      <c r="O262" t="s">
        <v>1410</v>
      </c>
      <c r="P262" t="s">
        <v>1410</v>
      </c>
      <c r="Q262" t="s">
        <v>1410</v>
      </c>
      <c r="R262" t="s">
        <v>1410</v>
      </c>
      <c r="S262" t="s">
        <v>1410</v>
      </c>
      <c r="T262" t="s">
        <v>1410</v>
      </c>
      <c r="U262" t="s">
        <v>1410</v>
      </c>
      <c r="V262" t="s">
        <v>1410</v>
      </c>
      <c r="W262" t="s">
        <v>1410</v>
      </c>
      <c r="X262" t="s">
        <v>1410</v>
      </c>
      <c r="Y262" t="s">
        <v>1410</v>
      </c>
      <c r="Z262" t="s">
        <v>1410</v>
      </c>
      <c r="AA262" t="s">
        <v>1410</v>
      </c>
      <c r="AB262" t="s">
        <v>1410</v>
      </c>
      <c r="AC262" t="s">
        <v>1410</v>
      </c>
      <c r="AD262" t="s">
        <v>1410</v>
      </c>
      <c r="AE262" t="s">
        <v>1410</v>
      </c>
      <c r="AF262" t="str">
        <f t="shared" si="7"/>
        <v>//252 - 0xFC</v>
      </c>
    </row>
    <row r="263" spans="1:32" x14ac:dyDescent="0.25">
      <c r="A263" t="str">
        <f t="shared" si="6"/>
        <v>//253 - 0xFD</v>
      </c>
      <c r="D263" t="s">
        <v>1410</v>
      </c>
      <c r="E263" t="s">
        <v>1410</v>
      </c>
      <c r="F263" t="s">
        <v>1410</v>
      </c>
      <c r="G263" t="s">
        <v>1410</v>
      </c>
      <c r="H263" t="s">
        <v>1410</v>
      </c>
      <c r="I263" t="s">
        <v>1410</v>
      </c>
      <c r="J263" t="s">
        <v>1410</v>
      </c>
      <c r="K263" t="s">
        <v>1410</v>
      </c>
      <c r="L263" t="s">
        <v>1410</v>
      </c>
      <c r="M263" t="s">
        <v>1410</v>
      </c>
      <c r="N263" t="s">
        <v>1410</v>
      </c>
      <c r="O263" t="s">
        <v>1410</v>
      </c>
      <c r="P263" t="s">
        <v>1410</v>
      </c>
      <c r="Q263" t="s">
        <v>1410</v>
      </c>
      <c r="R263" t="s">
        <v>1410</v>
      </c>
      <c r="S263" t="s">
        <v>1410</v>
      </c>
      <c r="T263" t="s">
        <v>1410</v>
      </c>
      <c r="U263" t="s">
        <v>1410</v>
      </c>
      <c r="V263" t="s">
        <v>1410</v>
      </c>
      <c r="W263" t="s">
        <v>1410</v>
      </c>
      <c r="X263" t="s">
        <v>1410</v>
      </c>
      <c r="Y263" t="s">
        <v>1410</v>
      </c>
      <c r="Z263" t="s">
        <v>1410</v>
      </c>
      <c r="AA263" t="s">
        <v>1410</v>
      </c>
      <c r="AB263" t="s">
        <v>1410</v>
      </c>
      <c r="AC263" t="s">
        <v>1410</v>
      </c>
      <c r="AD263" t="s">
        <v>1410</v>
      </c>
      <c r="AE263" t="s">
        <v>1410</v>
      </c>
      <c r="AF263" t="str">
        <f t="shared" si="7"/>
        <v>//253 - 0xFD</v>
      </c>
    </row>
    <row r="264" spans="1:32" x14ac:dyDescent="0.25">
      <c r="A264" t="str">
        <f t="shared" si="6"/>
        <v>//254 - 0xFE</v>
      </c>
      <c r="D264" t="s">
        <v>1410</v>
      </c>
      <c r="E264" t="s">
        <v>1410</v>
      </c>
      <c r="F264" t="s">
        <v>1410</v>
      </c>
      <c r="G264" t="s">
        <v>1410</v>
      </c>
      <c r="H264" t="s">
        <v>1410</v>
      </c>
      <c r="I264" t="s">
        <v>1410</v>
      </c>
      <c r="J264" t="s">
        <v>1410</v>
      </c>
      <c r="K264" t="s">
        <v>1410</v>
      </c>
      <c r="L264" t="s">
        <v>1410</v>
      </c>
      <c r="M264" t="s">
        <v>1410</v>
      </c>
      <c r="N264" t="s">
        <v>1410</v>
      </c>
      <c r="O264" t="s">
        <v>1410</v>
      </c>
      <c r="P264" t="s">
        <v>1410</v>
      </c>
      <c r="Q264" t="s">
        <v>1410</v>
      </c>
      <c r="R264" t="s">
        <v>1410</v>
      </c>
      <c r="S264" t="s">
        <v>1410</v>
      </c>
      <c r="T264" t="s">
        <v>1410</v>
      </c>
      <c r="U264" t="s">
        <v>1410</v>
      </c>
      <c r="V264" t="s">
        <v>1410</v>
      </c>
      <c r="W264" t="s">
        <v>1410</v>
      </c>
      <c r="X264" t="s">
        <v>1410</v>
      </c>
      <c r="Y264" t="s">
        <v>1410</v>
      </c>
      <c r="Z264" t="s">
        <v>1410</v>
      </c>
      <c r="AA264" t="s">
        <v>1410</v>
      </c>
      <c r="AB264" t="s">
        <v>1410</v>
      </c>
      <c r="AC264" t="s">
        <v>1410</v>
      </c>
      <c r="AD264" t="s">
        <v>1410</v>
      </c>
      <c r="AE264" t="s">
        <v>1410</v>
      </c>
      <c r="AF264" t="str">
        <f t="shared" si="7"/>
        <v>//254 - 0xFE</v>
      </c>
    </row>
    <row r="265" spans="1:32" x14ac:dyDescent="0.25">
      <c r="A265" t="str">
        <f t="shared" si="6"/>
        <v>//255 - 0xFF</v>
      </c>
      <c r="D265" t="s">
        <v>1410</v>
      </c>
      <c r="E265" t="s">
        <v>1410</v>
      </c>
      <c r="F265" t="s">
        <v>1410</v>
      </c>
      <c r="G265" t="s">
        <v>1410</v>
      </c>
      <c r="H265" t="s">
        <v>1410</v>
      </c>
      <c r="I265" t="s">
        <v>1410</v>
      </c>
      <c r="J265" t="s">
        <v>1410</v>
      </c>
      <c r="K265" t="s">
        <v>1410</v>
      </c>
      <c r="L265" t="s">
        <v>1410</v>
      </c>
      <c r="M265" t="s">
        <v>1410</v>
      </c>
      <c r="N265" t="s">
        <v>1410</v>
      </c>
      <c r="O265" t="s">
        <v>1410</v>
      </c>
      <c r="P265" t="s">
        <v>1410</v>
      </c>
      <c r="Q265" t="s">
        <v>1410</v>
      </c>
      <c r="R265" t="s">
        <v>1410</v>
      </c>
      <c r="S265" t="s">
        <v>1410</v>
      </c>
      <c r="T265" t="s">
        <v>1410</v>
      </c>
      <c r="U265" t="s">
        <v>1410</v>
      </c>
      <c r="V265" t="s">
        <v>1410</v>
      </c>
      <c r="W265" t="s">
        <v>1410</v>
      </c>
      <c r="X265" t="s">
        <v>1410</v>
      </c>
      <c r="Y265" t="s">
        <v>1410</v>
      </c>
      <c r="Z265" t="s">
        <v>1410</v>
      </c>
      <c r="AA265" t="s">
        <v>1410</v>
      </c>
      <c r="AB265" t="s">
        <v>1410</v>
      </c>
      <c r="AC265" t="s">
        <v>1410</v>
      </c>
      <c r="AD265" t="s">
        <v>1410</v>
      </c>
      <c r="AE265" t="s">
        <v>1410</v>
      </c>
      <c r="AF265" t="str">
        <f t="shared" si="7"/>
        <v>//255 - 0xFF</v>
      </c>
    </row>
  </sheetData>
  <mergeCells count="2">
    <mergeCell ref="G2:I4"/>
    <mergeCell ref="P2:V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Feuil22.conversion_ucstate">
                <anchor moveWithCells="1" sizeWithCells="1">
                  <from>
                    <xdr:col>9</xdr:col>
                    <xdr:colOff>297180</xdr:colOff>
                    <xdr:row>0</xdr:row>
                    <xdr:rowOff>121920</xdr:rowOff>
                  </from>
                  <to>
                    <xdr:col>11</xdr:col>
                    <xdr:colOff>541020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6"/>
  <dimension ref="A2:K75"/>
  <sheetViews>
    <sheetView workbookViewId="0">
      <selection activeCell="K21" sqref="K21"/>
    </sheetView>
  </sheetViews>
  <sheetFormatPr baseColWidth="10" defaultColWidth="11.5546875" defaultRowHeight="14.4" x14ac:dyDescent="0.3"/>
  <cols>
    <col min="1" max="1" width="5.44140625" style="388" bestFit="1" customWidth="1"/>
    <col min="2" max="2" width="8.88671875" style="388" bestFit="1" customWidth="1"/>
    <col min="3" max="3" width="43.6640625" style="388" customWidth="1"/>
    <col min="4" max="4" width="5.5546875" style="388" bestFit="1" customWidth="1"/>
    <col min="5" max="5" width="11.5546875" style="388"/>
    <col min="6" max="6" width="26" style="388" customWidth="1"/>
    <col min="7" max="7" width="11.5546875" style="388"/>
    <col min="8" max="8" width="20.109375" style="388" customWidth="1"/>
    <col min="9" max="16384" width="11.5546875" style="388"/>
  </cols>
  <sheetData>
    <row r="2" spans="1:11" x14ac:dyDescent="0.3">
      <c r="C2" s="393" t="s">
        <v>3419</v>
      </c>
      <c r="D2" s="555" t="s">
        <v>3420</v>
      </c>
      <c r="E2" s="556"/>
      <c r="F2" s="556"/>
      <c r="G2" s="556"/>
      <c r="H2" s="556"/>
    </row>
    <row r="3" spans="1:11" x14ac:dyDescent="0.3">
      <c r="C3" s="396" t="s">
        <v>3301</v>
      </c>
      <c r="D3" s="556" t="s">
        <v>3538</v>
      </c>
      <c r="E3" s="556"/>
      <c r="F3" s="556"/>
      <c r="G3" s="556"/>
      <c r="H3" s="556"/>
    </row>
    <row r="4" spans="1:11" x14ac:dyDescent="0.3">
      <c r="C4" s="337" t="s">
        <v>3302</v>
      </c>
      <c r="D4" s="556" t="s">
        <v>3539</v>
      </c>
      <c r="E4" s="556"/>
      <c r="F4" s="556"/>
      <c r="G4" s="556"/>
      <c r="H4" s="556"/>
    </row>
    <row r="5" spans="1:11" x14ac:dyDescent="0.3">
      <c r="C5" s="337" t="s">
        <v>3301</v>
      </c>
      <c r="D5" s="556" t="s">
        <v>3538</v>
      </c>
      <c r="E5" s="556"/>
      <c r="F5" s="556"/>
      <c r="G5" s="556"/>
      <c r="H5" s="556"/>
    </row>
    <row r="6" spans="1:11" x14ac:dyDescent="0.3">
      <c r="C6" s="337" t="s">
        <v>3300</v>
      </c>
      <c r="D6" s="556" t="s">
        <v>3540</v>
      </c>
      <c r="E6" s="556"/>
      <c r="F6" s="556"/>
      <c r="G6" s="556"/>
      <c r="H6" s="556"/>
    </row>
    <row r="7" spans="1:11" x14ac:dyDescent="0.3">
      <c r="C7" s="337" t="s">
        <v>3422</v>
      </c>
      <c r="D7" s="556" t="s">
        <v>3541</v>
      </c>
      <c r="E7" s="556"/>
      <c r="F7" s="556"/>
      <c r="G7" s="556"/>
      <c r="H7" s="556"/>
    </row>
    <row r="8" spans="1:11" x14ac:dyDescent="0.3">
      <c r="C8" s="394"/>
      <c r="D8" s="556" t="s">
        <v>3421</v>
      </c>
      <c r="E8" s="556"/>
      <c r="F8" s="556"/>
      <c r="G8" s="556"/>
      <c r="H8" s="556"/>
    </row>
    <row r="11" spans="1:11" x14ac:dyDescent="0.3">
      <c r="A11" s="389" t="s">
        <v>3308</v>
      </c>
      <c r="B11" s="389" t="s">
        <v>3309</v>
      </c>
      <c r="C11" s="389" t="s">
        <v>3310</v>
      </c>
      <c r="D11" s="389" t="s">
        <v>3311</v>
      </c>
      <c r="E11" s="389"/>
      <c r="F11" s="389"/>
      <c r="G11" s="389" t="s">
        <v>3312</v>
      </c>
      <c r="H11" s="389" t="s">
        <v>3313</v>
      </c>
      <c r="J11" s="553" t="s">
        <v>277</v>
      </c>
      <c r="K11" s="554"/>
    </row>
    <row r="12" spans="1:11" x14ac:dyDescent="0.3">
      <c r="A12" s="389">
        <v>0</v>
      </c>
      <c r="B12" s="392" t="s">
        <v>142</v>
      </c>
      <c r="C12" s="392" t="s">
        <v>142</v>
      </c>
      <c r="D12" s="389">
        <v>0</v>
      </c>
      <c r="E12" s="392"/>
      <c r="F12" s="389"/>
      <c r="G12" s="389">
        <v>2</v>
      </c>
      <c r="H12" s="389" t="s">
        <v>3315</v>
      </c>
      <c r="J12" s="430" t="s">
        <v>2392</v>
      </c>
      <c r="K12" s="389" t="s">
        <v>3303</v>
      </c>
    </row>
    <row r="13" spans="1:11" x14ac:dyDescent="0.3">
      <c r="A13" s="389">
        <v>0</v>
      </c>
      <c r="B13" s="389">
        <v>1</v>
      </c>
      <c r="C13" s="389" t="s">
        <v>3314</v>
      </c>
      <c r="D13" s="389">
        <v>0</v>
      </c>
      <c r="E13" s="392" t="s">
        <v>3424</v>
      </c>
      <c r="F13" s="389"/>
      <c r="G13" s="389">
        <v>1</v>
      </c>
      <c r="H13" s="389"/>
      <c r="J13" s="391">
        <v>9</v>
      </c>
      <c r="K13" s="389" t="s">
        <v>3304</v>
      </c>
    </row>
    <row r="14" spans="1:11" x14ac:dyDescent="0.3">
      <c r="A14" s="389">
        <v>0</v>
      </c>
      <c r="B14" s="389">
        <v>2</v>
      </c>
      <c r="C14" s="389" t="s">
        <v>3316</v>
      </c>
      <c r="D14" s="389">
        <v>1</v>
      </c>
      <c r="E14" s="392" t="s">
        <v>3423</v>
      </c>
      <c r="F14" s="389"/>
      <c r="G14" s="389">
        <v>4</v>
      </c>
      <c r="H14" s="389"/>
      <c r="J14" s="391" t="s">
        <v>2387</v>
      </c>
      <c r="K14" s="389" t="s">
        <v>3305</v>
      </c>
    </row>
    <row r="15" spans="1:11" x14ac:dyDescent="0.3">
      <c r="A15" s="389">
        <v>0</v>
      </c>
      <c r="B15" s="389">
        <v>3</v>
      </c>
      <c r="C15" s="389" t="s">
        <v>3317</v>
      </c>
      <c r="D15" s="389">
        <v>1</v>
      </c>
      <c r="E15" s="389" t="s">
        <v>3318</v>
      </c>
      <c r="F15" s="389" t="s">
        <v>3319</v>
      </c>
      <c r="G15" s="389">
        <v>3</v>
      </c>
      <c r="H15" s="389" t="s">
        <v>3320</v>
      </c>
      <c r="J15" s="391" t="s">
        <v>2388</v>
      </c>
      <c r="K15" s="389" t="s">
        <v>3306</v>
      </c>
    </row>
    <row r="16" spans="1:11" x14ac:dyDescent="0.3">
      <c r="A16" s="389">
        <v>0</v>
      </c>
      <c r="B16" s="389">
        <v>4</v>
      </c>
      <c r="C16" s="389" t="s">
        <v>3321</v>
      </c>
      <c r="D16" s="389">
        <v>2</v>
      </c>
      <c r="E16" s="389"/>
      <c r="F16" s="389"/>
      <c r="G16" s="389">
        <v>6</v>
      </c>
      <c r="H16" s="389"/>
      <c r="J16" s="391">
        <v>8</v>
      </c>
      <c r="K16" s="389" t="s">
        <v>3307</v>
      </c>
    </row>
    <row r="17" spans="1:8" x14ac:dyDescent="0.3">
      <c r="A17" s="389">
        <v>0</v>
      </c>
      <c r="B17" s="389">
        <v>5</v>
      </c>
      <c r="C17" s="389" t="s">
        <v>3322</v>
      </c>
      <c r="D17" s="389">
        <v>2</v>
      </c>
      <c r="E17" s="389"/>
      <c r="F17" s="389"/>
      <c r="G17" s="389">
        <v>5</v>
      </c>
      <c r="H17" s="389"/>
    </row>
    <row r="18" spans="1:8" x14ac:dyDescent="0.3">
      <c r="A18" s="389">
        <v>0</v>
      </c>
      <c r="B18" s="389">
        <v>6</v>
      </c>
      <c r="C18" s="389" t="s">
        <v>3323</v>
      </c>
      <c r="D18" s="389">
        <v>3</v>
      </c>
      <c r="E18" s="389"/>
      <c r="F18" s="389"/>
      <c r="G18" s="389">
        <v>8</v>
      </c>
      <c r="H18" s="389"/>
    </row>
    <row r="19" spans="1:8" x14ac:dyDescent="0.3">
      <c r="A19" s="389">
        <v>0</v>
      </c>
      <c r="B19" s="389">
        <v>7</v>
      </c>
      <c r="C19" s="389" t="s">
        <v>3324</v>
      </c>
      <c r="D19" s="389">
        <v>3</v>
      </c>
      <c r="E19" s="389" t="s">
        <v>3325</v>
      </c>
      <c r="F19" s="389" t="s">
        <v>3326</v>
      </c>
      <c r="G19" s="389">
        <v>7</v>
      </c>
      <c r="H19" s="389" t="s">
        <v>3327</v>
      </c>
    </row>
    <row r="20" spans="1:8" x14ac:dyDescent="0.3">
      <c r="A20" s="389">
        <v>0</v>
      </c>
      <c r="B20" s="389">
        <v>8</v>
      </c>
      <c r="C20" s="389" t="s">
        <v>3328</v>
      </c>
      <c r="D20" s="389">
        <v>4</v>
      </c>
      <c r="E20" s="389"/>
      <c r="F20" s="389"/>
      <c r="G20" s="389">
        <v>10</v>
      </c>
      <c r="H20" s="389"/>
    </row>
    <row r="21" spans="1:8" x14ac:dyDescent="0.3">
      <c r="A21" s="389">
        <v>0</v>
      </c>
      <c r="B21" s="389">
        <v>9</v>
      </c>
      <c r="C21" s="389" t="s">
        <v>3329</v>
      </c>
      <c r="D21" s="389">
        <v>4</v>
      </c>
      <c r="E21" s="389"/>
      <c r="F21" s="389"/>
      <c r="G21" s="389">
        <v>9</v>
      </c>
      <c r="H21" s="389"/>
    </row>
    <row r="22" spans="1:8" x14ac:dyDescent="0.3">
      <c r="A22" s="389">
        <v>0</v>
      </c>
      <c r="B22" s="389">
        <v>10</v>
      </c>
      <c r="C22" s="389" t="s">
        <v>895</v>
      </c>
      <c r="D22" s="389">
        <v>5</v>
      </c>
      <c r="E22" s="389" t="s">
        <v>3330</v>
      </c>
      <c r="F22" s="389" t="s">
        <v>3331</v>
      </c>
      <c r="G22" s="389">
        <v>12</v>
      </c>
      <c r="H22" s="389" t="s">
        <v>3332</v>
      </c>
    </row>
    <row r="23" spans="1:8" x14ac:dyDescent="0.3">
      <c r="A23" s="389">
        <v>0</v>
      </c>
      <c r="B23" s="389">
        <v>11</v>
      </c>
      <c r="C23" s="389" t="s">
        <v>318</v>
      </c>
      <c r="D23" s="389">
        <v>5</v>
      </c>
      <c r="E23" s="389" t="s">
        <v>3333</v>
      </c>
      <c r="F23" s="389" t="s">
        <v>3334</v>
      </c>
      <c r="G23" s="389">
        <v>11</v>
      </c>
      <c r="H23" s="389" t="s">
        <v>3335</v>
      </c>
    </row>
    <row r="24" spans="1:8" x14ac:dyDescent="0.3">
      <c r="A24" s="389">
        <v>0</v>
      </c>
      <c r="B24" s="389">
        <v>12</v>
      </c>
      <c r="C24" s="389" t="s">
        <v>3336</v>
      </c>
      <c r="D24" s="389">
        <v>6</v>
      </c>
      <c r="E24" s="389" t="s">
        <v>3337</v>
      </c>
      <c r="F24" s="389" t="s">
        <v>3338</v>
      </c>
      <c r="G24" s="389">
        <v>14</v>
      </c>
      <c r="H24" s="389" t="s">
        <v>3339</v>
      </c>
    </row>
    <row r="25" spans="1:8" x14ac:dyDescent="0.3">
      <c r="A25" s="389">
        <v>0</v>
      </c>
      <c r="B25" s="389">
        <v>13</v>
      </c>
      <c r="C25" s="389" t="s">
        <v>3340</v>
      </c>
      <c r="D25" s="389">
        <v>6</v>
      </c>
      <c r="E25" s="389"/>
      <c r="F25" s="389"/>
      <c r="G25" s="389">
        <v>13</v>
      </c>
      <c r="H25" s="389"/>
    </row>
    <row r="26" spans="1:8" x14ac:dyDescent="0.3">
      <c r="A26" s="389">
        <v>0</v>
      </c>
      <c r="B26" s="389">
        <v>14</v>
      </c>
      <c r="C26" s="389" t="s">
        <v>3341</v>
      </c>
      <c r="D26" s="389">
        <v>7</v>
      </c>
      <c r="E26" s="389"/>
      <c r="F26" s="389"/>
      <c r="G26" s="389">
        <v>16</v>
      </c>
      <c r="H26" s="389"/>
    </row>
    <row r="27" spans="1:8" x14ac:dyDescent="0.3">
      <c r="A27" s="389">
        <v>0</v>
      </c>
      <c r="B27" s="389">
        <v>15</v>
      </c>
      <c r="C27" s="389" t="s">
        <v>3342</v>
      </c>
      <c r="D27" s="389">
        <v>7</v>
      </c>
      <c r="E27" s="389"/>
      <c r="F27" s="389"/>
      <c r="G27" s="389">
        <v>15</v>
      </c>
      <c r="H27" s="389"/>
    </row>
    <row r="28" spans="1:8" x14ac:dyDescent="0.3">
      <c r="A28" s="389">
        <v>1</v>
      </c>
      <c r="B28" s="392" t="s">
        <v>142</v>
      </c>
      <c r="C28" s="392" t="s">
        <v>142</v>
      </c>
      <c r="D28" s="389">
        <v>8</v>
      </c>
      <c r="E28" s="389"/>
      <c r="F28" s="389"/>
      <c r="G28" s="389">
        <v>18</v>
      </c>
      <c r="H28" s="389" t="s">
        <v>3418</v>
      </c>
    </row>
    <row r="29" spans="1:8" x14ac:dyDescent="0.3">
      <c r="A29" s="389">
        <v>1</v>
      </c>
      <c r="B29" s="389">
        <v>1</v>
      </c>
      <c r="C29" s="389" t="s">
        <v>3343</v>
      </c>
      <c r="D29" s="389">
        <v>8</v>
      </c>
      <c r="E29" s="389"/>
      <c r="F29" s="389"/>
      <c r="G29" s="389">
        <v>17</v>
      </c>
      <c r="H29" s="389"/>
    </row>
    <row r="30" spans="1:8" x14ac:dyDescent="0.3">
      <c r="A30" s="389">
        <v>1</v>
      </c>
      <c r="B30" s="389">
        <v>2</v>
      </c>
      <c r="C30" s="389" t="s">
        <v>3344</v>
      </c>
      <c r="D30" s="389">
        <v>9</v>
      </c>
      <c r="E30" s="389"/>
      <c r="F30" s="389"/>
      <c r="G30" s="389">
        <v>20</v>
      </c>
      <c r="H30" s="389"/>
    </row>
    <row r="31" spans="1:8" x14ac:dyDescent="0.3">
      <c r="A31" s="389">
        <v>1</v>
      </c>
      <c r="B31" s="389">
        <v>3</v>
      </c>
      <c r="C31" s="389" t="s">
        <v>3345</v>
      </c>
      <c r="D31" s="389">
        <v>9</v>
      </c>
      <c r="E31" s="389" t="s">
        <v>3346</v>
      </c>
      <c r="F31" s="389" t="s">
        <v>3347</v>
      </c>
      <c r="G31" s="389">
        <v>19</v>
      </c>
      <c r="H31" s="389" t="s">
        <v>3348</v>
      </c>
    </row>
    <row r="32" spans="1:8" x14ac:dyDescent="0.3">
      <c r="A32" s="389">
        <v>1</v>
      </c>
      <c r="B32" s="389">
        <v>4</v>
      </c>
      <c r="C32" s="389" t="s">
        <v>3349</v>
      </c>
      <c r="D32" s="389">
        <v>10</v>
      </c>
      <c r="E32" s="389" t="s">
        <v>3350</v>
      </c>
      <c r="F32" s="389" t="s">
        <v>3351</v>
      </c>
      <c r="G32" s="389">
        <v>22</v>
      </c>
      <c r="H32" s="389" t="s">
        <v>2466</v>
      </c>
    </row>
    <row r="33" spans="1:8" x14ac:dyDescent="0.3">
      <c r="A33" s="389">
        <v>1</v>
      </c>
      <c r="B33" s="389">
        <v>5</v>
      </c>
      <c r="C33" s="389" t="s">
        <v>3352</v>
      </c>
      <c r="D33" s="389">
        <v>10</v>
      </c>
      <c r="E33" s="389"/>
      <c r="F33" s="389"/>
      <c r="G33" s="389">
        <v>21</v>
      </c>
      <c r="H33" s="389"/>
    </row>
    <row r="34" spans="1:8" x14ac:dyDescent="0.3">
      <c r="A34" s="389">
        <v>1</v>
      </c>
      <c r="B34" s="389">
        <v>6</v>
      </c>
      <c r="C34" s="389" t="s">
        <v>3353</v>
      </c>
      <c r="D34" s="389">
        <v>11</v>
      </c>
      <c r="E34" s="389" t="s">
        <v>3354</v>
      </c>
      <c r="F34" s="389" t="s">
        <v>3355</v>
      </c>
      <c r="G34" s="389">
        <v>24</v>
      </c>
      <c r="H34" s="389" t="s">
        <v>3356</v>
      </c>
    </row>
    <row r="35" spans="1:8" x14ac:dyDescent="0.3">
      <c r="A35" s="389">
        <v>1</v>
      </c>
      <c r="B35" s="389">
        <v>7</v>
      </c>
      <c r="C35" s="389" t="s">
        <v>3357</v>
      </c>
      <c r="D35" s="389">
        <v>11</v>
      </c>
      <c r="E35" s="389" t="s">
        <v>3358</v>
      </c>
      <c r="F35" s="389" t="s">
        <v>3359</v>
      </c>
      <c r="G35" s="389">
        <v>23</v>
      </c>
      <c r="H35" s="389" t="s">
        <v>3360</v>
      </c>
    </row>
    <row r="36" spans="1:8" x14ac:dyDescent="0.3">
      <c r="A36" s="389">
        <v>1</v>
      </c>
      <c r="B36" s="389">
        <v>8</v>
      </c>
      <c r="C36" s="389" t="s">
        <v>3361</v>
      </c>
      <c r="D36" s="389">
        <v>12</v>
      </c>
      <c r="E36" s="389" t="s">
        <v>3362</v>
      </c>
      <c r="F36" s="389" t="s">
        <v>3363</v>
      </c>
      <c r="G36" s="389">
        <v>26</v>
      </c>
      <c r="H36" s="389" t="s">
        <v>3364</v>
      </c>
    </row>
    <row r="37" spans="1:8" x14ac:dyDescent="0.3">
      <c r="A37" s="389">
        <v>1</v>
      </c>
      <c r="B37" s="389">
        <v>9</v>
      </c>
      <c r="C37" s="389" t="s">
        <v>3365</v>
      </c>
      <c r="D37" s="389">
        <v>12</v>
      </c>
      <c r="E37" s="389"/>
      <c r="F37" s="389"/>
      <c r="G37" s="389">
        <v>25</v>
      </c>
      <c r="H37" s="389"/>
    </row>
    <row r="38" spans="1:8" x14ac:dyDescent="0.3">
      <c r="A38" s="389">
        <v>1</v>
      </c>
      <c r="B38" s="389">
        <v>10</v>
      </c>
      <c r="C38" s="389" t="s">
        <v>3366</v>
      </c>
      <c r="D38" s="389">
        <v>13</v>
      </c>
      <c r="E38" s="389" t="s">
        <v>3367</v>
      </c>
      <c r="F38" s="389" t="s">
        <v>3368</v>
      </c>
      <c r="G38" s="389">
        <v>28</v>
      </c>
      <c r="H38" s="389" t="s">
        <v>3369</v>
      </c>
    </row>
    <row r="39" spans="1:8" x14ac:dyDescent="0.3">
      <c r="A39" s="389">
        <v>1</v>
      </c>
      <c r="B39" s="389">
        <v>11</v>
      </c>
      <c r="C39" s="389" t="s">
        <v>3370</v>
      </c>
      <c r="D39" s="389">
        <v>13</v>
      </c>
      <c r="E39" s="389"/>
      <c r="F39" s="389"/>
      <c r="G39" s="389">
        <v>27</v>
      </c>
      <c r="H39" s="389"/>
    </row>
    <row r="40" spans="1:8" x14ac:dyDescent="0.3">
      <c r="A40" s="389">
        <v>1</v>
      </c>
      <c r="B40" s="389">
        <v>12</v>
      </c>
      <c r="C40" s="389" t="s">
        <v>3371</v>
      </c>
      <c r="D40" s="389">
        <v>14</v>
      </c>
      <c r="E40" s="389" t="s">
        <v>3372</v>
      </c>
      <c r="F40" s="389" t="s">
        <v>3373</v>
      </c>
      <c r="G40" s="389">
        <v>30</v>
      </c>
      <c r="H40" s="389" t="s">
        <v>3374</v>
      </c>
    </row>
    <row r="41" spans="1:8" x14ac:dyDescent="0.3">
      <c r="A41" s="389">
        <v>1</v>
      </c>
      <c r="B41" s="389">
        <v>13</v>
      </c>
      <c r="C41" s="389" t="s">
        <v>3375</v>
      </c>
      <c r="D41" s="389">
        <v>14</v>
      </c>
      <c r="E41" s="389" t="s">
        <v>3376</v>
      </c>
      <c r="F41" s="389" t="s">
        <v>3377</v>
      </c>
      <c r="G41" s="389">
        <v>29</v>
      </c>
      <c r="H41" s="389" t="s">
        <v>3378</v>
      </c>
    </row>
    <row r="42" spans="1:8" x14ac:dyDescent="0.3">
      <c r="A42" s="389">
        <v>1</v>
      </c>
      <c r="B42" s="389">
        <v>14</v>
      </c>
      <c r="C42" s="389" t="s">
        <v>3379</v>
      </c>
      <c r="D42" s="389">
        <v>15</v>
      </c>
      <c r="E42" s="389"/>
      <c r="F42" s="389"/>
      <c r="G42" s="389">
        <v>32</v>
      </c>
      <c r="H42" s="389" t="s">
        <v>3380</v>
      </c>
    </row>
    <row r="43" spans="1:8" x14ac:dyDescent="0.3">
      <c r="A43" s="389">
        <v>1</v>
      </c>
      <c r="B43" s="389">
        <v>15</v>
      </c>
      <c r="C43" s="389" t="s">
        <v>3381</v>
      </c>
      <c r="D43" s="389">
        <v>15</v>
      </c>
      <c r="E43" s="389"/>
      <c r="F43" s="389"/>
      <c r="G43" s="389">
        <v>31</v>
      </c>
      <c r="H43" s="389"/>
    </row>
    <row r="44" spans="1:8" x14ac:dyDescent="0.3">
      <c r="A44" s="389">
        <v>2</v>
      </c>
      <c r="B44" s="392" t="s">
        <v>142</v>
      </c>
      <c r="C44" s="392" t="s">
        <v>142</v>
      </c>
      <c r="D44" s="389">
        <v>16</v>
      </c>
      <c r="G44" s="389">
        <v>34</v>
      </c>
      <c r="H44" s="389" t="s">
        <v>3417</v>
      </c>
    </row>
    <row r="45" spans="1:8" x14ac:dyDescent="0.3">
      <c r="A45" s="389">
        <v>2</v>
      </c>
      <c r="B45" s="389">
        <v>1</v>
      </c>
      <c r="C45" s="389" t="s">
        <v>3382</v>
      </c>
      <c r="D45" s="389">
        <v>16</v>
      </c>
      <c r="E45" s="389" t="s">
        <v>3383</v>
      </c>
      <c r="F45" s="389" t="s">
        <v>3384</v>
      </c>
      <c r="G45" s="389">
        <v>33</v>
      </c>
    </row>
    <row r="46" spans="1:8" x14ac:dyDescent="0.3">
      <c r="A46" s="389">
        <v>2</v>
      </c>
      <c r="B46" s="389">
        <v>2</v>
      </c>
      <c r="C46" s="389" t="s">
        <v>3385</v>
      </c>
      <c r="D46" s="389">
        <v>17</v>
      </c>
      <c r="E46" s="389"/>
      <c r="F46" s="389"/>
      <c r="G46" s="389">
        <v>36</v>
      </c>
      <c r="H46" s="389"/>
    </row>
    <row r="47" spans="1:8" x14ac:dyDescent="0.3">
      <c r="A47" s="389">
        <v>2</v>
      </c>
      <c r="B47" s="389">
        <v>3</v>
      </c>
      <c r="C47" s="389" t="s">
        <v>3386</v>
      </c>
      <c r="D47" s="389">
        <v>17</v>
      </c>
      <c r="E47" s="389"/>
      <c r="F47" s="389"/>
      <c r="G47" s="389">
        <v>35</v>
      </c>
      <c r="H47" s="389"/>
    </row>
    <row r="48" spans="1:8" x14ac:dyDescent="0.3">
      <c r="A48" s="389">
        <v>2</v>
      </c>
      <c r="B48" s="389">
        <v>4</v>
      </c>
      <c r="C48" s="389" t="s">
        <v>3387</v>
      </c>
      <c r="D48" s="389">
        <v>18</v>
      </c>
      <c r="E48" s="389"/>
      <c r="F48" s="389"/>
      <c r="G48" s="389">
        <v>38</v>
      </c>
      <c r="H48" s="389"/>
    </row>
    <row r="49" spans="1:8" x14ac:dyDescent="0.3">
      <c r="A49" s="389">
        <v>2</v>
      </c>
      <c r="B49" s="389">
        <v>5</v>
      </c>
      <c r="C49" s="389" t="s">
        <v>3388</v>
      </c>
      <c r="D49" s="389">
        <v>18</v>
      </c>
      <c r="E49" s="389" t="s">
        <v>3389</v>
      </c>
      <c r="F49" s="389" t="s">
        <v>3390</v>
      </c>
      <c r="G49" s="389">
        <v>37</v>
      </c>
      <c r="H49" s="389" t="s">
        <v>3391</v>
      </c>
    </row>
    <row r="50" spans="1:8" x14ac:dyDescent="0.3">
      <c r="A50" s="389">
        <v>2</v>
      </c>
      <c r="B50" s="389">
        <v>6</v>
      </c>
      <c r="C50" s="389" t="s">
        <v>3392</v>
      </c>
      <c r="D50" s="389">
        <v>19</v>
      </c>
      <c r="E50" s="389"/>
      <c r="F50" s="389"/>
      <c r="G50" s="389">
        <v>40</v>
      </c>
      <c r="H50" s="389"/>
    </row>
    <row r="51" spans="1:8" x14ac:dyDescent="0.3">
      <c r="A51" s="389">
        <v>2</v>
      </c>
      <c r="B51" s="389">
        <v>7</v>
      </c>
      <c r="C51" s="389" t="s">
        <v>3393</v>
      </c>
      <c r="D51" s="389">
        <v>19</v>
      </c>
      <c r="E51" s="389"/>
      <c r="F51" s="389"/>
      <c r="G51" s="389">
        <v>39</v>
      </c>
      <c r="H51" s="389"/>
    </row>
    <row r="52" spans="1:8" x14ac:dyDescent="0.3">
      <c r="A52" s="389">
        <v>2</v>
      </c>
      <c r="B52" s="389">
        <v>8</v>
      </c>
      <c r="C52" s="389" t="s">
        <v>3394</v>
      </c>
      <c r="D52" s="389">
        <v>20</v>
      </c>
      <c r="E52" s="389"/>
      <c r="F52" s="389"/>
      <c r="G52" s="389">
        <v>42</v>
      </c>
      <c r="H52" s="389"/>
    </row>
    <row r="53" spans="1:8" x14ac:dyDescent="0.3">
      <c r="A53" s="389">
        <v>2</v>
      </c>
      <c r="B53" s="389">
        <v>9</v>
      </c>
      <c r="C53" s="389" t="s">
        <v>3395</v>
      </c>
      <c r="D53" s="389">
        <v>20</v>
      </c>
      <c r="E53" s="389"/>
      <c r="F53" s="389"/>
      <c r="G53" s="389">
        <v>41</v>
      </c>
      <c r="H53" s="389"/>
    </row>
    <row r="54" spans="1:8" x14ac:dyDescent="0.3">
      <c r="A54" s="389">
        <v>2</v>
      </c>
      <c r="B54" s="389">
        <v>10</v>
      </c>
      <c r="C54" s="389" t="s">
        <v>3396</v>
      </c>
      <c r="D54" s="389">
        <v>21</v>
      </c>
      <c r="E54" s="389"/>
      <c r="F54" s="389"/>
      <c r="G54" s="389">
        <v>44</v>
      </c>
      <c r="H54" s="389"/>
    </row>
    <row r="55" spans="1:8" x14ac:dyDescent="0.3">
      <c r="A55" s="389">
        <v>2</v>
      </c>
      <c r="B55" s="389">
        <v>11</v>
      </c>
      <c r="C55" s="389" t="s">
        <v>3397</v>
      </c>
      <c r="D55" s="389">
        <v>21</v>
      </c>
      <c r="E55" s="389"/>
      <c r="F55" s="389"/>
      <c r="G55" s="389">
        <v>43</v>
      </c>
      <c r="H55" s="389"/>
    </row>
    <row r="56" spans="1:8" x14ac:dyDescent="0.3">
      <c r="A56" s="389">
        <v>2</v>
      </c>
      <c r="B56" s="389">
        <v>12</v>
      </c>
      <c r="C56" s="389" t="s">
        <v>3398</v>
      </c>
      <c r="D56" s="389">
        <v>22</v>
      </c>
      <c r="E56" s="389"/>
      <c r="F56" s="389"/>
      <c r="G56" s="389">
        <v>46</v>
      </c>
      <c r="H56" s="389"/>
    </row>
    <row r="57" spans="1:8" x14ac:dyDescent="0.3">
      <c r="A57" s="389">
        <v>2</v>
      </c>
      <c r="B57" s="389">
        <v>13</v>
      </c>
      <c r="C57" s="389" t="s">
        <v>3399</v>
      </c>
      <c r="D57" s="389">
        <v>22</v>
      </c>
      <c r="E57" s="389"/>
      <c r="F57" s="389"/>
      <c r="G57" s="389">
        <v>45</v>
      </c>
      <c r="H57" s="389"/>
    </row>
    <row r="58" spans="1:8" x14ac:dyDescent="0.3">
      <c r="A58" s="389">
        <v>2</v>
      </c>
      <c r="B58" s="389">
        <v>14</v>
      </c>
      <c r="C58" s="389" t="s">
        <v>3400</v>
      </c>
      <c r="D58" s="389">
        <v>23</v>
      </c>
      <c r="E58" s="389"/>
      <c r="F58" s="389"/>
      <c r="G58" s="389">
        <v>48</v>
      </c>
      <c r="H58" s="389"/>
    </row>
    <row r="59" spans="1:8" x14ac:dyDescent="0.3">
      <c r="A59" s="389">
        <v>2</v>
      </c>
      <c r="B59" s="389">
        <v>15</v>
      </c>
      <c r="C59" s="389" t="s">
        <v>3401</v>
      </c>
      <c r="D59" s="389">
        <v>23</v>
      </c>
      <c r="E59" s="389"/>
      <c r="F59" s="389"/>
      <c r="G59" s="389">
        <v>47</v>
      </c>
      <c r="H59" s="389"/>
    </row>
    <row r="60" spans="1:8" x14ac:dyDescent="0.3">
      <c r="A60" s="390">
        <v>3</v>
      </c>
      <c r="B60" s="395" t="s">
        <v>142</v>
      </c>
      <c r="C60" s="395" t="s">
        <v>142</v>
      </c>
      <c r="D60" s="390">
        <v>24</v>
      </c>
      <c r="E60" s="389"/>
      <c r="F60" s="389"/>
      <c r="G60" s="389">
        <v>50</v>
      </c>
      <c r="H60" s="389" t="s">
        <v>3403</v>
      </c>
    </row>
    <row r="61" spans="1:8" x14ac:dyDescent="0.3">
      <c r="A61" s="390">
        <v>3</v>
      </c>
      <c r="B61" s="390">
        <v>1</v>
      </c>
      <c r="C61" s="390" t="s">
        <v>3402</v>
      </c>
      <c r="D61" s="390">
        <v>24</v>
      </c>
      <c r="E61" s="389"/>
      <c r="F61" s="389"/>
      <c r="G61" s="389">
        <v>49</v>
      </c>
      <c r="H61" s="390"/>
    </row>
    <row r="62" spans="1:8" x14ac:dyDescent="0.3">
      <c r="A62" s="390">
        <v>3</v>
      </c>
      <c r="B62" s="390">
        <v>2</v>
      </c>
      <c r="C62" s="390" t="s">
        <v>3404</v>
      </c>
      <c r="D62" s="390">
        <v>25</v>
      </c>
      <c r="E62" s="389"/>
      <c r="F62" s="389"/>
      <c r="G62" s="389">
        <v>52</v>
      </c>
      <c r="H62" s="390"/>
    </row>
    <row r="63" spans="1:8" x14ac:dyDescent="0.3">
      <c r="A63" s="390">
        <v>3</v>
      </c>
      <c r="B63" s="390">
        <v>3</v>
      </c>
      <c r="C63" s="390" t="s">
        <v>3405</v>
      </c>
      <c r="D63" s="390">
        <v>25</v>
      </c>
      <c r="E63" s="389"/>
      <c r="F63" s="389"/>
      <c r="G63" s="389">
        <v>51</v>
      </c>
      <c r="H63" s="390"/>
    </row>
    <row r="64" spans="1:8" x14ac:dyDescent="0.3">
      <c r="A64" s="390">
        <v>3</v>
      </c>
      <c r="B64" s="390">
        <v>4</v>
      </c>
      <c r="C64" s="390" t="s">
        <v>3406</v>
      </c>
      <c r="D64" s="390">
        <v>26</v>
      </c>
      <c r="E64" s="389"/>
      <c r="F64" s="389"/>
      <c r="G64" s="389">
        <v>54</v>
      </c>
      <c r="H64" s="390"/>
    </row>
    <row r="65" spans="1:8" x14ac:dyDescent="0.3">
      <c r="A65" s="390">
        <v>3</v>
      </c>
      <c r="B65" s="390">
        <v>5</v>
      </c>
      <c r="C65" s="390" t="s">
        <v>3407</v>
      </c>
      <c r="D65" s="390">
        <v>26</v>
      </c>
      <c r="E65" s="389"/>
      <c r="F65" s="389"/>
      <c r="G65" s="389">
        <v>53</v>
      </c>
      <c r="H65" s="390"/>
    </row>
    <row r="66" spans="1:8" x14ac:dyDescent="0.3">
      <c r="A66" s="390">
        <v>3</v>
      </c>
      <c r="B66" s="390">
        <v>6</v>
      </c>
      <c r="C66" s="390" t="s">
        <v>3408</v>
      </c>
      <c r="D66" s="390">
        <v>27</v>
      </c>
      <c r="E66" s="389"/>
      <c r="F66" s="389"/>
      <c r="G66" s="389">
        <v>56</v>
      </c>
      <c r="H66" s="390"/>
    </row>
    <row r="67" spans="1:8" x14ac:dyDescent="0.3">
      <c r="A67" s="390">
        <v>3</v>
      </c>
      <c r="B67" s="390">
        <v>7</v>
      </c>
      <c r="C67" s="390" t="s">
        <v>3409</v>
      </c>
      <c r="D67" s="390">
        <v>27</v>
      </c>
      <c r="E67" s="389"/>
      <c r="F67" s="389"/>
      <c r="G67" s="389">
        <v>55</v>
      </c>
      <c r="H67" s="390"/>
    </row>
    <row r="68" spans="1:8" x14ac:dyDescent="0.3">
      <c r="A68" s="390">
        <v>3</v>
      </c>
      <c r="B68" s="390">
        <v>8</v>
      </c>
      <c r="C68" s="390" t="s">
        <v>3410</v>
      </c>
      <c r="D68" s="390">
        <v>28</v>
      </c>
      <c r="E68" s="389"/>
      <c r="F68" s="389"/>
      <c r="G68" s="389">
        <v>58</v>
      </c>
      <c r="H68" s="390"/>
    </row>
    <row r="69" spans="1:8" x14ac:dyDescent="0.3">
      <c r="A69" s="390">
        <v>3</v>
      </c>
      <c r="B69" s="390">
        <v>9</v>
      </c>
      <c r="C69" s="390" t="s">
        <v>3411</v>
      </c>
      <c r="D69" s="390">
        <v>28</v>
      </c>
      <c r="E69" s="389"/>
      <c r="F69" s="389"/>
      <c r="G69" s="389">
        <v>57</v>
      </c>
      <c r="H69" s="390"/>
    </row>
    <row r="70" spans="1:8" x14ac:dyDescent="0.3">
      <c r="A70" s="390">
        <v>3</v>
      </c>
      <c r="B70" s="390">
        <v>10</v>
      </c>
      <c r="C70" s="390" t="s">
        <v>3412</v>
      </c>
      <c r="D70" s="390">
        <v>29</v>
      </c>
      <c r="E70" s="389"/>
      <c r="F70" s="389"/>
      <c r="G70" s="389">
        <v>60</v>
      </c>
      <c r="H70" s="390"/>
    </row>
    <row r="71" spans="1:8" x14ac:dyDescent="0.3">
      <c r="A71" s="390">
        <v>3</v>
      </c>
      <c r="B71" s="390">
        <v>11</v>
      </c>
      <c r="C71" s="390" t="s">
        <v>2495</v>
      </c>
      <c r="D71" s="390">
        <v>29</v>
      </c>
      <c r="E71" s="389"/>
      <c r="F71" s="389"/>
      <c r="G71" s="389">
        <v>59</v>
      </c>
      <c r="H71" s="390"/>
    </row>
    <row r="72" spans="1:8" x14ac:dyDescent="0.3">
      <c r="A72" s="390">
        <v>3</v>
      </c>
      <c r="B72" s="390">
        <v>12</v>
      </c>
      <c r="C72" s="390" t="s">
        <v>3413</v>
      </c>
      <c r="D72" s="390">
        <v>30</v>
      </c>
      <c r="E72" s="389"/>
      <c r="F72" s="389"/>
      <c r="G72" s="389">
        <v>62</v>
      </c>
      <c r="H72" s="390"/>
    </row>
    <row r="73" spans="1:8" x14ac:dyDescent="0.3">
      <c r="A73" s="390">
        <v>3</v>
      </c>
      <c r="B73" s="390">
        <v>13</v>
      </c>
      <c r="C73" s="390" t="s">
        <v>3414</v>
      </c>
      <c r="D73" s="390">
        <v>30</v>
      </c>
      <c r="E73" s="389"/>
      <c r="F73" s="389"/>
      <c r="G73" s="389">
        <v>61</v>
      </c>
      <c r="H73" s="390"/>
    </row>
    <row r="74" spans="1:8" x14ac:dyDescent="0.3">
      <c r="A74" s="390">
        <v>3</v>
      </c>
      <c r="B74" s="390">
        <v>14</v>
      </c>
      <c r="C74" s="390" t="s">
        <v>3415</v>
      </c>
      <c r="D74" s="390">
        <v>31</v>
      </c>
      <c r="E74" s="389"/>
      <c r="F74" s="389"/>
      <c r="G74" s="389">
        <v>64</v>
      </c>
      <c r="H74" s="390"/>
    </row>
    <row r="75" spans="1:8" x14ac:dyDescent="0.3">
      <c r="A75" s="390">
        <v>3</v>
      </c>
      <c r="B75" s="390">
        <v>15</v>
      </c>
      <c r="C75" s="390" t="s">
        <v>3416</v>
      </c>
      <c r="D75" s="390">
        <v>31</v>
      </c>
      <c r="E75" s="389"/>
      <c r="F75" s="389"/>
      <c r="G75" s="389">
        <v>63</v>
      </c>
      <c r="H75" s="390"/>
    </row>
  </sheetData>
  <mergeCells count="8">
    <mergeCell ref="J11:K11"/>
    <mergeCell ref="D2:H2"/>
    <mergeCell ref="D3:H3"/>
    <mergeCell ref="D4:H4"/>
    <mergeCell ref="D5:H5"/>
    <mergeCell ref="D6:H6"/>
    <mergeCell ref="D7:H7"/>
    <mergeCell ref="D8:H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8" r:id="rId3" name="Button 2">
              <controlPr defaultSize="0" print="0" autoFill="0" autoPict="0" macro="[0]!Feuil16.Conversion_tab_TTS">
                <anchor moveWithCells="1" sizeWithCells="1">
                  <from>
                    <xdr:col>8</xdr:col>
                    <xdr:colOff>556260</xdr:colOff>
                    <xdr:row>3</xdr:row>
                    <xdr:rowOff>7620</xdr:rowOff>
                  </from>
                  <to>
                    <xdr:col>9</xdr:col>
                    <xdr:colOff>769620</xdr:colOff>
                    <xdr:row>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0">
    <tabColor rgb="FFFFFF00"/>
    <pageSetUpPr fitToPage="1"/>
  </sheetPr>
  <dimension ref="A1:C31"/>
  <sheetViews>
    <sheetView workbookViewId="0">
      <pane ySplit="4" topLeftCell="A5" activePane="bottomLeft" state="frozen"/>
      <selection pane="bottomLeft" activeCell="B7" sqref="B7"/>
    </sheetView>
  </sheetViews>
  <sheetFormatPr baseColWidth="10" defaultColWidth="9.109375" defaultRowHeight="13.2" x14ac:dyDescent="0.25"/>
  <cols>
    <col min="1" max="2" width="20" style="420" bestFit="1" customWidth="1"/>
    <col min="3" max="3" width="130" style="420" bestFit="1" customWidth="1"/>
    <col min="4" max="256" width="9.109375" style="420"/>
    <col min="257" max="258" width="20" style="420" bestFit="1" customWidth="1"/>
    <col min="259" max="259" width="130" style="420" bestFit="1" customWidth="1"/>
    <col min="260" max="512" width="9.109375" style="420"/>
    <col min="513" max="514" width="20" style="420" bestFit="1" customWidth="1"/>
    <col min="515" max="515" width="130" style="420" bestFit="1" customWidth="1"/>
    <col min="516" max="768" width="9.109375" style="420"/>
    <col min="769" max="770" width="20" style="420" bestFit="1" customWidth="1"/>
    <col min="771" max="771" width="130" style="420" bestFit="1" customWidth="1"/>
    <col min="772" max="1024" width="9.109375" style="420"/>
    <col min="1025" max="1026" width="20" style="420" bestFit="1" customWidth="1"/>
    <col min="1027" max="1027" width="130" style="420" bestFit="1" customWidth="1"/>
    <col min="1028" max="1280" width="9.109375" style="420"/>
    <col min="1281" max="1282" width="20" style="420" bestFit="1" customWidth="1"/>
    <col min="1283" max="1283" width="130" style="420" bestFit="1" customWidth="1"/>
    <col min="1284" max="1536" width="9.109375" style="420"/>
    <col min="1537" max="1538" width="20" style="420" bestFit="1" customWidth="1"/>
    <col min="1539" max="1539" width="130" style="420" bestFit="1" customWidth="1"/>
    <col min="1540" max="1792" width="9.109375" style="420"/>
    <col min="1793" max="1794" width="20" style="420" bestFit="1" customWidth="1"/>
    <col min="1795" max="1795" width="130" style="420" bestFit="1" customWidth="1"/>
    <col min="1796" max="2048" width="9.109375" style="420"/>
    <col min="2049" max="2050" width="20" style="420" bestFit="1" customWidth="1"/>
    <col min="2051" max="2051" width="130" style="420" bestFit="1" customWidth="1"/>
    <col min="2052" max="2304" width="9.109375" style="420"/>
    <col min="2305" max="2306" width="20" style="420" bestFit="1" customWidth="1"/>
    <col min="2307" max="2307" width="130" style="420" bestFit="1" customWidth="1"/>
    <col min="2308" max="2560" width="9.109375" style="420"/>
    <col min="2561" max="2562" width="20" style="420" bestFit="1" customWidth="1"/>
    <col min="2563" max="2563" width="130" style="420" bestFit="1" customWidth="1"/>
    <col min="2564" max="2816" width="9.109375" style="420"/>
    <col min="2817" max="2818" width="20" style="420" bestFit="1" customWidth="1"/>
    <col min="2819" max="2819" width="130" style="420" bestFit="1" customWidth="1"/>
    <col min="2820" max="3072" width="9.109375" style="420"/>
    <col min="3073" max="3074" width="20" style="420" bestFit="1" customWidth="1"/>
    <col min="3075" max="3075" width="130" style="420" bestFit="1" customWidth="1"/>
    <col min="3076" max="3328" width="9.109375" style="420"/>
    <col min="3329" max="3330" width="20" style="420" bestFit="1" customWidth="1"/>
    <col min="3331" max="3331" width="130" style="420" bestFit="1" customWidth="1"/>
    <col min="3332" max="3584" width="9.109375" style="420"/>
    <col min="3585" max="3586" width="20" style="420" bestFit="1" customWidth="1"/>
    <col min="3587" max="3587" width="130" style="420" bestFit="1" customWidth="1"/>
    <col min="3588" max="3840" width="9.109375" style="420"/>
    <col min="3841" max="3842" width="20" style="420" bestFit="1" customWidth="1"/>
    <col min="3843" max="3843" width="130" style="420" bestFit="1" customWidth="1"/>
    <col min="3844" max="4096" width="9.109375" style="420"/>
    <col min="4097" max="4098" width="20" style="420" bestFit="1" customWidth="1"/>
    <col min="4099" max="4099" width="130" style="420" bestFit="1" customWidth="1"/>
    <col min="4100" max="4352" width="9.109375" style="420"/>
    <col min="4353" max="4354" width="20" style="420" bestFit="1" customWidth="1"/>
    <col min="4355" max="4355" width="130" style="420" bestFit="1" customWidth="1"/>
    <col min="4356" max="4608" width="9.109375" style="420"/>
    <col min="4609" max="4610" width="20" style="420" bestFit="1" customWidth="1"/>
    <col min="4611" max="4611" width="130" style="420" bestFit="1" customWidth="1"/>
    <col min="4612" max="4864" width="9.109375" style="420"/>
    <col min="4865" max="4866" width="20" style="420" bestFit="1" customWidth="1"/>
    <col min="4867" max="4867" width="130" style="420" bestFit="1" customWidth="1"/>
    <col min="4868" max="5120" width="9.109375" style="420"/>
    <col min="5121" max="5122" width="20" style="420" bestFit="1" customWidth="1"/>
    <col min="5123" max="5123" width="130" style="420" bestFit="1" customWidth="1"/>
    <col min="5124" max="5376" width="9.109375" style="420"/>
    <col min="5377" max="5378" width="20" style="420" bestFit="1" customWidth="1"/>
    <col min="5379" max="5379" width="130" style="420" bestFit="1" customWidth="1"/>
    <col min="5380" max="5632" width="9.109375" style="420"/>
    <col min="5633" max="5634" width="20" style="420" bestFit="1" customWidth="1"/>
    <col min="5635" max="5635" width="130" style="420" bestFit="1" customWidth="1"/>
    <col min="5636" max="5888" width="9.109375" style="420"/>
    <col min="5889" max="5890" width="20" style="420" bestFit="1" customWidth="1"/>
    <col min="5891" max="5891" width="130" style="420" bestFit="1" customWidth="1"/>
    <col min="5892" max="6144" width="9.109375" style="420"/>
    <col min="6145" max="6146" width="20" style="420" bestFit="1" customWidth="1"/>
    <col min="6147" max="6147" width="130" style="420" bestFit="1" customWidth="1"/>
    <col min="6148" max="6400" width="9.109375" style="420"/>
    <col min="6401" max="6402" width="20" style="420" bestFit="1" customWidth="1"/>
    <col min="6403" max="6403" width="130" style="420" bestFit="1" customWidth="1"/>
    <col min="6404" max="6656" width="9.109375" style="420"/>
    <col min="6657" max="6658" width="20" style="420" bestFit="1" customWidth="1"/>
    <col min="6659" max="6659" width="130" style="420" bestFit="1" customWidth="1"/>
    <col min="6660" max="6912" width="9.109375" style="420"/>
    <col min="6913" max="6914" width="20" style="420" bestFit="1" customWidth="1"/>
    <col min="6915" max="6915" width="130" style="420" bestFit="1" customWidth="1"/>
    <col min="6916" max="7168" width="9.109375" style="420"/>
    <col min="7169" max="7170" width="20" style="420" bestFit="1" customWidth="1"/>
    <col min="7171" max="7171" width="130" style="420" bestFit="1" customWidth="1"/>
    <col min="7172" max="7424" width="9.109375" style="420"/>
    <col min="7425" max="7426" width="20" style="420" bestFit="1" customWidth="1"/>
    <col min="7427" max="7427" width="130" style="420" bestFit="1" customWidth="1"/>
    <col min="7428" max="7680" width="9.109375" style="420"/>
    <col min="7681" max="7682" width="20" style="420" bestFit="1" customWidth="1"/>
    <col min="7683" max="7683" width="130" style="420" bestFit="1" customWidth="1"/>
    <col min="7684" max="7936" width="9.109375" style="420"/>
    <col min="7937" max="7938" width="20" style="420" bestFit="1" customWidth="1"/>
    <col min="7939" max="7939" width="130" style="420" bestFit="1" customWidth="1"/>
    <col min="7940" max="8192" width="9.109375" style="420"/>
    <col min="8193" max="8194" width="20" style="420" bestFit="1" customWidth="1"/>
    <col min="8195" max="8195" width="130" style="420" bestFit="1" customWidth="1"/>
    <col min="8196" max="8448" width="9.109375" style="420"/>
    <col min="8449" max="8450" width="20" style="420" bestFit="1" customWidth="1"/>
    <col min="8451" max="8451" width="130" style="420" bestFit="1" customWidth="1"/>
    <col min="8452" max="8704" width="9.109375" style="420"/>
    <col min="8705" max="8706" width="20" style="420" bestFit="1" customWidth="1"/>
    <col min="8707" max="8707" width="130" style="420" bestFit="1" customWidth="1"/>
    <col min="8708" max="8960" width="9.109375" style="420"/>
    <col min="8961" max="8962" width="20" style="420" bestFit="1" customWidth="1"/>
    <col min="8963" max="8963" width="130" style="420" bestFit="1" customWidth="1"/>
    <col min="8964" max="9216" width="9.109375" style="420"/>
    <col min="9217" max="9218" width="20" style="420" bestFit="1" customWidth="1"/>
    <col min="9219" max="9219" width="130" style="420" bestFit="1" customWidth="1"/>
    <col min="9220" max="9472" width="9.109375" style="420"/>
    <col min="9473" max="9474" width="20" style="420" bestFit="1" customWidth="1"/>
    <col min="9475" max="9475" width="130" style="420" bestFit="1" customWidth="1"/>
    <col min="9476" max="9728" width="9.109375" style="420"/>
    <col min="9729" max="9730" width="20" style="420" bestFit="1" customWidth="1"/>
    <col min="9731" max="9731" width="130" style="420" bestFit="1" customWidth="1"/>
    <col min="9732" max="9984" width="9.109375" style="420"/>
    <col min="9985" max="9986" width="20" style="420" bestFit="1" customWidth="1"/>
    <col min="9987" max="9987" width="130" style="420" bestFit="1" customWidth="1"/>
    <col min="9988" max="10240" width="9.109375" style="420"/>
    <col min="10241" max="10242" width="20" style="420" bestFit="1" customWidth="1"/>
    <col min="10243" max="10243" width="130" style="420" bestFit="1" customWidth="1"/>
    <col min="10244" max="10496" width="9.109375" style="420"/>
    <col min="10497" max="10498" width="20" style="420" bestFit="1" customWidth="1"/>
    <col min="10499" max="10499" width="130" style="420" bestFit="1" customWidth="1"/>
    <col min="10500" max="10752" width="9.109375" style="420"/>
    <col min="10753" max="10754" width="20" style="420" bestFit="1" customWidth="1"/>
    <col min="10755" max="10755" width="130" style="420" bestFit="1" customWidth="1"/>
    <col min="10756" max="11008" width="9.109375" style="420"/>
    <col min="11009" max="11010" width="20" style="420" bestFit="1" customWidth="1"/>
    <col min="11011" max="11011" width="130" style="420" bestFit="1" customWidth="1"/>
    <col min="11012" max="11264" width="9.109375" style="420"/>
    <col min="11265" max="11266" width="20" style="420" bestFit="1" customWidth="1"/>
    <col min="11267" max="11267" width="130" style="420" bestFit="1" customWidth="1"/>
    <col min="11268" max="11520" width="9.109375" style="420"/>
    <col min="11521" max="11522" width="20" style="420" bestFit="1" customWidth="1"/>
    <col min="11523" max="11523" width="130" style="420" bestFit="1" customWidth="1"/>
    <col min="11524" max="11776" width="9.109375" style="420"/>
    <col min="11777" max="11778" width="20" style="420" bestFit="1" customWidth="1"/>
    <col min="11779" max="11779" width="130" style="420" bestFit="1" customWidth="1"/>
    <col min="11780" max="12032" width="9.109375" style="420"/>
    <col min="12033" max="12034" width="20" style="420" bestFit="1" customWidth="1"/>
    <col min="12035" max="12035" width="130" style="420" bestFit="1" customWidth="1"/>
    <col min="12036" max="12288" width="9.109375" style="420"/>
    <col min="12289" max="12290" width="20" style="420" bestFit="1" customWidth="1"/>
    <col min="12291" max="12291" width="130" style="420" bestFit="1" customWidth="1"/>
    <col min="12292" max="12544" width="9.109375" style="420"/>
    <col min="12545" max="12546" width="20" style="420" bestFit="1" customWidth="1"/>
    <col min="12547" max="12547" width="130" style="420" bestFit="1" customWidth="1"/>
    <col min="12548" max="12800" width="9.109375" style="420"/>
    <col min="12801" max="12802" width="20" style="420" bestFit="1" customWidth="1"/>
    <col min="12803" max="12803" width="130" style="420" bestFit="1" customWidth="1"/>
    <col min="12804" max="13056" width="9.109375" style="420"/>
    <col min="13057" max="13058" width="20" style="420" bestFit="1" customWidth="1"/>
    <col min="13059" max="13059" width="130" style="420" bestFit="1" customWidth="1"/>
    <col min="13060" max="13312" width="9.109375" style="420"/>
    <col min="13313" max="13314" width="20" style="420" bestFit="1" customWidth="1"/>
    <col min="13315" max="13315" width="130" style="420" bestFit="1" customWidth="1"/>
    <col min="13316" max="13568" width="9.109375" style="420"/>
    <col min="13569" max="13570" width="20" style="420" bestFit="1" customWidth="1"/>
    <col min="13571" max="13571" width="130" style="420" bestFit="1" customWidth="1"/>
    <col min="13572" max="13824" width="9.109375" style="420"/>
    <col min="13825" max="13826" width="20" style="420" bestFit="1" customWidth="1"/>
    <col min="13827" max="13827" width="130" style="420" bestFit="1" customWidth="1"/>
    <col min="13828" max="14080" width="9.109375" style="420"/>
    <col min="14081" max="14082" width="20" style="420" bestFit="1" customWidth="1"/>
    <col min="14083" max="14083" width="130" style="420" bestFit="1" customWidth="1"/>
    <col min="14084" max="14336" width="9.109375" style="420"/>
    <col min="14337" max="14338" width="20" style="420" bestFit="1" customWidth="1"/>
    <col min="14339" max="14339" width="130" style="420" bestFit="1" customWidth="1"/>
    <col min="14340" max="14592" width="9.109375" style="420"/>
    <col min="14593" max="14594" width="20" style="420" bestFit="1" customWidth="1"/>
    <col min="14595" max="14595" width="130" style="420" bestFit="1" customWidth="1"/>
    <col min="14596" max="14848" width="9.109375" style="420"/>
    <col min="14849" max="14850" width="20" style="420" bestFit="1" customWidth="1"/>
    <col min="14851" max="14851" width="130" style="420" bestFit="1" customWidth="1"/>
    <col min="14852" max="15104" width="9.109375" style="420"/>
    <col min="15105" max="15106" width="20" style="420" bestFit="1" customWidth="1"/>
    <col min="15107" max="15107" width="130" style="420" bestFit="1" customWidth="1"/>
    <col min="15108" max="15360" width="9.109375" style="420"/>
    <col min="15361" max="15362" width="20" style="420" bestFit="1" customWidth="1"/>
    <col min="15363" max="15363" width="130" style="420" bestFit="1" customWidth="1"/>
    <col min="15364" max="15616" width="9.109375" style="420"/>
    <col min="15617" max="15618" width="20" style="420" bestFit="1" customWidth="1"/>
    <col min="15619" max="15619" width="130" style="420" bestFit="1" customWidth="1"/>
    <col min="15620" max="15872" width="9.109375" style="420"/>
    <col min="15873" max="15874" width="20" style="420" bestFit="1" customWidth="1"/>
    <col min="15875" max="15875" width="130" style="420" bestFit="1" customWidth="1"/>
    <col min="15876" max="16128" width="9.109375" style="420"/>
    <col min="16129" max="16130" width="20" style="420" bestFit="1" customWidth="1"/>
    <col min="16131" max="16131" width="130" style="420" bestFit="1" customWidth="1"/>
    <col min="16132" max="16384" width="9.109375" style="420"/>
  </cols>
  <sheetData>
    <row r="1" spans="1:3" ht="110.4" customHeight="1" x14ac:dyDescent="0.25">
      <c r="A1" s="418" t="s">
        <v>3489</v>
      </c>
      <c r="B1" s="419"/>
      <c r="C1" s="429" t="s">
        <v>3496</v>
      </c>
    </row>
    <row r="2" spans="1:3" ht="20.100000000000001" customHeight="1" x14ac:dyDescent="0.25">
      <c r="A2" s="421" t="s">
        <v>3490</v>
      </c>
      <c r="B2" s="422"/>
      <c r="C2" s="423" t="s">
        <v>3491</v>
      </c>
    </row>
    <row r="4" spans="1:3" x14ac:dyDescent="0.25">
      <c r="A4" s="424" t="s">
        <v>75</v>
      </c>
      <c r="B4" s="424" t="s">
        <v>3492</v>
      </c>
      <c r="C4" s="424" t="s">
        <v>3493</v>
      </c>
    </row>
    <row r="5" spans="1:3" ht="61.2" x14ac:dyDescent="0.25">
      <c r="A5" s="425">
        <v>43243.645069444443</v>
      </c>
      <c r="B5" s="426">
        <v>864504031602176</v>
      </c>
      <c r="C5" s="426" t="s">
        <v>4697</v>
      </c>
    </row>
    <row r="6" spans="1:3" ht="40.799999999999997" x14ac:dyDescent="0.25">
      <c r="A6" s="425">
        <v>43243.645162037035</v>
      </c>
      <c r="B6" s="426">
        <v>864504031602176</v>
      </c>
      <c r="C6" s="426" t="s">
        <v>4698</v>
      </c>
    </row>
    <row r="7" spans="1:3" ht="61.2" x14ac:dyDescent="0.25">
      <c r="A7" s="425">
        <v>42365.564085300924</v>
      </c>
      <c r="B7" s="426" t="s">
        <v>3490</v>
      </c>
      <c r="C7" s="426" t="s">
        <v>4697</v>
      </c>
    </row>
    <row r="8" spans="1:3" x14ac:dyDescent="0.25">
      <c r="A8" s="425"/>
      <c r="B8" s="426"/>
      <c r="C8" s="426"/>
    </row>
    <row r="9" spans="1:3" x14ac:dyDescent="0.25">
      <c r="A9" s="425"/>
      <c r="B9" s="426"/>
      <c r="C9" s="426"/>
    </row>
    <row r="10" spans="1:3" x14ac:dyDescent="0.25">
      <c r="A10" s="425"/>
      <c r="B10" s="426"/>
      <c r="C10" s="426"/>
    </row>
    <row r="11" spans="1:3" x14ac:dyDescent="0.25">
      <c r="A11" s="425"/>
      <c r="B11" s="426"/>
      <c r="C11" s="426"/>
    </row>
    <row r="12" spans="1:3" x14ac:dyDescent="0.25">
      <c r="A12" s="425"/>
      <c r="B12" s="426"/>
      <c r="C12" s="426"/>
    </row>
    <row r="13" spans="1:3" x14ac:dyDescent="0.25">
      <c r="A13" s="425"/>
      <c r="B13" s="426"/>
      <c r="C13" s="426"/>
    </row>
    <row r="14" spans="1:3" x14ac:dyDescent="0.25">
      <c r="A14" s="425"/>
      <c r="B14" s="426"/>
      <c r="C14" s="426"/>
    </row>
    <row r="15" spans="1:3" x14ac:dyDescent="0.25">
      <c r="A15" s="425"/>
      <c r="B15" s="426"/>
      <c r="C15" s="426"/>
    </row>
    <row r="16" spans="1:3" x14ac:dyDescent="0.25">
      <c r="A16" s="425"/>
      <c r="B16" s="426"/>
      <c r="C16" s="426"/>
    </row>
    <row r="17" spans="1:3" x14ac:dyDescent="0.25">
      <c r="A17" s="425"/>
      <c r="B17" s="426"/>
      <c r="C17" s="426"/>
    </row>
    <row r="18" spans="1:3" x14ac:dyDescent="0.25">
      <c r="A18" s="425"/>
      <c r="B18" s="426"/>
      <c r="C18" s="426"/>
    </row>
    <row r="19" spans="1:3" x14ac:dyDescent="0.25">
      <c r="A19" s="425"/>
      <c r="B19" s="426"/>
      <c r="C19" s="426"/>
    </row>
    <row r="20" spans="1:3" x14ac:dyDescent="0.25">
      <c r="A20" s="425"/>
      <c r="B20" s="426"/>
      <c r="C20" s="426"/>
    </row>
    <row r="21" spans="1:3" x14ac:dyDescent="0.25">
      <c r="A21" s="425"/>
      <c r="B21" s="426"/>
      <c r="C21" s="426"/>
    </row>
    <row r="22" spans="1:3" x14ac:dyDescent="0.25">
      <c r="A22" s="425"/>
      <c r="B22" s="426"/>
      <c r="C22" s="426"/>
    </row>
    <row r="23" spans="1:3" x14ac:dyDescent="0.25">
      <c r="A23" s="425"/>
      <c r="B23" s="426"/>
      <c r="C23" s="426"/>
    </row>
    <row r="24" spans="1:3" x14ac:dyDescent="0.25">
      <c r="A24" s="425"/>
      <c r="B24" s="426"/>
      <c r="C24" s="426"/>
    </row>
    <row r="25" spans="1:3" x14ac:dyDescent="0.25">
      <c r="A25" s="425"/>
      <c r="B25" s="426"/>
      <c r="C25" s="426"/>
    </row>
    <row r="26" spans="1:3" x14ac:dyDescent="0.25">
      <c r="A26" s="425"/>
      <c r="B26" s="426"/>
      <c r="C26" s="426"/>
    </row>
    <row r="27" spans="1:3" x14ac:dyDescent="0.25">
      <c r="A27" s="425"/>
      <c r="B27" s="426"/>
      <c r="C27" s="426"/>
    </row>
    <row r="28" spans="1:3" x14ac:dyDescent="0.25">
      <c r="A28" s="425"/>
      <c r="B28" s="426"/>
      <c r="C28" s="426"/>
    </row>
    <row r="29" spans="1:3" x14ac:dyDescent="0.25">
      <c r="A29" s="425"/>
      <c r="B29" s="426"/>
      <c r="C29" s="426"/>
    </row>
    <row r="30" spans="1:3" x14ac:dyDescent="0.25">
      <c r="A30" s="425"/>
      <c r="B30" s="426"/>
      <c r="C30" s="426"/>
    </row>
    <row r="31" spans="1:3" ht="24.9" customHeight="1" x14ac:dyDescent="0.25">
      <c r="A31" s="427" t="s">
        <v>3494</v>
      </c>
      <c r="B31" s="427"/>
      <c r="C31" s="428" t="s">
        <v>3495</v>
      </c>
    </row>
  </sheetData>
  <pageMargins left="0.39" right="0.39" top="0.39" bottom="0.39" header="0.5" footer="0.5"/>
  <pageSetup paperSize="9" scale="0" firstPageNumber="0" fitToHeight="0" pageOrder="overThenDown" orientation="landscape" horizontalDpi="300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Feuil20.generation_vci_files">
                <anchor moveWithCells="1" sizeWithCells="1">
                  <from>
                    <xdr:col>2</xdr:col>
                    <xdr:colOff>4533900</xdr:colOff>
                    <xdr:row>0</xdr:row>
                    <xdr:rowOff>632460</xdr:rowOff>
                  </from>
                  <to>
                    <xdr:col>2</xdr:col>
                    <xdr:colOff>7269480</xdr:colOff>
                    <xdr:row>0</xdr:row>
                    <xdr:rowOff>1287780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5" tint="0.39997558519241921"/>
    <pageSetUpPr fitToPage="1"/>
  </sheetPr>
  <dimension ref="A1:AC625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9" sqref="C9"/>
    </sheetView>
  </sheetViews>
  <sheetFormatPr baseColWidth="10" defaultColWidth="11.44140625" defaultRowHeight="13.2" outlineLevelCol="1" x14ac:dyDescent="0.25"/>
  <cols>
    <col min="1" max="1" width="16.33203125" style="33" customWidth="1"/>
    <col min="2" max="2" width="6.6640625" style="34" customWidth="1"/>
    <col min="3" max="3" width="54.5546875" style="35" customWidth="1"/>
    <col min="4" max="4" width="10.6640625" style="35" customWidth="1" outlineLevel="1"/>
    <col min="5" max="5" width="10.109375" style="36" customWidth="1" outlineLevel="1"/>
    <col min="6" max="6" width="8.5546875" style="36" customWidth="1" outlineLevel="1"/>
    <col min="7" max="7" width="12" style="36" customWidth="1" outlineLevel="1"/>
    <col min="8" max="8" width="15" style="36" customWidth="1" outlineLevel="1"/>
    <col min="9" max="11" width="6.6640625" style="36" customWidth="1" outlineLevel="1"/>
    <col min="12" max="12" width="10.5546875" style="36" customWidth="1" outlineLevel="1"/>
    <col min="13" max="13" width="5.6640625" style="36" customWidth="1" outlineLevel="1"/>
    <col min="14" max="14" width="5.88671875" style="36" customWidth="1" outlineLevel="1"/>
    <col min="15" max="16" width="5.6640625" style="35" customWidth="1" outlineLevel="1"/>
    <col min="17" max="17" width="7" style="36" customWidth="1" outlineLevel="1"/>
    <col min="18" max="19" width="7.6640625" style="36" customWidth="1" outlineLevel="1"/>
    <col min="20" max="23" width="5.6640625" style="36" customWidth="1" outlineLevel="1"/>
    <col min="24" max="27" width="8.88671875" style="36" customWidth="1" outlineLevel="1"/>
    <col min="28" max="28" width="7.6640625" style="35" bestFit="1" customWidth="1"/>
    <col min="29" max="29" width="42.44140625" style="35" customWidth="1"/>
    <col min="30" max="30" width="15.5546875" style="35" customWidth="1"/>
    <col min="31" max="31" width="18.109375" style="35" customWidth="1"/>
    <col min="32" max="32" width="15.5546875" style="35" customWidth="1"/>
    <col min="33" max="33" width="16.33203125" style="35" customWidth="1"/>
    <col min="34" max="16384" width="11.44140625" style="35"/>
  </cols>
  <sheetData>
    <row r="1" spans="1:27" ht="23.25" customHeight="1" thickBot="1" x14ac:dyDescent="0.3">
      <c r="A1" s="33" t="s">
        <v>3186</v>
      </c>
      <c r="B1" s="602" t="s">
        <v>3187</v>
      </c>
      <c r="C1" s="602"/>
      <c r="D1" s="602"/>
      <c r="E1" s="603" t="s">
        <v>4544</v>
      </c>
      <c r="F1" s="604"/>
      <c r="G1" s="604"/>
      <c r="H1" s="604"/>
      <c r="I1" s="604"/>
      <c r="O1" s="586" t="s">
        <v>838</v>
      </c>
      <c r="P1" s="586"/>
      <c r="Q1" s="587" t="s">
        <v>839</v>
      </c>
      <c r="R1" s="588"/>
      <c r="S1" s="589"/>
      <c r="T1" s="590" t="s">
        <v>840</v>
      </c>
      <c r="U1" s="590"/>
      <c r="V1" s="591" t="s">
        <v>841</v>
      </c>
      <c r="W1" s="592"/>
      <c r="X1" s="37" t="s">
        <v>842</v>
      </c>
      <c r="Y1" s="38" t="s">
        <v>843</v>
      </c>
      <c r="Z1" s="39" t="s">
        <v>844</v>
      </c>
      <c r="AA1" s="40" t="s">
        <v>845</v>
      </c>
    </row>
    <row r="2" spans="1:27" s="36" customFormat="1" ht="40.200000000000003" thickBot="1" x14ac:dyDescent="0.3">
      <c r="A2" s="41" t="s">
        <v>846</v>
      </c>
      <c r="B2" s="42" t="s">
        <v>847</v>
      </c>
      <c r="C2" s="41" t="s">
        <v>848</v>
      </c>
      <c r="D2" s="41" t="s">
        <v>849</v>
      </c>
      <c r="E2" s="41" t="s">
        <v>850</v>
      </c>
      <c r="F2" s="41" t="s">
        <v>86</v>
      </c>
      <c r="G2" s="41" t="s">
        <v>851</v>
      </c>
      <c r="H2" s="43" t="s">
        <v>852</v>
      </c>
      <c r="I2" s="41" t="s">
        <v>853</v>
      </c>
      <c r="J2" s="41" t="s">
        <v>854</v>
      </c>
      <c r="K2" s="41" t="s">
        <v>855</v>
      </c>
      <c r="L2" s="41" t="s">
        <v>856</v>
      </c>
      <c r="M2" s="41" t="s">
        <v>857</v>
      </c>
      <c r="N2" s="44" t="s">
        <v>858</v>
      </c>
      <c r="O2" s="45" t="s">
        <v>859</v>
      </c>
      <c r="P2" s="45" t="s">
        <v>860</v>
      </c>
      <c r="Q2" s="46" t="s">
        <v>861</v>
      </c>
      <c r="R2" s="46" t="s">
        <v>862</v>
      </c>
      <c r="S2" s="46" t="s">
        <v>4464</v>
      </c>
      <c r="T2" s="47" t="s">
        <v>863</v>
      </c>
      <c r="U2" s="47" t="s">
        <v>864</v>
      </c>
      <c r="V2" s="48" t="s">
        <v>865</v>
      </c>
      <c r="W2" s="48" t="s">
        <v>866</v>
      </c>
      <c r="X2" s="49" t="s">
        <v>867</v>
      </c>
      <c r="Y2" s="50" t="s">
        <v>868</v>
      </c>
      <c r="Z2" s="51" t="s">
        <v>869</v>
      </c>
      <c r="AA2" s="50">
        <v>112</v>
      </c>
    </row>
    <row r="3" spans="1:27" ht="12.75" customHeight="1" x14ac:dyDescent="0.25">
      <c r="A3" s="52" t="s">
        <v>870</v>
      </c>
      <c r="B3" s="593">
        <v>1</v>
      </c>
      <c r="C3" s="53" t="s">
        <v>871</v>
      </c>
      <c r="D3" s="53" t="s">
        <v>872</v>
      </c>
      <c r="E3" s="442">
        <v>597</v>
      </c>
      <c r="F3" s="442" t="s">
        <v>873</v>
      </c>
      <c r="G3" s="595" t="s">
        <v>874</v>
      </c>
      <c r="H3" s="443"/>
      <c r="I3" s="598" t="s">
        <v>875</v>
      </c>
      <c r="J3" s="600">
        <v>1</v>
      </c>
      <c r="K3" s="600">
        <v>1</v>
      </c>
      <c r="L3" s="600">
        <f>K3*2</f>
        <v>2</v>
      </c>
      <c r="M3" s="582">
        <v>1</v>
      </c>
      <c r="N3" s="582">
        <v>1</v>
      </c>
      <c r="O3" s="584"/>
      <c r="P3" s="584"/>
      <c r="Q3" s="585"/>
      <c r="R3" s="585"/>
      <c r="S3" s="576"/>
      <c r="T3" s="579"/>
      <c r="U3" s="579" t="s">
        <v>876</v>
      </c>
      <c r="V3" s="580">
        <v>1</v>
      </c>
      <c r="W3" s="580">
        <v>1</v>
      </c>
      <c r="X3" s="581"/>
      <c r="Y3" s="572"/>
      <c r="Z3" s="573"/>
      <c r="AA3" s="572"/>
    </row>
    <row r="4" spans="1:27" ht="12.75" customHeight="1" x14ac:dyDescent="0.25">
      <c r="A4" s="54"/>
      <c r="B4" s="594"/>
      <c r="C4" s="55" t="s">
        <v>877</v>
      </c>
      <c r="D4" s="55" t="s">
        <v>872</v>
      </c>
      <c r="E4" s="443">
        <v>595</v>
      </c>
      <c r="F4" s="443" t="s">
        <v>873</v>
      </c>
      <c r="G4" s="596"/>
      <c r="H4" s="443"/>
      <c r="I4" s="599"/>
      <c r="J4" s="601"/>
      <c r="K4" s="601"/>
      <c r="L4" s="601"/>
      <c r="M4" s="583"/>
      <c r="N4" s="583"/>
      <c r="O4" s="570"/>
      <c r="P4" s="570"/>
      <c r="Q4" s="571"/>
      <c r="R4" s="571"/>
      <c r="S4" s="577"/>
      <c r="T4" s="566"/>
      <c r="U4" s="566"/>
      <c r="V4" s="567"/>
      <c r="W4" s="567"/>
      <c r="X4" s="568"/>
      <c r="Y4" s="558"/>
      <c r="Z4" s="569"/>
      <c r="AA4" s="558"/>
    </row>
    <row r="5" spans="1:27" ht="12.75" customHeight="1" x14ac:dyDescent="0.25">
      <c r="A5" s="54"/>
      <c r="B5" s="594"/>
      <c r="C5" s="55" t="s">
        <v>878</v>
      </c>
      <c r="D5" s="55" t="s">
        <v>872</v>
      </c>
      <c r="E5" s="443">
        <v>598</v>
      </c>
      <c r="F5" s="443" t="s">
        <v>873</v>
      </c>
      <c r="G5" s="597"/>
      <c r="H5" s="443"/>
      <c r="I5" s="575"/>
      <c r="J5" s="601"/>
      <c r="K5" s="601"/>
      <c r="L5" s="601"/>
      <c r="M5" s="583"/>
      <c r="N5" s="583"/>
      <c r="O5" s="570"/>
      <c r="P5" s="570"/>
      <c r="Q5" s="571"/>
      <c r="R5" s="571"/>
      <c r="S5" s="578"/>
      <c r="T5" s="566"/>
      <c r="U5" s="566"/>
      <c r="V5" s="561"/>
      <c r="W5" s="561"/>
      <c r="X5" s="563"/>
      <c r="Y5" s="559"/>
      <c r="Z5" s="565"/>
      <c r="AA5" s="559"/>
    </row>
    <row r="6" spans="1:27" ht="12.75" customHeight="1" x14ac:dyDescent="0.25">
      <c r="A6" s="54"/>
      <c r="B6" s="437">
        <v>2</v>
      </c>
      <c r="C6" s="55" t="s">
        <v>879</v>
      </c>
      <c r="D6" s="55" t="s">
        <v>872</v>
      </c>
      <c r="E6" s="443">
        <v>84</v>
      </c>
      <c r="F6" s="443" t="s">
        <v>873</v>
      </c>
      <c r="G6" s="56" t="s">
        <v>874</v>
      </c>
      <c r="H6" s="443" t="s">
        <v>880</v>
      </c>
      <c r="I6" s="57" t="s">
        <v>875</v>
      </c>
      <c r="J6" s="443">
        <v>1</v>
      </c>
      <c r="K6" s="443">
        <v>2</v>
      </c>
      <c r="L6" s="443">
        <f t="shared" ref="L6:L60" si="0">K6*2</f>
        <v>4</v>
      </c>
      <c r="M6" s="446">
        <v>1</v>
      </c>
      <c r="N6" s="443">
        <v>1</v>
      </c>
      <c r="O6" s="448">
        <v>1</v>
      </c>
      <c r="P6" s="448">
        <v>1</v>
      </c>
      <c r="Q6" s="450"/>
      <c r="R6" s="450"/>
      <c r="S6" s="450"/>
      <c r="T6" s="451"/>
      <c r="U6" s="451" t="s">
        <v>876</v>
      </c>
      <c r="V6" s="58">
        <v>1</v>
      </c>
      <c r="W6" s="58">
        <v>1</v>
      </c>
      <c r="X6" s="59"/>
      <c r="Y6" s="60"/>
      <c r="Z6" s="61"/>
      <c r="AA6" s="60"/>
    </row>
    <row r="7" spans="1:27" ht="12.75" customHeight="1" x14ac:dyDescent="0.25">
      <c r="B7" s="437">
        <v>3</v>
      </c>
      <c r="C7" s="55" t="s">
        <v>881</v>
      </c>
      <c r="D7" s="55" t="s">
        <v>872</v>
      </c>
      <c r="E7" s="443">
        <v>70</v>
      </c>
      <c r="F7" s="443" t="s">
        <v>873</v>
      </c>
      <c r="G7" s="56" t="s">
        <v>874</v>
      </c>
      <c r="H7" s="443"/>
      <c r="I7" s="57" t="s">
        <v>875</v>
      </c>
      <c r="J7" s="443">
        <v>1</v>
      </c>
      <c r="K7" s="443">
        <v>1</v>
      </c>
      <c r="L7" s="443">
        <f t="shared" si="0"/>
        <v>2</v>
      </c>
      <c r="M7" s="443">
        <v>1</v>
      </c>
      <c r="N7" s="443">
        <v>1</v>
      </c>
      <c r="O7" s="448"/>
      <c r="P7" s="448"/>
      <c r="Q7" s="450"/>
      <c r="R7" s="450"/>
      <c r="S7" s="450"/>
      <c r="T7" s="451"/>
      <c r="U7" s="451" t="s">
        <v>876</v>
      </c>
      <c r="V7" s="58">
        <v>1</v>
      </c>
      <c r="W7" s="58">
        <v>1</v>
      </c>
      <c r="X7" s="59"/>
      <c r="Y7" s="60"/>
      <c r="Z7" s="61"/>
      <c r="AA7" s="60"/>
    </row>
    <row r="8" spans="1:27" ht="12.75" customHeight="1" x14ac:dyDescent="0.25">
      <c r="B8" s="437">
        <v>4</v>
      </c>
      <c r="C8" s="55" t="s">
        <v>882</v>
      </c>
      <c r="D8" s="55" t="s">
        <v>872</v>
      </c>
      <c r="E8" s="443">
        <v>976</v>
      </c>
      <c r="F8" s="443" t="s">
        <v>873</v>
      </c>
      <c r="G8" s="56" t="s">
        <v>874</v>
      </c>
      <c r="H8" s="443"/>
      <c r="I8" s="57" t="s">
        <v>875</v>
      </c>
      <c r="J8" s="443">
        <v>1</v>
      </c>
      <c r="K8" s="443">
        <v>1</v>
      </c>
      <c r="L8" s="443">
        <f t="shared" si="0"/>
        <v>2</v>
      </c>
      <c r="M8" s="443"/>
      <c r="N8" s="443">
        <v>1</v>
      </c>
      <c r="O8" s="448"/>
      <c r="P8" s="448"/>
      <c r="Q8" s="450"/>
      <c r="R8" s="450"/>
      <c r="S8" s="450"/>
      <c r="T8" s="451"/>
      <c r="U8" s="451" t="s">
        <v>876</v>
      </c>
      <c r="V8" s="58"/>
      <c r="W8" s="58">
        <v>1</v>
      </c>
      <c r="X8" s="59"/>
      <c r="Y8" s="60"/>
      <c r="Z8" s="61"/>
      <c r="AA8" s="60"/>
    </row>
    <row r="9" spans="1:27" ht="12.75" customHeight="1" x14ac:dyDescent="0.25">
      <c r="B9" s="437">
        <v>5</v>
      </c>
      <c r="C9" s="55" t="s">
        <v>883</v>
      </c>
      <c r="D9" s="55" t="s">
        <v>884</v>
      </c>
      <c r="E9" s="443">
        <v>91</v>
      </c>
      <c r="F9" s="443" t="s">
        <v>885</v>
      </c>
      <c r="G9" s="56" t="s">
        <v>874</v>
      </c>
      <c r="H9" s="443" t="s">
        <v>886</v>
      </c>
      <c r="I9" s="57" t="s">
        <v>875</v>
      </c>
      <c r="J9" s="443">
        <v>1</v>
      </c>
      <c r="K9" s="443">
        <v>2</v>
      </c>
      <c r="L9" s="443">
        <f t="shared" si="0"/>
        <v>4</v>
      </c>
      <c r="M9" s="443">
        <v>1</v>
      </c>
      <c r="N9" s="443">
        <v>1</v>
      </c>
      <c r="O9" s="448"/>
      <c r="P9" s="448"/>
      <c r="Q9" s="450"/>
      <c r="R9" s="450"/>
      <c r="S9" s="450"/>
      <c r="T9" s="451"/>
      <c r="U9" s="451" t="s">
        <v>876</v>
      </c>
      <c r="V9" s="58">
        <v>1</v>
      </c>
      <c r="W9" s="58">
        <v>1</v>
      </c>
      <c r="X9" s="59"/>
      <c r="Y9" s="60"/>
      <c r="Z9" s="61"/>
      <c r="AA9" s="60"/>
    </row>
    <row r="10" spans="1:27" ht="12.75" customHeight="1" x14ac:dyDescent="0.25">
      <c r="B10" s="437">
        <v>6</v>
      </c>
      <c r="C10" s="55" t="s">
        <v>887</v>
      </c>
      <c r="D10" s="55" t="s">
        <v>884</v>
      </c>
      <c r="E10" s="443">
        <v>92</v>
      </c>
      <c r="F10" s="443" t="s">
        <v>885</v>
      </c>
      <c r="G10" s="56" t="s">
        <v>874</v>
      </c>
      <c r="H10" s="443" t="s">
        <v>93</v>
      </c>
      <c r="I10" s="57" t="s">
        <v>875</v>
      </c>
      <c r="J10" s="443">
        <v>1</v>
      </c>
      <c r="K10" s="443">
        <v>1</v>
      </c>
      <c r="L10" s="443">
        <f t="shared" si="0"/>
        <v>2</v>
      </c>
      <c r="M10" s="443"/>
      <c r="N10" s="443">
        <v>1</v>
      </c>
      <c r="O10" s="448"/>
      <c r="P10" s="448"/>
      <c r="Q10" s="450"/>
      <c r="R10" s="450"/>
      <c r="S10" s="450"/>
      <c r="T10" s="451"/>
      <c r="U10" s="451" t="s">
        <v>876</v>
      </c>
      <c r="V10" s="58"/>
      <c r="W10" s="58">
        <v>1</v>
      </c>
      <c r="X10" s="59"/>
      <c r="Y10" s="60"/>
      <c r="Z10" s="61"/>
      <c r="AA10" s="60"/>
    </row>
    <row r="11" spans="1:27" ht="12.75" customHeight="1" x14ac:dyDescent="0.25">
      <c r="B11" s="437">
        <v>7</v>
      </c>
      <c r="C11" s="55" t="s">
        <v>888</v>
      </c>
      <c r="D11" s="55" t="s">
        <v>889</v>
      </c>
      <c r="E11" s="443">
        <v>250</v>
      </c>
      <c r="F11" s="443" t="s">
        <v>890</v>
      </c>
      <c r="G11" s="56" t="s">
        <v>874</v>
      </c>
      <c r="H11" s="443" t="s">
        <v>891</v>
      </c>
      <c r="I11" s="57" t="s">
        <v>875</v>
      </c>
      <c r="J11" s="443">
        <v>1</v>
      </c>
      <c r="K11" s="443">
        <v>5</v>
      </c>
      <c r="L11" s="443">
        <f t="shared" si="0"/>
        <v>10</v>
      </c>
      <c r="M11" s="443">
        <v>1</v>
      </c>
      <c r="N11" s="443"/>
      <c r="O11" s="448">
        <v>1</v>
      </c>
      <c r="P11" s="448"/>
      <c r="Q11" s="450">
        <v>1</v>
      </c>
      <c r="R11" s="450"/>
      <c r="S11" s="450"/>
      <c r="T11" s="451"/>
      <c r="U11" s="451" t="s">
        <v>876</v>
      </c>
      <c r="V11" s="58">
        <v>1</v>
      </c>
      <c r="W11" s="58"/>
      <c r="X11" s="59"/>
      <c r="Y11" s="60"/>
      <c r="Z11" s="61"/>
      <c r="AA11" s="60"/>
    </row>
    <row r="12" spans="1:27" ht="12.75" customHeight="1" x14ac:dyDescent="0.25">
      <c r="B12" s="437">
        <v>8</v>
      </c>
      <c r="C12" s="55" t="s">
        <v>892</v>
      </c>
      <c r="D12" s="55" t="s">
        <v>893</v>
      </c>
      <c r="E12" s="443">
        <v>5054</v>
      </c>
      <c r="F12" s="443" t="s">
        <v>894</v>
      </c>
      <c r="G12" s="56" t="s">
        <v>874</v>
      </c>
      <c r="H12" s="443" t="s">
        <v>891</v>
      </c>
      <c r="I12" s="57" t="s">
        <v>875</v>
      </c>
      <c r="J12" s="443">
        <v>1</v>
      </c>
      <c r="K12" s="443">
        <v>4</v>
      </c>
      <c r="L12" s="443">
        <f t="shared" si="0"/>
        <v>8</v>
      </c>
      <c r="M12" s="443"/>
      <c r="N12" s="443">
        <v>1</v>
      </c>
      <c r="O12" s="448"/>
      <c r="P12" s="448">
        <v>1</v>
      </c>
      <c r="Q12" s="450"/>
      <c r="R12" s="450">
        <v>1</v>
      </c>
      <c r="S12" s="450"/>
      <c r="T12" s="451"/>
      <c r="U12" s="451" t="s">
        <v>876</v>
      </c>
      <c r="V12" s="58"/>
      <c r="W12" s="58">
        <v>1</v>
      </c>
      <c r="X12" s="59"/>
      <c r="Y12" s="60"/>
      <c r="Z12" s="61"/>
      <c r="AA12" s="60"/>
    </row>
    <row r="13" spans="1:27" ht="12.75" customHeight="1" x14ac:dyDescent="0.25">
      <c r="B13" s="62">
        <v>9</v>
      </c>
      <c r="C13" s="55" t="s">
        <v>895</v>
      </c>
      <c r="D13" s="55" t="s">
        <v>642</v>
      </c>
      <c r="E13" s="443">
        <v>96</v>
      </c>
      <c r="F13" s="443" t="s">
        <v>896</v>
      </c>
      <c r="G13" s="56" t="s">
        <v>874</v>
      </c>
      <c r="H13" s="443" t="s">
        <v>886</v>
      </c>
      <c r="I13" s="57" t="s">
        <v>875</v>
      </c>
      <c r="J13" s="443">
        <v>1</v>
      </c>
      <c r="K13" s="443">
        <v>1</v>
      </c>
      <c r="L13" s="443">
        <f t="shared" si="0"/>
        <v>2</v>
      </c>
      <c r="M13" s="443">
        <v>1</v>
      </c>
      <c r="N13" s="443">
        <v>1</v>
      </c>
      <c r="O13" s="448">
        <v>1</v>
      </c>
      <c r="P13" s="448">
        <v>1</v>
      </c>
      <c r="Q13" s="450">
        <v>1</v>
      </c>
      <c r="R13" s="450">
        <v>1</v>
      </c>
      <c r="S13" s="450"/>
      <c r="T13" s="451"/>
      <c r="U13" s="451" t="s">
        <v>876</v>
      </c>
      <c r="V13" s="58">
        <v>1</v>
      </c>
      <c r="W13" s="58">
        <v>1</v>
      </c>
      <c r="X13" s="59"/>
      <c r="Y13" s="60"/>
      <c r="Z13" s="61"/>
      <c r="AA13" s="60"/>
    </row>
    <row r="14" spans="1:27" ht="12.75" customHeight="1" x14ac:dyDescent="0.25">
      <c r="B14" s="62">
        <v>10</v>
      </c>
      <c r="C14" s="55" t="s">
        <v>897</v>
      </c>
      <c r="D14" s="55" t="s">
        <v>898</v>
      </c>
      <c r="E14" s="443">
        <v>190</v>
      </c>
      <c r="F14" s="443" t="s">
        <v>899</v>
      </c>
      <c r="G14" s="56" t="s">
        <v>874</v>
      </c>
      <c r="H14" s="443" t="s">
        <v>900</v>
      </c>
      <c r="I14" s="57" t="s">
        <v>875</v>
      </c>
      <c r="J14" s="443">
        <v>1</v>
      </c>
      <c r="K14" s="443">
        <v>2</v>
      </c>
      <c r="L14" s="443">
        <f t="shared" si="0"/>
        <v>4</v>
      </c>
      <c r="M14" s="443">
        <v>1</v>
      </c>
      <c r="N14" s="443">
        <v>1</v>
      </c>
      <c r="O14" s="448">
        <v>1</v>
      </c>
      <c r="P14" s="448">
        <v>1</v>
      </c>
      <c r="Q14" s="450"/>
      <c r="R14" s="450"/>
      <c r="S14" s="450"/>
      <c r="T14" s="451"/>
      <c r="U14" s="451" t="s">
        <v>876</v>
      </c>
      <c r="V14" s="58">
        <v>1</v>
      </c>
      <c r="W14" s="58">
        <v>1</v>
      </c>
      <c r="X14" s="63">
        <v>1</v>
      </c>
      <c r="Y14" s="60"/>
      <c r="Z14" s="61"/>
      <c r="AA14" s="60"/>
    </row>
    <row r="15" spans="1:27" ht="12.75" customHeight="1" x14ac:dyDescent="0.25">
      <c r="B15" s="62">
        <v>11</v>
      </c>
      <c r="C15" s="55" t="s">
        <v>901</v>
      </c>
      <c r="D15" s="55" t="s">
        <v>902</v>
      </c>
      <c r="E15" s="443">
        <v>928</v>
      </c>
      <c r="F15" s="443" t="s">
        <v>903</v>
      </c>
      <c r="G15" s="64" t="s">
        <v>874</v>
      </c>
      <c r="H15" s="65"/>
      <c r="I15" s="574" t="s">
        <v>875</v>
      </c>
      <c r="J15" s="443">
        <v>1</v>
      </c>
      <c r="K15" s="443">
        <v>1</v>
      </c>
      <c r="L15" s="443">
        <f t="shared" si="0"/>
        <v>2</v>
      </c>
      <c r="M15" s="443"/>
      <c r="N15" s="443">
        <v>1</v>
      </c>
      <c r="O15" s="570"/>
      <c r="P15" s="570">
        <v>1</v>
      </c>
      <c r="Q15" s="571"/>
      <c r="R15" s="571">
        <v>1</v>
      </c>
      <c r="S15" s="450"/>
      <c r="T15" s="566"/>
      <c r="U15" s="451" t="s">
        <v>876</v>
      </c>
      <c r="V15" s="560"/>
      <c r="W15" s="560">
        <v>1</v>
      </c>
      <c r="X15" s="562"/>
      <c r="Y15" s="557"/>
      <c r="Z15" s="564"/>
      <c r="AA15" s="557"/>
    </row>
    <row r="16" spans="1:27" ht="12.75" customHeight="1" x14ac:dyDescent="0.25">
      <c r="B16" s="62">
        <v>12</v>
      </c>
      <c r="C16" s="55" t="s">
        <v>904</v>
      </c>
      <c r="D16" s="55" t="s">
        <v>902</v>
      </c>
      <c r="E16" s="443">
        <v>928</v>
      </c>
      <c r="F16" s="443" t="s">
        <v>903</v>
      </c>
      <c r="G16" s="64" t="s">
        <v>874</v>
      </c>
      <c r="H16" s="66"/>
      <c r="I16" s="575"/>
      <c r="J16" s="443">
        <v>1</v>
      </c>
      <c r="K16" s="443">
        <v>1</v>
      </c>
      <c r="L16" s="443">
        <f t="shared" si="0"/>
        <v>2</v>
      </c>
      <c r="M16" s="443"/>
      <c r="N16" s="443">
        <v>1</v>
      </c>
      <c r="O16" s="570"/>
      <c r="P16" s="570"/>
      <c r="Q16" s="571"/>
      <c r="R16" s="571"/>
      <c r="S16" s="450"/>
      <c r="T16" s="566"/>
      <c r="U16" s="451" t="s">
        <v>876</v>
      </c>
      <c r="V16" s="561"/>
      <c r="W16" s="561"/>
      <c r="X16" s="563"/>
      <c r="Y16" s="559"/>
      <c r="Z16" s="565"/>
      <c r="AA16" s="559"/>
    </row>
    <row r="17" spans="2:27" ht="12.75" customHeight="1" x14ac:dyDescent="0.25">
      <c r="B17" s="62">
        <v>13</v>
      </c>
      <c r="C17" s="55" t="s">
        <v>905</v>
      </c>
      <c r="D17" s="55" t="s">
        <v>902</v>
      </c>
      <c r="E17" s="443">
        <v>582</v>
      </c>
      <c r="F17" s="443" t="s">
        <v>903</v>
      </c>
      <c r="G17" s="56" t="s">
        <v>874</v>
      </c>
      <c r="H17" s="443" t="s">
        <v>906</v>
      </c>
      <c r="I17" s="57" t="s">
        <v>875</v>
      </c>
      <c r="J17" s="443">
        <v>1</v>
      </c>
      <c r="K17" s="443">
        <v>2</v>
      </c>
      <c r="L17" s="443">
        <f t="shared" si="0"/>
        <v>4</v>
      </c>
      <c r="M17" s="443"/>
      <c r="N17" s="443">
        <v>1</v>
      </c>
      <c r="O17" s="448"/>
      <c r="P17" s="448">
        <v>1</v>
      </c>
      <c r="Q17" s="450"/>
      <c r="R17" s="450">
        <v>1</v>
      </c>
      <c r="S17" s="450"/>
      <c r="T17" s="451"/>
      <c r="U17" s="451" t="s">
        <v>876</v>
      </c>
      <c r="V17" s="58"/>
      <c r="W17" s="58">
        <v>1</v>
      </c>
      <c r="X17" s="59"/>
      <c r="Y17" s="60"/>
      <c r="Z17" s="61"/>
      <c r="AA17" s="60"/>
    </row>
    <row r="18" spans="2:27" ht="12.75" customHeight="1" x14ac:dyDescent="0.25">
      <c r="B18" s="62">
        <v>14</v>
      </c>
      <c r="C18" s="55" t="s">
        <v>907</v>
      </c>
      <c r="D18" s="55" t="s">
        <v>908</v>
      </c>
      <c r="E18" s="443">
        <v>247</v>
      </c>
      <c r="F18" s="443" t="s">
        <v>909</v>
      </c>
      <c r="G18" s="56" t="s">
        <v>874</v>
      </c>
      <c r="H18" s="443" t="s">
        <v>910</v>
      </c>
      <c r="I18" s="57" t="s">
        <v>875</v>
      </c>
      <c r="J18" s="443">
        <v>1</v>
      </c>
      <c r="K18" s="443">
        <v>4</v>
      </c>
      <c r="L18" s="443">
        <f t="shared" si="0"/>
        <v>8</v>
      </c>
      <c r="M18" s="443">
        <v>1</v>
      </c>
      <c r="N18" s="443">
        <v>1</v>
      </c>
      <c r="O18" s="448"/>
      <c r="P18" s="448"/>
      <c r="Q18" s="450">
        <v>1</v>
      </c>
      <c r="R18" s="450">
        <v>1</v>
      </c>
      <c r="S18" s="450"/>
      <c r="T18" s="451"/>
      <c r="U18" s="451" t="s">
        <v>876</v>
      </c>
      <c r="V18" s="58">
        <v>1</v>
      </c>
      <c r="W18" s="58">
        <v>1</v>
      </c>
      <c r="X18" s="59"/>
      <c r="Y18" s="60"/>
      <c r="Z18" s="61"/>
      <c r="AA18" s="60"/>
    </row>
    <row r="19" spans="2:27" ht="12.75" customHeight="1" x14ac:dyDescent="0.25">
      <c r="B19" s="62">
        <v>15</v>
      </c>
      <c r="C19" s="55" t="s">
        <v>911</v>
      </c>
      <c r="D19" s="55" t="s">
        <v>912</v>
      </c>
      <c r="E19" s="443">
        <v>237</v>
      </c>
      <c r="F19" s="443" t="s">
        <v>913</v>
      </c>
      <c r="G19" s="56" t="s">
        <v>874</v>
      </c>
      <c r="H19" s="443"/>
      <c r="I19" s="57" t="s">
        <v>914</v>
      </c>
      <c r="J19" s="443">
        <v>1</v>
      </c>
      <c r="K19" s="443">
        <v>17</v>
      </c>
      <c r="L19" s="443">
        <v>17</v>
      </c>
      <c r="M19" s="443">
        <v>1</v>
      </c>
      <c r="N19" s="443">
        <v>1</v>
      </c>
      <c r="O19" s="448">
        <v>1</v>
      </c>
      <c r="P19" s="448">
        <v>1</v>
      </c>
      <c r="Q19" s="450">
        <v>1</v>
      </c>
      <c r="R19" s="450">
        <v>1</v>
      </c>
      <c r="S19" s="450">
        <v>1</v>
      </c>
      <c r="T19" s="451"/>
      <c r="U19" s="451" t="s">
        <v>876</v>
      </c>
      <c r="V19" s="58">
        <v>1</v>
      </c>
      <c r="W19" s="58">
        <v>1</v>
      </c>
      <c r="X19" s="59"/>
      <c r="Y19" s="60"/>
      <c r="Z19" s="67">
        <v>1</v>
      </c>
      <c r="AA19" s="68">
        <v>1</v>
      </c>
    </row>
    <row r="20" spans="2:27" ht="12.75" customHeight="1" x14ac:dyDescent="0.25">
      <c r="B20" s="62">
        <v>16</v>
      </c>
      <c r="C20" s="55" t="s">
        <v>915</v>
      </c>
      <c r="D20" s="55" t="s">
        <v>916</v>
      </c>
      <c r="E20" s="443">
        <v>2805</v>
      </c>
      <c r="F20" s="443" t="s">
        <v>917</v>
      </c>
      <c r="G20" s="64" t="s">
        <v>874</v>
      </c>
      <c r="H20" s="443"/>
      <c r="I20" s="456" t="s">
        <v>875</v>
      </c>
      <c r="J20" s="443">
        <v>1</v>
      </c>
      <c r="K20" s="443">
        <v>1</v>
      </c>
      <c r="L20" s="443">
        <f t="shared" si="0"/>
        <v>2</v>
      </c>
      <c r="M20" s="443">
        <v>1</v>
      </c>
      <c r="N20" s="443">
        <v>1</v>
      </c>
      <c r="O20" s="448"/>
      <c r="P20" s="448"/>
      <c r="Q20" s="450"/>
      <c r="R20" s="450"/>
      <c r="S20" s="450"/>
      <c r="T20" s="566"/>
      <c r="U20" s="451" t="s">
        <v>876</v>
      </c>
      <c r="V20" s="457">
        <v>1</v>
      </c>
      <c r="W20" s="457">
        <v>1</v>
      </c>
      <c r="X20" s="463"/>
      <c r="Y20" s="464"/>
      <c r="Z20" s="465"/>
      <c r="AA20" s="464"/>
    </row>
    <row r="21" spans="2:27" ht="12.75" customHeight="1" x14ac:dyDescent="0.25">
      <c r="B21" s="62">
        <v>17</v>
      </c>
      <c r="C21" s="55" t="s">
        <v>918</v>
      </c>
      <c r="D21" s="55" t="s">
        <v>916</v>
      </c>
      <c r="E21" s="443">
        <v>2804</v>
      </c>
      <c r="F21" s="443" t="s">
        <v>917</v>
      </c>
      <c r="G21" s="64" t="s">
        <v>874</v>
      </c>
      <c r="H21" s="443"/>
      <c r="I21" s="456" t="s">
        <v>875</v>
      </c>
      <c r="J21" s="443">
        <v>1</v>
      </c>
      <c r="K21" s="443">
        <v>1</v>
      </c>
      <c r="L21" s="443">
        <f t="shared" si="0"/>
        <v>2</v>
      </c>
      <c r="M21" s="443">
        <v>1</v>
      </c>
      <c r="N21" s="443">
        <v>1</v>
      </c>
      <c r="O21" s="448"/>
      <c r="P21" s="448"/>
      <c r="Q21" s="450"/>
      <c r="R21" s="450"/>
      <c r="S21" s="450"/>
      <c r="T21" s="566"/>
      <c r="U21" s="451" t="s">
        <v>876</v>
      </c>
      <c r="V21" s="457">
        <v>1</v>
      </c>
      <c r="W21" s="457">
        <v>1</v>
      </c>
      <c r="X21" s="463"/>
      <c r="Y21" s="464"/>
      <c r="Z21" s="465"/>
      <c r="AA21" s="464"/>
    </row>
    <row r="22" spans="2:27" ht="12.75" customHeight="1" x14ac:dyDescent="0.25">
      <c r="B22" s="62">
        <v>18</v>
      </c>
      <c r="C22" s="69" t="s">
        <v>919</v>
      </c>
      <c r="D22" s="55" t="s">
        <v>916</v>
      </c>
      <c r="E22" s="443">
        <v>2806</v>
      </c>
      <c r="F22" s="443" t="s">
        <v>917</v>
      </c>
      <c r="G22" s="56" t="s">
        <v>874</v>
      </c>
      <c r="H22" s="443"/>
      <c r="I22" s="57" t="s">
        <v>875</v>
      </c>
      <c r="J22" s="443">
        <v>1</v>
      </c>
      <c r="K22" s="443">
        <v>4</v>
      </c>
      <c r="L22" s="443">
        <f t="shared" si="0"/>
        <v>8</v>
      </c>
      <c r="M22" s="443">
        <v>1</v>
      </c>
      <c r="N22" s="443">
        <v>1</v>
      </c>
      <c r="O22" s="448"/>
      <c r="P22" s="448"/>
      <c r="Q22" s="450"/>
      <c r="R22" s="450"/>
      <c r="S22" s="450"/>
      <c r="T22" s="451"/>
      <c r="U22" s="451" t="s">
        <v>876</v>
      </c>
      <c r="V22" s="58">
        <v>1</v>
      </c>
      <c r="W22" s="58">
        <v>1</v>
      </c>
      <c r="X22" s="59"/>
      <c r="Y22" s="60"/>
      <c r="Z22" s="61"/>
      <c r="AA22" s="60"/>
    </row>
    <row r="23" spans="2:27" ht="12.75" customHeight="1" x14ac:dyDescent="0.25">
      <c r="B23" s="62">
        <v>19</v>
      </c>
      <c r="C23" s="55" t="s">
        <v>920</v>
      </c>
      <c r="D23" s="55" t="s">
        <v>921</v>
      </c>
      <c r="E23" s="443">
        <v>917</v>
      </c>
      <c r="F23" s="443" t="s">
        <v>922</v>
      </c>
      <c r="G23" s="56" t="s">
        <v>874</v>
      </c>
      <c r="H23" s="443" t="s">
        <v>153</v>
      </c>
      <c r="I23" s="57" t="s">
        <v>875</v>
      </c>
      <c r="J23" s="443">
        <v>1</v>
      </c>
      <c r="K23" s="443">
        <v>4</v>
      </c>
      <c r="L23" s="443">
        <f t="shared" si="0"/>
        <v>8</v>
      </c>
      <c r="M23" s="443">
        <v>1</v>
      </c>
      <c r="N23" s="443">
        <v>1</v>
      </c>
      <c r="O23" s="448">
        <v>1</v>
      </c>
      <c r="P23" s="448">
        <v>1</v>
      </c>
      <c r="Q23" s="450">
        <v>1</v>
      </c>
      <c r="R23" s="450">
        <v>1</v>
      </c>
      <c r="S23" s="450"/>
      <c r="T23" s="451"/>
      <c r="U23" s="451" t="s">
        <v>876</v>
      </c>
      <c r="V23" s="58">
        <v>1</v>
      </c>
      <c r="W23" s="58">
        <v>1</v>
      </c>
      <c r="X23" s="59"/>
      <c r="Y23" s="60"/>
      <c r="Z23" s="61"/>
      <c r="AA23" s="60"/>
    </row>
    <row r="24" spans="2:27" ht="12.75" customHeight="1" x14ac:dyDescent="0.25">
      <c r="B24" s="62">
        <v>20</v>
      </c>
      <c r="C24" s="55" t="s">
        <v>923</v>
      </c>
      <c r="D24" s="55" t="s">
        <v>924</v>
      </c>
      <c r="E24" s="443">
        <v>914</v>
      </c>
      <c r="F24" s="443" t="s">
        <v>925</v>
      </c>
      <c r="G24" s="56" t="s">
        <v>874</v>
      </c>
      <c r="H24" s="443" t="s">
        <v>91</v>
      </c>
      <c r="I24" s="57" t="s">
        <v>875</v>
      </c>
      <c r="J24" s="443">
        <v>1</v>
      </c>
      <c r="K24" s="443">
        <v>2</v>
      </c>
      <c r="L24" s="443">
        <f t="shared" si="0"/>
        <v>4</v>
      </c>
      <c r="M24" s="443"/>
      <c r="N24" s="443">
        <v>1</v>
      </c>
      <c r="O24" s="448"/>
      <c r="P24" s="448"/>
      <c r="Q24" s="450"/>
      <c r="R24" s="450">
        <v>1</v>
      </c>
      <c r="S24" s="450"/>
      <c r="T24" s="451"/>
      <c r="U24" s="451" t="s">
        <v>876</v>
      </c>
      <c r="V24" s="58"/>
      <c r="W24" s="58">
        <v>1</v>
      </c>
      <c r="X24" s="59"/>
      <c r="Y24" s="60"/>
      <c r="Z24" s="67">
        <v>1</v>
      </c>
      <c r="AA24" s="70"/>
    </row>
    <row r="25" spans="2:27" ht="12.75" customHeight="1" x14ac:dyDescent="0.25">
      <c r="B25" s="62">
        <v>21</v>
      </c>
      <c r="C25" s="55" t="s">
        <v>926</v>
      </c>
      <c r="D25" s="55" t="s">
        <v>927</v>
      </c>
      <c r="E25" s="443">
        <v>1611</v>
      </c>
      <c r="F25" s="443" t="s">
        <v>928</v>
      </c>
      <c r="G25" s="64" t="s">
        <v>874</v>
      </c>
      <c r="H25" s="443"/>
      <c r="I25" s="456" t="s">
        <v>875</v>
      </c>
      <c r="J25" s="443">
        <v>1</v>
      </c>
      <c r="K25" s="443">
        <v>1</v>
      </c>
      <c r="L25" s="443">
        <f t="shared" si="0"/>
        <v>2</v>
      </c>
      <c r="M25" s="443"/>
      <c r="N25" s="443">
        <v>1</v>
      </c>
      <c r="O25" s="448"/>
      <c r="P25" s="448">
        <v>1</v>
      </c>
      <c r="Q25" s="450"/>
      <c r="R25" s="450">
        <v>1</v>
      </c>
      <c r="S25" s="450"/>
      <c r="T25" s="566"/>
      <c r="U25" s="451" t="s">
        <v>876</v>
      </c>
      <c r="V25" s="58"/>
      <c r="W25" s="58">
        <v>1</v>
      </c>
      <c r="X25" s="59"/>
      <c r="Y25" s="60"/>
      <c r="Z25" s="61"/>
      <c r="AA25" s="60"/>
    </row>
    <row r="26" spans="2:27" ht="12.75" customHeight="1" x14ac:dyDescent="0.25">
      <c r="B26" s="62">
        <v>22</v>
      </c>
      <c r="C26" s="55" t="s">
        <v>929</v>
      </c>
      <c r="D26" s="55" t="s">
        <v>927</v>
      </c>
      <c r="E26" s="443">
        <v>1612</v>
      </c>
      <c r="F26" s="443" t="s">
        <v>928</v>
      </c>
      <c r="G26" s="64" t="s">
        <v>874</v>
      </c>
      <c r="H26" s="443"/>
      <c r="I26" s="456" t="s">
        <v>875</v>
      </c>
      <c r="J26" s="443">
        <v>1</v>
      </c>
      <c r="K26" s="443">
        <v>1</v>
      </c>
      <c r="L26" s="443">
        <f t="shared" si="0"/>
        <v>2</v>
      </c>
      <c r="M26" s="443"/>
      <c r="N26" s="443">
        <v>1</v>
      </c>
      <c r="O26" s="448"/>
      <c r="P26" s="448">
        <v>1</v>
      </c>
      <c r="Q26" s="450"/>
      <c r="R26" s="450">
        <v>1</v>
      </c>
      <c r="S26" s="450"/>
      <c r="T26" s="566"/>
      <c r="U26" s="451" t="s">
        <v>876</v>
      </c>
      <c r="V26" s="58"/>
      <c r="W26" s="58">
        <v>1</v>
      </c>
      <c r="X26" s="59"/>
      <c r="Y26" s="60"/>
      <c r="Z26" s="61"/>
      <c r="AA26" s="60"/>
    </row>
    <row r="27" spans="2:27" ht="12.75" customHeight="1" x14ac:dyDescent="0.25">
      <c r="B27" s="62">
        <v>23</v>
      </c>
      <c r="C27" s="55" t="s">
        <v>930</v>
      </c>
      <c r="D27" s="55" t="s">
        <v>927</v>
      </c>
      <c r="E27" s="443">
        <v>1613</v>
      </c>
      <c r="F27" s="443" t="s">
        <v>928</v>
      </c>
      <c r="G27" s="64" t="s">
        <v>874</v>
      </c>
      <c r="H27" s="443"/>
      <c r="I27" s="456" t="s">
        <v>875</v>
      </c>
      <c r="J27" s="443">
        <v>1</v>
      </c>
      <c r="K27" s="443">
        <v>1</v>
      </c>
      <c r="L27" s="443">
        <f t="shared" si="0"/>
        <v>2</v>
      </c>
      <c r="M27" s="443"/>
      <c r="N27" s="443">
        <v>1</v>
      </c>
      <c r="O27" s="448"/>
      <c r="P27" s="448">
        <v>1</v>
      </c>
      <c r="Q27" s="450"/>
      <c r="R27" s="450">
        <v>1</v>
      </c>
      <c r="S27" s="450"/>
      <c r="T27" s="566"/>
      <c r="U27" s="451" t="s">
        <v>876</v>
      </c>
      <c r="V27" s="58"/>
      <c r="W27" s="58">
        <v>1</v>
      </c>
      <c r="X27" s="59"/>
      <c r="Y27" s="60"/>
      <c r="Z27" s="61"/>
      <c r="AA27" s="60"/>
    </row>
    <row r="28" spans="2:27" ht="12.75" customHeight="1" x14ac:dyDescent="0.25">
      <c r="B28" s="62">
        <v>24</v>
      </c>
      <c r="C28" s="55" t="s">
        <v>931</v>
      </c>
      <c r="D28" s="55" t="s">
        <v>927</v>
      </c>
      <c r="E28" s="443">
        <v>1614</v>
      </c>
      <c r="F28" s="443" t="s">
        <v>928</v>
      </c>
      <c r="G28" s="64" t="s">
        <v>874</v>
      </c>
      <c r="H28" s="443"/>
      <c r="I28" s="456" t="s">
        <v>875</v>
      </c>
      <c r="J28" s="443">
        <v>1</v>
      </c>
      <c r="K28" s="443">
        <v>1</v>
      </c>
      <c r="L28" s="443">
        <f t="shared" si="0"/>
        <v>2</v>
      </c>
      <c r="M28" s="443"/>
      <c r="N28" s="443">
        <v>1</v>
      </c>
      <c r="O28" s="448"/>
      <c r="P28" s="448">
        <v>1</v>
      </c>
      <c r="Q28" s="450"/>
      <c r="R28" s="450">
        <v>1</v>
      </c>
      <c r="S28" s="450"/>
      <c r="T28" s="566"/>
      <c r="U28" s="451" t="s">
        <v>876</v>
      </c>
      <c r="V28" s="58"/>
      <c r="W28" s="58">
        <v>1</v>
      </c>
      <c r="X28" s="59"/>
      <c r="Y28" s="60"/>
      <c r="Z28" s="61"/>
      <c r="AA28" s="60"/>
    </row>
    <row r="29" spans="2:27" ht="12.75" customHeight="1" x14ac:dyDescent="0.25">
      <c r="B29" s="62">
        <v>25</v>
      </c>
      <c r="C29" s="55" t="s">
        <v>932</v>
      </c>
      <c r="D29" s="55" t="s">
        <v>927</v>
      </c>
      <c r="E29" s="443">
        <v>1615</v>
      </c>
      <c r="F29" s="443" t="s">
        <v>928</v>
      </c>
      <c r="G29" s="64" t="s">
        <v>874</v>
      </c>
      <c r="H29" s="443"/>
      <c r="I29" s="456" t="s">
        <v>875</v>
      </c>
      <c r="J29" s="443">
        <v>1</v>
      </c>
      <c r="K29" s="443">
        <v>1</v>
      </c>
      <c r="L29" s="443">
        <f t="shared" si="0"/>
        <v>2</v>
      </c>
      <c r="M29" s="443"/>
      <c r="N29" s="443">
        <v>1</v>
      </c>
      <c r="O29" s="448"/>
      <c r="P29" s="448">
        <v>1</v>
      </c>
      <c r="Q29" s="450"/>
      <c r="R29" s="450">
        <v>1</v>
      </c>
      <c r="S29" s="450"/>
      <c r="T29" s="566"/>
      <c r="U29" s="451" t="s">
        <v>876</v>
      </c>
      <c r="V29" s="58"/>
      <c r="W29" s="58">
        <v>1</v>
      </c>
      <c r="X29" s="59"/>
      <c r="Y29" s="60"/>
      <c r="Z29" s="61"/>
      <c r="AA29" s="60"/>
    </row>
    <row r="30" spans="2:27" ht="12.75" customHeight="1" x14ac:dyDescent="0.25">
      <c r="B30" s="62">
        <v>26</v>
      </c>
      <c r="C30" s="55" t="s">
        <v>933</v>
      </c>
      <c r="D30" s="55" t="s">
        <v>927</v>
      </c>
      <c r="E30" s="443">
        <v>1617</v>
      </c>
      <c r="F30" s="443" t="s">
        <v>928</v>
      </c>
      <c r="G30" s="64" t="s">
        <v>874</v>
      </c>
      <c r="H30" s="443"/>
      <c r="I30" s="456" t="s">
        <v>875</v>
      </c>
      <c r="J30" s="443">
        <v>1</v>
      </c>
      <c r="K30" s="443">
        <v>1</v>
      </c>
      <c r="L30" s="443">
        <f t="shared" si="0"/>
        <v>2</v>
      </c>
      <c r="M30" s="443"/>
      <c r="N30" s="443">
        <v>1</v>
      </c>
      <c r="O30" s="448"/>
      <c r="P30" s="448">
        <v>1</v>
      </c>
      <c r="Q30" s="450"/>
      <c r="R30" s="450">
        <v>1</v>
      </c>
      <c r="S30" s="450"/>
      <c r="T30" s="566"/>
      <c r="U30" s="451" t="s">
        <v>876</v>
      </c>
      <c r="V30" s="58"/>
      <c r="W30" s="58">
        <v>1</v>
      </c>
      <c r="X30" s="59"/>
      <c r="Y30" s="60"/>
      <c r="Z30" s="61"/>
      <c r="AA30" s="60"/>
    </row>
    <row r="31" spans="2:27" ht="12.75" customHeight="1" x14ac:dyDescent="0.25">
      <c r="B31" s="62">
        <v>27</v>
      </c>
      <c r="C31" s="55" t="s">
        <v>934</v>
      </c>
      <c r="D31" s="55" t="s">
        <v>927</v>
      </c>
      <c r="E31" s="443">
        <v>1616</v>
      </c>
      <c r="F31" s="443" t="s">
        <v>928</v>
      </c>
      <c r="G31" s="64" t="s">
        <v>874</v>
      </c>
      <c r="H31" s="443"/>
      <c r="I31" s="456" t="s">
        <v>875</v>
      </c>
      <c r="J31" s="443">
        <v>1</v>
      </c>
      <c r="K31" s="443">
        <v>1</v>
      </c>
      <c r="L31" s="443">
        <f t="shared" si="0"/>
        <v>2</v>
      </c>
      <c r="M31" s="443"/>
      <c r="N31" s="443">
        <v>1</v>
      </c>
      <c r="O31" s="448"/>
      <c r="P31" s="448">
        <v>1</v>
      </c>
      <c r="Q31" s="450"/>
      <c r="R31" s="450">
        <v>1</v>
      </c>
      <c r="S31" s="450"/>
      <c r="T31" s="566"/>
      <c r="U31" s="451" t="s">
        <v>876</v>
      </c>
      <c r="V31" s="58"/>
      <c r="W31" s="58">
        <v>1</v>
      </c>
      <c r="X31" s="59"/>
      <c r="Y31" s="60"/>
      <c r="Z31" s="61"/>
      <c r="AA31" s="60"/>
    </row>
    <row r="32" spans="2:27" ht="12.75" customHeight="1" x14ac:dyDescent="0.25">
      <c r="B32" s="62">
        <v>28</v>
      </c>
      <c r="C32" s="55" t="s">
        <v>935</v>
      </c>
      <c r="D32" s="55" t="s">
        <v>927</v>
      </c>
      <c r="E32" s="443">
        <v>1618</v>
      </c>
      <c r="F32" s="443" t="s">
        <v>928</v>
      </c>
      <c r="G32" s="64" t="s">
        <v>874</v>
      </c>
      <c r="H32" s="443"/>
      <c r="I32" s="456" t="s">
        <v>875</v>
      </c>
      <c r="J32" s="443">
        <v>1</v>
      </c>
      <c r="K32" s="443">
        <v>1</v>
      </c>
      <c r="L32" s="443">
        <f t="shared" si="0"/>
        <v>2</v>
      </c>
      <c r="M32" s="443"/>
      <c r="N32" s="443">
        <v>1</v>
      </c>
      <c r="O32" s="448"/>
      <c r="P32" s="448">
        <v>1</v>
      </c>
      <c r="Q32" s="450"/>
      <c r="R32" s="450">
        <v>1</v>
      </c>
      <c r="S32" s="450"/>
      <c r="T32" s="566"/>
      <c r="U32" s="451" t="s">
        <v>876</v>
      </c>
      <c r="V32" s="58"/>
      <c r="W32" s="58">
        <v>1</v>
      </c>
      <c r="X32" s="59"/>
      <c r="Y32" s="60"/>
      <c r="Z32" s="61"/>
      <c r="AA32" s="60"/>
    </row>
    <row r="33" spans="2:27" ht="12.75" customHeight="1" x14ac:dyDescent="0.25">
      <c r="B33" s="62">
        <v>29</v>
      </c>
      <c r="C33" s="55" t="s">
        <v>936</v>
      </c>
      <c r="D33" s="55" t="s">
        <v>927</v>
      </c>
      <c r="E33" s="443">
        <v>1619</v>
      </c>
      <c r="F33" s="443" t="s">
        <v>928</v>
      </c>
      <c r="G33" s="64" t="s">
        <v>874</v>
      </c>
      <c r="H33" s="443"/>
      <c r="I33" s="456" t="s">
        <v>875</v>
      </c>
      <c r="J33" s="443">
        <v>1</v>
      </c>
      <c r="K33" s="443">
        <v>1</v>
      </c>
      <c r="L33" s="443">
        <f t="shared" si="0"/>
        <v>2</v>
      </c>
      <c r="M33" s="443"/>
      <c r="N33" s="443">
        <v>1</v>
      </c>
      <c r="O33" s="448"/>
      <c r="P33" s="448">
        <v>1</v>
      </c>
      <c r="Q33" s="450"/>
      <c r="R33" s="450">
        <v>1</v>
      </c>
      <c r="S33" s="450"/>
      <c r="T33" s="566"/>
      <c r="U33" s="451" t="s">
        <v>876</v>
      </c>
      <c r="V33" s="58"/>
      <c r="W33" s="58">
        <v>1</v>
      </c>
      <c r="X33" s="59"/>
      <c r="Y33" s="60"/>
      <c r="Z33" s="61"/>
      <c r="AA33" s="60"/>
    </row>
    <row r="34" spans="2:27" ht="12.75" customHeight="1" x14ac:dyDescent="0.25">
      <c r="B34" s="62">
        <v>30</v>
      </c>
      <c r="C34" s="55" t="s">
        <v>937</v>
      </c>
      <c r="D34" s="55" t="s">
        <v>927</v>
      </c>
      <c r="E34" s="443">
        <v>1620</v>
      </c>
      <c r="F34" s="443" t="s">
        <v>928</v>
      </c>
      <c r="G34" s="64" t="s">
        <v>874</v>
      </c>
      <c r="H34" s="443"/>
      <c r="I34" s="456" t="s">
        <v>875</v>
      </c>
      <c r="J34" s="443">
        <v>1</v>
      </c>
      <c r="K34" s="443">
        <v>1</v>
      </c>
      <c r="L34" s="443">
        <f t="shared" si="0"/>
        <v>2</v>
      </c>
      <c r="M34" s="443"/>
      <c r="N34" s="443">
        <v>1</v>
      </c>
      <c r="O34" s="448"/>
      <c r="P34" s="448">
        <v>1</v>
      </c>
      <c r="Q34" s="450"/>
      <c r="R34" s="450">
        <v>1</v>
      </c>
      <c r="S34" s="450"/>
      <c r="T34" s="566"/>
      <c r="U34" s="451" t="s">
        <v>876</v>
      </c>
      <c r="V34" s="58"/>
      <c r="W34" s="58">
        <v>1</v>
      </c>
      <c r="X34" s="59"/>
      <c r="Y34" s="60"/>
      <c r="Z34" s="61"/>
      <c r="AA34" s="60"/>
    </row>
    <row r="35" spans="2:27" ht="12.75" customHeight="1" x14ac:dyDescent="0.25">
      <c r="B35" s="62">
        <v>31</v>
      </c>
      <c r="C35" s="55" t="s">
        <v>938</v>
      </c>
      <c r="D35" s="55" t="s">
        <v>927</v>
      </c>
      <c r="E35" s="443">
        <v>1621</v>
      </c>
      <c r="F35" s="443" t="s">
        <v>928</v>
      </c>
      <c r="G35" s="64" t="s">
        <v>874</v>
      </c>
      <c r="H35" s="443"/>
      <c r="I35" s="456" t="s">
        <v>875</v>
      </c>
      <c r="J35" s="443">
        <v>1</v>
      </c>
      <c r="K35" s="443">
        <v>1</v>
      </c>
      <c r="L35" s="443">
        <f t="shared" si="0"/>
        <v>2</v>
      </c>
      <c r="M35" s="443"/>
      <c r="N35" s="443">
        <v>1</v>
      </c>
      <c r="O35" s="448"/>
      <c r="P35" s="448">
        <v>1</v>
      </c>
      <c r="Q35" s="450"/>
      <c r="R35" s="450">
        <v>1</v>
      </c>
      <c r="S35" s="450"/>
      <c r="T35" s="566"/>
      <c r="U35" s="451" t="s">
        <v>876</v>
      </c>
      <c r="V35" s="58"/>
      <c r="W35" s="58">
        <v>1</v>
      </c>
      <c r="X35" s="59"/>
      <c r="Y35" s="60"/>
      <c r="Z35" s="61"/>
      <c r="AA35" s="60"/>
    </row>
    <row r="36" spans="2:27" ht="12.75" customHeight="1" x14ac:dyDescent="0.25">
      <c r="B36" s="62">
        <v>32</v>
      </c>
      <c r="C36" s="55" t="s">
        <v>939</v>
      </c>
      <c r="D36" s="55" t="s">
        <v>927</v>
      </c>
      <c r="E36" s="443">
        <v>1622</v>
      </c>
      <c r="F36" s="443" t="s">
        <v>928</v>
      </c>
      <c r="G36" s="64" t="s">
        <v>874</v>
      </c>
      <c r="H36" s="443"/>
      <c r="I36" s="456" t="s">
        <v>875</v>
      </c>
      <c r="J36" s="443">
        <v>1</v>
      </c>
      <c r="K36" s="443">
        <v>1</v>
      </c>
      <c r="L36" s="443">
        <f t="shared" si="0"/>
        <v>2</v>
      </c>
      <c r="M36" s="443"/>
      <c r="N36" s="443">
        <v>1</v>
      </c>
      <c r="O36" s="448"/>
      <c r="P36" s="448">
        <v>1</v>
      </c>
      <c r="Q36" s="450"/>
      <c r="R36" s="450">
        <v>1</v>
      </c>
      <c r="S36" s="450"/>
      <c r="T36" s="566"/>
      <c r="U36" s="451" t="s">
        <v>876</v>
      </c>
      <c r="V36" s="58"/>
      <c r="W36" s="58">
        <v>1</v>
      </c>
      <c r="X36" s="59"/>
      <c r="Y36" s="60"/>
      <c r="Z36" s="61"/>
      <c r="AA36" s="60"/>
    </row>
    <row r="37" spans="2:27" ht="12.75" customHeight="1" x14ac:dyDescent="0.25">
      <c r="B37" s="62">
        <v>33</v>
      </c>
      <c r="C37" s="55" t="s">
        <v>940</v>
      </c>
      <c r="D37" s="55" t="s">
        <v>927</v>
      </c>
      <c r="E37" s="443">
        <v>1624</v>
      </c>
      <c r="F37" s="443" t="s">
        <v>928</v>
      </c>
      <c r="G37" s="56" t="s">
        <v>874</v>
      </c>
      <c r="H37" s="443" t="s">
        <v>880</v>
      </c>
      <c r="I37" s="57" t="s">
        <v>875</v>
      </c>
      <c r="J37" s="443">
        <v>1</v>
      </c>
      <c r="K37" s="443">
        <v>1</v>
      </c>
      <c r="L37" s="443">
        <f t="shared" si="0"/>
        <v>2</v>
      </c>
      <c r="M37" s="443"/>
      <c r="N37" s="443">
        <v>1</v>
      </c>
      <c r="O37" s="448"/>
      <c r="P37" s="448">
        <v>1</v>
      </c>
      <c r="Q37" s="450"/>
      <c r="R37" s="450">
        <v>1</v>
      </c>
      <c r="S37" s="450"/>
      <c r="T37" s="451"/>
      <c r="U37" s="451" t="s">
        <v>876</v>
      </c>
      <c r="V37" s="58"/>
      <c r="W37" s="58">
        <v>1</v>
      </c>
      <c r="X37" s="59"/>
      <c r="Y37" s="60"/>
      <c r="Z37" s="61"/>
      <c r="AA37" s="60"/>
    </row>
    <row r="38" spans="2:27" ht="12.75" customHeight="1" x14ac:dyDescent="0.25">
      <c r="B38" s="62">
        <v>34</v>
      </c>
      <c r="C38" s="55" t="s">
        <v>318</v>
      </c>
      <c r="D38" s="55" t="s">
        <v>941</v>
      </c>
      <c r="E38" s="443">
        <v>110</v>
      </c>
      <c r="F38" s="443" t="s">
        <v>942</v>
      </c>
      <c r="G38" s="56" t="s">
        <v>874</v>
      </c>
      <c r="H38" s="443" t="s">
        <v>943</v>
      </c>
      <c r="I38" s="57" t="s">
        <v>875</v>
      </c>
      <c r="J38" s="443">
        <v>1</v>
      </c>
      <c r="K38" s="443">
        <v>1</v>
      </c>
      <c r="L38" s="443">
        <f t="shared" si="0"/>
        <v>2</v>
      </c>
      <c r="M38" s="443">
        <v>1</v>
      </c>
      <c r="N38" s="443">
        <v>1</v>
      </c>
      <c r="O38" s="448">
        <v>1</v>
      </c>
      <c r="P38" s="448">
        <v>1</v>
      </c>
      <c r="Q38" s="450"/>
      <c r="R38" s="450"/>
      <c r="S38" s="450"/>
      <c r="T38" s="451"/>
      <c r="U38" s="451" t="s">
        <v>876</v>
      </c>
      <c r="V38" s="58">
        <v>1</v>
      </c>
      <c r="W38" s="58">
        <v>1</v>
      </c>
      <c r="X38" s="59"/>
      <c r="Y38" s="60"/>
      <c r="Z38" s="61"/>
      <c r="AA38" s="60"/>
    </row>
    <row r="39" spans="2:27" ht="12.75" customHeight="1" x14ac:dyDescent="0.25">
      <c r="B39" s="62">
        <v>35</v>
      </c>
      <c r="C39" s="55" t="s">
        <v>944</v>
      </c>
      <c r="D39" s="71" t="s">
        <v>945</v>
      </c>
      <c r="E39" s="443">
        <v>171</v>
      </c>
      <c r="F39" s="72" t="s">
        <v>946</v>
      </c>
      <c r="G39" s="56" t="s">
        <v>874</v>
      </c>
      <c r="H39" s="443" t="s">
        <v>947</v>
      </c>
      <c r="I39" s="57" t="s">
        <v>875</v>
      </c>
      <c r="J39" s="443">
        <v>1</v>
      </c>
      <c r="K39" s="443">
        <v>2</v>
      </c>
      <c r="L39" s="443">
        <f t="shared" si="0"/>
        <v>4</v>
      </c>
      <c r="M39" s="443">
        <v>1</v>
      </c>
      <c r="N39" s="443">
        <v>1</v>
      </c>
      <c r="O39" s="448">
        <v>1</v>
      </c>
      <c r="P39" s="448">
        <v>1</v>
      </c>
      <c r="Q39" s="450"/>
      <c r="R39" s="450"/>
      <c r="S39" s="450"/>
      <c r="T39" s="451"/>
      <c r="U39" s="451" t="s">
        <v>876</v>
      </c>
      <c r="V39" s="58">
        <v>1</v>
      </c>
      <c r="W39" s="58">
        <v>1</v>
      </c>
      <c r="X39" s="59"/>
      <c r="Y39" s="60"/>
      <c r="Z39" s="61"/>
      <c r="AA39" s="60"/>
    </row>
    <row r="40" spans="2:27" ht="12.75" customHeight="1" x14ac:dyDescent="0.25">
      <c r="B40" s="62">
        <v>36</v>
      </c>
      <c r="C40" s="55" t="s">
        <v>948</v>
      </c>
      <c r="D40" s="71" t="s">
        <v>949</v>
      </c>
      <c r="E40" s="443">
        <v>3411</v>
      </c>
      <c r="F40" s="72" t="s">
        <v>950</v>
      </c>
      <c r="G40" s="64" t="s">
        <v>874</v>
      </c>
      <c r="H40" s="443"/>
      <c r="I40" s="456" t="s">
        <v>875</v>
      </c>
      <c r="J40" s="443">
        <v>1</v>
      </c>
      <c r="K40" s="443">
        <v>1</v>
      </c>
      <c r="L40" s="443">
        <f t="shared" si="0"/>
        <v>2</v>
      </c>
      <c r="M40" s="443">
        <v>1</v>
      </c>
      <c r="N40" s="443"/>
      <c r="O40" s="448"/>
      <c r="P40" s="448"/>
      <c r="Q40" s="450"/>
      <c r="R40" s="450"/>
      <c r="S40" s="450"/>
      <c r="T40" s="451"/>
      <c r="U40" s="451" t="s">
        <v>876</v>
      </c>
      <c r="V40" s="58">
        <v>1</v>
      </c>
      <c r="W40" s="58"/>
      <c r="X40" s="59"/>
      <c r="Y40" s="60"/>
      <c r="Z40" s="61"/>
      <c r="AA40" s="60"/>
    </row>
    <row r="41" spans="2:27" ht="12.75" customHeight="1" x14ac:dyDescent="0.25">
      <c r="B41" s="62">
        <v>37</v>
      </c>
      <c r="C41" s="55" t="s">
        <v>951</v>
      </c>
      <c r="D41" s="71" t="s">
        <v>949</v>
      </c>
      <c r="E41" s="443">
        <v>1820</v>
      </c>
      <c r="F41" s="72" t="s">
        <v>950</v>
      </c>
      <c r="G41" s="64" t="s">
        <v>874</v>
      </c>
      <c r="H41" s="443"/>
      <c r="I41" s="456" t="s">
        <v>875</v>
      </c>
      <c r="J41" s="443">
        <v>1</v>
      </c>
      <c r="K41" s="443">
        <v>1</v>
      </c>
      <c r="L41" s="443">
        <f t="shared" si="0"/>
        <v>2</v>
      </c>
      <c r="M41" s="443">
        <v>1</v>
      </c>
      <c r="N41" s="443"/>
      <c r="O41" s="448"/>
      <c r="P41" s="448"/>
      <c r="Q41" s="450"/>
      <c r="R41" s="450"/>
      <c r="S41" s="450"/>
      <c r="T41" s="451"/>
      <c r="U41" s="451" t="s">
        <v>876</v>
      </c>
      <c r="V41" s="58">
        <v>1</v>
      </c>
      <c r="W41" s="58"/>
      <c r="X41" s="59"/>
      <c r="Y41" s="60"/>
      <c r="Z41" s="61"/>
      <c r="AA41" s="60"/>
    </row>
    <row r="42" spans="2:27" ht="12.75" customHeight="1" x14ac:dyDescent="0.25">
      <c r="B42" s="62">
        <v>38</v>
      </c>
      <c r="C42" s="55" t="s">
        <v>952</v>
      </c>
      <c r="D42" s="71" t="s">
        <v>949</v>
      </c>
      <c r="E42" s="443">
        <v>1821</v>
      </c>
      <c r="F42" s="72" t="s">
        <v>950</v>
      </c>
      <c r="G42" s="64" t="s">
        <v>874</v>
      </c>
      <c r="H42" s="443"/>
      <c r="I42" s="456" t="s">
        <v>875</v>
      </c>
      <c r="J42" s="443">
        <v>1</v>
      </c>
      <c r="K42" s="443">
        <v>1</v>
      </c>
      <c r="L42" s="443">
        <f t="shared" si="0"/>
        <v>2</v>
      </c>
      <c r="M42" s="443">
        <v>1</v>
      </c>
      <c r="N42" s="443"/>
      <c r="O42" s="448"/>
      <c r="P42" s="448"/>
      <c r="Q42" s="450"/>
      <c r="R42" s="450"/>
      <c r="S42" s="450"/>
      <c r="T42" s="451"/>
      <c r="U42" s="451" t="s">
        <v>876</v>
      </c>
      <c r="V42" s="58">
        <v>1</v>
      </c>
      <c r="W42" s="58"/>
      <c r="X42" s="59"/>
      <c r="Y42" s="60"/>
      <c r="Z42" s="61"/>
      <c r="AA42" s="60"/>
    </row>
    <row r="43" spans="2:27" ht="12.75" customHeight="1" x14ac:dyDescent="0.25">
      <c r="B43" s="62">
        <v>39</v>
      </c>
      <c r="C43" s="55" t="s">
        <v>953</v>
      </c>
      <c r="D43" s="71" t="s">
        <v>954</v>
      </c>
      <c r="E43" s="443" t="s">
        <v>955</v>
      </c>
      <c r="F43" s="72" t="s">
        <v>956</v>
      </c>
      <c r="G43" s="56" t="s">
        <v>874</v>
      </c>
      <c r="H43" s="443"/>
      <c r="I43" s="57" t="s">
        <v>875</v>
      </c>
      <c r="J43" s="443">
        <v>1</v>
      </c>
      <c r="K43" s="443">
        <v>8</v>
      </c>
      <c r="L43" s="443">
        <f t="shared" si="0"/>
        <v>16</v>
      </c>
      <c r="M43" s="443">
        <v>1</v>
      </c>
      <c r="N43" s="443"/>
      <c r="O43" s="448"/>
      <c r="P43" s="448"/>
      <c r="Q43" s="450"/>
      <c r="R43" s="450"/>
      <c r="S43" s="450"/>
      <c r="T43" s="451"/>
      <c r="U43" s="451" t="s">
        <v>876</v>
      </c>
      <c r="V43" s="58">
        <v>1</v>
      </c>
      <c r="W43" s="58"/>
      <c r="X43" s="59"/>
      <c r="Y43" s="60"/>
      <c r="Z43" s="61"/>
      <c r="AA43" s="60"/>
    </row>
    <row r="44" spans="2:27" ht="12.75" customHeight="1" x14ac:dyDescent="0.25">
      <c r="B44" s="62">
        <v>40</v>
      </c>
      <c r="C44" s="55" t="s">
        <v>957</v>
      </c>
      <c r="D44" s="71" t="s">
        <v>958</v>
      </c>
      <c r="E44" s="443" t="s">
        <v>959</v>
      </c>
      <c r="F44" s="72" t="s">
        <v>960</v>
      </c>
      <c r="G44" s="56" t="s">
        <v>874</v>
      </c>
      <c r="H44" s="443"/>
      <c r="I44" s="57" t="s">
        <v>875</v>
      </c>
      <c r="J44" s="443">
        <v>1</v>
      </c>
      <c r="K44" s="443">
        <v>6</v>
      </c>
      <c r="L44" s="443">
        <f t="shared" si="0"/>
        <v>12</v>
      </c>
      <c r="M44" s="443">
        <v>1</v>
      </c>
      <c r="N44" s="443"/>
      <c r="O44" s="448">
        <v>1</v>
      </c>
      <c r="P44" s="448"/>
      <c r="Q44" s="450">
        <v>1</v>
      </c>
      <c r="R44" s="450"/>
      <c r="S44" s="450"/>
      <c r="T44" s="451"/>
      <c r="U44" s="451" t="s">
        <v>876</v>
      </c>
      <c r="V44" s="58">
        <v>1</v>
      </c>
      <c r="W44" s="58"/>
      <c r="X44" s="59"/>
      <c r="Y44" s="60"/>
      <c r="Z44" s="61"/>
      <c r="AA44" s="60"/>
    </row>
    <row r="45" spans="2:27" ht="12.75" customHeight="1" x14ac:dyDescent="0.25">
      <c r="B45" s="62">
        <v>41</v>
      </c>
      <c r="C45" s="55" t="s">
        <v>961</v>
      </c>
      <c r="D45" s="73" t="s">
        <v>962</v>
      </c>
      <c r="E45" s="443">
        <v>1087</v>
      </c>
      <c r="F45" s="72" t="s">
        <v>963</v>
      </c>
      <c r="G45" s="56" t="s">
        <v>874</v>
      </c>
      <c r="H45" s="443" t="s">
        <v>964</v>
      </c>
      <c r="I45" s="57" t="s">
        <v>875</v>
      </c>
      <c r="J45" s="443">
        <v>1</v>
      </c>
      <c r="K45" s="443">
        <v>1</v>
      </c>
      <c r="L45" s="443">
        <f t="shared" si="0"/>
        <v>2</v>
      </c>
      <c r="M45" s="443">
        <v>1</v>
      </c>
      <c r="N45" s="443"/>
      <c r="O45" s="448"/>
      <c r="P45" s="448"/>
      <c r="Q45" s="450"/>
      <c r="R45" s="450"/>
      <c r="S45" s="450"/>
      <c r="T45" s="451"/>
      <c r="U45" s="451" t="s">
        <v>876</v>
      </c>
      <c r="V45" s="58">
        <v>1</v>
      </c>
      <c r="W45" s="58"/>
      <c r="X45" s="59"/>
      <c r="Y45" s="60"/>
      <c r="Z45" s="61"/>
      <c r="AA45" s="60"/>
    </row>
    <row r="46" spans="2:27" ht="12.75" customHeight="1" x14ac:dyDescent="0.25">
      <c r="B46" s="62">
        <v>42</v>
      </c>
      <c r="C46" s="55" t="s">
        <v>965</v>
      </c>
      <c r="D46" s="71" t="s">
        <v>962</v>
      </c>
      <c r="E46" s="443">
        <v>1088</v>
      </c>
      <c r="F46" s="72" t="s">
        <v>963</v>
      </c>
      <c r="G46" s="56" t="s">
        <v>874</v>
      </c>
      <c r="H46" s="443" t="s">
        <v>964</v>
      </c>
      <c r="I46" s="57" t="s">
        <v>875</v>
      </c>
      <c r="J46" s="443">
        <v>1</v>
      </c>
      <c r="K46" s="443">
        <v>1</v>
      </c>
      <c r="L46" s="443">
        <f t="shared" si="0"/>
        <v>2</v>
      </c>
      <c r="M46" s="443">
        <v>1</v>
      </c>
      <c r="N46" s="443"/>
      <c r="O46" s="448"/>
      <c r="P46" s="448"/>
      <c r="Q46" s="450"/>
      <c r="R46" s="450"/>
      <c r="S46" s="450"/>
      <c r="T46" s="451"/>
      <c r="U46" s="451" t="s">
        <v>876</v>
      </c>
      <c r="V46" s="58">
        <v>1</v>
      </c>
      <c r="W46" s="58"/>
      <c r="X46" s="59"/>
      <c r="Y46" s="60"/>
      <c r="Z46" s="61"/>
      <c r="AA46" s="60"/>
    </row>
    <row r="47" spans="2:27" ht="12.75" customHeight="1" x14ac:dyDescent="0.25">
      <c r="B47" s="62">
        <v>43</v>
      </c>
      <c r="C47" s="55" t="s">
        <v>966</v>
      </c>
      <c r="D47" s="71" t="s">
        <v>967</v>
      </c>
      <c r="E47" s="443">
        <v>3353</v>
      </c>
      <c r="F47" s="72" t="s">
        <v>968</v>
      </c>
      <c r="G47" s="64" t="s">
        <v>874</v>
      </c>
      <c r="H47" s="443"/>
      <c r="I47" s="456" t="s">
        <v>875</v>
      </c>
      <c r="J47" s="443">
        <v>1</v>
      </c>
      <c r="K47" s="443">
        <v>1</v>
      </c>
      <c r="L47" s="443">
        <f t="shared" si="0"/>
        <v>2</v>
      </c>
      <c r="M47" s="443">
        <v>1</v>
      </c>
      <c r="N47" s="443"/>
      <c r="O47" s="570"/>
      <c r="P47" s="570"/>
      <c r="Q47" s="571"/>
      <c r="R47" s="571"/>
      <c r="S47" s="450"/>
      <c r="T47" s="566"/>
      <c r="U47" s="451" t="s">
        <v>876</v>
      </c>
      <c r="V47" s="58">
        <v>1</v>
      </c>
      <c r="W47" s="560"/>
      <c r="X47" s="562"/>
      <c r="Y47" s="557"/>
      <c r="Z47" s="564"/>
      <c r="AA47" s="557"/>
    </row>
    <row r="48" spans="2:27" ht="12.75" customHeight="1" x14ac:dyDescent="0.25">
      <c r="B48" s="62">
        <v>44</v>
      </c>
      <c r="C48" s="55" t="s">
        <v>969</v>
      </c>
      <c r="D48" s="71" t="s">
        <v>967</v>
      </c>
      <c r="E48" s="443">
        <v>3354</v>
      </c>
      <c r="F48" s="72" t="s">
        <v>968</v>
      </c>
      <c r="G48" s="64" t="s">
        <v>874</v>
      </c>
      <c r="H48" s="443"/>
      <c r="I48" s="456" t="s">
        <v>875</v>
      </c>
      <c r="J48" s="443">
        <v>1</v>
      </c>
      <c r="K48" s="443">
        <v>1</v>
      </c>
      <c r="L48" s="443">
        <f t="shared" si="0"/>
        <v>2</v>
      </c>
      <c r="M48" s="443">
        <v>1</v>
      </c>
      <c r="N48" s="443"/>
      <c r="O48" s="570"/>
      <c r="P48" s="570"/>
      <c r="Q48" s="571"/>
      <c r="R48" s="571"/>
      <c r="S48" s="450"/>
      <c r="T48" s="566"/>
      <c r="U48" s="451" t="s">
        <v>876</v>
      </c>
      <c r="V48" s="58">
        <v>1</v>
      </c>
      <c r="W48" s="567"/>
      <c r="X48" s="568"/>
      <c r="Y48" s="558"/>
      <c r="Z48" s="569"/>
      <c r="AA48" s="558"/>
    </row>
    <row r="49" spans="1:27" ht="12.75" customHeight="1" x14ac:dyDescent="0.25">
      <c r="B49" s="62">
        <v>45</v>
      </c>
      <c r="C49" s="55" t="s">
        <v>970</v>
      </c>
      <c r="D49" s="71" t="s">
        <v>967</v>
      </c>
      <c r="E49" s="443">
        <v>3355</v>
      </c>
      <c r="F49" s="72" t="s">
        <v>968</v>
      </c>
      <c r="G49" s="64" t="s">
        <v>874</v>
      </c>
      <c r="H49" s="443"/>
      <c r="I49" s="456" t="s">
        <v>875</v>
      </c>
      <c r="J49" s="443">
        <v>1</v>
      </c>
      <c r="K49" s="443">
        <v>1</v>
      </c>
      <c r="L49" s="443">
        <f t="shared" si="0"/>
        <v>2</v>
      </c>
      <c r="M49" s="443">
        <v>1</v>
      </c>
      <c r="N49" s="443"/>
      <c r="O49" s="570"/>
      <c r="P49" s="570"/>
      <c r="Q49" s="571"/>
      <c r="R49" s="571"/>
      <c r="S49" s="450"/>
      <c r="T49" s="566"/>
      <c r="U49" s="451" t="s">
        <v>876</v>
      </c>
      <c r="V49" s="58">
        <v>1</v>
      </c>
      <c r="W49" s="567"/>
      <c r="X49" s="568"/>
      <c r="Y49" s="558"/>
      <c r="Z49" s="569"/>
      <c r="AA49" s="558"/>
    </row>
    <row r="50" spans="1:27" ht="12.75" customHeight="1" x14ac:dyDescent="0.25">
      <c r="B50" s="62">
        <v>46</v>
      </c>
      <c r="C50" s="55" t="s">
        <v>971</v>
      </c>
      <c r="D50" s="71" t="s">
        <v>967</v>
      </c>
      <c r="E50" s="443">
        <v>3356</v>
      </c>
      <c r="F50" s="72" t="s">
        <v>968</v>
      </c>
      <c r="G50" s="64" t="s">
        <v>874</v>
      </c>
      <c r="H50" s="443"/>
      <c r="I50" s="456" t="s">
        <v>875</v>
      </c>
      <c r="J50" s="443">
        <v>1</v>
      </c>
      <c r="K50" s="443">
        <v>1</v>
      </c>
      <c r="L50" s="443">
        <f t="shared" si="0"/>
        <v>2</v>
      </c>
      <c r="M50" s="443">
        <v>1</v>
      </c>
      <c r="N50" s="443"/>
      <c r="O50" s="570"/>
      <c r="P50" s="570"/>
      <c r="Q50" s="571"/>
      <c r="R50" s="571"/>
      <c r="S50" s="450"/>
      <c r="T50" s="566"/>
      <c r="U50" s="451" t="s">
        <v>876</v>
      </c>
      <c r="V50" s="58">
        <v>1</v>
      </c>
      <c r="W50" s="561"/>
      <c r="X50" s="563"/>
      <c r="Y50" s="559"/>
      <c r="Z50" s="565"/>
      <c r="AA50" s="559"/>
    </row>
    <row r="51" spans="1:27" ht="12.75" customHeight="1" x14ac:dyDescent="0.25">
      <c r="B51" s="62">
        <v>47</v>
      </c>
      <c r="C51" s="74" t="s">
        <v>972</v>
      </c>
      <c r="D51" s="74" t="s">
        <v>973</v>
      </c>
      <c r="E51" s="443">
        <v>524</v>
      </c>
      <c r="F51" s="443" t="s">
        <v>974</v>
      </c>
      <c r="G51" s="64" t="s">
        <v>874</v>
      </c>
      <c r="H51" s="466" t="s">
        <v>4465</v>
      </c>
      <c r="I51" s="456" t="s">
        <v>875</v>
      </c>
      <c r="J51" s="443">
        <v>1</v>
      </c>
      <c r="K51" s="443">
        <v>1</v>
      </c>
      <c r="L51" s="443">
        <f t="shared" si="0"/>
        <v>2</v>
      </c>
      <c r="M51" s="443">
        <v>1</v>
      </c>
      <c r="N51" s="443"/>
      <c r="O51" s="570"/>
      <c r="P51" s="570"/>
      <c r="Q51" s="571"/>
      <c r="R51" s="571"/>
      <c r="S51" s="450"/>
      <c r="T51" s="566"/>
      <c r="U51" s="451" t="s">
        <v>876</v>
      </c>
      <c r="V51" s="58">
        <v>1</v>
      </c>
      <c r="W51" s="560"/>
      <c r="X51" s="562"/>
      <c r="Y51" s="557"/>
      <c r="Z51" s="564"/>
      <c r="AA51" s="557"/>
    </row>
    <row r="52" spans="1:27" ht="12.75" customHeight="1" x14ac:dyDescent="0.25">
      <c r="B52" s="62">
        <v>48</v>
      </c>
      <c r="C52" s="74" t="s">
        <v>975</v>
      </c>
      <c r="D52" s="74" t="s">
        <v>973</v>
      </c>
      <c r="E52" s="443">
        <v>523</v>
      </c>
      <c r="F52" s="443" t="s">
        <v>974</v>
      </c>
      <c r="G52" s="64" t="s">
        <v>874</v>
      </c>
      <c r="H52" s="466" t="s">
        <v>4465</v>
      </c>
      <c r="I52" s="456" t="s">
        <v>875</v>
      </c>
      <c r="J52" s="443">
        <v>1</v>
      </c>
      <c r="K52" s="443">
        <v>1</v>
      </c>
      <c r="L52" s="443">
        <f t="shared" si="0"/>
        <v>2</v>
      </c>
      <c r="M52" s="443">
        <v>1</v>
      </c>
      <c r="N52" s="443"/>
      <c r="O52" s="570"/>
      <c r="P52" s="570"/>
      <c r="Q52" s="571"/>
      <c r="R52" s="571"/>
      <c r="S52" s="450"/>
      <c r="T52" s="566"/>
      <c r="U52" s="451" t="s">
        <v>876</v>
      </c>
      <c r="V52" s="58">
        <v>1</v>
      </c>
      <c r="W52" s="561"/>
      <c r="X52" s="563"/>
      <c r="Y52" s="559"/>
      <c r="Z52" s="565"/>
      <c r="AA52" s="559"/>
    </row>
    <row r="53" spans="1:27" ht="12.75" customHeight="1" x14ac:dyDescent="0.25">
      <c r="B53" s="62">
        <v>49</v>
      </c>
      <c r="C53" s="69" t="s">
        <v>976</v>
      </c>
      <c r="D53" s="71" t="s">
        <v>977</v>
      </c>
      <c r="E53" s="443">
        <v>1725</v>
      </c>
      <c r="F53" s="72" t="s">
        <v>978</v>
      </c>
      <c r="G53" s="64" t="s">
        <v>874</v>
      </c>
      <c r="H53" s="65" t="s">
        <v>979</v>
      </c>
      <c r="I53" s="456" t="s">
        <v>875</v>
      </c>
      <c r="J53" s="443">
        <v>1</v>
      </c>
      <c r="K53" s="443">
        <v>1</v>
      </c>
      <c r="L53" s="443">
        <f t="shared" si="0"/>
        <v>2</v>
      </c>
      <c r="M53" s="443">
        <v>1</v>
      </c>
      <c r="N53" s="443"/>
      <c r="O53" s="448">
        <v>1</v>
      </c>
      <c r="P53" s="448"/>
      <c r="Q53" s="450">
        <v>1</v>
      </c>
      <c r="R53" s="450"/>
      <c r="S53" s="450"/>
      <c r="T53" s="566"/>
      <c r="U53" s="451" t="s">
        <v>876</v>
      </c>
      <c r="V53" s="58">
        <v>1</v>
      </c>
      <c r="W53" s="560"/>
      <c r="X53" s="562"/>
      <c r="Y53" s="557"/>
      <c r="Z53" s="564"/>
      <c r="AA53" s="557"/>
    </row>
    <row r="54" spans="1:27" ht="12.75" customHeight="1" x14ac:dyDescent="0.25">
      <c r="B54" s="62">
        <v>50</v>
      </c>
      <c r="C54" s="55" t="s">
        <v>980</v>
      </c>
      <c r="D54" s="71" t="s">
        <v>977</v>
      </c>
      <c r="E54" s="443">
        <v>1726</v>
      </c>
      <c r="F54" s="72" t="s">
        <v>978</v>
      </c>
      <c r="G54" s="64" t="s">
        <v>874</v>
      </c>
      <c r="H54" s="65" t="s">
        <v>979</v>
      </c>
      <c r="I54" s="456" t="s">
        <v>875</v>
      </c>
      <c r="J54" s="443">
        <v>1</v>
      </c>
      <c r="K54" s="443">
        <v>1</v>
      </c>
      <c r="L54" s="443">
        <f t="shared" si="0"/>
        <v>2</v>
      </c>
      <c r="M54" s="443">
        <v>1</v>
      </c>
      <c r="N54" s="443"/>
      <c r="O54" s="448">
        <v>1</v>
      </c>
      <c r="P54" s="448"/>
      <c r="Q54" s="450">
        <v>1</v>
      </c>
      <c r="R54" s="450"/>
      <c r="S54" s="450"/>
      <c r="T54" s="566"/>
      <c r="U54" s="451" t="s">
        <v>876</v>
      </c>
      <c r="V54" s="58">
        <v>1</v>
      </c>
      <c r="W54" s="567"/>
      <c r="X54" s="568"/>
      <c r="Y54" s="558"/>
      <c r="Z54" s="569"/>
      <c r="AA54" s="558"/>
    </row>
    <row r="55" spans="1:27" ht="12.75" customHeight="1" x14ac:dyDescent="0.25">
      <c r="B55" s="62">
        <v>51</v>
      </c>
      <c r="C55" s="55" t="s">
        <v>981</v>
      </c>
      <c r="D55" s="71" t="s">
        <v>977</v>
      </c>
      <c r="E55" s="443">
        <v>1727</v>
      </c>
      <c r="F55" s="72" t="s">
        <v>978</v>
      </c>
      <c r="G55" s="64" t="s">
        <v>874</v>
      </c>
      <c r="H55" s="65" t="s">
        <v>979</v>
      </c>
      <c r="I55" s="456" t="s">
        <v>875</v>
      </c>
      <c r="J55" s="443">
        <v>1</v>
      </c>
      <c r="K55" s="443">
        <v>1</v>
      </c>
      <c r="L55" s="443">
        <f t="shared" si="0"/>
        <v>2</v>
      </c>
      <c r="M55" s="443">
        <v>1</v>
      </c>
      <c r="N55" s="443"/>
      <c r="O55" s="448">
        <v>1</v>
      </c>
      <c r="P55" s="448"/>
      <c r="Q55" s="450">
        <v>1</v>
      </c>
      <c r="R55" s="450"/>
      <c r="S55" s="450"/>
      <c r="T55" s="566"/>
      <c r="U55" s="451" t="s">
        <v>876</v>
      </c>
      <c r="V55" s="58">
        <v>1</v>
      </c>
      <c r="W55" s="567"/>
      <c r="X55" s="568"/>
      <c r="Y55" s="558"/>
      <c r="Z55" s="569"/>
      <c r="AA55" s="558"/>
    </row>
    <row r="56" spans="1:27" ht="12.75" customHeight="1" x14ac:dyDescent="0.25">
      <c r="A56" s="54"/>
      <c r="B56" s="62">
        <v>52</v>
      </c>
      <c r="C56" s="55" t="s">
        <v>982</v>
      </c>
      <c r="D56" s="71" t="s">
        <v>977</v>
      </c>
      <c r="E56" s="443">
        <v>1728</v>
      </c>
      <c r="F56" s="72" t="s">
        <v>978</v>
      </c>
      <c r="G56" s="64" t="s">
        <v>874</v>
      </c>
      <c r="H56" s="65" t="s">
        <v>979</v>
      </c>
      <c r="I56" s="456" t="s">
        <v>875</v>
      </c>
      <c r="J56" s="443">
        <v>1</v>
      </c>
      <c r="K56" s="443">
        <v>1</v>
      </c>
      <c r="L56" s="443">
        <f t="shared" si="0"/>
        <v>2</v>
      </c>
      <c r="M56" s="443">
        <v>1</v>
      </c>
      <c r="N56" s="443"/>
      <c r="O56" s="448">
        <v>1</v>
      </c>
      <c r="P56" s="448"/>
      <c r="Q56" s="450">
        <v>1</v>
      </c>
      <c r="R56" s="450"/>
      <c r="S56" s="450"/>
      <c r="T56" s="566"/>
      <c r="U56" s="451" t="s">
        <v>876</v>
      </c>
      <c r="V56" s="58">
        <v>1</v>
      </c>
      <c r="W56" s="561"/>
      <c r="X56" s="563"/>
      <c r="Y56" s="559"/>
      <c r="Z56" s="565"/>
      <c r="AA56" s="559"/>
    </row>
    <row r="57" spans="1:27" ht="12.75" customHeight="1" x14ac:dyDescent="0.25">
      <c r="A57" s="54"/>
      <c r="B57" s="62">
        <v>53</v>
      </c>
      <c r="C57" s="74" t="s">
        <v>983</v>
      </c>
      <c r="D57" s="74" t="s">
        <v>984</v>
      </c>
      <c r="E57" s="443" t="s">
        <v>985</v>
      </c>
      <c r="F57" s="443" t="s">
        <v>986</v>
      </c>
      <c r="G57" s="56" t="s">
        <v>874</v>
      </c>
      <c r="H57" s="443"/>
      <c r="I57" s="57" t="s">
        <v>875</v>
      </c>
      <c r="J57" s="443">
        <v>1</v>
      </c>
      <c r="K57" s="443">
        <v>8</v>
      </c>
      <c r="L57" s="443">
        <f t="shared" si="0"/>
        <v>16</v>
      </c>
      <c r="M57" s="443">
        <v>1</v>
      </c>
      <c r="N57" s="443">
        <v>1</v>
      </c>
      <c r="O57" s="448">
        <v>1</v>
      </c>
      <c r="P57" s="448">
        <v>1</v>
      </c>
      <c r="Q57" s="450">
        <v>1</v>
      </c>
      <c r="R57" s="450">
        <v>1</v>
      </c>
      <c r="S57" s="450"/>
      <c r="T57" s="451"/>
      <c r="U57" s="451" t="s">
        <v>876</v>
      </c>
      <c r="V57" s="58">
        <v>1</v>
      </c>
      <c r="W57" s="58">
        <v>1</v>
      </c>
      <c r="X57" s="59"/>
      <c r="Y57" s="60"/>
      <c r="Z57" s="61"/>
      <c r="AA57" s="60"/>
    </row>
    <row r="58" spans="1:27" ht="12.75" customHeight="1" x14ac:dyDescent="0.25">
      <c r="A58" s="54"/>
      <c r="B58" s="62">
        <v>54</v>
      </c>
      <c r="C58" s="74" t="s">
        <v>987</v>
      </c>
      <c r="D58" s="74" t="s">
        <v>988</v>
      </c>
      <c r="E58" s="443">
        <v>183</v>
      </c>
      <c r="F58" s="443" t="s">
        <v>989</v>
      </c>
      <c r="G58" s="56" t="s">
        <v>874</v>
      </c>
      <c r="H58" s="443" t="s">
        <v>990</v>
      </c>
      <c r="I58" s="57" t="s">
        <v>875</v>
      </c>
      <c r="J58" s="443">
        <v>1</v>
      </c>
      <c r="K58" s="443">
        <v>4</v>
      </c>
      <c r="L58" s="443">
        <f t="shared" si="0"/>
        <v>8</v>
      </c>
      <c r="M58" s="443">
        <v>1</v>
      </c>
      <c r="N58" s="443">
        <v>1</v>
      </c>
      <c r="O58" s="448">
        <v>1</v>
      </c>
      <c r="P58" s="448">
        <v>1</v>
      </c>
      <c r="Q58" s="450"/>
      <c r="R58" s="450"/>
      <c r="S58" s="450"/>
      <c r="T58" s="451"/>
      <c r="U58" s="451" t="s">
        <v>876</v>
      </c>
      <c r="V58" s="58">
        <v>1</v>
      </c>
      <c r="W58" s="58">
        <v>1</v>
      </c>
      <c r="X58" s="59"/>
      <c r="Y58" s="60"/>
      <c r="Z58" s="61"/>
      <c r="AA58" s="60"/>
    </row>
    <row r="59" spans="1:27" ht="12.75" customHeight="1" x14ac:dyDescent="0.25">
      <c r="A59" s="54"/>
      <c r="B59" s="62">
        <v>55</v>
      </c>
      <c r="C59" s="74" t="s">
        <v>991</v>
      </c>
      <c r="D59" s="74" t="s">
        <v>988</v>
      </c>
      <c r="E59" s="443">
        <v>184</v>
      </c>
      <c r="F59" s="443" t="s">
        <v>989</v>
      </c>
      <c r="G59" s="56" t="s">
        <v>874</v>
      </c>
      <c r="H59" s="443" t="s">
        <v>992</v>
      </c>
      <c r="I59" s="57" t="s">
        <v>875</v>
      </c>
      <c r="J59" s="443">
        <v>1</v>
      </c>
      <c r="K59" s="443">
        <v>4</v>
      </c>
      <c r="L59" s="443">
        <f t="shared" si="0"/>
        <v>8</v>
      </c>
      <c r="M59" s="443">
        <v>1</v>
      </c>
      <c r="N59" s="443">
        <v>1</v>
      </c>
      <c r="O59" s="448">
        <v>1</v>
      </c>
      <c r="P59" s="448">
        <v>1</v>
      </c>
      <c r="Q59" s="450"/>
      <c r="R59" s="450"/>
      <c r="S59" s="450"/>
      <c r="T59" s="451"/>
      <c r="U59" s="451" t="s">
        <v>876</v>
      </c>
      <c r="V59" s="58">
        <v>1</v>
      </c>
      <c r="W59" s="58">
        <v>1</v>
      </c>
      <c r="X59" s="59"/>
      <c r="Y59" s="60"/>
      <c r="Z59" s="61"/>
      <c r="AA59" s="60"/>
    </row>
    <row r="60" spans="1:27" ht="12.75" customHeight="1" x14ac:dyDescent="0.25">
      <c r="A60" s="54"/>
      <c r="B60" s="62">
        <v>56</v>
      </c>
      <c r="C60" s="75" t="s">
        <v>993</v>
      </c>
      <c r="D60" s="75" t="s">
        <v>994</v>
      </c>
      <c r="E60" s="443">
        <v>3948</v>
      </c>
      <c r="F60" s="443" t="s">
        <v>995</v>
      </c>
      <c r="G60" s="56" t="s">
        <v>874</v>
      </c>
      <c r="H60" s="443"/>
      <c r="I60" s="57" t="s">
        <v>875</v>
      </c>
      <c r="J60" s="443">
        <v>1</v>
      </c>
      <c r="K60" s="443">
        <v>1</v>
      </c>
      <c r="L60" s="443">
        <f t="shared" si="0"/>
        <v>2</v>
      </c>
      <c r="M60" s="443"/>
      <c r="N60" s="443">
        <v>1</v>
      </c>
      <c r="O60" s="448"/>
      <c r="P60" s="448"/>
      <c r="Q60" s="450"/>
      <c r="R60" s="450"/>
      <c r="S60" s="450"/>
      <c r="T60" s="451"/>
      <c r="U60" s="451" t="s">
        <v>876</v>
      </c>
      <c r="V60" s="58"/>
      <c r="W60" s="58">
        <v>1</v>
      </c>
      <c r="X60" s="59"/>
      <c r="Y60" s="60"/>
      <c r="Z60" s="61"/>
      <c r="AA60" s="60"/>
    </row>
    <row r="61" spans="1:27" ht="12.75" customHeight="1" x14ac:dyDescent="0.25">
      <c r="A61" s="54"/>
      <c r="B61" s="76">
        <v>57</v>
      </c>
      <c r="C61" s="77" t="s">
        <v>996</v>
      </c>
      <c r="D61" s="77" t="s">
        <v>997</v>
      </c>
      <c r="E61" s="65" t="s">
        <v>998</v>
      </c>
      <c r="F61" s="65" t="s">
        <v>999</v>
      </c>
      <c r="G61" s="64" t="s">
        <v>874</v>
      </c>
      <c r="H61" s="65"/>
      <c r="I61" s="456" t="s">
        <v>875</v>
      </c>
      <c r="J61" s="65">
        <v>1</v>
      </c>
      <c r="K61" s="65">
        <v>24</v>
      </c>
      <c r="L61" s="65">
        <f>K61*2</f>
        <v>48</v>
      </c>
      <c r="M61" s="65">
        <v>1</v>
      </c>
      <c r="N61" s="65"/>
      <c r="O61" s="78">
        <v>1</v>
      </c>
      <c r="P61" s="78"/>
      <c r="Q61" s="79">
        <v>1</v>
      </c>
      <c r="R61" s="79"/>
      <c r="S61" s="79"/>
      <c r="T61" s="80"/>
      <c r="U61" s="80" t="s">
        <v>876</v>
      </c>
      <c r="V61" s="457">
        <v>1</v>
      </c>
      <c r="W61" s="457"/>
      <c r="X61" s="463"/>
      <c r="Y61" s="464"/>
      <c r="Z61" s="465"/>
      <c r="AA61" s="464"/>
    </row>
    <row r="62" spans="1:27" ht="12.75" customHeight="1" x14ac:dyDescent="0.25">
      <c r="A62" s="54"/>
      <c r="B62" s="62">
        <v>58</v>
      </c>
      <c r="C62" s="77" t="s">
        <v>1000</v>
      </c>
      <c r="D62" s="81"/>
      <c r="E62" s="65"/>
      <c r="F62" s="443" t="s">
        <v>922</v>
      </c>
      <c r="G62" s="64" t="s">
        <v>874</v>
      </c>
      <c r="H62" s="65" t="s">
        <v>153</v>
      </c>
      <c r="I62" s="57" t="s">
        <v>875</v>
      </c>
      <c r="J62" s="443">
        <v>1</v>
      </c>
      <c r="K62" s="443">
        <v>4</v>
      </c>
      <c r="L62" s="443">
        <f>K62*2</f>
        <v>8</v>
      </c>
      <c r="M62" s="443">
        <v>1</v>
      </c>
      <c r="N62" s="443">
        <v>1</v>
      </c>
      <c r="O62" s="448">
        <v>1</v>
      </c>
      <c r="P62" s="448">
        <v>1</v>
      </c>
      <c r="Q62" s="450">
        <v>1</v>
      </c>
      <c r="R62" s="450">
        <v>1</v>
      </c>
      <c r="S62" s="450"/>
      <c r="T62" s="451"/>
      <c r="U62" s="451" t="s">
        <v>876</v>
      </c>
      <c r="V62" s="58">
        <v>1</v>
      </c>
      <c r="W62" s="58">
        <v>1</v>
      </c>
      <c r="X62" s="59"/>
      <c r="Y62" s="464"/>
      <c r="Z62" s="465"/>
      <c r="AA62" s="464"/>
    </row>
    <row r="63" spans="1:27" ht="12.75" customHeight="1" x14ac:dyDescent="0.25">
      <c r="A63" s="54"/>
      <c r="B63" s="62">
        <v>59</v>
      </c>
      <c r="C63" s="77" t="s">
        <v>1001</v>
      </c>
      <c r="D63" s="77"/>
      <c r="E63" s="65"/>
      <c r="F63" s="443" t="s">
        <v>890</v>
      </c>
      <c r="G63" s="64" t="s">
        <v>874</v>
      </c>
      <c r="H63" s="443" t="s">
        <v>891</v>
      </c>
      <c r="I63" s="57" t="s">
        <v>875</v>
      </c>
      <c r="J63" s="443">
        <v>1</v>
      </c>
      <c r="K63" s="443">
        <v>5</v>
      </c>
      <c r="L63" s="443">
        <f>K63*2</f>
        <v>10</v>
      </c>
      <c r="M63" s="443">
        <v>1</v>
      </c>
      <c r="N63" s="443"/>
      <c r="O63" s="448">
        <v>1</v>
      </c>
      <c r="P63" s="448"/>
      <c r="Q63" s="450">
        <v>1</v>
      </c>
      <c r="R63" s="450"/>
      <c r="S63" s="450"/>
      <c r="T63" s="451"/>
      <c r="U63" s="451" t="s">
        <v>876</v>
      </c>
      <c r="V63" s="58">
        <v>1</v>
      </c>
      <c r="W63" s="58"/>
      <c r="X63" s="59"/>
      <c r="Y63" s="60"/>
      <c r="Z63" s="61"/>
      <c r="AA63" s="60"/>
    </row>
    <row r="64" spans="1:27" ht="12.75" customHeight="1" x14ac:dyDescent="0.25">
      <c r="A64" s="54"/>
      <c r="B64" s="82"/>
      <c r="C64" s="77"/>
      <c r="D64" s="81"/>
      <c r="E64" s="65"/>
      <c r="F64" s="443"/>
      <c r="G64" s="64"/>
      <c r="H64" s="65"/>
      <c r="I64" s="57"/>
      <c r="J64" s="443"/>
      <c r="K64" s="443"/>
      <c r="L64" s="443"/>
      <c r="M64" s="443"/>
      <c r="N64" s="443"/>
      <c r="O64" s="448"/>
      <c r="P64" s="448"/>
      <c r="Q64" s="450"/>
      <c r="R64" s="450"/>
      <c r="S64" s="450"/>
      <c r="T64" s="451"/>
      <c r="U64" s="451"/>
      <c r="V64" s="58"/>
      <c r="W64" s="58"/>
      <c r="X64" s="59"/>
      <c r="Y64" s="464"/>
      <c r="Z64" s="465"/>
      <c r="AA64" s="464"/>
    </row>
    <row r="65" spans="1:27" ht="13.5" customHeight="1" thickBot="1" x14ac:dyDescent="0.3">
      <c r="A65" s="54"/>
      <c r="B65" s="83"/>
      <c r="C65" s="77"/>
      <c r="D65" s="77"/>
      <c r="E65" s="65"/>
      <c r="F65" s="443"/>
      <c r="G65" s="64"/>
      <c r="H65" s="443"/>
      <c r="I65" s="57"/>
      <c r="J65" s="443"/>
      <c r="K65" s="443"/>
      <c r="L65" s="443"/>
      <c r="M65" s="443"/>
      <c r="N65" s="443"/>
      <c r="O65" s="448"/>
      <c r="P65" s="448"/>
      <c r="Q65" s="450"/>
      <c r="R65" s="450"/>
      <c r="S65" s="450"/>
      <c r="T65" s="451"/>
      <c r="U65" s="451"/>
      <c r="V65" s="58"/>
      <c r="W65" s="58"/>
      <c r="X65" s="59"/>
      <c r="Y65" s="60"/>
      <c r="Z65" s="61"/>
      <c r="AA65" s="60"/>
    </row>
    <row r="66" spans="1:27" ht="12.75" customHeight="1" x14ac:dyDescent="0.25">
      <c r="A66" s="52" t="s">
        <v>1002</v>
      </c>
      <c r="B66" s="84">
        <v>100</v>
      </c>
      <c r="C66" s="85" t="s">
        <v>1003</v>
      </c>
      <c r="D66" s="85" t="s">
        <v>1002</v>
      </c>
      <c r="E66" s="442" t="s">
        <v>1004</v>
      </c>
      <c r="F66" s="442">
        <v>1</v>
      </c>
      <c r="G66" s="86" t="s">
        <v>1005</v>
      </c>
      <c r="H66" s="442"/>
      <c r="I66" s="87" t="s">
        <v>1006</v>
      </c>
      <c r="J66" s="442">
        <v>1</v>
      </c>
      <c r="K66" s="442">
        <v>3</v>
      </c>
      <c r="L66" s="442">
        <v>6</v>
      </c>
      <c r="M66" s="442">
        <v>1</v>
      </c>
      <c r="N66" s="442">
        <v>1</v>
      </c>
      <c r="O66" s="447">
        <v>1</v>
      </c>
      <c r="P66" s="447">
        <v>1</v>
      </c>
      <c r="Q66" s="449"/>
      <c r="R66" s="449"/>
      <c r="S66" s="449"/>
      <c r="T66" s="461"/>
      <c r="U66" s="461" t="s">
        <v>876</v>
      </c>
      <c r="V66" s="88">
        <v>1</v>
      </c>
      <c r="W66" s="88">
        <v>1</v>
      </c>
      <c r="X66" s="89">
        <v>1</v>
      </c>
      <c r="Y66" s="90">
        <v>1</v>
      </c>
      <c r="Z66" s="91"/>
      <c r="AA66" s="90"/>
    </row>
    <row r="67" spans="1:27" ht="25.5" customHeight="1" x14ac:dyDescent="0.25">
      <c r="A67" s="54"/>
      <c r="B67" s="62">
        <v>101</v>
      </c>
      <c r="C67" s="74" t="s">
        <v>1007</v>
      </c>
      <c r="D67" s="74" t="s">
        <v>1002</v>
      </c>
      <c r="E67" s="443" t="s">
        <v>1004</v>
      </c>
      <c r="F67" s="443">
        <v>2</v>
      </c>
      <c r="G67" s="56" t="s">
        <v>1005</v>
      </c>
      <c r="H67" s="443" t="s">
        <v>1008</v>
      </c>
      <c r="I67" s="57" t="s">
        <v>914</v>
      </c>
      <c r="J67" s="443">
        <v>1</v>
      </c>
      <c r="K67" s="443">
        <v>10</v>
      </c>
      <c r="L67" s="443">
        <v>10</v>
      </c>
      <c r="M67" s="443">
        <v>1</v>
      </c>
      <c r="N67" s="443">
        <v>1</v>
      </c>
      <c r="O67" s="448">
        <v>1</v>
      </c>
      <c r="P67" s="448">
        <v>1</v>
      </c>
      <c r="Q67" s="450"/>
      <c r="R67" s="450"/>
      <c r="S67" s="450"/>
      <c r="T67" s="451">
        <v>1</v>
      </c>
      <c r="U67" s="451" t="s">
        <v>876</v>
      </c>
      <c r="V67" s="58">
        <v>1</v>
      </c>
      <c r="W67" s="58">
        <v>1</v>
      </c>
      <c r="X67" s="59">
        <v>1</v>
      </c>
      <c r="Y67" s="60">
        <v>1</v>
      </c>
      <c r="Z67" s="61"/>
      <c r="AA67" s="60"/>
    </row>
    <row r="68" spans="1:27" ht="25.5" customHeight="1" x14ac:dyDescent="0.25">
      <c r="A68" s="54"/>
      <c r="B68" s="62">
        <v>102</v>
      </c>
      <c r="C68" s="74" t="s">
        <v>1009</v>
      </c>
      <c r="D68" s="74" t="s">
        <v>1002</v>
      </c>
      <c r="E68" s="443" t="s">
        <v>1004</v>
      </c>
      <c r="F68" s="443">
        <v>3</v>
      </c>
      <c r="G68" s="56" t="s">
        <v>1005</v>
      </c>
      <c r="H68" s="443" t="s">
        <v>1008</v>
      </c>
      <c r="I68" s="57" t="s">
        <v>914</v>
      </c>
      <c r="J68" s="443">
        <v>1</v>
      </c>
      <c r="K68" s="443">
        <v>10</v>
      </c>
      <c r="L68" s="443">
        <v>10</v>
      </c>
      <c r="M68" s="443">
        <v>1</v>
      </c>
      <c r="N68" s="443">
        <v>1</v>
      </c>
      <c r="O68" s="448">
        <v>1</v>
      </c>
      <c r="P68" s="448">
        <v>1</v>
      </c>
      <c r="Q68" s="450"/>
      <c r="R68" s="450"/>
      <c r="S68" s="450"/>
      <c r="T68" s="451">
        <v>1</v>
      </c>
      <c r="U68" s="451" t="s">
        <v>876</v>
      </c>
      <c r="V68" s="58">
        <v>1</v>
      </c>
      <c r="W68" s="58">
        <v>1</v>
      </c>
      <c r="X68" s="59">
        <v>1</v>
      </c>
      <c r="Y68" s="60">
        <v>1</v>
      </c>
      <c r="Z68" s="61"/>
      <c r="AA68" s="60"/>
    </row>
    <row r="69" spans="1:27" ht="12.75" customHeight="1" x14ac:dyDescent="0.25">
      <c r="A69" s="54"/>
      <c r="B69" s="62">
        <v>103</v>
      </c>
      <c r="C69" s="74" t="s">
        <v>1010</v>
      </c>
      <c r="D69" s="74" t="s">
        <v>1002</v>
      </c>
      <c r="E69" s="443" t="s">
        <v>1004</v>
      </c>
      <c r="F69" s="443">
        <v>4</v>
      </c>
      <c r="G69" s="56" t="s">
        <v>1005</v>
      </c>
      <c r="H69" s="443"/>
      <c r="I69" s="57" t="s">
        <v>914</v>
      </c>
      <c r="J69" s="443">
        <v>1</v>
      </c>
      <c r="K69" s="443">
        <v>2</v>
      </c>
      <c r="L69" s="443">
        <v>2</v>
      </c>
      <c r="M69" s="443">
        <v>1</v>
      </c>
      <c r="N69" s="443">
        <v>1</v>
      </c>
      <c r="O69" s="448">
        <v>1</v>
      </c>
      <c r="P69" s="448">
        <v>1</v>
      </c>
      <c r="Q69" s="450"/>
      <c r="R69" s="450"/>
      <c r="S69" s="450"/>
      <c r="T69" s="451">
        <v>1</v>
      </c>
      <c r="U69" s="451" t="s">
        <v>876</v>
      </c>
      <c r="V69" s="58">
        <v>1</v>
      </c>
      <c r="W69" s="58">
        <v>1</v>
      </c>
      <c r="X69" s="63">
        <v>1</v>
      </c>
      <c r="Y69" s="70"/>
      <c r="Z69" s="67"/>
      <c r="AA69" s="70"/>
    </row>
    <row r="70" spans="1:27" ht="12.75" customHeight="1" x14ac:dyDescent="0.25">
      <c r="A70" s="54"/>
      <c r="B70" s="62">
        <v>104</v>
      </c>
      <c r="C70" s="74" t="s">
        <v>1011</v>
      </c>
      <c r="D70" s="74" t="s">
        <v>1002</v>
      </c>
      <c r="E70" s="443" t="s">
        <v>1004</v>
      </c>
      <c r="F70" s="443">
        <v>5</v>
      </c>
      <c r="G70" s="56" t="s">
        <v>1005</v>
      </c>
      <c r="H70" s="443"/>
      <c r="I70" s="57" t="s">
        <v>914</v>
      </c>
      <c r="J70" s="443">
        <v>1</v>
      </c>
      <c r="K70" s="443">
        <v>2</v>
      </c>
      <c r="L70" s="443">
        <v>2</v>
      </c>
      <c r="M70" s="443">
        <v>1</v>
      </c>
      <c r="N70" s="443">
        <v>1</v>
      </c>
      <c r="O70" s="448">
        <v>1</v>
      </c>
      <c r="P70" s="448">
        <v>1</v>
      </c>
      <c r="Q70" s="450"/>
      <c r="R70" s="450"/>
      <c r="S70" s="450"/>
      <c r="T70" s="451">
        <v>1</v>
      </c>
      <c r="U70" s="451" t="s">
        <v>876</v>
      </c>
      <c r="V70" s="58">
        <v>1</v>
      </c>
      <c r="W70" s="58">
        <v>1</v>
      </c>
      <c r="X70" s="63">
        <v>1</v>
      </c>
      <c r="Y70" s="60"/>
      <c r="Z70" s="61"/>
      <c r="AA70" s="60"/>
    </row>
    <row r="71" spans="1:27" ht="12.75" customHeight="1" x14ac:dyDescent="0.25">
      <c r="A71" s="54"/>
      <c r="B71" s="62">
        <v>105</v>
      </c>
      <c r="C71" s="74" t="s">
        <v>1012</v>
      </c>
      <c r="D71" s="74" t="s">
        <v>1002</v>
      </c>
      <c r="E71" s="443" t="s">
        <v>1004</v>
      </c>
      <c r="F71" s="443">
        <v>6</v>
      </c>
      <c r="G71" s="56" t="s">
        <v>1005</v>
      </c>
      <c r="H71" s="443" t="s">
        <v>153</v>
      </c>
      <c r="I71" s="57" t="s">
        <v>914</v>
      </c>
      <c r="J71" s="443">
        <v>1</v>
      </c>
      <c r="K71" s="443">
        <v>8</v>
      </c>
      <c r="L71" s="443">
        <v>8</v>
      </c>
      <c r="M71" s="443">
        <v>1</v>
      </c>
      <c r="N71" s="443">
        <v>1</v>
      </c>
      <c r="O71" s="448">
        <v>1</v>
      </c>
      <c r="P71" s="448">
        <v>1</v>
      </c>
      <c r="Q71" s="450"/>
      <c r="R71" s="450"/>
      <c r="S71" s="450"/>
      <c r="T71" s="451">
        <v>1</v>
      </c>
      <c r="U71" s="451" t="s">
        <v>876</v>
      </c>
      <c r="V71" s="58">
        <v>1</v>
      </c>
      <c r="W71" s="58">
        <v>1</v>
      </c>
      <c r="X71" s="63">
        <v>1</v>
      </c>
      <c r="Y71" s="60"/>
      <c r="Z71" s="61"/>
      <c r="AA71" s="60"/>
    </row>
    <row r="72" spans="1:27" ht="15" customHeight="1" x14ac:dyDescent="0.25">
      <c r="A72" s="54"/>
      <c r="B72" s="62">
        <v>106</v>
      </c>
      <c r="C72" s="74" t="s">
        <v>1013</v>
      </c>
      <c r="D72" s="74" t="s">
        <v>1002</v>
      </c>
      <c r="E72" s="443" t="s">
        <v>1014</v>
      </c>
      <c r="F72" s="443">
        <v>5</v>
      </c>
      <c r="G72" s="56" t="s">
        <v>1005</v>
      </c>
      <c r="H72" s="93" t="s">
        <v>1015</v>
      </c>
      <c r="I72" s="57" t="s">
        <v>914</v>
      </c>
      <c r="J72" s="443">
        <v>1</v>
      </c>
      <c r="K72" s="443">
        <v>5</v>
      </c>
      <c r="L72" s="443">
        <v>5</v>
      </c>
      <c r="M72" s="443">
        <v>1</v>
      </c>
      <c r="N72" s="443">
        <v>1</v>
      </c>
      <c r="O72" s="448">
        <v>1</v>
      </c>
      <c r="P72" s="448">
        <v>1</v>
      </c>
      <c r="Q72" s="450"/>
      <c r="R72" s="450"/>
      <c r="S72" s="450"/>
      <c r="T72" s="451">
        <v>1</v>
      </c>
      <c r="U72" s="451" t="s">
        <v>876</v>
      </c>
      <c r="V72" s="58">
        <v>1</v>
      </c>
      <c r="W72" s="58">
        <v>1</v>
      </c>
      <c r="X72" s="59">
        <v>1</v>
      </c>
      <c r="Y72" s="60"/>
      <c r="Z72" s="61"/>
      <c r="AA72" s="60"/>
    </row>
    <row r="73" spans="1:27" ht="12.75" customHeight="1" x14ac:dyDescent="0.25">
      <c r="A73" s="54"/>
      <c r="B73" s="62">
        <v>107</v>
      </c>
      <c r="C73" s="74" t="s">
        <v>1016</v>
      </c>
      <c r="D73" s="74" t="s">
        <v>1002</v>
      </c>
      <c r="E73" s="443" t="s">
        <v>1014</v>
      </c>
      <c r="F73" s="443">
        <v>6</v>
      </c>
      <c r="G73" s="56" t="s">
        <v>1005</v>
      </c>
      <c r="H73" s="443" t="s">
        <v>1017</v>
      </c>
      <c r="I73" s="57" t="s">
        <v>914</v>
      </c>
      <c r="J73" s="443">
        <v>1</v>
      </c>
      <c r="K73" s="443">
        <v>5</v>
      </c>
      <c r="L73" s="443">
        <v>5</v>
      </c>
      <c r="M73" s="443">
        <v>1</v>
      </c>
      <c r="N73" s="443">
        <v>1</v>
      </c>
      <c r="O73" s="448">
        <v>1</v>
      </c>
      <c r="P73" s="448">
        <v>1</v>
      </c>
      <c r="Q73" s="450"/>
      <c r="R73" s="450"/>
      <c r="S73" s="450"/>
      <c r="T73" s="451">
        <v>1</v>
      </c>
      <c r="U73" s="451" t="s">
        <v>876</v>
      </c>
      <c r="V73" s="58">
        <v>1</v>
      </c>
      <c r="W73" s="58">
        <v>1</v>
      </c>
      <c r="X73" s="63">
        <v>1</v>
      </c>
      <c r="Y73" s="60"/>
      <c r="Z73" s="61"/>
      <c r="AA73" s="60"/>
    </row>
    <row r="74" spans="1:27" ht="13.5" customHeight="1" thickBot="1" x14ac:dyDescent="0.3">
      <c r="A74" s="94"/>
      <c r="B74" s="83">
        <v>108</v>
      </c>
      <c r="C74" s="95" t="s">
        <v>1018</v>
      </c>
      <c r="D74" s="95" t="s">
        <v>1002</v>
      </c>
      <c r="E74" s="96" t="s">
        <v>1014</v>
      </c>
      <c r="F74" s="96">
        <v>7</v>
      </c>
      <c r="G74" s="97" t="s">
        <v>1005</v>
      </c>
      <c r="H74" s="96"/>
      <c r="I74" s="98" t="s">
        <v>75</v>
      </c>
      <c r="J74" s="96">
        <v>1</v>
      </c>
      <c r="K74" s="96">
        <v>3</v>
      </c>
      <c r="L74" s="96">
        <v>6</v>
      </c>
      <c r="M74" s="96">
        <v>1</v>
      </c>
      <c r="N74" s="96">
        <v>1</v>
      </c>
      <c r="O74" s="99">
        <v>1</v>
      </c>
      <c r="P74" s="99">
        <v>1</v>
      </c>
      <c r="Q74" s="100"/>
      <c r="R74" s="100"/>
      <c r="S74" s="100"/>
      <c r="T74" s="101"/>
      <c r="U74" s="80" t="s">
        <v>876</v>
      </c>
      <c r="V74" s="102">
        <v>1</v>
      </c>
      <c r="W74" s="102">
        <v>1</v>
      </c>
      <c r="X74" s="103">
        <v>1</v>
      </c>
      <c r="Y74" s="104"/>
      <c r="Z74" s="105"/>
      <c r="AA74" s="104"/>
    </row>
    <row r="75" spans="1:27" ht="12.75" customHeight="1" x14ac:dyDescent="0.25">
      <c r="A75" s="52" t="s">
        <v>1019</v>
      </c>
      <c r="B75" s="84">
        <v>150</v>
      </c>
      <c r="C75" s="85" t="s">
        <v>1020</v>
      </c>
      <c r="D75" s="85" t="s">
        <v>1021</v>
      </c>
      <c r="E75" s="442" t="s">
        <v>1022</v>
      </c>
      <c r="F75" s="442">
        <v>1</v>
      </c>
      <c r="G75" s="86" t="s">
        <v>1005</v>
      </c>
      <c r="H75" s="442"/>
      <c r="I75" s="87" t="s">
        <v>875</v>
      </c>
      <c r="J75" s="442">
        <v>1</v>
      </c>
      <c r="K75" s="442">
        <v>1</v>
      </c>
      <c r="L75" s="442">
        <v>2</v>
      </c>
      <c r="M75" s="442"/>
      <c r="N75" s="442"/>
      <c r="O75" s="447">
        <v>1</v>
      </c>
      <c r="P75" s="447">
        <v>1</v>
      </c>
      <c r="Q75" s="449">
        <v>1</v>
      </c>
      <c r="R75" s="449">
        <v>1</v>
      </c>
      <c r="S75" s="449"/>
      <c r="T75" s="461">
        <v>1</v>
      </c>
      <c r="U75" s="461" t="s">
        <v>876</v>
      </c>
      <c r="V75" s="88">
        <v>1</v>
      </c>
      <c r="W75" s="88">
        <v>1</v>
      </c>
      <c r="X75" s="89"/>
      <c r="Y75" s="90">
        <v>1</v>
      </c>
      <c r="Z75" s="91"/>
      <c r="AA75" s="90">
        <v>1</v>
      </c>
    </row>
    <row r="76" spans="1:27" ht="12.75" customHeight="1" x14ac:dyDescent="0.25">
      <c r="A76" s="54"/>
      <c r="B76" s="62">
        <v>151</v>
      </c>
      <c r="C76" s="74" t="s">
        <v>1023</v>
      </c>
      <c r="D76" s="74" t="s">
        <v>1021</v>
      </c>
      <c r="E76" s="443" t="s">
        <v>1022</v>
      </c>
      <c r="F76" s="443">
        <v>2</v>
      </c>
      <c r="G76" s="56" t="s">
        <v>1005</v>
      </c>
      <c r="H76" s="443"/>
      <c r="I76" s="57" t="s">
        <v>875</v>
      </c>
      <c r="J76" s="443">
        <v>1</v>
      </c>
      <c r="K76" s="443">
        <v>3</v>
      </c>
      <c r="L76" s="443">
        <v>6</v>
      </c>
      <c r="M76" s="443"/>
      <c r="N76" s="443"/>
      <c r="O76" s="448"/>
      <c r="P76" s="448"/>
      <c r="Q76" s="450"/>
      <c r="R76" s="450"/>
      <c r="S76" s="450"/>
      <c r="T76" s="451"/>
      <c r="U76" s="451" t="s">
        <v>876</v>
      </c>
      <c r="V76" s="58"/>
      <c r="W76" s="58"/>
      <c r="X76" s="59"/>
      <c r="Y76" s="60"/>
      <c r="Z76" s="61"/>
      <c r="AA76" s="60"/>
    </row>
    <row r="77" spans="1:27" x14ac:dyDescent="0.25">
      <c r="A77" s="54"/>
      <c r="B77" s="62">
        <v>152</v>
      </c>
      <c r="C77" s="74" t="s">
        <v>1024</v>
      </c>
      <c r="D77" s="74" t="s">
        <v>1021</v>
      </c>
      <c r="E77" s="443" t="s">
        <v>1022</v>
      </c>
      <c r="F77" s="443">
        <v>3</v>
      </c>
      <c r="G77" s="56" t="s">
        <v>1005</v>
      </c>
      <c r="H77" s="443"/>
      <c r="I77" s="57" t="s">
        <v>875</v>
      </c>
      <c r="J77" s="443">
        <v>1</v>
      </c>
      <c r="K77" s="443">
        <v>2</v>
      </c>
      <c r="L77" s="443">
        <v>5</v>
      </c>
      <c r="M77" s="443"/>
      <c r="N77" s="443"/>
      <c r="O77" s="448">
        <v>1</v>
      </c>
      <c r="P77" s="448">
        <v>1</v>
      </c>
      <c r="Q77" s="450">
        <v>1</v>
      </c>
      <c r="R77" s="450">
        <v>1</v>
      </c>
      <c r="S77" s="450">
        <v>1</v>
      </c>
      <c r="T77" s="451">
        <v>1</v>
      </c>
      <c r="U77" s="451" t="s">
        <v>876</v>
      </c>
      <c r="V77" s="58">
        <v>1</v>
      </c>
      <c r="W77" s="58">
        <v>1</v>
      </c>
      <c r="X77" s="59"/>
      <c r="Y77" s="60">
        <v>1</v>
      </c>
      <c r="Z77" s="61"/>
      <c r="AA77" s="60">
        <v>1</v>
      </c>
    </row>
    <row r="78" spans="1:27" x14ac:dyDescent="0.25">
      <c r="A78" s="54"/>
      <c r="B78" s="62">
        <v>153</v>
      </c>
      <c r="C78" s="74" t="s">
        <v>1025</v>
      </c>
      <c r="D78" s="74" t="s">
        <v>1021</v>
      </c>
      <c r="E78" s="443" t="s">
        <v>1022</v>
      </c>
      <c r="F78" s="443">
        <v>4</v>
      </c>
      <c r="G78" s="56" t="s">
        <v>1005</v>
      </c>
      <c r="H78" s="443"/>
      <c r="I78" s="57" t="s">
        <v>914</v>
      </c>
      <c r="J78" s="443">
        <v>1</v>
      </c>
      <c r="K78" s="443">
        <v>15</v>
      </c>
      <c r="L78" s="443">
        <v>15</v>
      </c>
      <c r="M78" s="443"/>
      <c r="N78" s="443"/>
      <c r="O78" s="448">
        <v>1</v>
      </c>
      <c r="P78" s="448">
        <v>1</v>
      </c>
      <c r="Q78" s="450">
        <v>1</v>
      </c>
      <c r="R78" s="450">
        <v>1</v>
      </c>
      <c r="S78" s="450">
        <v>1</v>
      </c>
      <c r="T78" s="451">
        <v>1</v>
      </c>
      <c r="U78" s="451" t="s">
        <v>876</v>
      </c>
      <c r="V78" s="58">
        <v>1</v>
      </c>
      <c r="W78" s="58">
        <v>1</v>
      </c>
      <c r="X78" s="59"/>
      <c r="Y78" s="60">
        <v>1</v>
      </c>
      <c r="Z78" s="61"/>
      <c r="AA78" s="60">
        <v>1</v>
      </c>
    </row>
    <row r="79" spans="1:27" ht="12.75" customHeight="1" x14ac:dyDescent="0.25">
      <c r="A79" s="54"/>
      <c r="B79" s="62">
        <v>154</v>
      </c>
      <c r="C79" s="74" t="s">
        <v>1026</v>
      </c>
      <c r="D79" s="74" t="s">
        <v>1021</v>
      </c>
      <c r="E79" s="443" t="s">
        <v>1022</v>
      </c>
      <c r="F79" s="443">
        <v>5</v>
      </c>
      <c r="G79" s="56" t="s">
        <v>1005</v>
      </c>
      <c r="H79" s="443"/>
      <c r="I79" s="57" t="s">
        <v>875</v>
      </c>
      <c r="J79" s="443">
        <v>1</v>
      </c>
      <c r="K79" s="443">
        <v>1</v>
      </c>
      <c r="L79" s="443">
        <v>1</v>
      </c>
      <c r="M79" s="443"/>
      <c r="N79" s="443"/>
      <c r="O79" s="448">
        <v>1</v>
      </c>
      <c r="P79" s="448">
        <v>1</v>
      </c>
      <c r="Q79" s="450">
        <v>1</v>
      </c>
      <c r="R79" s="450">
        <v>1</v>
      </c>
      <c r="S79" s="450"/>
      <c r="T79" s="451"/>
      <c r="U79" s="451" t="s">
        <v>876</v>
      </c>
      <c r="V79" s="58"/>
      <c r="W79" s="58"/>
      <c r="X79" s="59"/>
      <c r="Y79" s="60"/>
      <c r="Z79" s="61"/>
      <c r="AA79" s="60">
        <v>1</v>
      </c>
    </row>
    <row r="80" spans="1:27" ht="12.75" customHeight="1" x14ac:dyDescent="0.25">
      <c r="A80" s="54"/>
      <c r="B80" s="62">
        <v>155</v>
      </c>
      <c r="C80" s="74" t="s">
        <v>1027</v>
      </c>
      <c r="D80" s="74" t="s">
        <v>1021</v>
      </c>
      <c r="E80" s="443" t="s">
        <v>1022</v>
      </c>
      <c r="F80" s="443">
        <v>6</v>
      </c>
      <c r="G80" s="56" t="s">
        <v>1005</v>
      </c>
      <c r="H80" s="443"/>
      <c r="I80" s="57" t="s">
        <v>875</v>
      </c>
      <c r="J80" s="443">
        <v>1</v>
      </c>
      <c r="K80" s="443">
        <v>1</v>
      </c>
      <c r="L80" s="443">
        <v>2</v>
      </c>
      <c r="M80" s="443"/>
      <c r="N80" s="443"/>
      <c r="O80" s="448">
        <v>1</v>
      </c>
      <c r="P80" s="448">
        <v>1</v>
      </c>
      <c r="Q80" s="450">
        <v>1</v>
      </c>
      <c r="R80" s="450"/>
      <c r="S80" s="450"/>
      <c r="T80" s="451"/>
      <c r="U80" s="451" t="s">
        <v>876</v>
      </c>
      <c r="V80" s="58"/>
      <c r="W80" s="58"/>
      <c r="X80" s="59"/>
      <c r="Y80" s="60"/>
      <c r="Z80" s="61"/>
      <c r="AA80" s="60"/>
    </row>
    <row r="81" spans="1:27" ht="12.75" customHeight="1" x14ac:dyDescent="0.25">
      <c r="A81" s="54"/>
      <c r="B81" s="76">
        <v>156</v>
      </c>
      <c r="C81" s="77" t="s">
        <v>1028</v>
      </c>
      <c r="D81" s="77" t="s">
        <v>1021</v>
      </c>
      <c r="E81" s="65" t="s">
        <v>1022</v>
      </c>
      <c r="F81" s="65">
        <v>7</v>
      </c>
      <c r="G81" s="64" t="s">
        <v>1005</v>
      </c>
      <c r="H81" s="65"/>
      <c r="I81" s="456" t="s">
        <v>875</v>
      </c>
      <c r="J81" s="65">
        <v>1</v>
      </c>
      <c r="K81" s="65">
        <v>1</v>
      </c>
      <c r="L81" s="65">
        <v>2</v>
      </c>
      <c r="M81" s="65"/>
      <c r="N81" s="65"/>
      <c r="O81" s="78">
        <v>1</v>
      </c>
      <c r="P81" s="78">
        <v>1</v>
      </c>
      <c r="Q81" s="79">
        <v>1</v>
      </c>
      <c r="R81" s="79">
        <v>1</v>
      </c>
      <c r="S81" s="79"/>
      <c r="T81" s="80"/>
      <c r="U81" s="451" t="s">
        <v>876</v>
      </c>
      <c r="V81" s="457"/>
      <c r="W81" s="457"/>
      <c r="X81" s="463"/>
      <c r="Y81" s="464"/>
      <c r="Z81" s="465"/>
      <c r="AA81" s="464"/>
    </row>
    <row r="82" spans="1:27" ht="25.5" customHeight="1" x14ac:dyDescent="0.25">
      <c r="A82" s="54"/>
      <c r="B82" s="76">
        <v>157</v>
      </c>
      <c r="C82" s="77" t="s">
        <v>1029</v>
      </c>
      <c r="D82" s="77" t="s">
        <v>1021</v>
      </c>
      <c r="E82" s="65" t="s">
        <v>1022</v>
      </c>
      <c r="F82" s="65">
        <v>8</v>
      </c>
      <c r="G82" s="64" t="s">
        <v>1005</v>
      </c>
      <c r="H82" s="65"/>
      <c r="I82" s="456" t="s">
        <v>875</v>
      </c>
      <c r="J82" s="65">
        <v>1</v>
      </c>
      <c r="K82" s="65">
        <v>1</v>
      </c>
      <c r="L82" s="65">
        <v>2</v>
      </c>
      <c r="M82" s="65"/>
      <c r="N82" s="65"/>
      <c r="O82" s="78">
        <v>1</v>
      </c>
      <c r="P82" s="78">
        <v>1</v>
      </c>
      <c r="Q82" s="79"/>
      <c r="R82" s="79"/>
      <c r="S82" s="79"/>
      <c r="T82" s="80"/>
      <c r="U82" s="451" t="s">
        <v>876</v>
      </c>
      <c r="V82" s="457"/>
      <c r="W82" s="457"/>
      <c r="X82" s="463"/>
      <c r="Y82" s="464"/>
      <c r="Z82" s="465"/>
      <c r="AA82" s="464"/>
    </row>
    <row r="83" spans="1:27" ht="12.75" customHeight="1" x14ac:dyDescent="0.25">
      <c r="A83" s="54"/>
      <c r="B83" s="62">
        <v>158</v>
      </c>
      <c r="C83" s="74" t="s">
        <v>1030</v>
      </c>
      <c r="D83" s="74" t="s">
        <v>1021</v>
      </c>
      <c r="E83" s="443" t="s">
        <v>1022</v>
      </c>
      <c r="F83" s="443">
        <v>9</v>
      </c>
      <c r="G83" s="56" t="s">
        <v>1005</v>
      </c>
      <c r="H83" s="443"/>
      <c r="I83" s="57" t="s">
        <v>875</v>
      </c>
      <c r="J83" s="443">
        <v>1</v>
      </c>
      <c r="K83" s="443">
        <v>1</v>
      </c>
      <c r="L83" s="443">
        <v>2</v>
      </c>
      <c r="M83" s="443"/>
      <c r="N83" s="443"/>
      <c r="O83" s="448">
        <v>1</v>
      </c>
      <c r="P83" s="448">
        <v>1</v>
      </c>
      <c r="Q83" s="450"/>
      <c r="R83" s="450"/>
      <c r="S83" s="450"/>
      <c r="T83" s="451"/>
      <c r="U83" s="451" t="s">
        <v>876</v>
      </c>
      <c r="V83" s="58"/>
      <c r="W83" s="58"/>
      <c r="X83" s="59"/>
      <c r="Y83" s="60"/>
      <c r="Z83" s="61"/>
      <c r="AA83" s="60"/>
    </row>
    <row r="84" spans="1:27" x14ac:dyDescent="0.25">
      <c r="A84" s="54"/>
      <c r="B84" s="62">
        <v>159</v>
      </c>
      <c r="C84" s="74" t="s">
        <v>1031</v>
      </c>
      <c r="D84" s="74" t="s">
        <v>1021</v>
      </c>
      <c r="E84" s="443" t="s">
        <v>1022</v>
      </c>
      <c r="F84" s="443">
        <v>10</v>
      </c>
      <c r="G84" s="56" t="s">
        <v>1005</v>
      </c>
      <c r="H84" s="443"/>
      <c r="I84" s="57" t="s">
        <v>914</v>
      </c>
      <c r="J84" s="443">
        <v>1</v>
      </c>
      <c r="K84" s="443">
        <v>20</v>
      </c>
      <c r="L84" s="443">
        <v>20</v>
      </c>
      <c r="M84" s="443"/>
      <c r="N84" s="443"/>
      <c r="O84" s="448">
        <v>1</v>
      </c>
      <c r="P84" s="448">
        <v>1</v>
      </c>
      <c r="Q84" s="450">
        <v>1</v>
      </c>
      <c r="R84" s="450">
        <v>1</v>
      </c>
      <c r="S84" s="450">
        <v>1</v>
      </c>
      <c r="T84" s="451">
        <v>1</v>
      </c>
      <c r="U84" s="451" t="s">
        <v>876</v>
      </c>
      <c r="V84" s="58">
        <v>1</v>
      </c>
      <c r="W84" s="58">
        <v>1</v>
      </c>
      <c r="X84" s="59">
        <v>1</v>
      </c>
      <c r="Y84" s="60"/>
      <c r="Z84" s="61"/>
      <c r="AA84" s="60"/>
    </row>
    <row r="85" spans="1:27" ht="12.75" customHeight="1" x14ac:dyDescent="0.25">
      <c r="A85" s="54"/>
      <c r="B85" s="62">
        <v>160</v>
      </c>
      <c r="C85" s="74" t="s">
        <v>1032</v>
      </c>
      <c r="D85" s="74" t="s">
        <v>1021</v>
      </c>
      <c r="E85" s="443" t="s">
        <v>1022</v>
      </c>
      <c r="F85" s="443">
        <v>11</v>
      </c>
      <c r="G85" s="56" t="s">
        <v>1005</v>
      </c>
      <c r="H85" s="443"/>
      <c r="I85" s="57" t="s">
        <v>914</v>
      </c>
      <c r="J85" s="443">
        <v>1</v>
      </c>
      <c r="K85" s="443">
        <v>4</v>
      </c>
      <c r="L85" s="443">
        <v>4</v>
      </c>
      <c r="M85" s="443"/>
      <c r="N85" s="443"/>
      <c r="O85" s="448">
        <v>1</v>
      </c>
      <c r="P85" s="448"/>
      <c r="Q85" s="450">
        <v>1</v>
      </c>
      <c r="R85" s="450"/>
      <c r="S85" s="450"/>
      <c r="T85" s="451">
        <v>1</v>
      </c>
      <c r="U85" s="451" t="s">
        <v>876</v>
      </c>
      <c r="V85" s="58">
        <v>1</v>
      </c>
      <c r="W85" s="58"/>
      <c r="X85" s="59">
        <v>1</v>
      </c>
      <c r="Y85" s="60"/>
      <c r="Z85" s="61"/>
      <c r="AA85" s="60"/>
    </row>
    <row r="86" spans="1:27" ht="12.75" customHeight="1" x14ac:dyDescent="0.25">
      <c r="A86" s="54"/>
      <c r="B86" s="76">
        <v>161</v>
      </c>
      <c r="C86" s="77" t="s">
        <v>1033</v>
      </c>
      <c r="D86" s="77" t="s">
        <v>1021</v>
      </c>
      <c r="E86" s="65" t="s">
        <v>1022</v>
      </c>
      <c r="F86" s="65">
        <v>12</v>
      </c>
      <c r="G86" s="64" t="s">
        <v>1005</v>
      </c>
      <c r="H86" s="65"/>
      <c r="I86" s="456" t="s">
        <v>875</v>
      </c>
      <c r="J86" s="65">
        <v>1</v>
      </c>
      <c r="K86" s="65">
        <v>1</v>
      </c>
      <c r="L86" s="65">
        <v>2</v>
      </c>
      <c r="M86" s="65"/>
      <c r="N86" s="65"/>
      <c r="O86" s="78">
        <v>1</v>
      </c>
      <c r="P86" s="78"/>
      <c r="Q86" s="79">
        <v>1</v>
      </c>
      <c r="R86" s="79"/>
      <c r="S86" s="79"/>
      <c r="T86" s="80">
        <v>1</v>
      </c>
      <c r="U86" s="80" t="s">
        <v>876</v>
      </c>
      <c r="V86" s="457">
        <v>1</v>
      </c>
      <c r="W86" s="457"/>
      <c r="X86" s="463">
        <v>1</v>
      </c>
      <c r="Y86" s="464"/>
      <c r="Z86" s="465"/>
      <c r="AA86" s="464"/>
    </row>
    <row r="87" spans="1:27" ht="12.75" customHeight="1" x14ac:dyDescent="0.25">
      <c r="A87" s="109"/>
      <c r="B87" s="76">
        <v>162</v>
      </c>
      <c r="C87" s="77" t="s">
        <v>1034</v>
      </c>
      <c r="D87" s="77" t="s">
        <v>1021</v>
      </c>
      <c r="E87" s="65" t="s">
        <v>1022</v>
      </c>
      <c r="F87" s="65">
        <v>13</v>
      </c>
      <c r="G87" s="64" t="s">
        <v>1035</v>
      </c>
      <c r="H87" s="65"/>
      <c r="I87" s="456" t="s">
        <v>875</v>
      </c>
      <c r="J87" s="65">
        <v>1</v>
      </c>
      <c r="K87" s="65">
        <v>10</v>
      </c>
      <c r="L87" s="65">
        <v>20</v>
      </c>
      <c r="M87" s="65"/>
      <c r="N87" s="65"/>
      <c r="O87" s="78">
        <v>1</v>
      </c>
      <c r="P87" s="78"/>
      <c r="Q87" s="79">
        <v>1</v>
      </c>
      <c r="R87" s="79"/>
      <c r="S87" s="79"/>
      <c r="T87" s="80">
        <v>1</v>
      </c>
      <c r="U87" s="80" t="s">
        <v>876</v>
      </c>
      <c r="V87" s="457">
        <v>1</v>
      </c>
      <c r="W87" s="457"/>
      <c r="X87" s="463"/>
      <c r="Y87" s="464"/>
      <c r="Z87" s="465"/>
      <c r="AA87" s="464"/>
    </row>
    <row r="88" spans="1:27" s="110" customFormat="1" x14ac:dyDescent="0.25">
      <c r="A88" s="109"/>
      <c r="B88" s="76">
        <v>163</v>
      </c>
      <c r="C88" s="77" t="s">
        <v>1036</v>
      </c>
      <c r="D88" s="77" t="s">
        <v>1021</v>
      </c>
      <c r="E88" s="65" t="s">
        <v>1022</v>
      </c>
      <c r="F88" s="65">
        <v>13</v>
      </c>
      <c r="G88" s="64" t="s">
        <v>1035</v>
      </c>
      <c r="H88" s="65"/>
      <c r="I88" s="456" t="s">
        <v>875</v>
      </c>
      <c r="J88" s="65">
        <v>1</v>
      </c>
      <c r="K88" s="65">
        <v>10</v>
      </c>
      <c r="L88" s="65">
        <v>20</v>
      </c>
      <c r="M88" s="65"/>
      <c r="N88" s="65"/>
      <c r="O88" s="78">
        <v>1</v>
      </c>
      <c r="P88" s="78"/>
      <c r="Q88" s="79">
        <v>1</v>
      </c>
      <c r="R88" s="79"/>
      <c r="S88" s="79"/>
      <c r="T88" s="80">
        <v>1</v>
      </c>
      <c r="U88" s="80" t="s">
        <v>876</v>
      </c>
      <c r="V88" s="457">
        <v>1</v>
      </c>
      <c r="W88" s="457"/>
      <c r="X88" s="463"/>
      <c r="Y88" s="464"/>
      <c r="Z88" s="465"/>
      <c r="AA88" s="464"/>
    </row>
    <row r="89" spans="1:27" s="110" customFormat="1" x14ac:dyDescent="0.25">
      <c r="A89" s="109"/>
      <c r="B89" s="76">
        <v>164</v>
      </c>
      <c r="C89" s="77" t="s">
        <v>1037</v>
      </c>
      <c r="D89" s="74" t="s">
        <v>1021</v>
      </c>
      <c r="E89" s="443" t="s">
        <v>1022</v>
      </c>
      <c r="F89" s="443">
        <v>14</v>
      </c>
      <c r="G89" s="56" t="s">
        <v>1005</v>
      </c>
      <c r="H89" s="443"/>
      <c r="I89" s="57" t="s">
        <v>914</v>
      </c>
      <c r="J89" s="443">
        <v>1</v>
      </c>
      <c r="K89" s="443">
        <v>8</v>
      </c>
      <c r="L89" s="443">
        <v>8</v>
      </c>
      <c r="M89" s="443"/>
      <c r="N89" s="443"/>
      <c r="O89" s="448"/>
      <c r="P89" s="448"/>
      <c r="Q89" s="450"/>
      <c r="R89" s="450"/>
      <c r="S89" s="450">
        <v>1</v>
      </c>
      <c r="T89" s="451"/>
      <c r="U89" s="451"/>
      <c r="V89" s="58"/>
      <c r="W89" s="58"/>
      <c r="X89" s="59"/>
      <c r="Y89" s="60"/>
      <c r="Z89" s="61"/>
      <c r="AA89" s="60"/>
    </row>
    <row r="90" spans="1:27" s="110" customFormat="1" x14ac:dyDescent="0.25">
      <c r="A90" s="109"/>
      <c r="B90" s="76">
        <v>165</v>
      </c>
      <c r="C90" s="77" t="s">
        <v>1038</v>
      </c>
      <c r="D90" s="77" t="s">
        <v>1021</v>
      </c>
      <c r="E90" s="65" t="s">
        <v>1022</v>
      </c>
      <c r="F90" s="65">
        <v>15</v>
      </c>
      <c r="G90" s="64" t="s">
        <v>1005</v>
      </c>
      <c r="H90" s="65" t="s">
        <v>1039</v>
      </c>
      <c r="I90" s="456" t="s">
        <v>875</v>
      </c>
      <c r="J90" s="65">
        <v>1</v>
      </c>
      <c r="K90" s="65">
        <v>4</v>
      </c>
      <c r="L90" s="65">
        <v>8</v>
      </c>
      <c r="M90" s="65"/>
      <c r="N90" s="111"/>
      <c r="O90" s="112"/>
      <c r="P90" s="112"/>
      <c r="Q90" s="79">
        <v>1</v>
      </c>
      <c r="R90" s="79">
        <v>1</v>
      </c>
      <c r="S90" s="79"/>
      <c r="T90" s="80"/>
      <c r="U90" s="80"/>
      <c r="V90" s="457"/>
      <c r="W90" s="457"/>
      <c r="X90" s="463"/>
      <c r="Y90" s="464"/>
      <c r="Z90" s="465"/>
      <c r="AA90" s="464"/>
    </row>
    <row r="91" spans="1:27" s="110" customFormat="1" x14ac:dyDescent="0.25">
      <c r="A91" s="109"/>
      <c r="B91" s="76">
        <v>166</v>
      </c>
      <c r="C91" s="77" t="s">
        <v>1040</v>
      </c>
      <c r="D91" s="77" t="s">
        <v>1021</v>
      </c>
      <c r="E91" s="65" t="s">
        <v>1022</v>
      </c>
      <c r="F91" s="65">
        <v>16</v>
      </c>
      <c r="G91" s="64" t="s">
        <v>1005</v>
      </c>
      <c r="H91" s="65" t="s">
        <v>1039</v>
      </c>
      <c r="I91" s="456" t="s">
        <v>875</v>
      </c>
      <c r="J91" s="65">
        <v>1</v>
      </c>
      <c r="K91" s="65">
        <v>4</v>
      </c>
      <c r="L91" s="65">
        <v>8</v>
      </c>
      <c r="M91" s="65"/>
      <c r="N91" s="111"/>
      <c r="O91" s="112"/>
      <c r="P91" s="112"/>
      <c r="Q91" s="79">
        <v>1</v>
      </c>
      <c r="R91" s="79">
        <v>1</v>
      </c>
      <c r="S91" s="79"/>
      <c r="T91" s="80"/>
      <c r="U91" s="80"/>
      <c r="V91" s="457"/>
      <c r="W91" s="457"/>
      <c r="X91" s="463"/>
      <c r="Y91" s="464"/>
      <c r="Z91" s="465"/>
      <c r="AA91" s="464"/>
    </row>
    <row r="92" spans="1:27" s="110" customFormat="1" x14ac:dyDescent="0.25">
      <c r="A92" s="109"/>
      <c r="B92" s="62">
        <v>167</v>
      </c>
      <c r="C92" s="74" t="s">
        <v>1041</v>
      </c>
      <c r="D92" s="74" t="s">
        <v>1021</v>
      </c>
      <c r="E92" s="443" t="s">
        <v>1022</v>
      </c>
      <c r="F92" s="443">
        <v>10</v>
      </c>
      <c r="G92" s="56" t="s">
        <v>1005</v>
      </c>
      <c r="H92" s="443"/>
      <c r="I92" s="57" t="s">
        <v>914</v>
      </c>
      <c r="J92" s="443">
        <v>1</v>
      </c>
      <c r="K92" s="443">
        <v>20</v>
      </c>
      <c r="L92" s="443">
        <v>20</v>
      </c>
      <c r="M92" s="443"/>
      <c r="N92" s="443"/>
      <c r="O92" s="448">
        <v>1</v>
      </c>
      <c r="P92" s="448">
        <v>1</v>
      </c>
      <c r="Q92" s="450">
        <v>1</v>
      </c>
      <c r="R92" s="450">
        <v>1</v>
      </c>
      <c r="S92" s="450">
        <v>1</v>
      </c>
      <c r="T92" s="451">
        <v>1</v>
      </c>
      <c r="U92" s="451" t="s">
        <v>876</v>
      </c>
      <c r="V92" s="58">
        <v>1</v>
      </c>
      <c r="W92" s="58">
        <v>1</v>
      </c>
      <c r="X92" s="59">
        <v>1</v>
      </c>
      <c r="Y92" s="60"/>
      <c r="Z92" s="61"/>
      <c r="AA92" s="60"/>
    </row>
    <row r="93" spans="1:27" x14ac:dyDescent="0.25">
      <c r="A93" s="54"/>
      <c r="B93" s="76">
        <v>168</v>
      </c>
      <c r="C93" s="77" t="s">
        <v>1042</v>
      </c>
      <c r="D93" s="74" t="s">
        <v>1021</v>
      </c>
      <c r="E93" s="443" t="s">
        <v>1022</v>
      </c>
      <c r="F93" s="65">
        <v>11</v>
      </c>
      <c r="G93" s="64" t="s">
        <v>1005</v>
      </c>
      <c r="H93" s="113" t="s">
        <v>1043</v>
      </c>
      <c r="I93" s="456" t="s">
        <v>875</v>
      </c>
      <c r="J93" s="65">
        <v>1</v>
      </c>
      <c r="K93" s="65">
        <v>4</v>
      </c>
      <c r="L93" s="65">
        <v>8</v>
      </c>
      <c r="M93" s="65"/>
      <c r="N93" s="65"/>
      <c r="O93" s="78"/>
      <c r="P93" s="78">
        <v>1</v>
      </c>
      <c r="Q93" s="79"/>
      <c r="R93" s="79"/>
      <c r="S93" s="79"/>
      <c r="T93" s="80"/>
      <c r="U93" s="80"/>
      <c r="V93" s="457"/>
      <c r="W93" s="457"/>
      <c r="X93" s="463"/>
      <c r="Y93" s="464"/>
      <c r="Z93" s="465"/>
      <c r="AA93" s="464"/>
    </row>
    <row r="94" spans="1:27" x14ac:dyDescent="0.25">
      <c r="A94" s="54"/>
      <c r="B94" s="62">
        <v>169</v>
      </c>
      <c r="C94" s="77" t="s">
        <v>1044</v>
      </c>
      <c r="D94" s="74" t="s">
        <v>1021</v>
      </c>
      <c r="E94" s="443" t="s">
        <v>1022</v>
      </c>
      <c r="F94" s="65">
        <v>12</v>
      </c>
      <c r="G94" s="64" t="s">
        <v>1005</v>
      </c>
      <c r="H94" s="443" t="s">
        <v>1043</v>
      </c>
      <c r="I94" s="456" t="s">
        <v>875</v>
      </c>
      <c r="J94" s="65">
        <v>1</v>
      </c>
      <c r="K94" s="65">
        <v>4</v>
      </c>
      <c r="L94" s="65">
        <v>8</v>
      </c>
      <c r="M94" s="65"/>
      <c r="N94" s="65"/>
      <c r="O94" s="78"/>
      <c r="P94" s="78">
        <v>1</v>
      </c>
      <c r="Q94" s="79"/>
      <c r="R94" s="79"/>
      <c r="S94" s="79"/>
      <c r="T94" s="80"/>
      <c r="U94" s="80"/>
      <c r="V94" s="457"/>
      <c r="W94" s="457"/>
      <c r="X94" s="463"/>
      <c r="Y94" s="464"/>
      <c r="Z94" s="465"/>
      <c r="AA94" s="464"/>
    </row>
    <row r="95" spans="1:27" x14ac:dyDescent="0.25">
      <c r="A95" s="54"/>
      <c r="B95" s="62">
        <v>170</v>
      </c>
      <c r="C95" s="74" t="s">
        <v>1045</v>
      </c>
      <c r="D95" s="74" t="s">
        <v>1021</v>
      </c>
      <c r="E95" s="443" t="s">
        <v>1046</v>
      </c>
      <c r="F95" s="443"/>
      <c r="G95" s="56" t="s">
        <v>1005</v>
      </c>
      <c r="H95" s="443"/>
      <c r="I95" s="57" t="s">
        <v>914</v>
      </c>
      <c r="J95" s="443">
        <v>1</v>
      </c>
      <c r="K95" s="443">
        <v>8</v>
      </c>
      <c r="L95" s="443">
        <v>8</v>
      </c>
      <c r="M95" s="443"/>
      <c r="N95" s="443"/>
      <c r="O95" s="448"/>
      <c r="P95" s="448">
        <v>1</v>
      </c>
      <c r="Q95" s="450"/>
      <c r="R95" s="450"/>
      <c r="S95" s="450"/>
      <c r="T95" s="451"/>
      <c r="U95" s="451"/>
      <c r="V95" s="58"/>
      <c r="W95" s="58"/>
      <c r="X95" s="59"/>
      <c r="Y95" s="60"/>
      <c r="Z95" s="61"/>
      <c r="AA95" s="60"/>
    </row>
    <row r="96" spans="1:27" x14ac:dyDescent="0.25">
      <c r="A96" s="54"/>
      <c r="B96" s="76">
        <v>171</v>
      </c>
      <c r="C96" s="77" t="s">
        <v>1047</v>
      </c>
      <c r="D96" s="77" t="s">
        <v>1021</v>
      </c>
      <c r="E96" s="65" t="s">
        <v>1022</v>
      </c>
      <c r="F96" s="65">
        <v>13</v>
      </c>
      <c r="G96" s="64" t="s">
        <v>1035</v>
      </c>
      <c r="H96" s="65"/>
      <c r="I96" s="456" t="s">
        <v>875</v>
      </c>
      <c r="J96" s="65">
        <v>1</v>
      </c>
      <c r="K96" s="65">
        <v>10</v>
      </c>
      <c r="L96" s="65">
        <v>20</v>
      </c>
      <c r="M96" s="65"/>
      <c r="N96" s="65"/>
      <c r="O96" s="78">
        <v>1</v>
      </c>
      <c r="P96" s="78">
        <v>1</v>
      </c>
      <c r="Q96" s="79">
        <v>1</v>
      </c>
      <c r="R96" s="79">
        <v>1</v>
      </c>
      <c r="S96" s="79"/>
      <c r="T96" s="80"/>
      <c r="U96" s="80"/>
      <c r="V96" s="457"/>
      <c r="W96" s="457"/>
      <c r="X96" s="463"/>
      <c r="Y96" s="464"/>
      <c r="Z96" s="465"/>
      <c r="AA96" s="464"/>
    </row>
    <row r="97" spans="1:27" x14ac:dyDescent="0.25">
      <c r="A97" s="54"/>
      <c r="B97" s="76">
        <v>172</v>
      </c>
      <c r="C97" s="77" t="s">
        <v>1048</v>
      </c>
      <c r="D97" s="77" t="s">
        <v>1021</v>
      </c>
      <c r="E97" s="65" t="s">
        <v>1022</v>
      </c>
      <c r="F97" s="65">
        <v>13</v>
      </c>
      <c r="G97" s="64" t="s">
        <v>1035</v>
      </c>
      <c r="H97" s="65"/>
      <c r="I97" s="456" t="s">
        <v>875</v>
      </c>
      <c r="J97" s="65">
        <v>1</v>
      </c>
      <c r="K97" s="65">
        <v>10</v>
      </c>
      <c r="L97" s="65">
        <v>20</v>
      </c>
      <c r="M97" s="65"/>
      <c r="N97" s="65"/>
      <c r="O97" s="78">
        <v>1</v>
      </c>
      <c r="P97" s="78">
        <v>1</v>
      </c>
      <c r="Q97" s="79">
        <v>1</v>
      </c>
      <c r="R97" s="79">
        <v>1</v>
      </c>
      <c r="S97" s="79"/>
      <c r="T97" s="80"/>
      <c r="U97" s="80"/>
      <c r="V97" s="457"/>
      <c r="W97" s="457"/>
      <c r="X97" s="463"/>
      <c r="Y97" s="464"/>
      <c r="Z97" s="465"/>
      <c r="AA97" s="464"/>
    </row>
    <row r="98" spans="1:27" x14ac:dyDescent="0.25">
      <c r="A98" s="54"/>
      <c r="B98" s="115">
        <v>180</v>
      </c>
      <c r="C98" s="116" t="s">
        <v>4466</v>
      </c>
      <c r="D98" s="179" t="s">
        <v>1021</v>
      </c>
      <c r="E98" s="180" t="s">
        <v>1022</v>
      </c>
      <c r="F98" s="117">
        <v>11</v>
      </c>
      <c r="G98" s="118" t="s">
        <v>1005</v>
      </c>
      <c r="H98" s="467" t="s">
        <v>1043</v>
      </c>
      <c r="I98" s="119" t="s">
        <v>875</v>
      </c>
      <c r="J98" s="117">
        <v>1</v>
      </c>
      <c r="K98" s="117">
        <v>4</v>
      </c>
      <c r="L98" s="117">
        <v>8</v>
      </c>
      <c r="M98" s="117"/>
      <c r="N98" s="117"/>
      <c r="O98" s="120"/>
      <c r="P98" s="120">
        <v>1</v>
      </c>
      <c r="Q98" s="79"/>
      <c r="R98" s="79"/>
      <c r="S98" s="79"/>
      <c r="T98" s="80"/>
      <c r="U98" s="80"/>
      <c r="V98" s="457"/>
      <c r="W98" s="457"/>
      <c r="X98" s="463"/>
      <c r="Y98" s="464"/>
      <c r="Z98" s="465"/>
      <c r="AA98" s="464"/>
    </row>
    <row r="99" spans="1:27" x14ac:dyDescent="0.25">
      <c r="A99" s="54"/>
      <c r="B99" s="115">
        <v>181</v>
      </c>
      <c r="C99" s="116" t="s">
        <v>4467</v>
      </c>
      <c r="D99" s="179" t="s">
        <v>1021</v>
      </c>
      <c r="E99" s="180" t="s">
        <v>1022</v>
      </c>
      <c r="F99" s="117">
        <v>11</v>
      </c>
      <c r="G99" s="118" t="s">
        <v>1005</v>
      </c>
      <c r="H99" s="467" t="s">
        <v>1043</v>
      </c>
      <c r="I99" s="119" t="s">
        <v>875</v>
      </c>
      <c r="J99" s="117">
        <v>1</v>
      </c>
      <c r="K99" s="117">
        <v>4</v>
      </c>
      <c r="L99" s="117">
        <v>8</v>
      </c>
      <c r="M99" s="117"/>
      <c r="N99" s="117"/>
      <c r="O99" s="120"/>
      <c r="P99" s="120">
        <v>1</v>
      </c>
      <c r="Q99" s="79"/>
      <c r="R99" s="79"/>
      <c r="S99" s="79"/>
      <c r="T99" s="80"/>
      <c r="U99" s="80"/>
      <c r="V99" s="457"/>
      <c r="W99" s="457"/>
      <c r="X99" s="463"/>
      <c r="Y99" s="464"/>
      <c r="Z99" s="465"/>
      <c r="AA99" s="464"/>
    </row>
    <row r="100" spans="1:27" ht="13.8" thickBot="1" x14ac:dyDescent="0.3">
      <c r="A100" s="94"/>
      <c r="B100" s="83"/>
      <c r="C100" s="95"/>
      <c r="D100" s="95"/>
      <c r="E100" s="96"/>
      <c r="F100" s="96"/>
      <c r="G100" s="97"/>
      <c r="H100" s="96"/>
      <c r="I100" s="98"/>
      <c r="J100" s="96"/>
      <c r="K100" s="96"/>
      <c r="L100" s="96"/>
      <c r="M100" s="96"/>
      <c r="N100" s="96"/>
      <c r="O100" s="99"/>
      <c r="P100" s="99"/>
      <c r="Q100" s="100"/>
      <c r="R100" s="100"/>
      <c r="S100" s="100"/>
      <c r="T100" s="101"/>
      <c r="U100" s="101"/>
      <c r="V100" s="102"/>
      <c r="W100" s="102"/>
      <c r="X100" s="103"/>
      <c r="Y100" s="104"/>
      <c r="Z100" s="105"/>
      <c r="AA100" s="104"/>
    </row>
    <row r="101" spans="1:27" ht="26.4" x14ac:dyDescent="0.25">
      <c r="A101" s="52" t="s">
        <v>1049</v>
      </c>
      <c r="B101" s="84">
        <v>200</v>
      </c>
      <c r="C101" s="85" t="s">
        <v>1050</v>
      </c>
      <c r="D101" s="85" t="s">
        <v>1002</v>
      </c>
      <c r="E101" s="442" t="s">
        <v>1051</v>
      </c>
      <c r="F101" s="442" t="s">
        <v>142</v>
      </c>
      <c r="G101" s="86" t="s">
        <v>1005</v>
      </c>
      <c r="H101" s="66" t="s">
        <v>1008</v>
      </c>
      <c r="I101" s="87" t="s">
        <v>914</v>
      </c>
      <c r="J101" s="442">
        <v>1</v>
      </c>
      <c r="K101" s="442">
        <v>10</v>
      </c>
      <c r="L101" s="442">
        <v>10</v>
      </c>
      <c r="M101" s="442"/>
      <c r="N101" s="442"/>
      <c r="O101" s="122"/>
      <c r="P101" s="122"/>
      <c r="Q101" s="449">
        <v>1</v>
      </c>
      <c r="R101" s="449">
        <v>1</v>
      </c>
      <c r="S101" s="449">
        <v>1</v>
      </c>
      <c r="T101" s="461"/>
      <c r="U101" s="461" t="s">
        <v>876</v>
      </c>
      <c r="V101" s="88"/>
      <c r="W101" s="88"/>
      <c r="X101" s="89"/>
      <c r="Y101" s="90"/>
      <c r="Z101" s="91"/>
      <c r="AA101" s="90"/>
    </row>
    <row r="102" spans="1:27" x14ac:dyDescent="0.25">
      <c r="A102" s="123"/>
      <c r="B102" s="62">
        <f>B101 + 1</f>
        <v>201</v>
      </c>
      <c r="C102" s="74" t="s">
        <v>1052</v>
      </c>
      <c r="D102" s="74" t="s">
        <v>1002</v>
      </c>
      <c r="E102" s="443" t="s">
        <v>1051</v>
      </c>
      <c r="F102" s="443" t="s">
        <v>142</v>
      </c>
      <c r="G102" s="56" t="s">
        <v>1005</v>
      </c>
      <c r="H102" s="443" t="s">
        <v>1008</v>
      </c>
      <c r="I102" s="57" t="s">
        <v>914</v>
      </c>
      <c r="J102" s="443">
        <v>1</v>
      </c>
      <c r="K102" s="443">
        <v>10</v>
      </c>
      <c r="L102" s="443">
        <v>10</v>
      </c>
      <c r="M102" s="443"/>
      <c r="N102" s="443"/>
      <c r="O102" s="124"/>
      <c r="P102" s="124"/>
      <c r="Q102" s="450">
        <v>1</v>
      </c>
      <c r="R102" s="450">
        <v>1</v>
      </c>
      <c r="S102" s="450">
        <v>1</v>
      </c>
      <c r="T102" s="451"/>
      <c r="U102" s="451" t="s">
        <v>876</v>
      </c>
      <c r="V102" s="58"/>
      <c r="W102" s="58"/>
      <c r="X102" s="59"/>
      <c r="Y102" s="60"/>
      <c r="Z102" s="61"/>
      <c r="AA102" s="60"/>
    </row>
    <row r="103" spans="1:27" x14ac:dyDescent="0.25">
      <c r="A103" s="123"/>
      <c r="B103" s="62">
        <f t="shared" ref="B103:B130" si="1">B102 + 1</f>
        <v>202</v>
      </c>
      <c r="C103" s="74" t="s">
        <v>1053</v>
      </c>
      <c r="D103" s="74" t="s">
        <v>1002</v>
      </c>
      <c r="E103" s="443" t="s">
        <v>1051</v>
      </c>
      <c r="F103" s="443" t="s">
        <v>142</v>
      </c>
      <c r="G103" s="56" t="s">
        <v>1005</v>
      </c>
      <c r="H103" s="443"/>
      <c r="I103" s="57" t="s">
        <v>75</v>
      </c>
      <c r="J103" s="443">
        <v>1</v>
      </c>
      <c r="K103" s="443">
        <v>3</v>
      </c>
      <c r="L103" s="443">
        <v>6</v>
      </c>
      <c r="M103" s="443"/>
      <c r="N103" s="443"/>
      <c r="O103" s="124"/>
      <c r="P103" s="124"/>
      <c r="Q103" s="450">
        <v>1</v>
      </c>
      <c r="R103" s="450">
        <v>1</v>
      </c>
      <c r="S103" s="450">
        <v>1</v>
      </c>
      <c r="T103" s="451"/>
      <c r="U103" s="451" t="s">
        <v>876</v>
      </c>
      <c r="V103" s="58"/>
      <c r="W103" s="58"/>
      <c r="X103" s="59"/>
      <c r="Y103" s="60">
        <v>1</v>
      </c>
      <c r="Z103" s="67">
        <v>1</v>
      </c>
      <c r="AA103" s="70"/>
    </row>
    <row r="104" spans="1:27" x14ac:dyDescent="0.25">
      <c r="A104" s="126"/>
      <c r="B104" s="62">
        <f t="shared" si="1"/>
        <v>203</v>
      </c>
      <c r="C104" s="74" t="s">
        <v>1054</v>
      </c>
      <c r="D104" s="74" t="s">
        <v>1002</v>
      </c>
      <c r="E104" s="443" t="s">
        <v>1051</v>
      </c>
      <c r="F104" s="443" t="s">
        <v>142</v>
      </c>
      <c r="G104" s="56" t="s">
        <v>1005</v>
      </c>
      <c r="H104" s="443"/>
      <c r="I104" s="57" t="s">
        <v>1006</v>
      </c>
      <c r="J104" s="443">
        <v>1</v>
      </c>
      <c r="K104" s="443">
        <v>3</v>
      </c>
      <c r="L104" s="443">
        <v>6</v>
      </c>
      <c r="M104" s="443"/>
      <c r="N104" s="443"/>
      <c r="O104" s="124"/>
      <c r="P104" s="124"/>
      <c r="Q104" s="450">
        <v>1</v>
      </c>
      <c r="R104" s="450">
        <v>1</v>
      </c>
      <c r="S104" s="450">
        <v>1</v>
      </c>
      <c r="T104" s="451"/>
      <c r="U104" s="451" t="s">
        <v>876</v>
      </c>
      <c r="V104" s="58"/>
      <c r="W104" s="58"/>
      <c r="X104" s="59"/>
      <c r="Y104" s="60">
        <v>1</v>
      </c>
      <c r="Z104" s="67">
        <v>1</v>
      </c>
      <c r="AA104" s="70"/>
    </row>
    <row r="105" spans="1:27" x14ac:dyDescent="0.25">
      <c r="A105" s="126"/>
      <c r="B105" s="62">
        <f t="shared" si="1"/>
        <v>204</v>
      </c>
      <c r="C105" s="74" t="s">
        <v>1055</v>
      </c>
      <c r="D105" s="74" t="s">
        <v>1002</v>
      </c>
      <c r="E105" s="443" t="s">
        <v>1056</v>
      </c>
      <c r="F105" s="443" t="s">
        <v>142</v>
      </c>
      <c r="G105" s="56" t="s">
        <v>1005</v>
      </c>
      <c r="H105" s="443" t="s">
        <v>1008</v>
      </c>
      <c r="I105" s="57" t="s">
        <v>914</v>
      </c>
      <c r="J105" s="443">
        <v>1</v>
      </c>
      <c r="K105" s="443">
        <v>10</v>
      </c>
      <c r="L105" s="443">
        <v>10</v>
      </c>
      <c r="M105" s="443"/>
      <c r="N105" s="443"/>
      <c r="O105" s="124"/>
      <c r="P105" s="124"/>
      <c r="Q105" s="450">
        <v>1</v>
      </c>
      <c r="R105" s="450">
        <v>1</v>
      </c>
      <c r="S105" s="450">
        <v>1</v>
      </c>
      <c r="T105" s="451"/>
      <c r="U105" s="451" t="s">
        <v>876</v>
      </c>
      <c r="V105" s="58"/>
      <c r="W105" s="58"/>
      <c r="X105" s="59"/>
      <c r="Y105" s="60"/>
      <c r="Z105" s="67"/>
      <c r="AA105" s="70"/>
    </row>
    <row r="106" spans="1:27" x14ac:dyDescent="0.25">
      <c r="A106" s="126"/>
      <c r="B106" s="62">
        <f t="shared" si="1"/>
        <v>205</v>
      </c>
      <c r="C106" s="74" t="s">
        <v>1057</v>
      </c>
      <c r="D106" s="74" t="s">
        <v>1002</v>
      </c>
      <c r="E106" s="443" t="s">
        <v>1056</v>
      </c>
      <c r="F106" s="443" t="s">
        <v>142</v>
      </c>
      <c r="G106" s="56" t="s">
        <v>1005</v>
      </c>
      <c r="H106" s="443" t="s">
        <v>1008</v>
      </c>
      <c r="I106" s="57" t="s">
        <v>914</v>
      </c>
      <c r="J106" s="443">
        <v>1</v>
      </c>
      <c r="K106" s="443">
        <v>10</v>
      </c>
      <c r="L106" s="443">
        <v>10</v>
      </c>
      <c r="M106" s="443"/>
      <c r="N106" s="443"/>
      <c r="O106" s="124"/>
      <c r="P106" s="124"/>
      <c r="Q106" s="450">
        <v>1</v>
      </c>
      <c r="R106" s="450">
        <v>1</v>
      </c>
      <c r="S106" s="450">
        <v>1</v>
      </c>
      <c r="T106" s="451"/>
      <c r="U106" s="451" t="s">
        <v>876</v>
      </c>
      <c r="V106" s="58"/>
      <c r="W106" s="58"/>
      <c r="X106" s="59"/>
      <c r="Y106" s="60"/>
      <c r="Z106" s="67"/>
      <c r="AA106" s="70"/>
    </row>
    <row r="107" spans="1:27" x14ac:dyDescent="0.25">
      <c r="A107" s="126"/>
      <c r="B107" s="62">
        <f t="shared" si="1"/>
        <v>206</v>
      </c>
      <c r="C107" s="74" t="s">
        <v>1058</v>
      </c>
      <c r="D107" s="74" t="s">
        <v>1002</v>
      </c>
      <c r="E107" s="443" t="s">
        <v>1056</v>
      </c>
      <c r="F107" s="443" t="s">
        <v>142</v>
      </c>
      <c r="G107" s="56" t="s">
        <v>1005</v>
      </c>
      <c r="H107" s="443"/>
      <c r="I107" s="57" t="s">
        <v>75</v>
      </c>
      <c r="J107" s="443">
        <v>1</v>
      </c>
      <c r="K107" s="443">
        <v>3</v>
      </c>
      <c r="L107" s="443">
        <v>6</v>
      </c>
      <c r="M107" s="443"/>
      <c r="N107" s="443"/>
      <c r="O107" s="124"/>
      <c r="P107" s="124"/>
      <c r="Q107" s="450">
        <v>1</v>
      </c>
      <c r="R107" s="450">
        <v>1</v>
      </c>
      <c r="S107" s="450">
        <v>1</v>
      </c>
      <c r="T107" s="451"/>
      <c r="U107" s="451" t="s">
        <v>876</v>
      </c>
      <c r="V107" s="58"/>
      <c r="W107" s="58"/>
      <c r="X107" s="59"/>
      <c r="Y107" s="60"/>
      <c r="Z107" s="67">
        <v>1</v>
      </c>
      <c r="AA107" s="70"/>
    </row>
    <row r="108" spans="1:27" x14ac:dyDescent="0.25">
      <c r="A108" s="127"/>
      <c r="B108" s="62">
        <f t="shared" si="1"/>
        <v>207</v>
      </c>
      <c r="C108" s="74" t="s">
        <v>1059</v>
      </c>
      <c r="D108" s="74" t="s">
        <v>1002</v>
      </c>
      <c r="E108" s="443" t="s">
        <v>1056</v>
      </c>
      <c r="F108" s="443" t="s">
        <v>142</v>
      </c>
      <c r="G108" s="56" t="s">
        <v>1005</v>
      </c>
      <c r="H108" s="443"/>
      <c r="I108" s="57" t="s">
        <v>1006</v>
      </c>
      <c r="J108" s="443">
        <v>1</v>
      </c>
      <c r="K108" s="443">
        <v>3</v>
      </c>
      <c r="L108" s="443">
        <v>6</v>
      </c>
      <c r="M108" s="443"/>
      <c r="N108" s="443"/>
      <c r="O108" s="124"/>
      <c r="P108" s="124"/>
      <c r="Q108" s="450">
        <v>1</v>
      </c>
      <c r="R108" s="450">
        <v>1</v>
      </c>
      <c r="S108" s="450">
        <v>1</v>
      </c>
      <c r="T108" s="451"/>
      <c r="U108" s="451" t="s">
        <v>876</v>
      </c>
      <c r="V108" s="58"/>
      <c r="W108" s="58"/>
      <c r="X108" s="59"/>
      <c r="Y108" s="60"/>
      <c r="Z108" s="67">
        <v>1</v>
      </c>
      <c r="AA108" s="70"/>
    </row>
    <row r="109" spans="1:27" x14ac:dyDescent="0.25">
      <c r="A109" s="127"/>
      <c r="B109" s="62">
        <f t="shared" si="1"/>
        <v>208</v>
      </c>
      <c r="C109" s="74" t="s">
        <v>1060</v>
      </c>
      <c r="D109" s="74" t="s">
        <v>916</v>
      </c>
      <c r="E109" s="443" t="s">
        <v>1051</v>
      </c>
      <c r="F109" s="443" t="s">
        <v>142</v>
      </c>
      <c r="G109" s="56" t="s">
        <v>874</v>
      </c>
      <c r="H109" s="443" t="s">
        <v>153</v>
      </c>
      <c r="I109" s="57" t="s">
        <v>875</v>
      </c>
      <c r="J109" s="443">
        <v>1</v>
      </c>
      <c r="K109" s="443">
        <v>5</v>
      </c>
      <c r="L109" s="443">
        <v>8</v>
      </c>
      <c r="M109" s="443"/>
      <c r="N109" s="443"/>
      <c r="O109" s="124"/>
      <c r="P109" s="124"/>
      <c r="Q109" s="450">
        <v>1</v>
      </c>
      <c r="R109" s="450">
        <v>1</v>
      </c>
      <c r="S109" s="450">
        <v>1</v>
      </c>
      <c r="T109" s="451"/>
      <c r="U109" s="451" t="s">
        <v>876</v>
      </c>
      <c r="V109" s="58"/>
      <c r="W109" s="58"/>
      <c r="X109" s="59">
        <v>1</v>
      </c>
      <c r="Y109" s="60"/>
      <c r="Z109" s="67">
        <v>1</v>
      </c>
      <c r="AA109" s="70"/>
    </row>
    <row r="110" spans="1:27" x14ac:dyDescent="0.25">
      <c r="A110" s="126"/>
      <c r="B110" s="62">
        <f t="shared" si="1"/>
        <v>209</v>
      </c>
      <c r="C110" s="74" t="s">
        <v>1061</v>
      </c>
      <c r="D110" s="74" t="s">
        <v>916</v>
      </c>
      <c r="E110" s="443" t="s">
        <v>1056</v>
      </c>
      <c r="F110" s="443" t="s">
        <v>142</v>
      </c>
      <c r="G110" s="56" t="s">
        <v>874</v>
      </c>
      <c r="H110" s="443" t="s">
        <v>153</v>
      </c>
      <c r="I110" s="57" t="s">
        <v>875</v>
      </c>
      <c r="J110" s="443">
        <v>1</v>
      </c>
      <c r="K110" s="443">
        <v>4</v>
      </c>
      <c r="L110" s="443">
        <v>8</v>
      </c>
      <c r="M110" s="443"/>
      <c r="N110" s="443"/>
      <c r="O110" s="124"/>
      <c r="P110" s="124"/>
      <c r="Q110" s="450">
        <v>1</v>
      </c>
      <c r="R110" s="450">
        <v>1</v>
      </c>
      <c r="S110" s="450">
        <v>1</v>
      </c>
      <c r="T110" s="451"/>
      <c r="U110" s="451" t="s">
        <v>876</v>
      </c>
      <c r="V110" s="58"/>
      <c r="W110" s="58"/>
      <c r="X110" s="59"/>
      <c r="Y110" s="60"/>
      <c r="Z110" s="67">
        <v>1</v>
      </c>
      <c r="AA110" s="70"/>
    </row>
    <row r="111" spans="1:27" ht="12.75" customHeight="1" x14ac:dyDescent="0.25">
      <c r="A111" s="126"/>
      <c r="B111" s="62">
        <f t="shared" si="1"/>
        <v>210</v>
      </c>
      <c r="C111" s="125" t="s">
        <v>1062</v>
      </c>
      <c r="D111" s="74" t="s">
        <v>916</v>
      </c>
      <c r="E111" s="443" t="s">
        <v>1063</v>
      </c>
      <c r="F111" s="443" t="s">
        <v>142</v>
      </c>
      <c r="G111" s="56" t="s">
        <v>1064</v>
      </c>
      <c r="H111" s="443" t="s">
        <v>886</v>
      </c>
      <c r="I111" s="57" t="s">
        <v>875</v>
      </c>
      <c r="J111" s="443">
        <v>1</v>
      </c>
      <c r="K111" s="443">
        <v>2</v>
      </c>
      <c r="L111" s="443">
        <v>4</v>
      </c>
      <c r="M111" s="443"/>
      <c r="N111" s="443"/>
      <c r="O111" s="124"/>
      <c r="P111" s="124"/>
      <c r="Q111" s="450">
        <v>1</v>
      </c>
      <c r="R111" s="450">
        <v>1</v>
      </c>
      <c r="S111" s="450"/>
      <c r="T111" s="451"/>
      <c r="U111" s="451" t="s">
        <v>876</v>
      </c>
      <c r="V111" s="58"/>
      <c r="W111" s="58"/>
      <c r="X111" s="59"/>
      <c r="Y111" s="60"/>
      <c r="Z111" s="67"/>
      <c r="AA111" s="70"/>
    </row>
    <row r="112" spans="1:27" ht="12.75" customHeight="1" x14ac:dyDescent="0.25">
      <c r="A112" s="126"/>
      <c r="B112" s="62">
        <f t="shared" si="1"/>
        <v>211</v>
      </c>
      <c r="C112" s="125" t="s">
        <v>1065</v>
      </c>
      <c r="D112" s="74" t="s">
        <v>916</v>
      </c>
      <c r="E112" s="443" t="s">
        <v>1063</v>
      </c>
      <c r="F112" s="443" t="s">
        <v>142</v>
      </c>
      <c r="G112" s="56" t="s">
        <v>1064</v>
      </c>
      <c r="H112" s="443" t="s">
        <v>886</v>
      </c>
      <c r="I112" s="57" t="s">
        <v>875</v>
      </c>
      <c r="J112" s="443">
        <v>1</v>
      </c>
      <c r="K112" s="443">
        <v>2</v>
      </c>
      <c r="L112" s="443">
        <v>4</v>
      </c>
      <c r="M112" s="443"/>
      <c r="N112" s="443"/>
      <c r="O112" s="124"/>
      <c r="P112" s="124"/>
      <c r="Q112" s="450">
        <v>1</v>
      </c>
      <c r="R112" s="450">
        <v>1</v>
      </c>
      <c r="S112" s="450"/>
      <c r="T112" s="451"/>
      <c r="U112" s="451" t="s">
        <v>876</v>
      </c>
      <c r="V112" s="58"/>
      <c r="W112" s="58"/>
      <c r="X112" s="59"/>
      <c r="Y112" s="60"/>
      <c r="Z112" s="67"/>
      <c r="AA112" s="70"/>
    </row>
    <row r="113" spans="1:27" ht="12.75" customHeight="1" x14ac:dyDescent="0.25">
      <c r="A113" s="126"/>
      <c r="B113" s="62">
        <f t="shared" si="1"/>
        <v>212</v>
      </c>
      <c r="C113" s="125" t="s">
        <v>1066</v>
      </c>
      <c r="D113" s="74" t="s">
        <v>1021</v>
      </c>
      <c r="E113" s="443" t="s">
        <v>1063</v>
      </c>
      <c r="F113" s="443" t="s">
        <v>142</v>
      </c>
      <c r="G113" s="56" t="s">
        <v>1064</v>
      </c>
      <c r="H113" s="443"/>
      <c r="I113" s="57" t="s">
        <v>875</v>
      </c>
      <c r="J113" s="443">
        <v>1</v>
      </c>
      <c r="K113" s="443">
        <v>2</v>
      </c>
      <c r="L113" s="443">
        <v>4</v>
      </c>
      <c r="M113" s="443"/>
      <c r="N113" s="443"/>
      <c r="O113" s="124"/>
      <c r="P113" s="124"/>
      <c r="Q113" s="450">
        <v>1</v>
      </c>
      <c r="R113" s="450">
        <v>1</v>
      </c>
      <c r="S113" s="450"/>
      <c r="T113" s="451"/>
      <c r="U113" s="451" t="s">
        <v>876</v>
      </c>
      <c r="V113" s="58"/>
      <c r="W113" s="58"/>
      <c r="X113" s="59"/>
      <c r="Y113" s="60"/>
      <c r="Z113" s="67"/>
      <c r="AA113" s="70"/>
    </row>
    <row r="114" spans="1:27" ht="12.75" customHeight="1" x14ac:dyDescent="0.25">
      <c r="A114" s="126"/>
      <c r="B114" s="62">
        <f t="shared" si="1"/>
        <v>213</v>
      </c>
      <c r="C114" s="74" t="s">
        <v>1067</v>
      </c>
      <c r="D114" s="74" t="s">
        <v>1021</v>
      </c>
      <c r="E114" s="443" t="s">
        <v>1063</v>
      </c>
      <c r="F114" s="443" t="s">
        <v>142</v>
      </c>
      <c r="G114" s="56" t="s">
        <v>1064</v>
      </c>
      <c r="H114" s="443"/>
      <c r="I114" s="57" t="s">
        <v>875</v>
      </c>
      <c r="J114" s="443">
        <v>1</v>
      </c>
      <c r="K114" s="443">
        <v>2</v>
      </c>
      <c r="L114" s="443">
        <v>4</v>
      </c>
      <c r="M114" s="443"/>
      <c r="N114" s="443"/>
      <c r="O114" s="124"/>
      <c r="P114" s="124"/>
      <c r="Q114" s="450">
        <v>1</v>
      </c>
      <c r="R114" s="450">
        <v>1</v>
      </c>
      <c r="S114" s="450"/>
      <c r="T114" s="451"/>
      <c r="U114" s="451" t="s">
        <v>876</v>
      </c>
      <c r="V114" s="58"/>
      <c r="W114" s="58"/>
      <c r="X114" s="59"/>
      <c r="Y114" s="60"/>
      <c r="Z114" s="67"/>
      <c r="AA114" s="70"/>
    </row>
    <row r="115" spans="1:27" ht="12.75" customHeight="1" x14ac:dyDescent="0.25">
      <c r="A115" s="126"/>
      <c r="B115" s="62">
        <f t="shared" si="1"/>
        <v>214</v>
      </c>
      <c r="C115" s="74" t="s">
        <v>1068</v>
      </c>
      <c r="D115" s="74" t="s">
        <v>1021</v>
      </c>
      <c r="E115" s="443" t="s">
        <v>1063</v>
      </c>
      <c r="F115" s="443" t="s">
        <v>142</v>
      </c>
      <c r="G115" s="56" t="s">
        <v>1064</v>
      </c>
      <c r="H115" s="443"/>
      <c r="I115" s="57" t="s">
        <v>875</v>
      </c>
      <c r="J115" s="443">
        <v>1</v>
      </c>
      <c r="K115" s="443">
        <v>3</v>
      </c>
      <c r="L115" s="443">
        <v>6</v>
      </c>
      <c r="M115" s="443"/>
      <c r="N115" s="443"/>
      <c r="O115" s="124"/>
      <c r="P115" s="124"/>
      <c r="Q115" s="450">
        <v>1</v>
      </c>
      <c r="R115" s="450">
        <v>1</v>
      </c>
      <c r="S115" s="450"/>
      <c r="T115" s="451"/>
      <c r="U115" s="451" t="s">
        <v>876</v>
      </c>
      <c r="V115" s="58"/>
      <c r="W115" s="58"/>
      <c r="X115" s="59"/>
      <c r="Y115" s="60"/>
      <c r="Z115" s="67"/>
      <c r="AA115" s="70"/>
    </row>
    <row r="116" spans="1:27" ht="12.75" customHeight="1" x14ac:dyDescent="0.25">
      <c r="A116" s="126"/>
      <c r="B116" s="62">
        <f t="shared" si="1"/>
        <v>215</v>
      </c>
      <c r="C116" s="74" t="s">
        <v>1069</v>
      </c>
      <c r="D116" s="74" t="s">
        <v>916</v>
      </c>
      <c r="E116" s="443" t="s">
        <v>1063</v>
      </c>
      <c r="F116" s="443" t="s">
        <v>142</v>
      </c>
      <c r="G116" s="56" t="s">
        <v>1070</v>
      </c>
      <c r="H116" s="443" t="s">
        <v>891</v>
      </c>
      <c r="I116" s="57" t="s">
        <v>875</v>
      </c>
      <c r="J116" s="443">
        <v>1</v>
      </c>
      <c r="K116" s="443">
        <v>4</v>
      </c>
      <c r="L116" s="443">
        <v>8</v>
      </c>
      <c r="M116" s="443"/>
      <c r="N116" s="443"/>
      <c r="O116" s="124"/>
      <c r="P116" s="124"/>
      <c r="Q116" s="450">
        <v>1</v>
      </c>
      <c r="R116" s="450">
        <v>1</v>
      </c>
      <c r="S116" s="450">
        <v>1</v>
      </c>
      <c r="T116" s="451"/>
      <c r="U116" s="451" t="s">
        <v>876</v>
      </c>
      <c r="V116" s="58"/>
      <c r="W116" s="58"/>
      <c r="X116" s="59"/>
      <c r="Y116" s="60"/>
      <c r="Z116" s="67">
        <v>1</v>
      </c>
      <c r="AA116" s="70"/>
    </row>
    <row r="117" spans="1:27" ht="12.75" customHeight="1" x14ac:dyDescent="0.25">
      <c r="A117" s="126"/>
      <c r="B117" s="62">
        <f t="shared" si="1"/>
        <v>216</v>
      </c>
      <c r="C117" s="74" t="s">
        <v>1071</v>
      </c>
      <c r="D117" s="74" t="s">
        <v>916</v>
      </c>
      <c r="E117" s="443" t="s">
        <v>1063</v>
      </c>
      <c r="F117" s="443" t="s">
        <v>142</v>
      </c>
      <c r="G117" s="56" t="s">
        <v>1072</v>
      </c>
      <c r="H117" s="443" t="s">
        <v>1073</v>
      </c>
      <c r="I117" s="57" t="s">
        <v>1006</v>
      </c>
      <c r="J117" s="443">
        <v>1</v>
      </c>
      <c r="K117" s="443">
        <v>3</v>
      </c>
      <c r="L117" s="443">
        <v>6</v>
      </c>
      <c r="M117" s="443"/>
      <c r="N117" s="443"/>
      <c r="O117" s="124"/>
      <c r="P117" s="124"/>
      <c r="Q117" s="450">
        <v>1</v>
      </c>
      <c r="R117" s="450">
        <v>1</v>
      </c>
      <c r="S117" s="450"/>
      <c r="T117" s="451"/>
      <c r="U117" s="451" t="s">
        <v>876</v>
      </c>
      <c r="V117" s="58"/>
      <c r="W117" s="58"/>
      <c r="X117" s="59"/>
      <c r="Y117" s="60"/>
      <c r="Z117" s="67"/>
      <c r="AA117" s="70"/>
    </row>
    <row r="118" spans="1:27" ht="12.75" customHeight="1" x14ac:dyDescent="0.25">
      <c r="A118" s="126"/>
      <c r="B118" s="62">
        <f t="shared" si="1"/>
        <v>217</v>
      </c>
      <c r="C118" s="74" t="s">
        <v>1074</v>
      </c>
      <c r="D118" s="74" t="s">
        <v>916</v>
      </c>
      <c r="E118" s="443" t="s">
        <v>1063</v>
      </c>
      <c r="F118" s="443" t="s">
        <v>142</v>
      </c>
      <c r="G118" s="56" t="s">
        <v>1075</v>
      </c>
      <c r="H118" s="443" t="s">
        <v>1076</v>
      </c>
      <c r="I118" s="57" t="s">
        <v>875</v>
      </c>
      <c r="J118" s="443">
        <v>1</v>
      </c>
      <c r="K118" s="443">
        <v>4</v>
      </c>
      <c r="L118" s="443">
        <v>8</v>
      </c>
      <c r="M118" s="443"/>
      <c r="N118" s="443"/>
      <c r="O118" s="124"/>
      <c r="P118" s="124"/>
      <c r="Q118" s="450">
        <v>1</v>
      </c>
      <c r="R118" s="450">
        <v>1</v>
      </c>
      <c r="S118" s="450"/>
      <c r="T118" s="451"/>
      <c r="U118" s="451" t="s">
        <v>876</v>
      </c>
      <c r="V118" s="58"/>
      <c r="W118" s="58"/>
      <c r="X118" s="59"/>
      <c r="Y118" s="60"/>
      <c r="Z118" s="67"/>
      <c r="AA118" s="70"/>
    </row>
    <row r="119" spans="1:27" ht="12.75" customHeight="1" x14ac:dyDescent="0.25">
      <c r="A119" s="126"/>
      <c r="B119" s="468">
        <f t="shared" si="1"/>
        <v>218</v>
      </c>
      <c r="C119" s="128" t="s">
        <v>1077</v>
      </c>
      <c r="D119" s="74" t="s">
        <v>916</v>
      </c>
      <c r="E119" s="443" t="s">
        <v>1063</v>
      </c>
      <c r="F119" s="443" t="s">
        <v>142</v>
      </c>
      <c r="G119" s="56" t="s">
        <v>1078</v>
      </c>
      <c r="H119" s="443" t="s">
        <v>880</v>
      </c>
      <c r="I119" s="57" t="s">
        <v>875</v>
      </c>
      <c r="J119" s="443">
        <v>1</v>
      </c>
      <c r="K119" s="443">
        <v>2</v>
      </c>
      <c r="L119" s="443">
        <v>4</v>
      </c>
      <c r="M119" s="443"/>
      <c r="N119" s="443"/>
      <c r="O119" s="124"/>
      <c r="P119" s="124"/>
      <c r="Q119" s="450">
        <v>1</v>
      </c>
      <c r="R119" s="450">
        <v>1</v>
      </c>
      <c r="S119" s="450"/>
      <c r="T119" s="451"/>
      <c r="U119" s="451" t="s">
        <v>876</v>
      </c>
      <c r="V119" s="58"/>
      <c r="W119" s="58"/>
      <c r="X119" s="59"/>
      <c r="Y119" s="60"/>
      <c r="Z119" s="67"/>
      <c r="AA119" s="70"/>
    </row>
    <row r="120" spans="1:27" ht="12.75" customHeight="1" x14ac:dyDescent="0.25">
      <c r="A120" s="126"/>
      <c r="B120" s="468">
        <f t="shared" si="1"/>
        <v>219</v>
      </c>
      <c r="C120" s="128" t="s">
        <v>1080</v>
      </c>
      <c r="D120" s="74" t="s">
        <v>916</v>
      </c>
      <c r="E120" s="443" t="s">
        <v>1063</v>
      </c>
      <c r="F120" s="443" t="s">
        <v>142</v>
      </c>
      <c r="G120" s="56" t="s">
        <v>1078</v>
      </c>
      <c r="H120" s="443" t="s">
        <v>170</v>
      </c>
      <c r="I120" s="57" t="s">
        <v>875</v>
      </c>
      <c r="J120" s="443">
        <v>1</v>
      </c>
      <c r="K120" s="443">
        <v>1</v>
      </c>
      <c r="L120" s="443">
        <v>2</v>
      </c>
      <c r="M120" s="443"/>
      <c r="N120" s="443"/>
      <c r="O120" s="124"/>
      <c r="P120" s="124"/>
      <c r="Q120" s="450">
        <v>1</v>
      </c>
      <c r="R120" s="450">
        <v>1</v>
      </c>
      <c r="S120" s="450"/>
      <c r="T120" s="451"/>
      <c r="U120" s="451" t="s">
        <v>876</v>
      </c>
      <c r="V120" s="58"/>
      <c r="W120" s="58"/>
      <c r="X120" s="59"/>
      <c r="Y120" s="60"/>
      <c r="Z120" s="61"/>
      <c r="AA120" s="60"/>
    </row>
    <row r="121" spans="1:27" ht="12.75" customHeight="1" x14ac:dyDescent="0.25">
      <c r="A121" s="126"/>
      <c r="B121" s="468">
        <f t="shared" si="1"/>
        <v>220</v>
      </c>
      <c r="C121" s="128" t="s">
        <v>1082</v>
      </c>
      <c r="D121" s="74" t="s">
        <v>916</v>
      </c>
      <c r="E121" s="443" t="s">
        <v>1063</v>
      </c>
      <c r="F121" s="443" t="s">
        <v>142</v>
      </c>
      <c r="G121" s="56" t="s">
        <v>1078</v>
      </c>
      <c r="H121" s="443" t="s">
        <v>900</v>
      </c>
      <c r="I121" s="57" t="s">
        <v>875</v>
      </c>
      <c r="J121" s="443">
        <v>1</v>
      </c>
      <c r="K121" s="443">
        <v>2</v>
      </c>
      <c r="L121" s="443">
        <v>4</v>
      </c>
      <c r="M121" s="443"/>
      <c r="N121" s="443"/>
      <c r="O121" s="124"/>
      <c r="P121" s="124"/>
      <c r="Q121" s="450">
        <v>1</v>
      </c>
      <c r="R121" s="450">
        <v>1</v>
      </c>
      <c r="S121" s="450"/>
      <c r="T121" s="451"/>
      <c r="U121" s="451" t="s">
        <v>876</v>
      </c>
      <c r="V121" s="58"/>
      <c r="W121" s="58"/>
      <c r="X121" s="59"/>
      <c r="Y121" s="60"/>
      <c r="Z121" s="61"/>
      <c r="AA121" s="60"/>
    </row>
    <row r="122" spans="1:27" x14ac:dyDescent="0.25">
      <c r="A122" s="126"/>
      <c r="B122" s="62">
        <f t="shared" si="1"/>
        <v>221</v>
      </c>
      <c r="C122" s="74" t="s">
        <v>1084</v>
      </c>
      <c r="D122" s="74" t="s">
        <v>916</v>
      </c>
      <c r="E122" s="443" t="s">
        <v>1063</v>
      </c>
      <c r="F122" s="443" t="s">
        <v>142</v>
      </c>
      <c r="G122" s="56" t="s">
        <v>1085</v>
      </c>
      <c r="H122" s="443"/>
      <c r="I122" s="57" t="s">
        <v>875</v>
      </c>
      <c r="J122" s="443">
        <v>1</v>
      </c>
      <c r="K122" s="443">
        <v>2</v>
      </c>
      <c r="L122" s="443">
        <v>4</v>
      </c>
      <c r="M122" s="443"/>
      <c r="N122" s="443"/>
      <c r="O122" s="124"/>
      <c r="P122" s="124"/>
      <c r="Q122" s="450">
        <v>1</v>
      </c>
      <c r="R122" s="450">
        <v>1</v>
      </c>
      <c r="S122" s="450">
        <v>1</v>
      </c>
      <c r="T122" s="451"/>
      <c r="U122" s="451" t="s">
        <v>876</v>
      </c>
      <c r="V122" s="58"/>
      <c r="W122" s="58"/>
      <c r="X122" s="59"/>
      <c r="Y122" s="60"/>
      <c r="Z122" s="61"/>
      <c r="AA122" s="60"/>
    </row>
    <row r="123" spans="1:27" x14ac:dyDescent="0.25">
      <c r="A123" s="126"/>
      <c r="B123" s="62">
        <f t="shared" si="1"/>
        <v>222</v>
      </c>
      <c r="C123" s="74" t="s">
        <v>1086</v>
      </c>
      <c r="D123" s="74" t="s">
        <v>916</v>
      </c>
      <c r="E123" s="443" t="s">
        <v>1063</v>
      </c>
      <c r="F123" s="443" t="s">
        <v>142</v>
      </c>
      <c r="G123" s="56" t="s">
        <v>1072</v>
      </c>
      <c r="H123" s="443" t="s">
        <v>1073</v>
      </c>
      <c r="I123" s="57" t="s">
        <v>875</v>
      </c>
      <c r="J123" s="443">
        <v>1</v>
      </c>
      <c r="K123" s="443">
        <v>3</v>
      </c>
      <c r="L123" s="443">
        <v>6</v>
      </c>
      <c r="M123" s="443"/>
      <c r="N123" s="443"/>
      <c r="O123" s="124"/>
      <c r="P123" s="124"/>
      <c r="Q123" s="450">
        <v>1</v>
      </c>
      <c r="R123" s="450">
        <v>1</v>
      </c>
      <c r="S123" s="450">
        <v>1</v>
      </c>
      <c r="T123" s="451"/>
      <c r="U123" s="451" t="s">
        <v>876</v>
      </c>
      <c r="V123" s="58"/>
      <c r="W123" s="58"/>
      <c r="X123" s="59"/>
      <c r="Y123" s="60"/>
      <c r="Z123" s="61"/>
      <c r="AA123" s="60"/>
    </row>
    <row r="124" spans="1:27" x14ac:dyDescent="0.25">
      <c r="A124" s="126"/>
      <c r="B124" s="62">
        <f t="shared" si="1"/>
        <v>223</v>
      </c>
      <c r="C124" s="74" t="s">
        <v>1087</v>
      </c>
      <c r="D124" s="74" t="s">
        <v>916</v>
      </c>
      <c r="E124" s="443" t="s">
        <v>1063</v>
      </c>
      <c r="F124" s="443" t="s">
        <v>142</v>
      </c>
      <c r="G124" s="56" t="s">
        <v>1088</v>
      </c>
      <c r="H124" s="443" t="s">
        <v>153</v>
      </c>
      <c r="I124" s="57" t="s">
        <v>875</v>
      </c>
      <c r="J124" s="443">
        <v>1</v>
      </c>
      <c r="K124" s="443">
        <v>3</v>
      </c>
      <c r="L124" s="443">
        <v>6</v>
      </c>
      <c r="M124" s="443"/>
      <c r="N124" s="443"/>
      <c r="O124" s="124"/>
      <c r="P124" s="124"/>
      <c r="Q124" s="450">
        <v>1</v>
      </c>
      <c r="R124" s="450">
        <v>1</v>
      </c>
      <c r="S124" s="450">
        <v>1</v>
      </c>
      <c r="T124" s="451"/>
      <c r="U124" s="451" t="s">
        <v>876</v>
      </c>
      <c r="V124" s="58"/>
      <c r="W124" s="58"/>
      <c r="X124" s="59"/>
      <c r="Y124" s="60"/>
      <c r="Z124" s="61"/>
      <c r="AA124" s="60"/>
    </row>
    <row r="125" spans="1:27" ht="12.75" customHeight="1" x14ac:dyDescent="0.25">
      <c r="A125" s="123"/>
      <c r="B125" s="62">
        <f t="shared" si="1"/>
        <v>224</v>
      </c>
      <c r="C125" s="74" t="s">
        <v>1089</v>
      </c>
      <c r="D125" s="74" t="s">
        <v>916</v>
      </c>
      <c r="E125" s="443" t="s">
        <v>1063</v>
      </c>
      <c r="F125" s="443" t="s">
        <v>142</v>
      </c>
      <c r="G125" s="56" t="s">
        <v>1085</v>
      </c>
      <c r="H125" s="443"/>
      <c r="I125" s="57" t="s">
        <v>875</v>
      </c>
      <c r="J125" s="443">
        <v>1</v>
      </c>
      <c r="K125" s="443">
        <v>2</v>
      </c>
      <c r="L125" s="443">
        <v>4</v>
      </c>
      <c r="M125" s="443"/>
      <c r="N125" s="443"/>
      <c r="O125" s="124"/>
      <c r="P125" s="124"/>
      <c r="Q125" s="450">
        <v>1</v>
      </c>
      <c r="R125" s="450">
        <v>1</v>
      </c>
      <c r="S125" s="450"/>
      <c r="T125" s="451"/>
      <c r="U125" s="451" t="s">
        <v>876</v>
      </c>
      <c r="V125" s="58"/>
      <c r="W125" s="58"/>
      <c r="X125" s="59"/>
      <c r="Y125" s="60"/>
      <c r="Z125" s="61"/>
      <c r="AA125" s="60"/>
    </row>
    <row r="126" spans="1:27" ht="12.75" customHeight="1" x14ac:dyDescent="0.25">
      <c r="A126" s="123"/>
      <c r="B126" s="62">
        <f t="shared" si="1"/>
        <v>225</v>
      </c>
      <c r="C126" s="74" t="s">
        <v>1090</v>
      </c>
      <c r="D126" s="74" t="s">
        <v>1021</v>
      </c>
      <c r="E126" s="443" t="s">
        <v>1063</v>
      </c>
      <c r="F126" s="443" t="s">
        <v>142</v>
      </c>
      <c r="G126" s="56" t="s">
        <v>1085</v>
      </c>
      <c r="H126" s="443"/>
      <c r="I126" s="57" t="s">
        <v>875</v>
      </c>
      <c r="J126" s="443">
        <v>1</v>
      </c>
      <c r="K126" s="443">
        <v>2</v>
      </c>
      <c r="L126" s="443">
        <v>4</v>
      </c>
      <c r="M126" s="443"/>
      <c r="N126" s="443"/>
      <c r="O126" s="124"/>
      <c r="P126" s="124"/>
      <c r="Q126" s="450"/>
      <c r="R126" s="450">
        <v>1</v>
      </c>
      <c r="S126" s="450"/>
      <c r="T126" s="451"/>
      <c r="U126" s="451" t="s">
        <v>876</v>
      </c>
      <c r="V126" s="58"/>
      <c r="W126" s="58"/>
      <c r="X126" s="59"/>
      <c r="Y126" s="60"/>
      <c r="Z126" s="61"/>
      <c r="AA126" s="60"/>
    </row>
    <row r="127" spans="1:27" ht="12.75" customHeight="1" x14ac:dyDescent="0.25">
      <c r="A127" s="123"/>
      <c r="B127" s="62">
        <f t="shared" si="1"/>
        <v>226</v>
      </c>
      <c r="C127" s="74" t="s">
        <v>1091</v>
      </c>
      <c r="D127" s="74" t="s">
        <v>1021</v>
      </c>
      <c r="E127" s="443" t="s">
        <v>1063</v>
      </c>
      <c r="F127" s="443" t="s">
        <v>142</v>
      </c>
      <c r="G127" s="56" t="s">
        <v>1072</v>
      </c>
      <c r="H127" s="443" t="s">
        <v>1073</v>
      </c>
      <c r="I127" s="57" t="s">
        <v>875</v>
      </c>
      <c r="J127" s="443">
        <v>1</v>
      </c>
      <c r="K127" s="443">
        <v>3</v>
      </c>
      <c r="L127" s="443">
        <v>6</v>
      </c>
      <c r="M127" s="443"/>
      <c r="N127" s="443"/>
      <c r="O127" s="124"/>
      <c r="P127" s="124"/>
      <c r="Q127" s="450"/>
      <c r="R127" s="450">
        <v>1</v>
      </c>
      <c r="S127" s="450">
        <v>1</v>
      </c>
      <c r="T127" s="451"/>
      <c r="U127" s="451" t="s">
        <v>876</v>
      </c>
      <c r="V127" s="58"/>
      <c r="W127" s="58"/>
      <c r="X127" s="59"/>
      <c r="Y127" s="60"/>
      <c r="Z127" s="61"/>
      <c r="AA127" s="60"/>
    </row>
    <row r="128" spans="1:27" ht="12.75" customHeight="1" x14ac:dyDescent="0.25">
      <c r="A128" s="123"/>
      <c r="B128" s="62">
        <f t="shared" si="1"/>
        <v>227</v>
      </c>
      <c r="C128" s="74" t="s">
        <v>1092</v>
      </c>
      <c r="D128" s="74" t="s">
        <v>1021</v>
      </c>
      <c r="E128" s="443" t="s">
        <v>1063</v>
      </c>
      <c r="F128" s="443" t="s">
        <v>142</v>
      </c>
      <c r="G128" s="56" t="s">
        <v>1088</v>
      </c>
      <c r="H128" s="443"/>
      <c r="I128" s="57" t="s">
        <v>875</v>
      </c>
      <c r="J128" s="443">
        <v>1</v>
      </c>
      <c r="K128" s="443">
        <v>2</v>
      </c>
      <c r="L128" s="443">
        <v>4</v>
      </c>
      <c r="M128" s="443"/>
      <c r="N128" s="443"/>
      <c r="O128" s="124"/>
      <c r="P128" s="124"/>
      <c r="Q128" s="450"/>
      <c r="R128" s="450">
        <v>1</v>
      </c>
      <c r="S128" s="450"/>
      <c r="T128" s="451"/>
      <c r="U128" s="451" t="s">
        <v>876</v>
      </c>
      <c r="V128" s="58"/>
      <c r="W128" s="58"/>
      <c r="X128" s="59"/>
      <c r="Y128" s="60"/>
      <c r="Z128" s="61"/>
      <c r="AA128" s="60"/>
    </row>
    <row r="129" spans="2:27" ht="12.75" customHeight="1" x14ac:dyDescent="0.25">
      <c r="B129" s="62">
        <f t="shared" si="1"/>
        <v>228</v>
      </c>
      <c r="C129" s="74" t="s">
        <v>1093</v>
      </c>
      <c r="D129" s="74" t="s">
        <v>1021</v>
      </c>
      <c r="E129" s="443" t="s">
        <v>1063</v>
      </c>
      <c r="F129" s="443" t="s">
        <v>142</v>
      </c>
      <c r="G129" s="56" t="s">
        <v>1085</v>
      </c>
      <c r="H129" s="443"/>
      <c r="I129" s="57" t="s">
        <v>875</v>
      </c>
      <c r="J129" s="443">
        <v>1</v>
      </c>
      <c r="K129" s="443">
        <v>2</v>
      </c>
      <c r="L129" s="443">
        <v>4</v>
      </c>
      <c r="M129" s="443"/>
      <c r="N129" s="443"/>
      <c r="O129" s="124"/>
      <c r="P129" s="124"/>
      <c r="Q129" s="450">
        <v>1</v>
      </c>
      <c r="R129" s="450">
        <v>1</v>
      </c>
      <c r="S129" s="450"/>
      <c r="T129" s="451"/>
      <c r="U129" s="451" t="s">
        <v>876</v>
      </c>
      <c r="V129" s="58"/>
      <c r="W129" s="58"/>
      <c r="X129" s="59"/>
      <c r="Y129" s="60"/>
      <c r="Z129" s="61"/>
      <c r="AA129" s="60"/>
    </row>
    <row r="130" spans="2:27" ht="12.75" customHeight="1" x14ac:dyDescent="0.25">
      <c r="B130" s="62">
        <f t="shared" si="1"/>
        <v>229</v>
      </c>
      <c r="C130" s="74" t="s">
        <v>1094</v>
      </c>
      <c r="D130" s="74" t="s">
        <v>1021</v>
      </c>
      <c r="E130" s="443" t="s">
        <v>1063</v>
      </c>
      <c r="F130" s="443" t="s">
        <v>142</v>
      </c>
      <c r="G130" s="56" t="s">
        <v>1072</v>
      </c>
      <c r="H130" s="443"/>
      <c r="I130" s="57" t="s">
        <v>875</v>
      </c>
      <c r="J130" s="443">
        <v>1</v>
      </c>
      <c r="K130" s="443">
        <v>3</v>
      </c>
      <c r="L130" s="443">
        <v>6</v>
      </c>
      <c r="M130" s="443"/>
      <c r="N130" s="443"/>
      <c r="O130" s="124"/>
      <c r="P130" s="124"/>
      <c r="Q130" s="450">
        <v>1</v>
      </c>
      <c r="R130" s="450">
        <v>1</v>
      </c>
      <c r="S130" s="450"/>
      <c r="T130" s="451"/>
      <c r="U130" s="451" t="s">
        <v>876</v>
      </c>
      <c r="V130" s="58"/>
      <c r="W130" s="58"/>
      <c r="X130" s="59"/>
      <c r="Y130" s="60"/>
      <c r="Z130" s="61"/>
      <c r="AA130" s="60"/>
    </row>
    <row r="131" spans="2:27" x14ac:dyDescent="0.25">
      <c r="B131" s="62">
        <v>230</v>
      </c>
      <c r="C131" s="74" t="s">
        <v>1095</v>
      </c>
      <c r="D131" s="74" t="s">
        <v>1021</v>
      </c>
      <c r="E131" s="443" t="s">
        <v>1063</v>
      </c>
      <c r="F131" s="443" t="s">
        <v>142</v>
      </c>
      <c r="G131" s="56" t="s">
        <v>1088</v>
      </c>
      <c r="H131" s="443"/>
      <c r="I131" s="57" t="s">
        <v>875</v>
      </c>
      <c r="J131" s="443">
        <v>1</v>
      </c>
      <c r="K131" s="443">
        <v>3</v>
      </c>
      <c r="L131" s="443">
        <v>6</v>
      </c>
      <c r="M131" s="443"/>
      <c r="N131" s="443"/>
      <c r="O131" s="124"/>
      <c r="P131" s="124"/>
      <c r="Q131" s="450">
        <v>1</v>
      </c>
      <c r="R131" s="450">
        <v>1</v>
      </c>
      <c r="S131" s="450">
        <v>1</v>
      </c>
      <c r="T131" s="451"/>
      <c r="U131" s="451" t="s">
        <v>876</v>
      </c>
      <c r="V131" s="58"/>
      <c r="W131" s="58"/>
      <c r="X131" s="59"/>
      <c r="Y131" s="60"/>
      <c r="Z131" s="61"/>
      <c r="AA131" s="60"/>
    </row>
    <row r="132" spans="2:27" ht="12.75" customHeight="1" x14ac:dyDescent="0.25">
      <c r="B132" s="62">
        <v>231</v>
      </c>
      <c r="C132" s="74" t="s">
        <v>1096</v>
      </c>
      <c r="D132" s="74" t="s">
        <v>916</v>
      </c>
      <c r="E132" s="443" t="s">
        <v>1063</v>
      </c>
      <c r="F132" s="443" t="s">
        <v>142</v>
      </c>
      <c r="G132" s="56" t="s">
        <v>874</v>
      </c>
      <c r="H132" s="443" t="s">
        <v>891</v>
      </c>
      <c r="I132" s="57" t="s">
        <v>875</v>
      </c>
      <c r="J132" s="443">
        <v>1</v>
      </c>
      <c r="K132" s="443">
        <v>5</v>
      </c>
      <c r="L132" s="443">
        <v>10</v>
      </c>
      <c r="M132" s="443"/>
      <c r="N132" s="443"/>
      <c r="O132" s="124"/>
      <c r="P132" s="124"/>
      <c r="Q132" s="450">
        <v>1</v>
      </c>
      <c r="R132" s="450">
        <v>1</v>
      </c>
      <c r="S132" s="450"/>
      <c r="T132" s="451"/>
      <c r="U132" s="451" t="s">
        <v>876</v>
      </c>
      <c r="V132" s="58"/>
      <c r="W132" s="58"/>
      <c r="X132" s="59"/>
      <c r="Y132" s="60"/>
      <c r="Z132" s="61"/>
      <c r="AA132" s="60"/>
    </row>
    <row r="133" spans="2:27" ht="12.75" customHeight="1" x14ac:dyDescent="0.25">
      <c r="B133" s="62">
        <v>232</v>
      </c>
      <c r="C133" s="74" t="s">
        <v>1097</v>
      </c>
      <c r="D133" s="74" t="s">
        <v>916</v>
      </c>
      <c r="E133" s="443" t="s">
        <v>1063</v>
      </c>
      <c r="F133" s="443" t="s">
        <v>142</v>
      </c>
      <c r="G133" s="56" t="s">
        <v>874</v>
      </c>
      <c r="H133" s="443" t="s">
        <v>891</v>
      </c>
      <c r="I133" s="57" t="s">
        <v>875</v>
      </c>
      <c r="J133" s="443">
        <v>1</v>
      </c>
      <c r="K133" s="443">
        <v>5</v>
      </c>
      <c r="L133" s="443">
        <v>10</v>
      </c>
      <c r="M133" s="443"/>
      <c r="N133" s="443"/>
      <c r="O133" s="124"/>
      <c r="P133" s="124"/>
      <c r="Q133" s="450">
        <v>1</v>
      </c>
      <c r="R133" s="450">
        <v>1</v>
      </c>
      <c r="S133" s="450"/>
      <c r="T133" s="451"/>
      <c r="U133" s="451" t="s">
        <v>876</v>
      </c>
      <c r="V133" s="58"/>
      <c r="W133" s="58"/>
      <c r="X133" s="59"/>
      <c r="Y133" s="60"/>
      <c r="Z133" s="61"/>
      <c r="AA133" s="60"/>
    </row>
    <row r="134" spans="2:27" ht="12.75" customHeight="1" x14ac:dyDescent="0.25">
      <c r="B134" s="62">
        <v>233</v>
      </c>
      <c r="C134" s="74" t="s">
        <v>1098</v>
      </c>
      <c r="D134" s="74" t="s">
        <v>916</v>
      </c>
      <c r="E134" s="443" t="s">
        <v>1063</v>
      </c>
      <c r="F134" s="443" t="s">
        <v>142</v>
      </c>
      <c r="G134" s="56" t="s">
        <v>1099</v>
      </c>
      <c r="H134" s="443"/>
      <c r="I134" s="57" t="s">
        <v>914</v>
      </c>
      <c r="J134" s="443">
        <v>1</v>
      </c>
      <c r="K134" s="443">
        <v>2</v>
      </c>
      <c r="L134" s="443">
        <v>4</v>
      </c>
      <c r="M134" s="443"/>
      <c r="N134" s="443"/>
      <c r="O134" s="124"/>
      <c r="P134" s="124"/>
      <c r="Q134" s="450">
        <v>1</v>
      </c>
      <c r="R134" s="450"/>
      <c r="S134" s="450"/>
      <c r="T134" s="451"/>
      <c r="U134" s="451" t="s">
        <v>876</v>
      </c>
      <c r="V134" s="58"/>
      <c r="W134" s="58"/>
      <c r="X134" s="59"/>
      <c r="Y134" s="60"/>
      <c r="Z134" s="61"/>
      <c r="AA134" s="60"/>
    </row>
    <row r="135" spans="2:27" ht="12.75" customHeight="1" x14ac:dyDescent="0.25">
      <c r="B135" s="62">
        <v>234</v>
      </c>
      <c r="C135" s="74" t="s">
        <v>1100</v>
      </c>
      <c r="D135" s="74" t="s">
        <v>916</v>
      </c>
      <c r="E135" s="443" t="s">
        <v>1063</v>
      </c>
      <c r="F135" s="443" t="s">
        <v>142</v>
      </c>
      <c r="G135" s="56" t="s">
        <v>1099</v>
      </c>
      <c r="H135" s="443"/>
      <c r="I135" s="57" t="s">
        <v>914</v>
      </c>
      <c r="J135" s="443">
        <v>1</v>
      </c>
      <c r="K135" s="443">
        <v>1</v>
      </c>
      <c r="L135" s="443">
        <v>2</v>
      </c>
      <c r="M135" s="443"/>
      <c r="N135" s="443"/>
      <c r="O135" s="124"/>
      <c r="P135" s="124"/>
      <c r="Q135" s="450">
        <v>1</v>
      </c>
      <c r="R135" s="450"/>
      <c r="S135" s="450"/>
      <c r="T135" s="451"/>
      <c r="U135" s="451" t="s">
        <v>876</v>
      </c>
      <c r="V135" s="58"/>
      <c r="W135" s="58"/>
      <c r="X135" s="59"/>
      <c r="Y135" s="60"/>
      <c r="Z135" s="61"/>
      <c r="AA135" s="60"/>
    </row>
    <row r="136" spans="2:27" ht="12.75" customHeight="1" x14ac:dyDescent="0.25">
      <c r="B136" s="62">
        <v>235</v>
      </c>
      <c r="C136" s="74" t="s">
        <v>1101</v>
      </c>
      <c r="D136" s="74" t="s">
        <v>916</v>
      </c>
      <c r="E136" s="443" t="s">
        <v>1063</v>
      </c>
      <c r="F136" s="443" t="s">
        <v>142</v>
      </c>
      <c r="G136" s="56" t="s">
        <v>1099</v>
      </c>
      <c r="H136" s="443"/>
      <c r="I136" s="57" t="s">
        <v>914</v>
      </c>
      <c r="J136" s="443">
        <v>1</v>
      </c>
      <c r="K136" s="443">
        <v>1</v>
      </c>
      <c r="L136" s="443">
        <v>2</v>
      </c>
      <c r="M136" s="443"/>
      <c r="N136" s="443"/>
      <c r="O136" s="124"/>
      <c r="P136" s="124"/>
      <c r="Q136" s="450">
        <v>1</v>
      </c>
      <c r="R136" s="450"/>
      <c r="S136" s="450"/>
      <c r="T136" s="451"/>
      <c r="U136" s="451" t="s">
        <v>876</v>
      </c>
      <c r="V136" s="58"/>
      <c r="W136" s="58"/>
      <c r="X136" s="59"/>
      <c r="Y136" s="60"/>
      <c r="Z136" s="61"/>
      <c r="AA136" s="60"/>
    </row>
    <row r="137" spans="2:27" ht="12.75" customHeight="1" x14ac:dyDescent="0.25">
      <c r="B137" s="62">
        <v>236</v>
      </c>
      <c r="C137" s="129" t="s">
        <v>1102</v>
      </c>
      <c r="D137" s="130" t="s">
        <v>916</v>
      </c>
      <c r="E137" s="443" t="s">
        <v>1063</v>
      </c>
      <c r="F137" s="443" t="s">
        <v>142</v>
      </c>
      <c r="G137" s="56" t="s">
        <v>1099</v>
      </c>
      <c r="H137" s="443"/>
      <c r="I137" s="57" t="s">
        <v>914</v>
      </c>
      <c r="J137" s="443">
        <v>1</v>
      </c>
      <c r="K137" s="443">
        <v>1</v>
      </c>
      <c r="L137" s="443">
        <v>2</v>
      </c>
      <c r="M137" s="443"/>
      <c r="N137" s="443"/>
      <c r="O137" s="124"/>
      <c r="P137" s="124"/>
      <c r="Q137" s="450">
        <v>1</v>
      </c>
      <c r="R137" s="450"/>
      <c r="S137" s="450"/>
      <c r="T137" s="451"/>
      <c r="U137" s="451" t="s">
        <v>876</v>
      </c>
      <c r="V137" s="58"/>
      <c r="W137" s="58"/>
      <c r="X137" s="59"/>
      <c r="Y137" s="60"/>
      <c r="Z137" s="61"/>
      <c r="AA137" s="60"/>
    </row>
    <row r="138" spans="2:27" s="110" customFormat="1" ht="12.75" customHeight="1" x14ac:dyDescent="0.25">
      <c r="B138" s="62">
        <v>237</v>
      </c>
      <c r="C138" s="129" t="s">
        <v>1103</v>
      </c>
      <c r="D138" s="130" t="s">
        <v>916</v>
      </c>
      <c r="E138" s="443" t="s">
        <v>1063</v>
      </c>
      <c r="F138" s="443" t="s">
        <v>142</v>
      </c>
      <c r="G138" s="56" t="s">
        <v>874</v>
      </c>
      <c r="H138" s="443"/>
      <c r="I138" s="57" t="s">
        <v>914</v>
      </c>
      <c r="J138" s="443">
        <v>1</v>
      </c>
      <c r="K138" s="443">
        <v>2</v>
      </c>
      <c r="L138" s="443">
        <v>4</v>
      </c>
      <c r="M138" s="443"/>
      <c r="N138" s="443"/>
      <c r="O138" s="124"/>
      <c r="P138" s="124"/>
      <c r="Q138" s="450">
        <v>1</v>
      </c>
      <c r="R138" s="450"/>
      <c r="S138" s="450"/>
      <c r="T138" s="451"/>
      <c r="U138" s="451" t="s">
        <v>876</v>
      </c>
      <c r="V138" s="58"/>
      <c r="W138" s="58"/>
      <c r="X138" s="59"/>
      <c r="Y138" s="60"/>
      <c r="Z138" s="61"/>
      <c r="AA138" s="60"/>
    </row>
    <row r="139" spans="2:27" s="110" customFormat="1" ht="12.75" customHeight="1" x14ac:dyDescent="0.25">
      <c r="B139" s="62">
        <v>238</v>
      </c>
      <c r="C139" s="74" t="s">
        <v>1104</v>
      </c>
      <c r="D139" s="74" t="s">
        <v>916</v>
      </c>
      <c r="E139" s="443" t="s">
        <v>1063</v>
      </c>
      <c r="F139" s="443" t="s">
        <v>142</v>
      </c>
      <c r="G139" s="56" t="s">
        <v>874</v>
      </c>
      <c r="H139" s="443"/>
      <c r="I139" s="57" t="s">
        <v>914</v>
      </c>
      <c r="J139" s="443">
        <v>1</v>
      </c>
      <c r="K139" s="443">
        <v>2</v>
      </c>
      <c r="L139" s="443">
        <v>4</v>
      </c>
      <c r="M139" s="443"/>
      <c r="N139" s="443"/>
      <c r="O139" s="124"/>
      <c r="P139" s="124"/>
      <c r="Q139" s="450">
        <v>1</v>
      </c>
      <c r="R139" s="450"/>
      <c r="S139" s="450"/>
      <c r="T139" s="451"/>
      <c r="U139" s="451" t="s">
        <v>876</v>
      </c>
      <c r="V139" s="58"/>
      <c r="W139" s="58"/>
      <c r="X139" s="59"/>
      <c r="Y139" s="60"/>
      <c r="Z139" s="61"/>
      <c r="AA139" s="60"/>
    </row>
    <row r="140" spans="2:27" s="110" customFormat="1" ht="12.75" customHeight="1" x14ac:dyDescent="0.25">
      <c r="B140" s="62">
        <v>239</v>
      </c>
      <c r="C140" s="55" t="s">
        <v>1105</v>
      </c>
      <c r="D140" s="74" t="s">
        <v>916</v>
      </c>
      <c r="E140" s="443">
        <v>247</v>
      </c>
      <c r="F140" s="443" t="s">
        <v>909</v>
      </c>
      <c r="G140" s="56" t="s">
        <v>874</v>
      </c>
      <c r="H140" s="443" t="s">
        <v>910</v>
      </c>
      <c r="I140" s="57" t="s">
        <v>875</v>
      </c>
      <c r="J140" s="443">
        <v>1</v>
      </c>
      <c r="K140" s="443">
        <v>4</v>
      </c>
      <c r="L140" s="443">
        <f t="shared" ref="L140:L149" si="2">K140*2</f>
        <v>8</v>
      </c>
      <c r="M140" s="443">
        <v>1</v>
      </c>
      <c r="N140" s="443">
        <v>1</v>
      </c>
      <c r="O140" s="448"/>
      <c r="P140" s="448"/>
      <c r="Q140" s="450">
        <v>1</v>
      </c>
      <c r="R140" s="450">
        <v>1</v>
      </c>
      <c r="S140" s="450"/>
      <c r="T140" s="451"/>
      <c r="U140" s="451" t="s">
        <v>876</v>
      </c>
      <c r="V140" s="58">
        <v>1</v>
      </c>
      <c r="W140" s="58">
        <v>1</v>
      </c>
      <c r="X140" s="59"/>
      <c r="Y140" s="60"/>
      <c r="Z140" s="61"/>
      <c r="AA140" s="60"/>
    </row>
    <row r="141" spans="2:27" s="110" customFormat="1" ht="12.75" customHeight="1" x14ac:dyDescent="0.25">
      <c r="B141" s="62">
        <v>240</v>
      </c>
      <c r="C141" s="55" t="s">
        <v>1106</v>
      </c>
      <c r="D141" s="74" t="s">
        <v>916</v>
      </c>
      <c r="E141" s="443">
        <v>247</v>
      </c>
      <c r="F141" s="443" t="s">
        <v>909</v>
      </c>
      <c r="G141" s="56" t="s">
        <v>874</v>
      </c>
      <c r="H141" s="443" t="s">
        <v>910</v>
      </c>
      <c r="I141" s="57" t="s">
        <v>875</v>
      </c>
      <c r="J141" s="443">
        <v>1</v>
      </c>
      <c r="K141" s="443">
        <v>4</v>
      </c>
      <c r="L141" s="443">
        <f t="shared" si="2"/>
        <v>8</v>
      </c>
      <c r="M141" s="443">
        <v>1</v>
      </c>
      <c r="N141" s="443">
        <v>1</v>
      </c>
      <c r="O141" s="448"/>
      <c r="P141" s="448"/>
      <c r="Q141" s="450">
        <v>1</v>
      </c>
      <c r="R141" s="450">
        <v>1</v>
      </c>
      <c r="S141" s="450"/>
      <c r="T141" s="451"/>
      <c r="U141" s="451" t="s">
        <v>876</v>
      </c>
      <c r="V141" s="58">
        <v>1</v>
      </c>
      <c r="W141" s="58">
        <v>1</v>
      </c>
      <c r="X141" s="59"/>
      <c r="Y141" s="60"/>
      <c r="Z141" s="61"/>
      <c r="AA141" s="60"/>
    </row>
    <row r="142" spans="2:27" s="110" customFormat="1" ht="12.75" customHeight="1" x14ac:dyDescent="0.25">
      <c r="B142" s="62">
        <v>241</v>
      </c>
      <c r="C142" s="55" t="s">
        <v>1107</v>
      </c>
      <c r="D142" s="74" t="s">
        <v>916</v>
      </c>
      <c r="E142" s="443"/>
      <c r="F142" s="443" t="s">
        <v>909</v>
      </c>
      <c r="G142" s="56" t="s">
        <v>874</v>
      </c>
      <c r="H142" s="443" t="s">
        <v>1108</v>
      </c>
      <c r="I142" s="57" t="s">
        <v>875</v>
      </c>
      <c r="J142" s="443">
        <v>1</v>
      </c>
      <c r="K142" s="443">
        <v>4</v>
      </c>
      <c r="L142" s="443">
        <f t="shared" si="2"/>
        <v>8</v>
      </c>
      <c r="M142" s="443">
        <v>1</v>
      </c>
      <c r="N142" s="443">
        <v>1</v>
      </c>
      <c r="O142" s="448"/>
      <c r="P142" s="448"/>
      <c r="Q142" s="450">
        <v>1</v>
      </c>
      <c r="R142" s="450">
        <v>1</v>
      </c>
      <c r="S142" s="450"/>
      <c r="T142" s="451"/>
      <c r="U142" s="451" t="s">
        <v>876</v>
      </c>
      <c r="V142" s="58">
        <v>1</v>
      </c>
      <c r="W142" s="58">
        <v>1</v>
      </c>
      <c r="X142" s="59"/>
      <c r="Y142" s="60"/>
      <c r="Z142" s="61"/>
      <c r="AA142" s="60"/>
    </row>
    <row r="143" spans="2:27" s="110" customFormat="1" ht="12.75" customHeight="1" x14ac:dyDescent="0.25">
      <c r="B143" s="62">
        <v>242</v>
      </c>
      <c r="C143" s="55" t="s">
        <v>1109</v>
      </c>
      <c r="D143" s="74" t="s">
        <v>916</v>
      </c>
      <c r="E143" s="443"/>
      <c r="F143" s="443" t="s">
        <v>909</v>
      </c>
      <c r="G143" s="56" t="s">
        <v>874</v>
      </c>
      <c r="H143" s="443" t="s">
        <v>1108</v>
      </c>
      <c r="I143" s="57" t="s">
        <v>875</v>
      </c>
      <c r="J143" s="443">
        <v>1</v>
      </c>
      <c r="K143" s="443">
        <v>4</v>
      </c>
      <c r="L143" s="443">
        <f t="shared" si="2"/>
        <v>8</v>
      </c>
      <c r="M143" s="443">
        <v>1</v>
      </c>
      <c r="N143" s="443">
        <v>1</v>
      </c>
      <c r="O143" s="448"/>
      <c r="P143" s="448"/>
      <c r="Q143" s="450">
        <v>1</v>
      </c>
      <c r="R143" s="450">
        <v>1</v>
      </c>
      <c r="S143" s="450"/>
      <c r="T143" s="451"/>
      <c r="U143" s="451" t="s">
        <v>876</v>
      </c>
      <c r="V143" s="58">
        <v>1</v>
      </c>
      <c r="W143" s="58">
        <v>1</v>
      </c>
      <c r="X143" s="59"/>
      <c r="Y143" s="60"/>
      <c r="Z143" s="61"/>
      <c r="AA143" s="60"/>
    </row>
    <row r="144" spans="2:27" s="110" customFormat="1" ht="12.75" customHeight="1" x14ac:dyDescent="0.25">
      <c r="B144" s="62">
        <v>243</v>
      </c>
      <c r="C144" s="55" t="s">
        <v>1110</v>
      </c>
      <c r="D144" s="55" t="s">
        <v>1046</v>
      </c>
      <c r="E144" s="443"/>
      <c r="F144" s="443"/>
      <c r="G144" s="56" t="s">
        <v>1035</v>
      </c>
      <c r="H144" s="443" t="s">
        <v>1111</v>
      </c>
      <c r="I144" s="57" t="s">
        <v>875</v>
      </c>
      <c r="J144" s="443">
        <v>1</v>
      </c>
      <c r="K144" s="443">
        <v>1</v>
      </c>
      <c r="L144" s="443">
        <f t="shared" si="2"/>
        <v>2</v>
      </c>
      <c r="M144" s="443">
        <v>1</v>
      </c>
      <c r="N144" s="443">
        <v>1</v>
      </c>
      <c r="O144" s="448"/>
      <c r="P144" s="448"/>
      <c r="Q144" s="450">
        <v>1</v>
      </c>
      <c r="R144" s="450">
        <v>1</v>
      </c>
      <c r="S144" s="450"/>
      <c r="T144" s="451"/>
      <c r="U144" s="451" t="s">
        <v>876</v>
      </c>
      <c r="V144" s="58">
        <v>1</v>
      </c>
      <c r="W144" s="58">
        <v>1</v>
      </c>
      <c r="X144" s="59"/>
      <c r="Y144" s="60"/>
      <c r="Z144" s="61"/>
      <c r="AA144" s="60"/>
    </row>
    <row r="145" spans="1:27" s="110" customFormat="1" ht="12.75" customHeight="1" x14ac:dyDescent="0.25">
      <c r="B145" s="437">
        <v>244</v>
      </c>
      <c r="C145" s="55" t="s">
        <v>1113</v>
      </c>
      <c r="D145" s="55" t="s">
        <v>1046</v>
      </c>
      <c r="E145" s="443"/>
      <c r="F145" s="443"/>
      <c r="G145" s="56" t="s">
        <v>1035</v>
      </c>
      <c r="H145" s="443" t="s">
        <v>1111</v>
      </c>
      <c r="I145" s="57" t="s">
        <v>875</v>
      </c>
      <c r="J145" s="443">
        <v>1</v>
      </c>
      <c r="K145" s="443">
        <v>1</v>
      </c>
      <c r="L145" s="443">
        <f t="shared" si="2"/>
        <v>2</v>
      </c>
      <c r="M145" s="443">
        <v>1</v>
      </c>
      <c r="N145" s="443">
        <v>1</v>
      </c>
      <c r="O145" s="448"/>
      <c r="P145" s="448"/>
      <c r="Q145" s="450">
        <v>1</v>
      </c>
      <c r="R145" s="450">
        <v>1</v>
      </c>
      <c r="S145" s="450"/>
      <c r="T145" s="451"/>
      <c r="U145" s="451" t="s">
        <v>876</v>
      </c>
      <c r="V145" s="58">
        <v>1</v>
      </c>
      <c r="W145" s="58">
        <v>1</v>
      </c>
      <c r="X145" s="59"/>
      <c r="Y145" s="60"/>
      <c r="Z145" s="61"/>
      <c r="AA145" s="60"/>
    </row>
    <row r="146" spans="1:27" s="110" customFormat="1" ht="12.75" customHeight="1" x14ac:dyDescent="0.25">
      <c r="B146" s="437">
        <v>245</v>
      </c>
      <c r="C146" s="55" t="s">
        <v>1114</v>
      </c>
      <c r="D146" s="55" t="s">
        <v>1046</v>
      </c>
      <c r="E146" s="443"/>
      <c r="F146" s="443"/>
      <c r="G146" s="56" t="s">
        <v>1035</v>
      </c>
      <c r="H146" s="443" t="s">
        <v>147</v>
      </c>
      <c r="I146" s="57" t="s">
        <v>875</v>
      </c>
      <c r="J146" s="443">
        <v>1</v>
      </c>
      <c r="K146" s="443">
        <v>1</v>
      </c>
      <c r="L146" s="443">
        <f t="shared" si="2"/>
        <v>2</v>
      </c>
      <c r="M146" s="443">
        <v>1</v>
      </c>
      <c r="N146" s="443">
        <v>1</v>
      </c>
      <c r="O146" s="448"/>
      <c r="P146" s="448"/>
      <c r="Q146" s="450">
        <v>1</v>
      </c>
      <c r="R146" s="450">
        <v>1</v>
      </c>
      <c r="S146" s="450"/>
      <c r="T146" s="451"/>
      <c r="U146" s="451" t="s">
        <v>876</v>
      </c>
      <c r="V146" s="58">
        <v>1</v>
      </c>
      <c r="W146" s="58">
        <v>1</v>
      </c>
      <c r="X146" s="59"/>
      <c r="Y146" s="60"/>
      <c r="Z146" s="67">
        <v>1</v>
      </c>
      <c r="AA146" s="70"/>
    </row>
    <row r="147" spans="1:27" s="110" customFormat="1" ht="12.75" customHeight="1" x14ac:dyDescent="0.25">
      <c r="B147" s="437">
        <v>246</v>
      </c>
      <c r="C147" s="55" t="s">
        <v>1115</v>
      </c>
      <c r="D147" s="55" t="s">
        <v>1046</v>
      </c>
      <c r="E147" s="443"/>
      <c r="F147" s="443"/>
      <c r="G147" s="56" t="s">
        <v>1035</v>
      </c>
      <c r="H147" s="443" t="s">
        <v>147</v>
      </c>
      <c r="I147" s="57" t="s">
        <v>875</v>
      </c>
      <c r="J147" s="443">
        <v>1</v>
      </c>
      <c r="K147" s="443">
        <v>1</v>
      </c>
      <c r="L147" s="443">
        <f t="shared" si="2"/>
        <v>2</v>
      </c>
      <c r="M147" s="443">
        <v>1</v>
      </c>
      <c r="N147" s="443">
        <v>1</v>
      </c>
      <c r="O147" s="448"/>
      <c r="P147" s="448"/>
      <c r="Q147" s="450">
        <v>1</v>
      </c>
      <c r="R147" s="450">
        <v>1</v>
      </c>
      <c r="S147" s="450"/>
      <c r="T147" s="451"/>
      <c r="U147" s="451" t="s">
        <v>876</v>
      </c>
      <c r="V147" s="58">
        <v>1</v>
      </c>
      <c r="W147" s="58">
        <v>1</v>
      </c>
      <c r="X147" s="59"/>
      <c r="Y147" s="60"/>
      <c r="Z147" s="61"/>
      <c r="AA147" s="60"/>
    </row>
    <row r="148" spans="1:27" s="110" customFormat="1" ht="12.75" customHeight="1" x14ac:dyDescent="0.25">
      <c r="B148" s="437">
        <v>247</v>
      </c>
      <c r="C148" s="55" t="s">
        <v>1116</v>
      </c>
      <c r="D148" s="55" t="s">
        <v>1046</v>
      </c>
      <c r="E148" s="443"/>
      <c r="F148" s="443"/>
      <c r="G148" s="56" t="s">
        <v>1035</v>
      </c>
      <c r="H148" s="443" t="s">
        <v>1117</v>
      </c>
      <c r="I148" s="57" t="s">
        <v>875</v>
      </c>
      <c r="J148" s="443">
        <v>1</v>
      </c>
      <c r="K148" s="443">
        <v>1</v>
      </c>
      <c r="L148" s="443">
        <f t="shared" si="2"/>
        <v>2</v>
      </c>
      <c r="M148" s="443">
        <v>1</v>
      </c>
      <c r="N148" s="443">
        <v>1</v>
      </c>
      <c r="O148" s="448"/>
      <c r="P148" s="448"/>
      <c r="Q148" s="450">
        <v>1</v>
      </c>
      <c r="R148" s="450">
        <v>1</v>
      </c>
      <c r="S148" s="450"/>
      <c r="T148" s="451"/>
      <c r="U148" s="451" t="s">
        <v>876</v>
      </c>
      <c r="V148" s="58">
        <v>1</v>
      </c>
      <c r="W148" s="58">
        <v>1</v>
      </c>
      <c r="X148" s="59"/>
      <c r="Y148" s="60"/>
      <c r="Z148" s="61"/>
      <c r="AA148" s="60"/>
    </row>
    <row r="149" spans="1:27" s="110" customFormat="1" ht="12.75" customHeight="1" x14ac:dyDescent="0.25">
      <c r="B149" s="437">
        <v>248</v>
      </c>
      <c r="C149" s="55" t="s">
        <v>1118</v>
      </c>
      <c r="D149" s="55" t="s">
        <v>1046</v>
      </c>
      <c r="E149" s="443"/>
      <c r="F149" s="443"/>
      <c r="G149" s="56" t="s">
        <v>1035</v>
      </c>
      <c r="H149" s="443" t="s">
        <v>1117</v>
      </c>
      <c r="I149" s="57" t="s">
        <v>875</v>
      </c>
      <c r="J149" s="443">
        <v>1</v>
      </c>
      <c r="K149" s="443">
        <v>1</v>
      </c>
      <c r="L149" s="443">
        <f t="shared" si="2"/>
        <v>2</v>
      </c>
      <c r="M149" s="443">
        <v>1</v>
      </c>
      <c r="N149" s="443">
        <v>1</v>
      </c>
      <c r="O149" s="448"/>
      <c r="P149" s="448"/>
      <c r="Q149" s="450">
        <v>1</v>
      </c>
      <c r="R149" s="450">
        <v>1</v>
      </c>
      <c r="S149" s="450"/>
      <c r="T149" s="451"/>
      <c r="U149" s="451" t="s">
        <v>876</v>
      </c>
      <c r="V149" s="58">
        <v>1</v>
      </c>
      <c r="W149" s="58">
        <v>1</v>
      </c>
      <c r="X149" s="59"/>
      <c r="Y149" s="60"/>
      <c r="Z149" s="61"/>
      <c r="AA149" s="60"/>
    </row>
    <row r="150" spans="1:27" s="110" customFormat="1" ht="25.5" customHeight="1" x14ac:dyDescent="0.25">
      <c r="B150" s="437">
        <v>249</v>
      </c>
      <c r="C150" s="74" t="s">
        <v>1119</v>
      </c>
      <c r="D150" s="74" t="s">
        <v>1021</v>
      </c>
      <c r="E150" s="443" t="s">
        <v>1022</v>
      </c>
      <c r="F150" s="443">
        <v>13</v>
      </c>
      <c r="G150" s="56" t="s">
        <v>1035</v>
      </c>
      <c r="H150" s="443"/>
      <c r="I150" s="57" t="s">
        <v>875</v>
      </c>
      <c r="J150" s="443">
        <v>1</v>
      </c>
      <c r="K150" s="443">
        <v>10</v>
      </c>
      <c r="L150" s="443">
        <v>20</v>
      </c>
      <c r="M150" s="443"/>
      <c r="N150" s="443"/>
      <c r="O150" s="448">
        <v>1</v>
      </c>
      <c r="P150" s="448"/>
      <c r="Q150" s="450">
        <v>1</v>
      </c>
      <c r="R150" s="450"/>
      <c r="S150" s="450"/>
      <c r="T150" s="451">
        <v>1</v>
      </c>
      <c r="U150" s="451" t="s">
        <v>876</v>
      </c>
      <c r="V150" s="58">
        <v>1</v>
      </c>
      <c r="W150" s="58"/>
      <c r="X150" s="59"/>
      <c r="Y150" s="60"/>
      <c r="Z150" s="61"/>
      <c r="AA150" s="60"/>
    </row>
    <row r="151" spans="1:27" s="110" customFormat="1" ht="25.5" customHeight="1" x14ac:dyDescent="0.25">
      <c r="A151" s="54"/>
      <c r="B151" s="437">
        <v>250</v>
      </c>
      <c r="C151" s="74" t="s">
        <v>1120</v>
      </c>
      <c r="D151" s="74" t="s">
        <v>1021</v>
      </c>
      <c r="E151" s="443" t="s">
        <v>1022</v>
      </c>
      <c r="F151" s="443">
        <v>13</v>
      </c>
      <c r="G151" s="56" t="s">
        <v>1035</v>
      </c>
      <c r="H151" s="443"/>
      <c r="I151" s="57" t="s">
        <v>875</v>
      </c>
      <c r="J151" s="443">
        <v>1</v>
      </c>
      <c r="K151" s="443">
        <v>10</v>
      </c>
      <c r="L151" s="443">
        <v>20</v>
      </c>
      <c r="M151" s="443"/>
      <c r="N151" s="443"/>
      <c r="O151" s="448">
        <v>1</v>
      </c>
      <c r="P151" s="448"/>
      <c r="Q151" s="450">
        <v>1</v>
      </c>
      <c r="R151" s="450"/>
      <c r="S151" s="450"/>
      <c r="T151" s="451">
        <v>1</v>
      </c>
      <c r="U151" s="451" t="s">
        <v>876</v>
      </c>
      <c r="V151" s="58">
        <v>1</v>
      </c>
      <c r="W151" s="58"/>
      <c r="X151" s="59"/>
      <c r="Y151" s="60"/>
      <c r="Z151" s="61"/>
      <c r="AA151" s="60"/>
    </row>
    <row r="152" spans="1:27" x14ac:dyDescent="0.25">
      <c r="A152" s="54"/>
      <c r="B152" s="132">
        <v>251</v>
      </c>
      <c r="C152" s="133" t="s">
        <v>1121</v>
      </c>
      <c r="D152" s="133" t="s">
        <v>916</v>
      </c>
      <c r="E152" s="66" t="s">
        <v>1063</v>
      </c>
      <c r="F152" s="443" t="s">
        <v>142</v>
      </c>
      <c r="G152" s="439" t="s">
        <v>1070</v>
      </c>
      <c r="H152" s="66" t="s">
        <v>891</v>
      </c>
      <c r="I152" s="57" t="s">
        <v>875</v>
      </c>
      <c r="J152" s="443">
        <v>1</v>
      </c>
      <c r="K152" s="443">
        <v>4</v>
      </c>
      <c r="L152" s="443">
        <v>8</v>
      </c>
      <c r="M152" s="66"/>
      <c r="N152" s="66"/>
      <c r="O152" s="134"/>
      <c r="P152" s="134"/>
      <c r="Q152" s="460"/>
      <c r="R152" s="460">
        <v>1</v>
      </c>
      <c r="S152" s="460">
        <v>1</v>
      </c>
      <c r="T152" s="135"/>
      <c r="U152" s="135"/>
      <c r="V152" s="458"/>
      <c r="W152" s="458"/>
      <c r="X152" s="445"/>
      <c r="Y152" s="453"/>
      <c r="Z152" s="455"/>
      <c r="AA152" s="453"/>
    </row>
    <row r="153" spans="1:27" x14ac:dyDescent="0.25">
      <c r="A153" s="54"/>
      <c r="B153" s="140">
        <v>252</v>
      </c>
      <c r="C153" s="136" t="s">
        <v>1122</v>
      </c>
      <c r="D153" s="133" t="s">
        <v>1021</v>
      </c>
      <c r="E153" s="66" t="s">
        <v>1063</v>
      </c>
      <c r="F153" s="443" t="s">
        <v>142</v>
      </c>
      <c r="G153" s="56" t="s">
        <v>1078</v>
      </c>
      <c r="H153" s="66" t="s">
        <v>1123</v>
      </c>
      <c r="I153" s="441" t="s">
        <v>875</v>
      </c>
      <c r="J153" s="66">
        <v>1</v>
      </c>
      <c r="K153" s="66">
        <v>2</v>
      </c>
      <c r="L153" s="66">
        <v>4</v>
      </c>
      <c r="M153" s="66"/>
      <c r="N153" s="66"/>
      <c r="O153" s="134"/>
      <c r="P153" s="134"/>
      <c r="Q153" s="460"/>
      <c r="R153" s="460">
        <v>1</v>
      </c>
      <c r="S153" s="460">
        <v>1</v>
      </c>
      <c r="T153" s="135"/>
      <c r="U153" s="135"/>
      <c r="V153" s="458"/>
      <c r="W153" s="458"/>
      <c r="X153" s="445"/>
      <c r="Y153" s="453"/>
      <c r="Z153" s="455"/>
      <c r="AA153" s="453"/>
    </row>
    <row r="154" spans="1:27" x14ac:dyDescent="0.25">
      <c r="A154" s="54"/>
      <c r="B154" s="140">
        <v>253</v>
      </c>
      <c r="C154" s="136" t="s">
        <v>1124</v>
      </c>
      <c r="D154" s="133" t="s">
        <v>1021</v>
      </c>
      <c r="E154" s="66" t="s">
        <v>1063</v>
      </c>
      <c r="F154" s="443" t="s">
        <v>142</v>
      </c>
      <c r="G154" s="56" t="s">
        <v>1078</v>
      </c>
      <c r="H154" s="66" t="s">
        <v>1123</v>
      </c>
      <c r="I154" s="441" t="s">
        <v>875</v>
      </c>
      <c r="J154" s="66">
        <v>1</v>
      </c>
      <c r="K154" s="66">
        <v>2</v>
      </c>
      <c r="L154" s="66">
        <v>4</v>
      </c>
      <c r="M154" s="66"/>
      <c r="N154" s="66"/>
      <c r="O154" s="134"/>
      <c r="P154" s="134"/>
      <c r="Q154" s="460"/>
      <c r="R154" s="460">
        <v>1</v>
      </c>
      <c r="S154" s="460">
        <v>1</v>
      </c>
      <c r="T154" s="135"/>
      <c r="U154" s="135"/>
      <c r="V154" s="458"/>
      <c r="W154" s="458"/>
      <c r="X154" s="445"/>
      <c r="Y154" s="453"/>
      <c r="Z154" s="455"/>
      <c r="AA154" s="453"/>
    </row>
    <row r="155" spans="1:27" ht="12.75" customHeight="1" x14ac:dyDescent="0.25">
      <c r="A155" s="126"/>
      <c r="B155" s="62">
        <v>254</v>
      </c>
      <c r="C155" s="125" t="s">
        <v>1125</v>
      </c>
      <c r="D155" s="74" t="s">
        <v>916</v>
      </c>
      <c r="E155" s="443" t="s">
        <v>1063</v>
      </c>
      <c r="F155" s="443" t="s">
        <v>142</v>
      </c>
      <c r="G155" s="56" t="s">
        <v>1078</v>
      </c>
      <c r="H155" s="443" t="s">
        <v>170</v>
      </c>
      <c r="I155" s="57" t="s">
        <v>875</v>
      </c>
      <c r="J155" s="443">
        <v>1</v>
      </c>
      <c r="K155" s="443">
        <v>1</v>
      </c>
      <c r="L155" s="443">
        <v>2</v>
      </c>
      <c r="M155" s="443"/>
      <c r="N155" s="443"/>
      <c r="O155" s="124"/>
      <c r="P155" s="124"/>
      <c r="Q155" s="450">
        <v>1</v>
      </c>
      <c r="R155" s="450">
        <v>1</v>
      </c>
      <c r="S155" s="450"/>
      <c r="T155" s="451"/>
      <c r="U155" s="451" t="s">
        <v>876</v>
      </c>
      <c r="V155" s="58"/>
      <c r="W155" s="58"/>
      <c r="X155" s="59"/>
      <c r="Y155" s="60"/>
      <c r="Z155" s="61"/>
      <c r="AA155" s="60"/>
    </row>
    <row r="156" spans="1:27" ht="12.75" customHeight="1" x14ac:dyDescent="0.25">
      <c r="A156" s="126"/>
      <c r="B156" s="62">
        <v>255</v>
      </c>
      <c r="C156" s="125" t="s">
        <v>1126</v>
      </c>
      <c r="D156" s="74" t="s">
        <v>916</v>
      </c>
      <c r="E156" s="443" t="s">
        <v>1063</v>
      </c>
      <c r="F156" s="443" t="s">
        <v>142</v>
      </c>
      <c r="G156" s="56" t="s">
        <v>1078</v>
      </c>
      <c r="H156" s="443" t="s">
        <v>170</v>
      </c>
      <c r="I156" s="57" t="s">
        <v>875</v>
      </c>
      <c r="J156" s="443">
        <v>1</v>
      </c>
      <c r="K156" s="443">
        <v>1</v>
      </c>
      <c r="L156" s="443">
        <v>2</v>
      </c>
      <c r="M156" s="443"/>
      <c r="N156" s="443"/>
      <c r="O156" s="124"/>
      <c r="P156" s="124"/>
      <c r="Q156" s="450">
        <v>1</v>
      </c>
      <c r="R156" s="450">
        <v>1</v>
      </c>
      <c r="S156" s="450"/>
      <c r="T156" s="451"/>
      <c r="U156" s="451" t="s">
        <v>876</v>
      </c>
      <c r="V156" s="58"/>
      <c r="W156" s="58"/>
      <c r="X156" s="59"/>
      <c r="Y156" s="60"/>
      <c r="Z156" s="61"/>
      <c r="AA156" s="60"/>
    </row>
    <row r="157" spans="1:27" ht="12.75" customHeight="1" x14ac:dyDescent="0.25">
      <c r="A157" s="126"/>
      <c r="B157" s="62">
        <v>256</v>
      </c>
      <c r="C157" s="125" t="s">
        <v>1127</v>
      </c>
      <c r="D157" s="74" t="s">
        <v>916</v>
      </c>
      <c r="E157" s="443" t="s">
        <v>1063</v>
      </c>
      <c r="F157" s="443" t="s">
        <v>142</v>
      </c>
      <c r="G157" s="56" t="s">
        <v>1078</v>
      </c>
      <c r="H157" s="443" t="s">
        <v>170</v>
      </c>
      <c r="I157" s="57" t="s">
        <v>875</v>
      </c>
      <c r="J157" s="443">
        <v>1</v>
      </c>
      <c r="K157" s="443">
        <v>1</v>
      </c>
      <c r="L157" s="443">
        <v>2</v>
      </c>
      <c r="M157" s="443"/>
      <c r="N157" s="443"/>
      <c r="O157" s="124"/>
      <c r="P157" s="124"/>
      <c r="Q157" s="450">
        <v>1</v>
      </c>
      <c r="R157" s="450">
        <v>1</v>
      </c>
      <c r="S157" s="450"/>
      <c r="T157" s="451"/>
      <c r="U157" s="451" t="s">
        <v>876</v>
      </c>
      <c r="V157" s="58"/>
      <c r="W157" s="58"/>
      <c r="X157" s="59"/>
      <c r="Y157" s="60"/>
      <c r="Z157" s="61"/>
      <c r="AA157" s="60"/>
    </row>
    <row r="158" spans="1:27" ht="12.75" customHeight="1" x14ac:dyDescent="0.25">
      <c r="A158" s="126"/>
      <c r="B158" s="62">
        <v>257</v>
      </c>
      <c r="C158" s="125" t="s">
        <v>1128</v>
      </c>
      <c r="D158" s="74" t="s">
        <v>916</v>
      </c>
      <c r="E158" s="443" t="s">
        <v>1063</v>
      </c>
      <c r="F158" s="443" t="s">
        <v>142</v>
      </c>
      <c r="G158" s="56" t="s">
        <v>1078</v>
      </c>
      <c r="H158" s="443" t="s">
        <v>170</v>
      </c>
      <c r="I158" s="57" t="s">
        <v>875</v>
      </c>
      <c r="J158" s="443">
        <v>1</v>
      </c>
      <c r="K158" s="443">
        <v>1</v>
      </c>
      <c r="L158" s="443">
        <v>2</v>
      </c>
      <c r="M158" s="443"/>
      <c r="N158" s="443"/>
      <c r="O158" s="124"/>
      <c r="P158" s="124"/>
      <c r="Q158" s="450">
        <v>1</v>
      </c>
      <c r="R158" s="450">
        <v>1</v>
      </c>
      <c r="S158" s="450"/>
      <c r="T158" s="451"/>
      <c r="U158" s="451" t="s">
        <v>876</v>
      </c>
      <c r="V158" s="58"/>
      <c r="W158" s="58"/>
      <c r="X158" s="59"/>
      <c r="Y158" s="60"/>
      <c r="Z158" s="61"/>
      <c r="AA158" s="60"/>
    </row>
    <row r="159" spans="1:27" ht="12.75" customHeight="1" x14ac:dyDescent="0.25">
      <c r="A159" s="126"/>
      <c r="B159" s="62">
        <v>258</v>
      </c>
      <c r="C159" s="125" t="s">
        <v>1129</v>
      </c>
      <c r="D159" s="74" t="s">
        <v>916</v>
      </c>
      <c r="E159" s="443" t="s">
        <v>1063</v>
      </c>
      <c r="F159" s="443" t="s">
        <v>142</v>
      </c>
      <c r="G159" s="56" t="s">
        <v>1078</v>
      </c>
      <c r="H159" s="443" t="s">
        <v>170</v>
      </c>
      <c r="I159" s="57" t="s">
        <v>875</v>
      </c>
      <c r="J159" s="443">
        <v>1</v>
      </c>
      <c r="K159" s="443">
        <v>1</v>
      </c>
      <c r="L159" s="443">
        <v>2</v>
      </c>
      <c r="M159" s="443"/>
      <c r="N159" s="443"/>
      <c r="O159" s="124"/>
      <c r="P159" s="124"/>
      <c r="Q159" s="450">
        <v>1</v>
      </c>
      <c r="R159" s="450">
        <v>1</v>
      </c>
      <c r="S159" s="450"/>
      <c r="T159" s="451"/>
      <c r="U159" s="451" t="s">
        <v>876</v>
      </c>
      <c r="V159" s="58"/>
      <c r="W159" s="58"/>
      <c r="X159" s="59"/>
      <c r="Y159" s="60"/>
      <c r="Z159" s="61"/>
      <c r="AA159" s="60"/>
    </row>
    <row r="160" spans="1:27" ht="12.75" customHeight="1" x14ac:dyDescent="0.25">
      <c r="A160" s="126"/>
      <c r="B160" s="62">
        <v>259</v>
      </c>
      <c r="C160" s="125" t="s">
        <v>1130</v>
      </c>
      <c r="D160" s="74" t="s">
        <v>916</v>
      </c>
      <c r="E160" s="443" t="s">
        <v>1063</v>
      </c>
      <c r="F160" s="443" t="s">
        <v>142</v>
      </c>
      <c r="G160" s="56" t="s">
        <v>1078</v>
      </c>
      <c r="H160" s="443" t="s">
        <v>1131</v>
      </c>
      <c r="I160" s="57" t="s">
        <v>875</v>
      </c>
      <c r="J160" s="443">
        <v>1</v>
      </c>
      <c r="K160" s="443">
        <v>1</v>
      </c>
      <c r="L160" s="443">
        <v>2</v>
      </c>
      <c r="M160" s="443"/>
      <c r="N160" s="443"/>
      <c r="O160" s="124"/>
      <c r="P160" s="124"/>
      <c r="Q160" s="450">
        <v>1</v>
      </c>
      <c r="R160" s="450">
        <v>1</v>
      </c>
      <c r="S160" s="450"/>
      <c r="T160" s="451"/>
      <c r="U160" s="451" t="s">
        <v>876</v>
      </c>
      <c r="V160" s="58"/>
      <c r="W160" s="58"/>
      <c r="X160" s="59"/>
      <c r="Y160" s="60"/>
      <c r="Z160" s="61"/>
      <c r="AA160" s="60"/>
    </row>
    <row r="161" spans="1:27" ht="12.75" customHeight="1" x14ac:dyDescent="0.25">
      <c r="A161" s="126"/>
      <c r="B161" s="62">
        <v>260</v>
      </c>
      <c r="C161" s="125" t="s">
        <v>1132</v>
      </c>
      <c r="D161" s="74" t="s">
        <v>916</v>
      </c>
      <c r="E161" s="443" t="s">
        <v>1063</v>
      </c>
      <c r="F161" s="443" t="s">
        <v>142</v>
      </c>
      <c r="G161" s="56" t="s">
        <v>1078</v>
      </c>
      <c r="H161" s="443" t="s">
        <v>1131</v>
      </c>
      <c r="I161" s="57" t="s">
        <v>875</v>
      </c>
      <c r="J161" s="443">
        <v>1</v>
      </c>
      <c r="K161" s="443">
        <v>1</v>
      </c>
      <c r="L161" s="443">
        <v>2</v>
      </c>
      <c r="M161" s="443"/>
      <c r="N161" s="443"/>
      <c r="O161" s="124"/>
      <c r="P161" s="124"/>
      <c r="Q161" s="450">
        <v>1</v>
      </c>
      <c r="R161" s="450">
        <v>1</v>
      </c>
      <c r="S161" s="450"/>
      <c r="T161" s="451"/>
      <c r="U161" s="451" t="s">
        <v>876</v>
      </c>
      <c r="V161" s="58"/>
      <c r="W161" s="58"/>
      <c r="X161" s="59"/>
      <c r="Y161" s="60"/>
      <c r="Z161" s="61"/>
      <c r="AA161" s="60"/>
    </row>
    <row r="162" spans="1:27" ht="12.75" customHeight="1" x14ac:dyDescent="0.25">
      <c r="A162" s="126"/>
      <c r="B162" s="62">
        <v>261</v>
      </c>
      <c r="C162" s="125" t="s">
        <v>1133</v>
      </c>
      <c r="D162" s="74" t="s">
        <v>916</v>
      </c>
      <c r="E162" s="443" t="s">
        <v>1063</v>
      </c>
      <c r="F162" s="443" t="s">
        <v>142</v>
      </c>
      <c r="G162" s="56" t="s">
        <v>1078</v>
      </c>
      <c r="H162" s="443" t="s">
        <v>1131</v>
      </c>
      <c r="I162" s="57" t="s">
        <v>875</v>
      </c>
      <c r="J162" s="443">
        <v>1</v>
      </c>
      <c r="K162" s="443">
        <v>1</v>
      </c>
      <c r="L162" s="443">
        <v>2</v>
      </c>
      <c r="M162" s="443"/>
      <c r="N162" s="443"/>
      <c r="O162" s="124"/>
      <c r="P162" s="124"/>
      <c r="Q162" s="450">
        <v>1</v>
      </c>
      <c r="R162" s="450">
        <v>1</v>
      </c>
      <c r="S162" s="450"/>
      <c r="T162" s="451"/>
      <c r="U162" s="451" t="s">
        <v>876</v>
      </c>
      <c r="V162" s="58"/>
      <c r="W162" s="58"/>
      <c r="X162" s="59"/>
      <c r="Y162" s="60"/>
      <c r="Z162" s="61"/>
      <c r="AA162" s="60"/>
    </row>
    <row r="163" spans="1:27" ht="12.75" customHeight="1" x14ac:dyDescent="0.25">
      <c r="A163" s="126"/>
      <c r="B163" s="62">
        <v>262</v>
      </c>
      <c r="C163" s="125" t="s">
        <v>1134</v>
      </c>
      <c r="D163" s="74" t="s">
        <v>916</v>
      </c>
      <c r="E163" s="443" t="s">
        <v>1063</v>
      </c>
      <c r="F163" s="443" t="s">
        <v>142</v>
      </c>
      <c r="G163" s="56" t="s">
        <v>1078</v>
      </c>
      <c r="H163" s="443" t="s">
        <v>1131</v>
      </c>
      <c r="I163" s="57" t="s">
        <v>875</v>
      </c>
      <c r="J163" s="443">
        <v>1</v>
      </c>
      <c r="K163" s="443">
        <v>1</v>
      </c>
      <c r="L163" s="443">
        <v>2</v>
      </c>
      <c r="M163" s="443"/>
      <c r="N163" s="443"/>
      <c r="O163" s="124"/>
      <c r="P163" s="124"/>
      <c r="Q163" s="450">
        <v>1</v>
      </c>
      <c r="R163" s="450">
        <v>1</v>
      </c>
      <c r="S163" s="450"/>
      <c r="T163" s="451"/>
      <c r="U163" s="451" t="s">
        <v>876</v>
      </c>
      <c r="V163" s="58"/>
      <c r="W163" s="58"/>
      <c r="X163" s="59"/>
      <c r="Y163" s="60"/>
      <c r="Z163" s="61"/>
      <c r="AA163" s="60"/>
    </row>
    <row r="164" spans="1:27" ht="12.75" customHeight="1" x14ac:dyDescent="0.25">
      <c r="A164" s="126"/>
      <c r="B164" s="62">
        <v>263</v>
      </c>
      <c r="C164" s="125" t="s">
        <v>1135</v>
      </c>
      <c r="D164" s="74" t="s">
        <v>916</v>
      </c>
      <c r="E164" s="443" t="s">
        <v>1063</v>
      </c>
      <c r="F164" s="443" t="s">
        <v>142</v>
      </c>
      <c r="G164" s="56" t="s">
        <v>1078</v>
      </c>
      <c r="H164" s="443" t="s">
        <v>170</v>
      </c>
      <c r="I164" s="57" t="s">
        <v>875</v>
      </c>
      <c r="J164" s="443">
        <v>1</v>
      </c>
      <c r="K164" s="443">
        <v>1</v>
      </c>
      <c r="L164" s="443">
        <v>2</v>
      </c>
      <c r="M164" s="443"/>
      <c r="N164" s="443"/>
      <c r="O164" s="124"/>
      <c r="P164" s="124"/>
      <c r="Q164" s="450">
        <v>1</v>
      </c>
      <c r="R164" s="450">
        <v>1</v>
      </c>
      <c r="S164" s="450"/>
      <c r="T164" s="451"/>
      <c r="U164" s="451" t="s">
        <v>876</v>
      </c>
      <c r="V164" s="58"/>
      <c r="W164" s="58"/>
      <c r="X164" s="59"/>
      <c r="Y164" s="60"/>
      <c r="Z164" s="61"/>
      <c r="AA164" s="60"/>
    </row>
    <row r="165" spans="1:27" ht="12.75" customHeight="1" x14ac:dyDescent="0.25">
      <c r="A165" s="126"/>
      <c r="B165" s="62">
        <v>264</v>
      </c>
      <c r="C165" s="125" t="s">
        <v>1136</v>
      </c>
      <c r="D165" s="74" t="s">
        <v>916</v>
      </c>
      <c r="E165" s="443" t="s">
        <v>1063</v>
      </c>
      <c r="F165" s="443" t="s">
        <v>142</v>
      </c>
      <c r="G165" s="56" t="s">
        <v>1078</v>
      </c>
      <c r="H165" s="443" t="s">
        <v>170</v>
      </c>
      <c r="I165" s="57" t="s">
        <v>875</v>
      </c>
      <c r="J165" s="443">
        <v>1</v>
      </c>
      <c r="K165" s="443">
        <v>1</v>
      </c>
      <c r="L165" s="443">
        <v>2</v>
      </c>
      <c r="M165" s="443"/>
      <c r="N165" s="443"/>
      <c r="O165" s="124"/>
      <c r="P165" s="124"/>
      <c r="Q165" s="450">
        <v>1</v>
      </c>
      <c r="R165" s="450">
        <v>1</v>
      </c>
      <c r="S165" s="450"/>
      <c r="T165" s="451"/>
      <c r="U165" s="451" t="s">
        <v>876</v>
      </c>
      <c r="V165" s="58"/>
      <c r="W165" s="58"/>
      <c r="X165" s="59"/>
      <c r="Y165" s="60"/>
      <c r="Z165" s="61"/>
      <c r="AA165" s="60"/>
    </row>
    <row r="166" spans="1:27" ht="12.75" customHeight="1" x14ac:dyDescent="0.25">
      <c r="A166" s="126"/>
      <c r="B166" s="62">
        <v>265</v>
      </c>
      <c r="C166" s="125" t="s">
        <v>1137</v>
      </c>
      <c r="D166" s="74" t="s">
        <v>916</v>
      </c>
      <c r="E166" s="443" t="s">
        <v>1063</v>
      </c>
      <c r="F166" s="443" t="s">
        <v>142</v>
      </c>
      <c r="G166" s="56" t="s">
        <v>1078</v>
      </c>
      <c r="H166" s="137">
        <v>1E-3</v>
      </c>
      <c r="I166" s="57" t="s">
        <v>875</v>
      </c>
      <c r="J166" s="443">
        <v>1</v>
      </c>
      <c r="K166" s="443">
        <v>1</v>
      </c>
      <c r="L166" s="443">
        <v>2</v>
      </c>
      <c r="M166" s="443"/>
      <c r="N166" s="443"/>
      <c r="O166" s="124"/>
      <c r="P166" s="124"/>
      <c r="Q166" s="450">
        <v>1</v>
      </c>
      <c r="R166" s="450">
        <v>1</v>
      </c>
      <c r="S166" s="450"/>
      <c r="T166" s="451"/>
      <c r="U166" s="451" t="s">
        <v>876</v>
      </c>
      <c r="V166" s="58"/>
      <c r="W166" s="58"/>
      <c r="X166" s="59"/>
      <c r="Y166" s="60"/>
      <c r="Z166" s="61"/>
      <c r="AA166" s="60"/>
    </row>
    <row r="167" spans="1:27" ht="12.75" customHeight="1" x14ac:dyDescent="0.25">
      <c r="A167" s="126"/>
      <c r="B167" s="62">
        <v>266</v>
      </c>
      <c r="C167" s="125" t="s">
        <v>1138</v>
      </c>
      <c r="D167" s="74" t="s">
        <v>916</v>
      </c>
      <c r="E167" s="443" t="s">
        <v>1063</v>
      </c>
      <c r="F167" s="443" t="s">
        <v>142</v>
      </c>
      <c r="G167" s="56" t="s">
        <v>1078</v>
      </c>
      <c r="H167" s="137">
        <v>1E-3</v>
      </c>
      <c r="I167" s="57" t="s">
        <v>875</v>
      </c>
      <c r="J167" s="443">
        <v>1</v>
      </c>
      <c r="K167" s="443">
        <v>1</v>
      </c>
      <c r="L167" s="443">
        <v>2</v>
      </c>
      <c r="M167" s="443"/>
      <c r="N167" s="443"/>
      <c r="O167" s="124"/>
      <c r="P167" s="124"/>
      <c r="Q167" s="450">
        <v>1</v>
      </c>
      <c r="R167" s="450">
        <v>1</v>
      </c>
      <c r="S167" s="450"/>
      <c r="T167" s="451"/>
      <c r="U167" s="451" t="s">
        <v>876</v>
      </c>
      <c r="V167" s="58"/>
      <c r="W167" s="58"/>
      <c r="X167" s="59"/>
      <c r="Y167" s="60"/>
      <c r="Z167" s="61"/>
      <c r="AA167" s="60"/>
    </row>
    <row r="168" spans="1:27" ht="12.75" customHeight="1" x14ac:dyDescent="0.25">
      <c r="A168" s="126"/>
      <c r="B168" s="62">
        <v>267</v>
      </c>
      <c r="C168" s="125" t="s">
        <v>1139</v>
      </c>
      <c r="D168" s="74" t="s">
        <v>916</v>
      </c>
      <c r="E168" s="443" t="s">
        <v>1063</v>
      </c>
      <c r="F168" s="443" t="s">
        <v>142</v>
      </c>
      <c r="G168" s="56" t="s">
        <v>1078</v>
      </c>
      <c r="H168" s="443" t="s">
        <v>147</v>
      </c>
      <c r="I168" s="57" t="s">
        <v>875</v>
      </c>
      <c r="J168" s="443">
        <v>1</v>
      </c>
      <c r="K168" s="443">
        <v>1</v>
      </c>
      <c r="L168" s="443">
        <v>2</v>
      </c>
      <c r="M168" s="443"/>
      <c r="N168" s="443"/>
      <c r="O168" s="124"/>
      <c r="P168" s="124"/>
      <c r="Q168" s="450">
        <v>1</v>
      </c>
      <c r="R168" s="450">
        <v>1</v>
      </c>
      <c r="S168" s="450"/>
      <c r="T168" s="451"/>
      <c r="U168" s="451" t="s">
        <v>876</v>
      </c>
      <c r="V168" s="58"/>
      <c r="W168" s="58"/>
      <c r="X168" s="59"/>
      <c r="Y168" s="60"/>
      <c r="Z168" s="61"/>
      <c r="AA168" s="60"/>
    </row>
    <row r="169" spans="1:27" ht="12.75" customHeight="1" x14ac:dyDescent="0.25">
      <c r="A169" s="126"/>
      <c r="B169" s="62">
        <v>268</v>
      </c>
      <c r="C169" s="125" t="s">
        <v>1140</v>
      </c>
      <c r="D169" s="74" t="s">
        <v>916</v>
      </c>
      <c r="E169" s="443" t="s">
        <v>1063</v>
      </c>
      <c r="F169" s="443" t="s">
        <v>142</v>
      </c>
      <c r="G169" s="56" t="s">
        <v>1078</v>
      </c>
      <c r="H169" s="443" t="s">
        <v>147</v>
      </c>
      <c r="I169" s="57" t="s">
        <v>875</v>
      </c>
      <c r="J169" s="443">
        <v>1</v>
      </c>
      <c r="K169" s="443">
        <v>1</v>
      </c>
      <c r="L169" s="443">
        <v>2</v>
      </c>
      <c r="M169" s="443"/>
      <c r="N169" s="443"/>
      <c r="O169" s="124"/>
      <c r="P169" s="124"/>
      <c r="Q169" s="450">
        <v>1</v>
      </c>
      <c r="R169" s="450">
        <v>1</v>
      </c>
      <c r="S169" s="450"/>
      <c r="T169" s="451"/>
      <c r="U169" s="451" t="s">
        <v>876</v>
      </c>
      <c r="V169" s="58"/>
      <c r="W169" s="58"/>
      <c r="X169" s="59"/>
      <c r="Y169" s="60"/>
      <c r="Z169" s="61"/>
      <c r="AA169" s="60"/>
    </row>
    <row r="170" spans="1:27" s="110" customFormat="1" ht="12.75" customHeight="1" x14ac:dyDescent="0.25">
      <c r="A170" s="126"/>
      <c r="B170" s="437">
        <v>269</v>
      </c>
      <c r="C170" s="74" t="s">
        <v>1141</v>
      </c>
      <c r="D170" s="74" t="s">
        <v>1002</v>
      </c>
      <c r="E170" s="443" t="s">
        <v>1063</v>
      </c>
      <c r="F170" s="443" t="s">
        <v>142</v>
      </c>
      <c r="G170" s="56" t="s">
        <v>1142</v>
      </c>
      <c r="H170" s="443" t="s">
        <v>153</v>
      </c>
      <c r="I170" s="57" t="s">
        <v>875</v>
      </c>
      <c r="J170" s="443">
        <v>1</v>
      </c>
      <c r="K170" s="443">
        <v>2</v>
      </c>
      <c r="L170" s="443">
        <v>4</v>
      </c>
      <c r="M170" s="443"/>
      <c r="N170" s="443"/>
      <c r="O170" s="124"/>
      <c r="P170" s="124"/>
      <c r="Q170" s="450">
        <v>1</v>
      </c>
      <c r="R170" s="450">
        <v>1</v>
      </c>
      <c r="S170" s="138"/>
      <c r="T170" s="92"/>
      <c r="U170" s="92"/>
      <c r="V170" s="139"/>
      <c r="W170" s="139"/>
      <c r="X170" s="63"/>
      <c r="Y170" s="70"/>
      <c r="Z170" s="67"/>
      <c r="AA170" s="70"/>
    </row>
    <row r="171" spans="1:27" s="110" customFormat="1" ht="12.75" customHeight="1" x14ac:dyDescent="0.25">
      <c r="A171" s="126"/>
      <c r="B171" s="437">
        <v>270</v>
      </c>
      <c r="C171" s="74" t="s">
        <v>1143</v>
      </c>
      <c r="D171" s="74" t="s">
        <v>1002</v>
      </c>
      <c r="E171" s="443" t="s">
        <v>1063</v>
      </c>
      <c r="F171" s="443" t="s">
        <v>142</v>
      </c>
      <c r="G171" s="56" t="s">
        <v>1142</v>
      </c>
      <c r="H171" s="443" t="s">
        <v>153</v>
      </c>
      <c r="I171" s="57" t="s">
        <v>875</v>
      </c>
      <c r="J171" s="443">
        <v>1</v>
      </c>
      <c r="K171" s="443">
        <v>2</v>
      </c>
      <c r="L171" s="443">
        <v>4</v>
      </c>
      <c r="M171" s="443"/>
      <c r="N171" s="443"/>
      <c r="O171" s="124"/>
      <c r="P171" s="124"/>
      <c r="Q171" s="450">
        <v>1</v>
      </c>
      <c r="R171" s="450">
        <v>1</v>
      </c>
      <c r="S171" s="138"/>
      <c r="T171" s="92"/>
      <c r="U171" s="92"/>
      <c r="V171" s="139"/>
      <c r="W171" s="139"/>
      <c r="X171" s="63"/>
      <c r="Y171" s="70"/>
      <c r="Z171" s="67"/>
      <c r="AA171" s="70"/>
    </row>
    <row r="172" spans="1:27" s="110" customFormat="1" ht="12.75" customHeight="1" x14ac:dyDescent="0.25">
      <c r="A172" s="126"/>
      <c r="B172" s="437">
        <v>271</v>
      </c>
      <c r="C172" s="74" t="s">
        <v>1144</v>
      </c>
      <c r="D172" s="74"/>
      <c r="E172" s="443"/>
      <c r="F172" s="443"/>
      <c r="G172" s="56"/>
      <c r="H172" s="443" t="s">
        <v>1145</v>
      </c>
      <c r="I172" s="57"/>
      <c r="J172" s="443"/>
      <c r="K172" s="443"/>
      <c r="L172" s="443"/>
      <c r="M172" s="443"/>
      <c r="N172" s="443"/>
      <c r="O172" s="124"/>
      <c r="P172" s="124"/>
      <c r="Q172" s="450"/>
      <c r="R172" s="450"/>
      <c r="S172" s="450">
        <v>1</v>
      </c>
      <c r="T172" s="92"/>
      <c r="U172" s="92"/>
      <c r="V172" s="139"/>
      <c r="W172" s="139"/>
      <c r="X172" s="63"/>
      <c r="Y172" s="70"/>
      <c r="Z172" s="67"/>
      <c r="AA172" s="70"/>
    </row>
    <row r="173" spans="1:27" s="110" customFormat="1" ht="12.75" customHeight="1" x14ac:dyDescent="0.25">
      <c r="A173" s="126"/>
      <c r="B173" s="437">
        <v>272</v>
      </c>
      <c r="C173" s="74" t="s">
        <v>1146</v>
      </c>
      <c r="D173" s="74"/>
      <c r="E173" s="443"/>
      <c r="F173" s="443"/>
      <c r="G173" s="56"/>
      <c r="H173" s="443" t="s">
        <v>1073</v>
      </c>
      <c r="I173" s="57"/>
      <c r="J173" s="443"/>
      <c r="K173" s="443"/>
      <c r="L173" s="443"/>
      <c r="M173" s="443"/>
      <c r="N173" s="443"/>
      <c r="O173" s="124"/>
      <c r="P173" s="124"/>
      <c r="Q173" s="450"/>
      <c r="R173" s="450"/>
      <c r="S173" s="450">
        <v>1</v>
      </c>
      <c r="T173" s="92"/>
      <c r="U173" s="92"/>
      <c r="V173" s="139"/>
      <c r="W173" s="139"/>
      <c r="X173" s="63"/>
      <c r="Y173" s="70"/>
      <c r="Z173" s="67"/>
      <c r="AA173" s="70"/>
    </row>
    <row r="174" spans="1:27" s="110" customFormat="1" ht="12.75" customHeight="1" x14ac:dyDescent="0.25">
      <c r="A174" s="126"/>
      <c r="B174" s="437">
        <v>273</v>
      </c>
      <c r="C174" s="74" t="s">
        <v>1147</v>
      </c>
      <c r="D174" s="74"/>
      <c r="E174" s="443"/>
      <c r="F174" s="443"/>
      <c r="G174" s="56"/>
      <c r="H174" s="443" t="s">
        <v>153</v>
      </c>
      <c r="I174" s="57"/>
      <c r="J174" s="443"/>
      <c r="K174" s="443"/>
      <c r="L174" s="443"/>
      <c r="M174" s="443"/>
      <c r="N174" s="443"/>
      <c r="O174" s="124"/>
      <c r="P174" s="124"/>
      <c r="Q174" s="450"/>
      <c r="R174" s="450"/>
      <c r="S174" s="450">
        <v>1</v>
      </c>
      <c r="T174" s="92"/>
      <c r="U174" s="92"/>
      <c r="V174" s="139"/>
      <c r="W174" s="139"/>
      <c r="X174" s="63"/>
      <c r="Y174" s="70"/>
      <c r="Z174" s="67"/>
      <c r="AA174" s="70"/>
    </row>
    <row r="175" spans="1:27" ht="12.75" customHeight="1" x14ac:dyDescent="0.25">
      <c r="A175" s="126"/>
      <c r="B175" s="140">
        <v>274</v>
      </c>
      <c r="C175" s="133" t="s">
        <v>1148</v>
      </c>
      <c r="D175" s="133" t="s">
        <v>1021</v>
      </c>
      <c r="E175" s="443" t="s">
        <v>1063</v>
      </c>
      <c r="F175" s="443" t="s">
        <v>142</v>
      </c>
      <c r="G175" s="439" t="s">
        <v>1149</v>
      </c>
      <c r="H175" s="141">
        <v>1E-3</v>
      </c>
      <c r="I175" s="57" t="s">
        <v>875</v>
      </c>
      <c r="J175" s="443">
        <v>1</v>
      </c>
      <c r="K175" s="66">
        <v>2</v>
      </c>
      <c r="L175" s="66">
        <v>4</v>
      </c>
      <c r="M175" s="66"/>
      <c r="N175" s="66"/>
      <c r="O175" s="142"/>
      <c r="P175" s="142"/>
      <c r="Q175" s="460">
        <v>1</v>
      </c>
      <c r="R175" s="460"/>
      <c r="S175" s="460"/>
      <c r="T175" s="135"/>
      <c r="U175" s="135"/>
      <c r="V175" s="458"/>
      <c r="W175" s="458"/>
      <c r="X175" s="445"/>
      <c r="Y175" s="453"/>
      <c r="Z175" s="455"/>
      <c r="AA175" s="453"/>
    </row>
    <row r="176" spans="1:27" ht="12.75" customHeight="1" x14ac:dyDescent="0.25">
      <c r="A176" s="126"/>
      <c r="B176" s="140">
        <v>275</v>
      </c>
      <c r="C176" s="133" t="s">
        <v>1150</v>
      </c>
      <c r="D176" s="133" t="s">
        <v>1021</v>
      </c>
      <c r="E176" s="443" t="s">
        <v>1063</v>
      </c>
      <c r="F176" s="443" t="s">
        <v>142</v>
      </c>
      <c r="G176" s="439" t="s">
        <v>1149</v>
      </c>
      <c r="H176" s="141">
        <v>1E-3</v>
      </c>
      <c r="I176" s="57" t="s">
        <v>875</v>
      </c>
      <c r="J176" s="443">
        <v>1</v>
      </c>
      <c r="K176" s="66">
        <v>2</v>
      </c>
      <c r="L176" s="66">
        <v>4</v>
      </c>
      <c r="M176" s="66"/>
      <c r="N176" s="66"/>
      <c r="O176" s="142"/>
      <c r="P176" s="142"/>
      <c r="Q176" s="460">
        <v>1</v>
      </c>
      <c r="R176" s="460"/>
      <c r="S176" s="460"/>
      <c r="T176" s="135"/>
      <c r="U176" s="135"/>
      <c r="V176" s="458"/>
      <c r="W176" s="458"/>
      <c r="X176" s="445"/>
      <c r="Y176" s="453"/>
      <c r="Z176" s="455"/>
      <c r="AA176" s="453"/>
    </row>
    <row r="177" spans="1:27" ht="12.75" customHeight="1" x14ac:dyDescent="0.25">
      <c r="A177" s="126"/>
      <c r="B177" s="140">
        <v>276</v>
      </c>
      <c r="C177" s="133" t="s">
        <v>1151</v>
      </c>
      <c r="D177" s="133" t="s">
        <v>1021</v>
      </c>
      <c r="E177" s="443" t="s">
        <v>1063</v>
      </c>
      <c r="F177" s="443" t="s">
        <v>142</v>
      </c>
      <c r="G177" s="439" t="s">
        <v>1149</v>
      </c>
      <c r="H177" s="141">
        <v>1E-3</v>
      </c>
      <c r="I177" s="57" t="s">
        <v>875</v>
      </c>
      <c r="J177" s="443">
        <v>1</v>
      </c>
      <c r="K177" s="66">
        <v>2</v>
      </c>
      <c r="L177" s="66">
        <v>4</v>
      </c>
      <c r="M177" s="66"/>
      <c r="N177" s="66"/>
      <c r="O177" s="142"/>
      <c r="P177" s="142"/>
      <c r="Q177" s="460">
        <v>1</v>
      </c>
      <c r="R177" s="460"/>
      <c r="S177" s="460"/>
      <c r="T177" s="135"/>
      <c r="U177" s="135"/>
      <c r="V177" s="458"/>
      <c r="W177" s="458"/>
      <c r="X177" s="445"/>
      <c r="Y177" s="453"/>
      <c r="Z177" s="455"/>
      <c r="AA177" s="453"/>
    </row>
    <row r="178" spans="1:27" ht="12.75" customHeight="1" x14ac:dyDescent="0.25">
      <c r="A178" s="126"/>
      <c r="B178" s="140">
        <v>277</v>
      </c>
      <c r="C178" s="133" t="s">
        <v>1152</v>
      </c>
      <c r="D178" s="133" t="s">
        <v>1021</v>
      </c>
      <c r="E178" s="443" t="s">
        <v>1063</v>
      </c>
      <c r="F178" s="443" t="s">
        <v>142</v>
      </c>
      <c r="G178" s="439" t="s">
        <v>1149</v>
      </c>
      <c r="H178" s="141">
        <v>1E-3</v>
      </c>
      <c r="I178" s="57" t="s">
        <v>875</v>
      </c>
      <c r="J178" s="443">
        <v>1</v>
      </c>
      <c r="K178" s="66">
        <v>2</v>
      </c>
      <c r="L178" s="66">
        <v>4</v>
      </c>
      <c r="M178" s="66"/>
      <c r="N178" s="66"/>
      <c r="O178" s="142"/>
      <c r="P178" s="142"/>
      <c r="Q178" s="460">
        <v>1</v>
      </c>
      <c r="R178" s="460"/>
      <c r="S178" s="460"/>
      <c r="T178" s="135"/>
      <c r="U178" s="135"/>
      <c r="V178" s="458"/>
      <c r="W178" s="458"/>
      <c r="X178" s="445"/>
      <c r="Y178" s="453"/>
      <c r="Z178" s="455"/>
      <c r="AA178" s="453"/>
    </row>
    <row r="179" spans="1:27" ht="12.75" customHeight="1" x14ac:dyDescent="0.25">
      <c r="A179" s="126"/>
      <c r="B179" s="140">
        <v>278</v>
      </c>
      <c r="C179" s="133" t="s">
        <v>4468</v>
      </c>
      <c r="D179" s="133" t="s">
        <v>1021</v>
      </c>
      <c r="E179" s="443" t="s">
        <v>1063</v>
      </c>
      <c r="F179" s="443" t="s">
        <v>142</v>
      </c>
      <c r="G179" s="439" t="s">
        <v>1149</v>
      </c>
      <c r="H179" s="66" t="s">
        <v>142</v>
      </c>
      <c r="I179" s="57" t="s">
        <v>875</v>
      </c>
      <c r="J179" s="443">
        <v>1</v>
      </c>
      <c r="K179" s="66">
        <v>3</v>
      </c>
      <c r="L179" s="66">
        <v>6</v>
      </c>
      <c r="M179" s="66"/>
      <c r="N179" s="66"/>
      <c r="O179" s="142"/>
      <c r="P179" s="142"/>
      <c r="Q179" s="460">
        <v>1</v>
      </c>
      <c r="R179" s="460"/>
      <c r="S179" s="460"/>
      <c r="T179" s="135"/>
      <c r="U179" s="135"/>
      <c r="V179" s="458"/>
      <c r="W179" s="458"/>
      <c r="X179" s="445"/>
      <c r="Y179" s="453"/>
      <c r="Z179" s="455"/>
      <c r="AA179" s="453"/>
    </row>
    <row r="180" spans="1:27" ht="12.75" customHeight="1" x14ac:dyDescent="0.25">
      <c r="A180" s="126"/>
      <c r="B180" s="140">
        <v>279</v>
      </c>
      <c r="C180" s="133" t="s">
        <v>4469</v>
      </c>
      <c r="D180" s="133" t="s">
        <v>1021</v>
      </c>
      <c r="E180" s="443" t="s">
        <v>1063</v>
      </c>
      <c r="F180" s="443" t="s">
        <v>142</v>
      </c>
      <c r="G180" s="439" t="s">
        <v>1149</v>
      </c>
      <c r="H180" s="66" t="s">
        <v>142</v>
      </c>
      <c r="I180" s="57" t="s">
        <v>875</v>
      </c>
      <c r="J180" s="443">
        <v>1</v>
      </c>
      <c r="K180" s="66">
        <v>3</v>
      </c>
      <c r="L180" s="66">
        <v>6</v>
      </c>
      <c r="M180" s="66"/>
      <c r="N180" s="66"/>
      <c r="O180" s="142"/>
      <c r="P180" s="142"/>
      <c r="Q180" s="460">
        <v>1</v>
      </c>
      <c r="R180" s="460"/>
      <c r="S180" s="460"/>
      <c r="T180" s="135"/>
      <c r="U180" s="135"/>
      <c r="V180" s="458"/>
      <c r="W180" s="458"/>
      <c r="X180" s="445"/>
      <c r="Y180" s="453"/>
      <c r="Z180" s="455"/>
      <c r="AA180" s="453"/>
    </row>
    <row r="181" spans="1:27" ht="12.75" customHeight="1" x14ac:dyDescent="0.25">
      <c r="A181" s="126"/>
      <c r="B181" s="140">
        <v>280</v>
      </c>
      <c r="C181" s="133" t="s">
        <v>1153</v>
      </c>
      <c r="D181" s="133" t="s">
        <v>1021</v>
      </c>
      <c r="E181" s="443" t="s">
        <v>1063</v>
      </c>
      <c r="F181" s="443" t="s">
        <v>142</v>
      </c>
      <c r="G181" s="56" t="s">
        <v>1035</v>
      </c>
      <c r="H181" s="66" t="s">
        <v>1073</v>
      </c>
      <c r="I181" s="57" t="s">
        <v>875</v>
      </c>
      <c r="J181" s="443">
        <v>1</v>
      </c>
      <c r="K181" s="443">
        <v>3</v>
      </c>
      <c r="L181" s="443">
        <v>6</v>
      </c>
      <c r="M181" s="66"/>
      <c r="N181" s="66"/>
      <c r="O181" s="142"/>
      <c r="P181" s="142"/>
      <c r="Q181" s="460">
        <v>1</v>
      </c>
      <c r="R181" s="460"/>
      <c r="S181" s="460"/>
      <c r="T181" s="135"/>
      <c r="U181" s="135"/>
      <c r="V181" s="458"/>
      <c r="W181" s="458"/>
      <c r="X181" s="445"/>
      <c r="Y181" s="453"/>
      <c r="Z181" s="455"/>
      <c r="AA181" s="453"/>
    </row>
    <row r="182" spans="1:27" ht="12.75" customHeight="1" x14ac:dyDescent="0.25">
      <c r="A182" s="126"/>
      <c r="B182" s="140">
        <v>281</v>
      </c>
      <c r="C182" s="133" t="s">
        <v>1154</v>
      </c>
      <c r="D182" s="133" t="s">
        <v>1021</v>
      </c>
      <c r="E182" s="443" t="s">
        <v>1063</v>
      </c>
      <c r="F182" s="443" t="s">
        <v>142</v>
      </c>
      <c r="G182" s="56" t="s">
        <v>1035</v>
      </c>
      <c r="H182" s="66" t="s">
        <v>1073</v>
      </c>
      <c r="I182" s="57" t="s">
        <v>875</v>
      </c>
      <c r="J182" s="443">
        <v>1</v>
      </c>
      <c r="K182" s="443">
        <v>3</v>
      </c>
      <c r="L182" s="443">
        <v>6</v>
      </c>
      <c r="M182" s="66"/>
      <c r="N182" s="66"/>
      <c r="O182" s="142"/>
      <c r="P182" s="142"/>
      <c r="Q182" s="460">
        <v>1</v>
      </c>
      <c r="R182" s="460"/>
      <c r="S182" s="460"/>
      <c r="T182" s="135"/>
      <c r="U182" s="135"/>
      <c r="V182" s="458"/>
      <c r="W182" s="458"/>
      <c r="X182" s="445"/>
      <c r="Y182" s="453"/>
      <c r="Z182" s="455"/>
      <c r="AA182" s="453"/>
    </row>
    <row r="183" spans="1:27" ht="12.75" customHeight="1" x14ac:dyDescent="0.25">
      <c r="A183" s="126"/>
      <c r="B183" s="140">
        <v>282</v>
      </c>
      <c r="C183" s="133" t="s">
        <v>1155</v>
      </c>
      <c r="D183" s="133" t="s">
        <v>1021</v>
      </c>
      <c r="E183" s="443" t="s">
        <v>1063</v>
      </c>
      <c r="F183" s="443" t="s">
        <v>142</v>
      </c>
      <c r="G183" s="56" t="s">
        <v>1035</v>
      </c>
      <c r="H183" s="66" t="s">
        <v>1073</v>
      </c>
      <c r="I183" s="57" t="s">
        <v>875</v>
      </c>
      <c r="J183" s="443">
        <v>1</v>
      </c>
      <c r="K183" s="443">
        <v>3</v>
      </c>
      <c r="L183" s="443">
        <v>6</v>
      </c>
      <c r="M183" s="66"/>
      <c r="N183" s="66"/>
      <c r="O183" s="142"/>
      <c r="P183" s="142"/>
      <c r="Q183" s="460">
        <v>1</v>
      </c>
      <c r="R183" s="460"/>
      <c r="S183" s="460"/>
      <c r="T183" s="135"/>
      <c r="U183" s="135"/>
      <c r="V183" s="458"/>
      <c r="W183" s="458"/>
      <c r="X183" s="445"/>
      <c r="Y183" s="453"/>
      <c r="Z183" s="455"/>
      <c r="AA183" s="453"/>
    </row>
    <row r="184" spans="1:27" ht="12.75" customHeight="1" x14ac:dyDescent="0.25">
      <c r="A184" s="126"/>
      <c r="B184" s="140">
        <v>283</v>
      </c>
      <c r="C184" s="133" t="s">
        <v>1156</v>
      </c>
      <c r="D184" s="133" t="s">
        <v>1021</v>
      </c>
      <c r="E184" s="443" t="s">
        <v>1063</v>
      </c>
      <c r="F184" s="443" t="s">
        <v>142</v>
      </c>
      <c r="G184" s="56" t="s">
        <v>1035</v>
      </c>
      <c r="H184" s="66" t="s">
        <v>1073</v>
      </c>
      <c r="I184" s="57" t="s">
        <v>875</v>
      </c>
      <c r="J184" s="443">
        <v>1</v>
      </c>
      <c r="K184" s="443">
        <v>3</v>
      </c>
      <c r="L184" s="443">
        <v>6</v>
      </c>
      <c r="M184" s="66"/>
      <c r="N184" s="66"/>
      <c r="O184" s="142"/>
      <c r="P184" s="142"/>
      <c r="Q184" s="460">
        <v>1</v>
      </c>
      <c r="R184" s="460"/>
      <c r="S184" s="460"/>
      <c r="T184" s="135"/>
      <c r="U184" s="135"/>
      <c r="V184" s="458"/>
      <c r="W184" s="458"/>
      <c r="X184" s="445"/>
      <c r="Y184" s="453"/>
      <c r="Z184" s="455"/>
      <c r="AA184" s="453"/>
    </row>
    <row r="185" spans="1:27" ht="12.75" customHeight="1" x14ac:dyDescent="0.25">
      <c r="A185" s="126"/>
      <c r="B185" s="140">
        <v>284</v>
      </c>
      <c r="C185" s="133" t="s">
        <v>1157</v>
      </c>
      <c r="D185" s="133" t="s">
        <v>1021</v>
      </c>
      <c r="E185" s="66" t="s">
        <v>1063</v>
      </c>
      <c r="F185" s="66" t="s">
        <v>142</v>
      </c>
      <c r="G185" s="439" t="s">
        <v>1035</v>
      </c>
      <c r="H185" s="66" t="s">
        <v>1073</v>
      </c>
      <c r="I185" s="441" t="s">
        <v>875</v>
      </c>
      <c r="J185" s="66">
        <v>1</v>
      </c>
      <c r="K185" s="66">
        <v>3</v>
      </c>
      <c r="L185" s="66">
        <v>6</v>
      </c>
      <c r="M185" s="66"/>
      <c r="N185" s="66"/>
      <c r="O185" s="142"/>
      <c r="P185" s="142"/>
      <c r="Q185" s="460">
        <v>1</v>
      </c>
      <c r="R185" s="460"/>
      <c r="S185" s="460"/>
      <c r="T185" s="135"/>
      <c r="U185" s="135"/>
      <c r="V185" s="458"/>
      <c r="W185" s="458"/>
      <c r="X185" s="445"/>
      <c r="Y185" s="453"/>
      <c r="Z185" s="143"/>
      <c r="AA185" s="144"/>
    </row>
    <row r="186" spans="1:27" ht="12.75" customHeight="1" x14ac:dyDescent="0.25">
      <c r="A186" s="126"/>
      <c r="B186" s="62">
        <f>B185 + 1</f>
        <v>285</v>
      </c>
      <c r="C186" s="125" t="s">
        <v>1062</v>
      </c>
      <c r="D186" s="145" t="s">
        <v>916</v>
      </c>
      <c r="E186" s="443" t="s">
        <v>1063</v>
      </c>
      <c r="F186" s="57" t="s">
        <v>142</v>
      </c>
      <c r="G186" s="56" t="s">
        <v>1064</v>
      </c>
      <c r="H186" s="443" t="s">
        <v>1158</v>
      </c>
      <c r="I186" s="57" t="s">
        <v>875</v>
      </c>
      <c r="J186" s="443">
        <v>1</v>
      </c>
      <c r="K186" s="443">
        <v>2</v>
      </c>
      <c r="L186" s="443">
        <v>4</v>
      </c>
      <c r="M186" s="443"/>
      <c r="N186" s="443"/>
      <c r="O186" s="124"/>
      <c r="P186" s="124"/>
      <c r="Q186" s="450"/>
      <c r="R186" s="450"/>
      <c r="S186" s="450"/>
      <c r="T186" s="451"/>
      <c r="U186" s="451"/>
      <c r="V186" s="58"/>
      <c r="W186" s="58"/>
      <c r="X186" s="59"/>
      <c r="Y186" s="60"/>
      <c r="Z186" s="61">
        <v>1</v>
      </c>
      <c r="AA186" s="60"/>
    </row>
    <row r="187" spans="1:27" ht="12.75" customHeight="1" x14ac:dyDescent="0.25">
      <c r="A187" s="126"/>
      <c r="B187" s="62">
        <f>B186 + 1</f>
        <v>286</v>
      </c>
      <c r="C187" s="125" t="s">
        <v>1065</v>
      </c>
      <c r="D187" s="145" t="s">
        <v>916</v>
      </c>
      <c r="E187" s="443" t="s">
        <v>1063</v>
      </c>
      <c r="F187" s="57" t="s">
        <v>142</v>
      </c>
      <c r="G187" s="56" t="s">
        <v>1064</v>
      </c>
      <c r="H187" s="443" t="s">
        <v>1158</v>
      </c>
      <c r="I187" s="57" t="s">
        <v>875</v>
      </c>
      <c r="J187" s="443">
        <v>1</v>
      </c>
      <c r="K187" s="443">
        <v>2</v>
      </c>
      <c r="L187" s="443">
        <v>4</v>
      </c>
      <c r="M187" s="443"/>
      <c r="N187" s="443"/>
      <c r="O187" s="124"/>
      <c r="P187" s="124"/>
      <c r="Q187" s="450"/>
      <c r="R187" s="450"/>
      <c r="S187" s="450"/>
      <c r="T187" s="451"/>
      <c r="U187" s="451"/>
      <c r="V187" s="58"/>
      <c r="W187" s="58"/>
      <c r="X187" s="59"/>
      <c r="Y187" s="60"/>
      <c r="Z187" s="61">
        <v>1</v>
      </c>
      <c r="AA187" s="60"/>
    </row>
    <row r="188" spans="1:27" ht="12.75" customHeight="1" x14ac:dyDescent="0.25">
      <c r="A188" s="126"/>
      <c r="B188" s="140">
        <v>287</v>
      </c>
      <c r="C188" s="74" t="s">
        <v>1159</v>
      </c>
      <c r="D188" s="145" t="s">
        <v>1002</v>
      </c>
      <c r="E188" s="443" t="s">
        <v>1051</v>
      </c>
      <c r="F188" s="57" t="s">
        <v>142</v>
      </c>
      <c r="G188" s="56" t="s">
        <v>1005</v>
      </c>
      <c r="H188" s="443"/>
      <c r="I188" s="57" t="s">
        <v>914</v>
      </c>
      <c r="J188" s="443">
        <v>1</v>
      </c>
      <c r="K188" s="443">
        <v>2</v>
      </c>
      <c r="L188" s="443">
        <v>2</v>
      </c>
      <c r="M188" s="443"/>
      <c r="N188" s="443"/>
      <c r="O188" s="448"/>
      <c r="P188" s="448"/>
      <c r="Q188" s="450">
        <v>1</v>
      </c>
      <c r="R188" s="450">
        <v>1</v>
      </c>
      <c r="S188" s="450">
        <v>1</v>
      </c>
      <c r="T188" s="451"/>
      <c r="U188" s="451"/>
      <c r="V188" s="58"/>
      <c r="W188" s="58"/>
      <c r="X188" s="59"/>
      <c r="Y188" s="60"/>
      <c r="Z188" s="67"/>
      <c r="AA188" s="70"/>
    </row>
    <row r="189" spans="1:27" ht="12.75" customHeight="1" x14ac:dyDescent="0.25">
      <c r="A189" s="126"/>
      <c r="B189" s="140">
        <v>288</v>
      </c>
      <c r="C189" s="74" t="s">
        <v>1160</v>
      </c>
      <c r="D189" s="145" t="s">
        <v>1002</v>
      </c>
      <c r="E189" s="443" t="s">
        <v>1056</v>
      </c>
      <c r="F189" s="57" t="s">
        <v>142</v>
      </c>
      <c r="G189" s="56" t="s">
        <v>1005</v>
      </c>
      <c r="H189" s="443"/>
      <c r="I189" s="57" t="s">
        <v>914</v>
      </c>
      <c r="J189" s="443">
        <v>1</v>
      </c>
      <c r="K189" s="443">
        <v>2</v>
      </c>
      <c r="L189" s="443">
        <v>2</v>
      </c>
      <c r="M189" s="443"/>
      <c r="N189" s="443"/>
      <c r="O189" s="448"/>
      <c r="P189" s="448"/>
      <c r="Q189" s="450">
        <v>1</v>
      </c>
      <c r="R189" s="450">
        <v>1</v>
      </c>
      <c r="S189" s="450">
        <v>1</v>
      </c>
      <c r="T189" s="451"/>
      <c r="U189" s="451"/>
      <c r="V189" s="58"/>
      <c r="W189" s="58"/>
      <c r="X189" s="59"/>
      <c r="Y189" s="60"/>
      <c r="Z189" s="67"/>
      <c r="AA189" s="70"/>
    </row>
    <row r="190" spans="1:27" ht="12.75" customHeight="1" x14ac:dyDescent="0.25">
      <c r="A190" s="126"/>
      <c r="B190" s="140">
        <v>289</v>
      </c>
      <c r="C190" s="74" t="s">
        <v>1161</v>
      </c>
      <c r="D190" s="145" t="s">
        <v>1002</v>
      </c>
      <c r="E190" s="443" t="s">
        <v>1051</v>
      </c>
      <c r="F190" s="57" t="s">
        <v>142</v>
      </c>
      <c r="G190" s="56" t="s">
        <v>1005</v>
      </c>
      <c r="H190" s="443" t="s">
        <v>153</v>
      </c>
      <c r="I190" s="57" t="s">
        <v>914</v>
      </c>
      <c r="J190" s="443">
        <v>1</v>
      </c>
      <c r="K190" s="443">
        <v>8</v>
      </c>
      <c r="L190" s="443">
        <v>8</v>
      </c>
      <c r="M190" s="443"/>
      <c r="N190" s="443"/>
      <c r="O190" s="448"/>
      <c r="P190" s="448"/>
      <c r="Q190" s="450">
        <v>1</v>
      </c>
      <c r="R190" s="450">
        <v>1</v>
      </c>
      <c r="S190" s="450">
        <v>1</v>
      </c>
      <c r="T190" s="451"/>
      <c r="U190" s="451"/>
      <c r="V190" s="58"/>
      <c r="W190" s="58"/>
      <c r="X190" s="59"/>
      <c r="Y190" s="60"/>
      <c r="Z190" s="61"/>
      <c r="AA190" s="60"/>
    </row>
    <row r="191" spans="1:27" ht="12.75" customHeight="1" x14ac:dyDescent="0.25">
      <c r="A191" s="126"/>
      <c r="B191" s="140">
        <v>290</v>
      </c>
      <c r="C191" s="74" t="s">
        <v>1162</v>
      </c>
      <c r="D191" s="145" t="s">
        <v>1002</v>
      </c>
      <c r="E191" s="443" t="s">
        <v>1056</v>
      </c>
      <c r="F191" s="57" t="s">
        <v>142</v>
      </c>
      <c r="G191" s="56" t="s">
        <v>1005</v>
      </c>
      <c r="H191" s="443" t="s">
        <v>153</v>
      </c>
      <c r="I191" s="57" t="s">
        <v>914</v>
      </c>
      <c r="J191" s="443">
        <v>1</v>
      </c>
      <c r="K191" s="443">
        <v>8</v>
      </c>
      <c r="L191" s="443">
        <v>8</v>
      </c>
      <c r="M191" s="443"/>
      <c r="N191" s="443"/>
      <c r="O191" s="448"/>
      <c r="P191" s="448"/>
      <c r="Q191" s="450">
        <v>1</v>
      </c>
      <c r="R191" s="450">
        <v>1</v>
      </c>
      <c r="S191" s="450">
        <v>1</v>
      </c>
      <c r="T191" s="135"/>
      <c r="U191" s="135"/>
      <c r="V191" s="458"/>
      <c r="W191" s="458"/>
      <c r="X191" s="445"/>
      <c r="Y191" s="453"/>
      <c r="Z191" s="455"/>
      <c r="AA191" s="453"/>
    </row>
    <row r="192" spans="1:27" ht="12.75" customHeight="1" x14ac:dyDescent="0.25">
      <c r="A192" s="126"/>
      <c r="B192" s="140">
        <v>291</v>
      </c>
      <c r="C192" s="74" t="s">
        <v>1163</v>
      </c>
      <c r="D192" s="145" t="s">
        <v>1002</v>
      </c>
      <c r="E192" s="443" t="s">
        <v>1051</v>
      </c>
      <c r="F192" s="57" t="s">
        <v>142</v>
      </c>
      <c r="G192" s="56" t="s">
        <v>1005</v>
      </c>
      <c r="H192" s="443"/>
      <c r="I192" s="57" t="s">
        <v>914</v>
      </c>
      <c r="J192" s="443">
        <v>1</v>
      </c>
      <c r="K192" s="443">
        <v>2</v>
      </c>
      <c r="L192" s="443">
        <v>2</v>
      </c>
      <c r="M192" s="443"/>
      <c r="N192" s="443"/>
      <c r="O192" s="448"/>
      <c r="P192" s="448"/>
      <c r="Q192" s="450">
        <v>1</v>
      </c>
      <c r="R192" s="450">
        <v>1</v>
      </c>
      <c r="S192" s="450">
        <v>1</v>
      </c>
      <c r="T192" s="451"/>
      <c r="U192" s="451"/>
      <c r="V192" s="58"/>
      <c r="W192" s="58"/>
      <c r="X192" s="59"/>
      <c r="Y192" s="453"/>
      <c r="Z192" s="455"/>
      <c r="AA192" s="453"/>
    </row>
    <row r="193" spans="1:27" ht="12.75" customHeight="1" x14ac:dyDescent="0.25">
      <c r="A193" s="126"/>
      <c r="B193" s="140">
        <v>292</v>
      </c>
      <c r="C193" s="74" t="s">
        <v>1164</v>
      </c>
      <c r="D193" s="145" t="s">
        <v>1002</v>
      </c>
      <c r="E193" s="443" t="s">
        <v>1056</v>
      </c>
      <c r="F193" s="57" t="s">
        <v>142</v>
      </c>
      <c r="G193" s="56" t="s">
        <v>1005</v>
      </c>
      <c r="H193" s="443"/>
      <c r="I193" s="57" t="s">
        <v>914</v>
      </c>
      <c r="J193" s="443">
        <v>1</v>
      </c>
      <c r="K193" s="443">
        <v>2</v>
      </c>
      <c r="L193" s="443">
        <v>2</v>
      </c>
      <c r="M193" s="443"/>
      <c r="N193" s="443"/>
      <c r="O193" s="448"/>
      <c r="P193" s="448"/>
      <c r="Q193" s="450">
        <v>1</v>
      </c>
      <c r="R193" s="450">
        <v>1</v>
      </c>
      <c r="S193" s="450">
        <v>1</v>
      </c>
      <c r="T193" s="451"/>
      <c r="U193" s="135"/>
      <c r="V193" s="458"/>
      <c r="W193" s="458"/>
      <c r="X193" s="445"/>
      <c r="Y193" s="453"/>
      <c r="Z193" s="455"/>
      <c r="AA193" s="453"/>
    </row>
    <row r="194" spans="1:27" ht="12.75" customHeight="1" x14ac:dyDescent="0.25">
      <c r="A194" s="126"/>
      <c r="B194" s="140">
        <v>293</v>
      </c>
      <c r="C194" s="133" t="s">
        <v>1165</v>
      </c>
      <c r="D194" s="146" t="s">
        <v>916</v>
      </c>
      <c r="E194" s="443" t="s">
        <v>1056</v>
      </c>
      <c r="F194" s="57" t="s">
        <v>142</v>
      </c>
      <c r="G194" s="56"/>
      <c r="H194" s="137"/>
      <c r="I194" s="57" t="s">
        <v>875</v>
      </c>
      <c r="J194" s="443">
        <v>1</v>
      </c>
      <c r="K194" s="443">
        <v>1</v>
      </c>
      <c r="L194" s="443">
        <f>K194*2</f>
        <v>2</v>
      </c>
      <c r="M194" s="443">
        <v>1</v>
      </c>
      <c r="N194" s="443">
        <v>1</v>
      </c>
      <c r="O194" s="448">
        <v>1</v>
      </c>
      <c r="P194" s="448">
        <v>1</v>
      </c>
      <c r="Q194" s="450">
        <v>1</v>
      </c>
      <c r="R194" s="450">
        <v>1</v>
      </c>
      <c r="S194" s="450"/>
      <c r="T194" s="135"/>
      <c r="U194" s="135"/>
      <c r="V194" s="458"/>
      <c r="W194" s="458"/>
      <c r="X194" s="445"/>
      <c r="Y194" s="453"/>
      <c r="Z194" s="455"/>
      <c r="AA194" s="453"/>
    </row>
    <row r="195" spans="1:27" ht="12.75" customHeight="1" x14ac:dyDescent="0.25">
      <c r="A195" s="126"/>
      <c r="B195" s="140">
        <v>294</v>
      </c>
      <c r="C195" s="136" t="s">
        <v>1166</v>
      </c>
      <c r="D195" s="146" t="s">
        <v>916</v>
      </c>
      <c r="E195" s="443" t="s">
        <v>1056</v>
      </c>
      <c r="F195" s="57" t="s">
        <v>142</v>
      </c>
      <c r="G195" s="56"/>
      <c r="H195" s="443"/>
      <c r="I195" s="57" t="s">
        <v>875</v>
      </c>
      <c r="J195" s="443">
        <v>1</v>
      </c>
      <c r="K195" s="443">
        <v>1</v>
      </c>
      <c r="L195" s="443">
        <f>K195*2</f>
        <v>2</v>
      </c>
      <c r="M195" s="443">
        <v>1</v>
      </c>
      <c r="N195" s="443">
        <v>1</v>
      </c>
      <c r="O195" s="448">
        <v>1</v>
      </c>
      <c r="P195" s="448">
        <v>1</v>
      </c>
      <c r="Q195" s="450">
        <v>1</v>
      </c>
      <c r="R195" s="450">
        <v>1</v>
      </c>
      <c r="S195" s="450"/>
      <c r="T195" s="135"/>
      <c r="U195" s="135"/>
      <c r="V195" s="458"/>
      <c r="W195" s="458"/>
      <c r="X195" s="445"/>
      <c r="Y195" s="453"/>
      <c r="Z195" s="455"/>
      <c r="AA195" s="453"/>
    </row>
    <row r="196" spans="1:27" ht="12.75" customHeight="1" x14ac:dyDescent="0.25">
      <c r="A196" s="126"/>
      <c r="B196" s="140">
        <v>295</v>
      </c>
      <c r="C196" s="136" t="s">
        <v>1167</v>
      </c>
      <c r="D196" s="146" t="s">
        <v>916</v>
      </c>
      <c r="E196" s="443" t="s">
        <v>1056</v>
      </c>
      <c r="F196" s="441" t="s">
        <v>142</v>
      </c>
      <c r="G196" s="439"/>
      <c r="H196" s="66"/>
      <c r="I196" s="57" t="s">
        <v>875</v>
      </c>
      <c r="J196" s="443">
        <v>1</v>
      </c>
      <c r="K196" s="443">
        <v>1</v>
      </c>
      <c r="L196" s="443">
        <f>K196*2</f>
        <v>2</v>
      </c>
      <c r="M196" s="443">
        <v>1</v>
      </c>
      <c r="N196" s="443">
        <v>1</v>
      </c>
      <c r="O196" s="448">
        <v>1</v>
      </c>
      <c r="P196" s="448">
        <v>1</v>
      </c>
      <c r="Q196" s="450">
        <v>1</v>
      </c>
      <c r="R196" s="450">
        <v>1</v>
      </c>
      <c r="S196" s="460"/>
      <c r="T196" s="135"/>
      <c r="U196" s="135"/>
      <c r="V196" s="458"/>
      <c r="W196" s="458"/>
      <c r="X196" s="445"/>
      <c r="Y196" s="453"/>
      <c r="Z196" s="455"/>
      <c r="AA196" s="453"/>
    </row>
    <row r="197" spans="1:27" ht="12.75" customHeight="1" x14ac:dyDescent="0.25">
      <c r="A197" s="126"/>
      <c r="B197" s="140">
        <v>296</v>
      </c>
      <c r="C197" s="136" t="s">
        <v>1168</v>
      </c>
      <c r="D197" s="55" t="s">
        <v>916</v>
      </c>
      <c r="E197" s="443" t="s">
        <v>1056</v>
      </c>
      <c r="F197" s="66" t="s">
        <v>142</v>
      </c>
      <c r="G197" s="439"/>
      <c r="H197" s="66"/>
      <c r="I197" s="57" t="s">
        <v>875</v>
      </c>
      <c r="J197" s="443">
        <v>1</v>
      </c>
      <c r="K197" s="443">
        <v>1</v>
      </c>
      <c r="L197" s="443">
        <f>K197*2</f>
        <v>2</v>
      </c>
      <c r="M197" s="443">
        <v>1</v>
      </c>
      <c r="N197" s="443">
        <v>1</v>
      </c>
      <c r="O197" s="448">
        <v>1</v>
      </c>
      <c r="P197" s="448">
        <v>1</v>
      </c>
      <c r="Q197" s="450">
        <v>1</v>
      </c>
      <c r="R197" s="450">
        <v>1</v>
      </c>
      <c r="S197" s="460"/>
      <c r="T197" s="135"/>
      <c r="U197" s="135"/>
      <c r="V197" s="458"/>
      <c r="W197" s="458"/>
      <c r="X197" s="445"/>
      <c r="Y197" s="453"/>
      <c r="Z197" s="455"/>
      <c r="AA197" s="453"/>
    </row>
    <row r="198" spans="1:27" ht="12.75" customHeight="1" x14ac:dyDescent="0.25">
      <c r="A198" s="126"/>
      <c r="B198" s="62">
        <f>B197 + 1</f>
        <v>297</v>
      </c>
      <c r="C198" s="125" t="s">
        <v>1169</v>
      </c>
      <c r="D198" s="74" t="s">
        <v>916</v>
      </c>
      <c r="E198" s="443" t="s">
        <v>1051</v>
      </c>
      <c r="F198" s="443" t="s">
        <v>142</v>
      </c>
      <c r="G198" s="56" t="s">
        <v>1064</v>
      </c>
      <c r="H198" s="443" t="s">
        <v>886</v>
      </c>
      <c r="I198" s="57" t="s">
        <v>875</v>
      </c>
      <c r="J198" s="443">
        <v>1</v>
      </c>
      <c r="K198" s="443">
        <v>2</v>
      </c>
      <c r="L198" s="443">
        <v>4</v>
      </c>
      <c r="M198" s="66"/>
      <c r="N198" s="66"/>
      <c r="O198" s="134"/>
      <c r="P198" s="134"/>
      <c r="Q198" s="460"/>
      <c r="R198" s="460"/>
      <c r="S198" s="460"/>
      <c r="T198" s="135"/>
      <c r="U198" s="135"/>
      <c r="V198" s="458"/>
      <c r="W198" s="458"/>
      <c r="X198" s="445"/>
      <c r="Y198" s="453"/>
      <c r="Z198" s="455">
        <v>1</v>
      </c>
      <c r="AA198" s="453"/>
    </row>
    <row r="199" spans="1:27" ht="25.5" customHeight="1" thickBot="1" x14ac:dyDescent="0.3">
      <c r="A199" s="126"/>
      <c r="B199" s="140"/>
      <c r="C199" s="147"/>
      <c r="D199" s="133"/>
      <c r="E199" s="66"/>
      <c r="F199" s="66"/>
      <c r="G199" s="439"/>
      <c r="H199" s="66"/>
      <c r="I199" s="441"/>
      <c r="J199" s="66"/>
      <c r="K199" s="66"/>
      <c r="L199" s="66"/>
      <c r="M199" s="66"/>
      <c r="N199" s="66"/>
      <c r="O199" s="142"/>
      <c r="P199" s="142"/>
      <c r="Q199" s="460"/>
      <c r="R199" s="460"/>
      <c r="S199" s="460"/>
      <c r="T199" s="135"/>
      <c r="U199" s="135"/>
      <c r="V199" s="458"/>
      <c r="W199" s="458"/>
      <c r="X199" s="445"/>
      <c r="Y199" s="453"/>
      <c r="Z199" s="455"/>
      <c r="AA199" s="453"/>
    </row>
    <row r="200" spans="1:27" ht="12.75" customHeight="1" x14ac:dyDescent="0.25">
      <c r="A200" s="52" t="s">
        <v>1170</v>
      </c>
      <c r="B200" s="436">
        <v>300</v>
      </c>
      <c r="C200" s="85" t="s">
        <v>1171</v>
      </c>
      <c r="D200" s="85" t="s">
        <v>916</v>
      </c>
      <c r="E200" s="442" t="s">
        <v>1063</v>
      </c>
      <c r="F200" s="442" t="s">
        <v>142</v>
      </c>
      <c r="G200" s="86" t="s">
        <v>1085</v>
      </c>
      <c r="H200" s="442"/>
      <c r="I200" s="87" t="s">
        <v>875</v>
      </c>
      <c r="J200" s="442">
        <v>1</v>
      </c>
      <c r="K200" s="442">
        <v>2</v>
      </c>
      <c r="L200" s="442">
        <v>4</v>
      </c>
      <c r="M200" s="442"/>
      <c r="N200" s="442"/>
      <c r="O200" s="122"/>
      <c r="P200" s="122"/>
      <c r="Q200" s="449">
        <v>1</v>
      </c>
      <c r="R200" s="449"/>
      <c r="S200" s="449"/>
      <c r="T200" s="461"/>
      <c r="U200" s="461" t="s">
        <v>876</v>
      </c>
      <c r="V200" s="88"/>
      <c r="W200" s="88"/>
      <c r="X200" s="89"/>
      <c r="Y200" s="90"/>
      <c r="Z200" s="91"/>
      <c r="AA200" s="90"/>
    </row>
    <row r="201" spans="1:27" ht="12.75" customHeight="1" x14ac:dyDescent="0.25">
      <c r="A201" s="54"/>
      <c r="B201" s="437">
        <v>301</v>
      </c>
      <c r="C201" s="74" t="s">
        <v>1172</v>
      </c>
      <c r="D201" s="74" t="s">
        <v>916</v>
      </c>
      <c r="E201" s="443" t="s">
        <v>1063</v>
      </c>
      <c r="F201" s="443" t="s">
        <v>142</v>
      </c>
      <c r="G201" s="56" t="s">
        <v>1085</v>
      </c>
      <c r="H201" s="443"/>
      <c r="I201" s="57" t="s">
        <v>875</v>
      </c>
      <c r="J201" s="443">
        <v>1</v>
      </c>
      <c r="K201" s="443">
        <v>2</v>
      </c>
      <c r="L201" s="443">
        <v>4</v>
      </c>
      <c r="M201" s="443"/>
      <c r="N201" s="443"/>
      <c r="O201" s="124"/>
      <c r="P201" s="124"/>
      <c r="Q201" s="450">
        <v>1</v>
      </c>
      <c r="R201" s="450"/>
      <c r="S201" s="450"/>
      <c r="T201" s="451"/>
      <c r="U201" s="451" t="s">
        <v>876</v>
      </c>
      <c r="V201" s="58"/>
      <c r="W201" s="58"/>
      <c r="X201" s="59"/>
      <c r="Y201" s="60"/>
      <c r="Z201" s="61"/>
      <c r="AA201" s="60"/>
    </row>
    <row r="202" spans="1:27" ht="12.75" customHeight="1" x14ac:dyDescent="0.25">
      <c r="A202" s="54"/>
      <c r="B202" s="437">
        <v>302</v>
      </c>
      <c r="C202" s="74" t="s">
        <v>1173</v>
      </c>
      <c r="D202" s="74" t="s">
        <v>916</v>
      </c>
      <c r="E202" s="443" t="s">
        <v>1063</v>
      </c>
      <c r="F202" s="443" t="s">
        <v>142</v>
      </c>
      <c r="G202" s="56" t="s">
        <v>1085</v>
      </c>
      <c r="H202" s="443"/>
      <c r="I202" s="57" t="s">
        <v>875</v>
      </c>
      <c r="J202" s="443">
        <v>1</v>
      </c>
      <c r="K202" s="443">
        <v>2</v>
      </c>
      <c r="L202" s="443">
        <v>4</v>
      </c>
      <c r="M202" s="443"/>
      <c r="N202" s="443"/>
      <c r="O202" s="124"/>
      <c r="P202" s="124"/>
      <c r="Q202" s="450">
        <v>1</v>
      </c>
      <c r="R202" s="450"/>
      <c r="S202" s="450"/>
      <c r="T202" s="451"/>
      <c r="U202" s="451" t="s">
        <v>876</v>
      </c>
      <c r="V202" s="58"/>
      <c r="W202" s="58"/>
      <c r="X202" s="59"/>
      <c r="Y202" s="60"/>
      <c r="Z202" s="61"/>
      <c r="AA202" s="60"/>
    </row>
    <row r="203" spans="1:27" ht="12.75" customHeight="1" x14ac:dyDescent="0.25">
      <c r="A203" s="54"/>
      <c r="B203" s="437">
        <v>303</v>
      </c>
      <c r="C203" s="74" t="s">
        <v>1174</v>
      </c>
      <c r="D203" s="74" t="s">
        <v>916</v>
      </c>
      <c r="E203" s="443" t="s">
        <v>1063</v>
      </c>
      <c r="F203" s="443" t="s">
        <v>142</v>
      </c>
      <c r="G203" s="56" t="s">
        <v>1085</v>
      </c>
      <c r="H203" s="443"/>
      <c r="I203" s="57" t="s">
        <v>875</v>
      </c>
      <c r="J203" s="443">
        <v>1</v>
      </c>
      <c r="K203" s="443">
        <v>2</v>
      </c>
      <c r="L203" s="443">
        <v>4</v>
      </c>
      <c r="M203" s="443"/>
      <c r="N203" s="443"/>
      <c r="O203" s="124"/>
      <c r="P203" s="124"/>
      <c r="Q203" s="450">
        <v>1</v>
      </c>
      <c r="R203" s="450"/>
      <c r="S203" s="450"/>
      <c r="T203" s="451"/>
      <c r="U203" s="451" t="s">
        <v>876</v>
      </c>
      <c r="V203" s="58"/>
      <c r="W203" s="58"/>
      <c r="X203" s="59"/>
      <c r="Y203" s="60"/>
      <c r="Z203" s="61"/>
      <c r="AA203" s="60"/>
    </row>
    <row r="204" spans="1:27" ht="12.75" customHeight="1" x14ac:dyDescent="0.25">
      <c r="A204" s="54"/>
      <c r="B204" s="437">
        <v>304</v>
      </c>
      <c r="C204" s="74" t="s">
        <v>1175</v>
      </c>
      <c r="D204" s="74" t="s">
        <v>916</v>
      </c>
      <c r="E204" s="443" t="s">
        <v>1063</v>
      </c>
      <c r="F204" s="443" t="s">
        <v>142</v>
      </c>
      <c r="G204" s="56" t="s">
        <v>1085</v>
      </c>
      <c r="H204" s="443"/>
      <c r="I204" s="57" t="s">
        <v>875</v>
      </c>
      <c r="J204" s="443">
        <v>1</v>
      </c>
      <c r="K204" s="443">
        <v>2</v>
      </c>
      <c r="L204" s="443">
        <v>4</v>
      </c>
      <c r="M204" s="443"/>
      <c r="N204" s="443"/>
      <c r="O204" s="124"/>
      <c r="P204" s="124"/>
      <c r="Q204" s="450">
        <v>1</v>
      </c>
      <c r="R204" s="450"/>
      <c r="S204" s="450"/>
      <c r="T204" s="451"/>
      <c r="U204" s="451" t="s">
        <v>876</v>
      </c>
      <c r="V204" s="58"/>
      <c r="W204" s="58"/>
      <c r="X204" s="59"/>
      <c r="Y204" s="60"/>
      <c r="Z204" s="61"/>
      <c r="AA204" s="60"/>
    </row>
    <row r="205" spans="1:27" ht="12.75" customHeight="1" x14ac:dyDescent="0.25">
      <c r="A205" s="54"/>
      <c r="B205" s="437">
        <v>305</v>
      </c>
      <c r="C205" s="74" t="s">
        <v>1176</v>
      </c>
      <c r="D205" s="74" t="s">
        <v>916</v>
      </c>
      <c r="E205" s="443" t="s">
        <v>1063</v>
      </c>
      <c r="F205" s="443" t="s">
        <v>142</v>
      </c>
      <c r="G205" s="56" t="s">
        <v>1072</v>
      </c>
      <c r="H205" s="443" t="s">
        <v>1073</v>
      </c>
      <c r="I205" s="57" t="s">
        <v>875</v>
      </c>
      <c r="J205" s="443">
        <v>1</v>
      </c>
      <c r="K205" s="443">
        <v>3</v>
      </c>
      <c r="L205" s="443">
        <v>6</v>
      </c>
      <c r="M205" s="443"/>
      <c r="N205" s="443"/>
      <c r="O205" s="124"/>
      <c r="P205" s="124"/>
      <c r="Q205" s="450">
        <v>1</v>
      </c>
      <c r="R205" s="450"/>
      <c r="S205" s="450"/>
      <c r="T205" s="451"/>
      <c r="U205" s="451" t="s">
        <v>876</v>
      </c>
      <c r="V205" s="58"/>
      <c r="W205" s="58"/>
      <c r="X205" s="59"/>
      <c r="Y205" s="60"/>
      <c r="Z205" s="61"/>
      <c r="AA205" s="60"/>
    </row>
    <row r="206" spans="1:27" ht="12.75" customHeight="1" x14ac:dyDescent="0.25">
      <c r="A206" s="54"/>
      <c r="B206" s="437">
        <v>306</v>
      </c>
      <c r="C206" s="74" t="s">
        <v>1177</v>
      </c>
      <c r="D206" s="74" t="s">
        <v>916</v>
      </c>
      <c r="E206" s="443" t="s">
        <v>1063</v>
      </c>
      <c r="F206" s="443" t="s">
        <v>142</v>
      </c>
      <c r="G206" s="56" t="s">
        <v>1085</v>
      </c>
      <c r="H206" s="443"/>
      <c r="I206" s="57" t="s">
        <v>875</v>
      </c>
      <c r="J206" s="443">
        <v>1</v>
      </c>
      <c r="K206" s="443">
        <v>2</v>
      </c>
      <c r="L206" s="443">
        <v>4</v>
      </c>
      <c r="M206" s="443"/>
      <c r="N206" s="443"/>
      <c r="O206" s="124"/>
      <c r="P206" s="124"/>
      <c r="Q206" s="450">
        <v>1</v>
      </c>
      <c r="R206" s="450"/>
      <c r="S206" s="450"/>
      <c r="T206" s="451"/>
      <c r="U206" s="451" t="s">
        <v>876</v>
      </c>
      <c r="V206" s="58"/>
      <c r="W206" s="58"/>
      <c r="X206" s="59"/>
      <c r="Y206" s="60"/>
      <c r="Z206" s="61"/>
      <c r="AA206" s="60"/>
    </row>
    <row r="207" spans="1:27" ht="12.75" customHeight="1" x14ac:dyDescent="0.25">
      <c r="A207" s="54"/>
      <c r="B207" s="437">
        <v>307</v>
      </c>
      <c r="C207" s="74" t="s">
        <v>1178</v>
      </c>
      <c r="D207" s="74" t="s">
        <v>916</v>
      </c>
      <c r="E207" s="443" t="s">
        <v>1063</v>
      </c>
      <c r="F207" s="443" t="s">
        <v>142</v>
      </c>
      <c r="G207" s="56" t="s">
        <v>1088</v>
      </c>
      <c r="H207" s="443" t="s">
        <v>153</v>
      </c>
      <c r="I207" s="57" t="s">
        <v>875</v>
      </c>
      <c r="J207" s="443">
        <v>1</v>
      </c>
      <c r="K207" s="443">
        <v>3</v>
      </c>
      <c r="L207" s="443">
        <v>6</v>
      </c>
      <c r="M207" s="443"/>
      <c r="N207" s="443"/>
      <c r="O207" s="124"/>
      <c r="P207" s="124"/>
      <c r="Q207" s="450">
        <v>1</v>
      </c>
      <c r="R207" s="450"/>
      <c r="S207" s="450"/>
      <c r="T207" s="451"/>
      <c r="U207" s="451" t="s">
        <v>876</v>
      </c>
      <c r="V207" s="58"/>
      <c r="W207" s="58"/>
      <c r="X207" s="59"/>
      <c r="Y207" s="60"/>
      <c r="Z207" s="61"/>
      <c r="AA207" s="60"/>
    </row>
    <row r="208" spans="1:27" ht="12.75" customHeight="1" x14ac:dyDescent="0.25">
      <c r="A208" s="54"/>
      <c r="B208" s="437">
        <v>308</v>
      </c>
      <c r="C208" s="74" t="s">
        <v>1179</v>
      </c>
      <c r="D208" s="74" t="s">
        <v>916</v>
      </c>
      <c r="E208" s="443" t="s">
        <v>1063</v>
      </c>
      <c r="F208" s="443" t="s">
        <v>142</v>
      </c>
      <c r="G208" s="56" t="s">
        <v>1085</v>
      </c>
      <c r="H208" s="443"/>
      <c r="I208" s="57" t="s">
        <v>875</v>
      </c>
      <c r="J208" s="443">
        <v>1</v>
      </c>
      <c r="K208" s="443">
        <v>2</v>
      </c>
      <c r="L208" s="443">
        <v>4</v>
      </c>
      <c r="M208" s="443"/>
      <c r="N208" s="443"/>
      <c r="O208" s="124"/>
      <c r="P208" s="124"/>
      <c r="Q208" s="450">
        <v>1</v>
      </c>
      <c r="R208" s="450"/>
      <c r="S208" s="450"/>
      <c r="T208" s="451"/>
      <c r="U208" s="451" t="s">
        <v>876</v>
      </c>
      <c r="V208" s="58"/>
      <c r="W208" s="58"/>
      <c r="X208" s="59"/>
      <c r="Y208" s="60"/>
      <c r="Z208" s="61"/>
      <c r="AA208" s="60"/>
    </row>
    <row r="209" spans="1:27" ht="12.75" customHeight="1" x14ac:dyDescent="0.25">
      <c r="A209" s="54"/>
      <c r="B209" s="437">
        <v>309</v>
      </c>
      <c r="C209" s="74" t="s">
        <v>1180</v>
      </c>
      <c r="D209" s="74" t="s">
        <v>916</v>
      </c>
      <c r="E209" s="443" t="s">
        <v>1063</v>
      </c>
      <c r="F209" s="443" t="s">
        <v>142</v>
      </c>
      <c r="G209" s="56" t="s">
        <v>1088</v>
      </c>
      <c r="H209" s="443" t="s">
        <v>153</v>
      </c>
      <c r="I209" s="57" t="s">
        <v>875</v>
      </c>
      <c r="J209" s="443">
        <v>1</v>
      </c>
      <c r="K209" s="443">
        <v>3</v>
      </c>
      <c r="L209" s="443">
        <v>6</v>
      </c>
      <c r="M209" s="443"/>
      <c r="N209" s="443"/>
      <c r="O209" s="124"/>
      <c r="P209" s="124"/>
      <c r="Q209" s="450">
        <v>1</v>
      </c>
      <c r="R209" s="450"/>
      <c r="S209" s="450"/>
      <c r="T209" s="451"/>
      <c r="U209" s="451" t="s">
        <v>876</v>
      </c>
      <c r="V209" s="58"/>
      <c r="W209" s="58"/>
      <c r="X209" s="59"/>
      <c r="Y209" s="60"/>
      <c r="Z209" s="61"/>
      <c r="AA209" s="60"/>
    </row>
    <row r="210" spans="1:27" ht="12.75" customHeight="1" x14ac:dyDescent="0.25">
      <c r="A210" s="54"/>
      <c r="B210" s="437">
        <v>310</v>
      </c>
      <c r="C210" s="74" t="s">
        <v>1181</v>
      </c>
      <c r="D210" s="74" t="s">
        <v>916</v>
      </c>
      <c r="E210" s="443" t="s">
        <v>1063</v>
      </c>
      <c r="F210" s="443" t="s">
        <v>142</v>
      </c>
      <c r="G210" s="56" t="s">
        <v>1085</v>
      </c>
      <c r="H210" s="443"/>
      <c r="I210" s="57" t="s">
        <v>875</v>
      </c>
      <c r="J210" s="443">
        <v>1</v>
      </c>
      <c r="K210" s="443">
        <v>2</v>
      </c>
      <c r="L210" s="443">
        <v>4</v>
      </c>
      <c r="M210" s="443"/>
      <c r="N210" s="443"/>
      <c r="O210" s="124"/>
      <c r="P210" s="124"/>
      <c r="Q210" s="450">
        <v>1</v>
      </c>
      <c r="R210" s="450"/>
      <c r="S210" s="450"/>
      <c r="T210" s="451"/>
      <c r="U210" s="451" t="s">
        <v>876</v>
      </c>
      <c r="V210" s="58"/>
      <c r="W210" s="58"/>
      <c r="X210" s="59"/>
      <c r="Y210" s="60"/>
      <c r="Z210" s="61"/>
      <c r="AA210" s="60"/>
    </row>
    <row r="211" spans="1:27" ht="12.75" customHeight="1" x14ac:dyDescent="0.25">
      <c r="A211" s="54"/>
      <c r="B211" s="437">
        <v>311</v>
      </c>
      <c r="C211" s="74" t="s">
        <v>1182</v>
      </c>
      <c r="D211" s="74" t="s">
        <v>916</v>
      </c>
      <c r="E211" s="443" t="s">
        <v>1063</v>
      </c>
      <c r="F211" s="443" t="s">
        <v>142</v>
      </c>
      <c r="G211" s="56" t="s">
        <v>1088</v>
      </c>
      <c r="H211" s="443" t="s">
        <v>153</v>
      </c>
      <c r="I211" s="57" t="s">
        <v>875</v>
      </c>
      <c r="J211" s="443">
        <v>1</v>
      </c>
      <c r="K211" s="443">
        <v>3</v>
      </c>
      <c r="L211" s="443">
        <v>6</v>
      </c>
      <c r="M211" s="443"/>
      <c r="N211" s="443"/>
      <c r="O211" s="124"/>
      <c r="P211" s="124"/>
      <c r="Q211" s="450">
        <v>1</v>
      </c>
      <c r="R211" s="450"/>
      <c r="S211" s="450"/>
      <c r="T211" s="451"/>
      <c r="U211" s="451" t="s">
        <v>876</v>
      </c>
      <c r="V211" s="58"/>
      <c r="W211" s="58"/>
      <c r="X211" s="59"/>
      <c r="Y211" s="60"/>
      <c r="Z211" s="61"/>
      <c r="AA211" s="60"/>
    </row>
    <row r="212" spans="1:27" ht="12.75" customHeight="1" x14ac:dyDescent="0.25">
      <c r="A212" s="54"/>
      <c r="B212" s="437">
        <v>312</v>
      </c>
      <c r="C212" s="74" t="s">
        <v>1183</v>
      </c>
      <c r="D212" s="74" t="s">
        <v>916</v>
      </c>
      <c r="E212" s="443" t="s">
        <v>1063</v>
      </c>
      <c r="F212" s="443" t="s">
        <v>142</v>
      </c>
      <c r="G212" s="56" t="s">
        <v>1085</v>
      </c>
      <c r="H212" s="443"/>
      <c r="I212" s="57" t="s">
        <v>875</v>
      </c>
      <c r="J212" s="443">
        <v>1</v>
      </c>
      <c r="K212" s="443">
        <v>2</v>
      </c>
      <c r="L212" s="443">
        <v>4</v>
      </c>
      <c r="M212" s="443"/>
      <c r="N212" s="443"/>
      <c r="O212" s="124"/>
      <c r="P212" s="124"/>
      <c r="Q212" s="450">
        <v>1</v>
      </c>
      <c r="R212" s="450"/>
      <c r="S212" s="450"/>
      <c r="T212" s="451"/>
      <c r="U212" s="451" t="s">
        <v>876</v>
      </c>
      <c r="V212" s="58"/>
      <c r="W212" s="58"/>
      <c r="X212" s="59"/>
      <c r="Y212" s="60"/>
      <c r="Z212" s="61"/>
      <c r="AA212" s="60"/>
    </row>
    <row r="213" spans="1:27" ht="12.75" customHeight="1" x14ac:dyDescent="0.25">
      <c r="A213" s="54"/>
      <c r="B213" s="437">
        <v>313</v>
      </c>
      <c r="C213" s="74" t="s">
        <v>1184</v>
      </c>
      <c r="D213" s="74" t="s">
        <v>916</v>
      </c>
      <c r="E213" s="443" t="s">
        <v>1063</v>
      </c>
      <c r="F213" s="443" t="s">
        <v>142</v>
      </c>
      <c r="G213" s="56" t="s">
        <v>1088</v>
      </c>
      <c r="H213" s="443" t="s">
        <v>153</v>
      </c>
      <c r="I213" s="57" t="s">
        <v>875</v>
      </c>
      <c r="J213" s="443">
        <v>1</v>
      </c>
      <c r="K213" s="443">
        <v>3</v>
      </c>
      <c r="L213" s="443">
        <v>6</v>
      </c>
      <c r="M213" s="443"/>
      <c r="N213" s="443"/>
      <c r="O213" s="124"/>
      <c r="P213" s="124"/>
      <c r="Q213" s="450">
        <v>1</v>
      </c>
      <c r="R213" s="450"/>
      <c r="S213" s="450"/>
      <c r="T213" s="451"/>
      <c r="U213" s="451" t="s">
        <v>876</v>
      </c>
      <c r="V213" s="58"/>
      <c r="W213" s="58"/>
      <c r="X213" s="59"/>
      <c r="Y213" s="60"/>
      <c r="Z213" s="61"/>
      <c r="AA213" s="60"/>
    </row>
    <row r="214" spans="1:27" ht="12.75" customHeight="1" x14ac:dyDescent="0.25">
      <c r="A214" s="54"/>
      <c r="B214" s="437">
        <v>314</v>
      </c>
      <c r="C214" s="74" t="s">
        <v>1185</v>
      </c>
      <c r="D214" s="74" t="s">
        <v>916</v>
      </c>
      <c r="E214" s="443" t="s">
        <v>1063</v>
      </c>
      <c r="F214" s="443" t="s">
        <v>142</v>
      </c>
      <c r="G214" s="56" t="s">
        <v>1085</v>
      </c>
      <c r="H214" s="443"/>
      <c r="I214" s="57" t="s">
        <v>875</v>
      </c>
      <c r="J214" s="443">
        <v>1</v>
      </c>
      <c r="K214" s="443">
        <v>2</v>
      </c>
      <c r="L214" s="443">
        <v>4</v>
      </c>
      <c r="M214" s="443"/>
      <c r="N214" s="443"/>
      <c r="O214" s="124"/>
      <c r="P214" s="124"/>
      <c r="Q214" s="450">
        <v>1</v>
      </c>
      <c r="R214" s="450"/>
      <c r="S214" s="450"/>
      <c r="T214" s="451"/>
      <c r="U214" s="451" t="s">
        <v>876</v>
      </c>
      <c r="V214" s="58"/>
      <c r="W214" s="58"/>
      <c r="X214" s="59"/>
      <c r="Y214" s="60"/>
      <c r="Z214" s="61"/>
      <c r="AA214" s="60"/>
    </row>
    <row r="215" spans="1:27" ht="12.75" customHeight="1" x14ac:dyDescent="0.25">
      <c r="A215" s="54"/>
      <c r="B215" s="437">
        <v>315</v>
      </c>
      <c r="C215" s="74" t="s">
        <v>1186</v>
      </c>
      <c r="D215" s="74" t="s">
        <v>916</v>
      </c>
      <c r="E215" s="443" t="s">
        <v>1063</v>
      </c>
      <c r="F215" s="443" t="s">
        <v>142</v>
      </c>
      <c r="G215" s="56" t="s">
        <v>1088</v>
      </c>
      <c r="H215" s="443" t="s">
        <v>153</v>
      </c>
      <c r="I215" s="57" t="s">
        <v>875</v>
      </c>
      <c r="J215" s="443">
        <v>1</v>
      </c>
      <c r="K215" s="443">
        <v>3</v>
      </c>
      <c r="L215" s="443">
        <v>6</v>
      </c>
      <c r="M215" s="443"/>
      <c r="N215" s="443"/>
      <c r="O215" s="124"/>
      <c r="P215" s="124"/>
      <c r="Q215" s="450">
        <v>1</v>
      </c>
      <c r="R215" s="450"/>
      <c r="S215" s="450"/>
      <c r="T215" s="451"/>
      <c r="U215" s="451" t="s">
        <v>876</v>
      </c>
      <c r="V215" s="58"/>
      <c r="W215" s="58"/>
      <c r="X215" s="59"/>
      <c r="Y215" s="60"/>
      <c r="Z215" s="61"/>
      <c r="AA215" s="60"/>
    </row>
    <row r="216" spans="1:27" ht="12.75" customHeight="1" x14ac:dyDescent="0.25">
      <c r="A216" s="54"/>
      <c r="B216" s="437">
        <v>316</v>
      </c>
      <c r="C216" s="74" t="s">
        <v>1187</v>
      </c>
      <c r="D216" s="74" t="s">
        <v>916</v>
      </c>
      <c r="E216" s="443" t="s">
        <v>1063</v>
      </c>
      <c r="F216" s="443" t="s">
        <v>142</v>
      </c>
      <c r="G216" s="56" t="s">
        <v>1085</v>
      </c>
      <c r="H216" s="443"/>
      <c r="I216" s="57" t="s">
        <v>875</v>
      </c>
      <c r="J216" s="443">
        <v>1</v>
      </c>
      <c r="K216" s="443">
        <v>2</v>
      </c>
      <c r="L216" s="443">
        <v>4</v>
      </c>
      <c r="M216" s="443"/>
      <c r="N216" s="443"/>
      <c r="O216" s="124"/>
      <c r="P216" s="124"/>
      <c r="Q216" s="450">
        <v>1</v>
      </c>
      <c r="R216" s="450"/>
      <c r="S216" s="450"/>
      <c r="T216" s="451"/>
      <c r="U216" s="451" t="s">
        <v>876</v>
      </c>
      <c r="V216" s="58"/>
      <c r="W216" s="58"/>
      <c r="X216" s="59"/>
      <c r="Y216" s="60"/>
      <c r="Z216" s="61"/>
      <c r="AA216" s="60"/>
    </row>
    <row r="217" spans="1:27" ht="12.75" customHeight="1" x14ac:dyDescent="0.25">
      <c r="A217" s="54"/>
      <c r="B217" s="437">
        <v>317</v>
      </c>
      <c r="C217" s="74" t="s">
        <v>1188</v>
      </c>
      <c r="D217" s="74" t="s">
        <v>916</v>
      </c>
      <c r="E217" s="443" t="s">
        <v>1063</v>
      </c>
      <c r="F217" s="443" t="s">
        <v>142</v>
      </c>
      <c r="G217" s="56" t="s">
        <v>1088</v>
      </c>
      <c r="H217" s="443" t="s">
        <v>153</v>
      </c>
      <c r="I217" s="57" t="s">
        <v>875</v>
      </c>
      <c r="J217" s="443">
        <v>1</v>
      </c>
      <c r="K217" s="443">
        <v>3</v>
      </c>
      <c r="L217" s="443">
        <v>6</v>
      </c>
      <c r="M217" s="443"/>
      <c r="N217" s="443"/>
      <c r="O217" s="124"/>
      <c r="P217" s="124"/>
      <c r="Q217" s="450">
        <v>1</v>
      </c>
      <c r="R217" s="450"/>
      <c r="S217" s="450"/>
      <c r="T217" s="451"/>
      <c r="U217" s="451" t="s">
        <v>876</v>
      </c>
      <c r="V217" s="58"/>
      <c r="W217" s="58"/>
      <c r="X217" s="59"/>
      <c r="Y217" s="60"/>
      <c r="Z217" s="61"/>
      <c r="AA217" s="60"/>
    </row>
    <row r="218" spans="1:27" ht="12.75" customHeight="1" x14ac:dyDescent="0.25">
      <c r="A218" s="54"/>
      <c r="B218" s="437">
        <v>318</v>
      </c>
      <c r="C218" s="74" t="s">
        <v>1189</v>
      </c>
      <c r="D218" s="74" t="s">
        <v>916</v>
      </c>
      <c r="E218" s="443" t="s">
        <v>1063</v>
      </c>
      <c r="F218" s="443" t="s">
        <v>142</v>
      </c>
      <c r="G218" s="56" t="s">
        <v>1085</v>
      </c>
      <c r="H218" s="443"/>
      <c r="I218" s="57" t="s">
        <v>875</v>
      </c>
      <c r="J218" s="443">
        <v>1</v>
      </c>
      <c r="K218" s="443">
        <v>2</v>
      </c>
      <c r="L218" s="443">
        <v>4</v>
      </c>
      <c r="M218" s="443"/>
      <c r="N218" s="443"/>
      <c r="O218" s="124"/>
      <c r="P218" s="124"/>
      <c r="Q218" s="450">
        <v>1</v>
      </c>
      <c r="R218" s="450"/>
      <c r="S218" s="450"/>
      <c r="T218" s="451"/>
      <c r="U218" s="451" t="s">
        <v>876</v>
      </c>
      <c r="V218" s="58"/>
      <c r="W218" s="58"/>
      <c r="X218" s="59"/>
      <c r="Y218" s="60"/>
      <c r="Z218" s="61"/>
      <c r="AA218" s="60"/>
    </row>
    <row r="219" spans="1:27" ht="12.75" customHeight="1" x14ac:dyDescent="0.25">
      <c r="A219" s="54"/>
      <c r="B219" s="437">
        <v>319</v>
      </c>
      <c r="C219" s="74" t="s">
        <v>1190</v>
      </c>
      <c r="D219" s="74" t="s">
        <v>916</v>
      </c>
      <c r="E219" s="443" t="s">
        <v>1063</v>
      </c>
      <c r="F219" s="443" t="s">
        <v>142</v>
      </c>
      <c r="G219" s="56" t="s">
        <v>1088</v>
      </c>
      <c r="H219" s="443" t="s">
        <v>153</v>
      </c>
      <c r="I219" s="57" t="s">
        <v>875</v>
      </c>
      <c r="J219" s="443">
        <v>1</v>
      </c>
      <c r="K219" s="443">
        <v>3</v>
      </c>
      <c r="L219" s="443">
        <v>6</v>
      </c>
      <c r="M219" s="443"/>
      <c r="N219" s="443"/>
      <c r="O219" s="124"/>
      <c r="P219" s="124"/>
      <c r="Q219" s="450">
        <v>1</v>
      </c>
      <c r="R219" s="450"/>
      <c r="S219" s="450"/>
      <c r="T219" s="451"/>
      <c r="U219" s="451" t="s">
        <v>876</v>
      </c>
      <c r="V219" s="58"/>
      <c r="W219" s="58"/>
      <c r="X219" s="59"/>
      <c r="Y219" s="60"/>
      <c r="Z219" s="61"/>
      <c r="AA219" s="60"/>
    </row>
    <row r="220" spans="1:27" ht="12.75" customHeight="1" x14ac:dyDescent="0.25">
      <c r="A220" s="54"/>
      <c r="B220" s="437">
        <v>320</v>
      </c>
      <c r="C220" s="74" t="s">
        <v>1191</v>
      </c>
      <c r="D220" s="74" t="s">
        <v>916</v>
      </c>
      <c r="E220" s="443" t="s">
        <v>1063</v>
      </c>
      <c r="F220" s="443" t="s">
        <v>142</v>
      </c>
      <c r="G220" s="56" t="s">
        <v>1085</v>
      </c>
      <c r="H220" s="443"/>
      <c r="I220" s="57" t="s">
        <v>875</v>
      </c>
      <c r="J220" s="443">
        <v>1</v>
      </c>
      <c r="K220" s="443">
        <v>2</v>
      </c>
      <c r="L220" s="443">
        <v>4</v>
      </c>
      <c r="M220" s="443"/>
      <c r="N220" s="443"/>
      <c r="O220" s="124"/>
      <c r="P220" s="124"/>
      <c r="Q220" s="450">
        <v>1</v>
      </c>
      <c r="R220" s="450"/>
      <c r="S220" s="450"/>
      <c r="T220" s="451"/>
      <c r="U220" s="451" t="s">
        <v>876</v>
      </c>
      <c r="V220" s="58"/>
      <c r="W220" s="58"/>
      <c r="X220" s="59"/>
      <c r="Y220" s="60"/>
      <c r="Z220" s="61"/>
      <c r="AA220" s="60"/>
    </row>
    <row r="221" spans="1:27" ht="12.75" customHeight="1" x14ac:dyDescent="0.25">
      <c r="A221" s="54"/>
      <c r="B221" s="437">
        <v>321</v>
      </c>
      <c r="C221" s="74" t="s">
        <v>1192</v>
      </c>
      <c r="D221" s="74" t="s">
        <v>916</v>
      </c>
      <c r="E221" s="443" t="s">
        <v>1063</v>
      </c>
      <c r="F221" s="443" t="s">
        <v>142</v>
      </c>
      <c r="G221" s="56" t="s">
        <v>1088</v>
      </c>
      <c r="H221" s="443" t="s">
        <v>153</v>
      </c>
      <c r="I221" s="57" t="s">
        <v>875</v>
      </c>
      <c r="J221" s="443">
        <v>1</v>
      </c>
      <c r="K221" s="443">
        <v>3</v>
      </c>
      <c r="L221" s="443">
        <v>6</v>
      </c>
      <c r="M221" s="443"/>
      <c r="N221" s="443"/>
      <c r="O221" s="124"/>
      <c r="P221" s="124"/>
      <c r="Q221" s="450">
        <v>1</v>
      </c>
      <c r="R221" s="450"/>
      <c r="S221" s="450"/>
      <c r="T221" s="451"/>
      <c r="U221" s="451" t="s">
        <v>876</v>
      </c>
      <c r="V221" s="58"/>
      <c r="W221" s="58"/>
      <c r="X221" s="59"/>
      <c r="Y221" s="60"/>
      <c r="Z221" s="61"/>
      <c r="AA221" s="60"/>
    </row>
    <row r="222" spans="1:27" ht="12.75" customHeight="1" x14ac:dyDescent="0.25">
      <c r="A222" s="54"/>
      <c r="B222" s="437">
        <v>322</v>
      </c>
      <c r="C222" s="74" t="s">
        <v>1193</v>
      </c>
      <c r="D222" s="74" t="s">
        <v>916</v>
      </c>
      <c r="E222" s="443" t="s">
        <v>1063</v>
      </c>
      <c r="F222" s="443" t="s">
        <v>142</v>
      </c>
      <c r="G222" s="56" t="s">
        <v>1085</v>
      </c>
      <c r="H222" s="443"/>
      <c r="I222" s="57" t="s">
        <v>875</v>
      </c>
      <c r="J222" s="443">
        <v>1</v>
      </c>
      <c r="K222" s="443">
        <v>2</v>
      </c>
      <c r="L222" s="443">
        <v>4</v>
      </c>
      <c r="M222" s="443"/>
      <c r="N222" s="443"/>
      <c r="O222" s="124"/>
      <c r="P222" s="124"/>
      <c r="Q222" s="450">
        <v>1</v>
      </c>
      <c r="R222" s="450"/>
      <c r="S222" s="450"/>
      <c r="T222" s="451"/>
      <c r="U222" s="451" t="s">
        <v>876</v>
      </c>
      <c r="V222" s="58"/>
      <c r="W222" s="58"/>
      <c r="X222" s="59"/>
      <c r="Y222" s="60"/>
      <c r="Z222" s="61"/>
      <c r="AA222" s="60"/>
    </row>
    <row r="223" spans="1:27" ht="12.75" customHeight="1" x14ac:dyDescent="0.25">
      <c r="A223" s="54"/>
      <c r="B223" s="437">
        <v>323</v>
      </c>
      <c r="C223" s="74" t="s">
        <v>1194</v>
      </c>
      <c r="D223" s="74" t="s">
        <v>916</v>
      </c>
      <c r="E223" s="443" t="s">
        <v>1063</v>
      </c>
      <c r="F223" s="443" t="s">
        <v>142</v>
      </c>
      <c r="G223" s="56" t="s">
        <v>1088</v>
      </c>
      <c r="H223" s="443" t="s">
        <v>153</v>
      </c>
      <c r="I223" s="57" t="s">
        <v>875</v>
      </c>
      <c r="J223" s="443">
        <v>1</v>
      </c>
      <c r="K223" s="443">
        <v>3</v>
      </c>
      <c r="L223" s="443">
        <v>6</v>
      </c>
      <c r="M223" s="443"/>
      <c r="N223" s="443"/>
      <c r="O223" s="124"/>
      <c r="P223" s="124"/>
      <c r="Q223" s="450">
        <v>1</v>
      </c>
      <c r="R223" s="450"/>
      <c r="S223" s="450"/>
      <c r="T223" s="451"/>
      <c r="U223" s="451" t="s">
        <v>876</v>
      </c>
      <c r="V223" s="58"/>
      <c r="W223" s="58"/>
      <c r="X223" s="59"/>
      <c r="Y223" s="60"/>
      <c r="Z223" s="61"/>
      <c r="AA223" s="60"/>
    </row>
    <row r="224" spans="1:27" ht="12.75" customHeight="1" x14ac:dyDescent="0.25">
      <c r="A224" s="54"/>
      <c r="B224" s="76">
        <v>324</v>
      </c>
      <c r="C224" s="77" t="s">
        <v>1195</v>
      </c>
      <c r="D224" s="77" t="s">
        <v>916</v>
      </c>
      <c r="E224" s="65" t="s">
        <v>1063</v>
      </c>
      <c r="F224" s="65" t="s">
        <v>142</v>
      </c>
      <c r="G224" s="64" t="s">
        <v>1085</v>
      </c>
      <c r="H224" s="65"/>
      <c r="I224" s="456" t="s">
        <v>875</v>
      </c>
      <c r="J224" s="65">
        <v>1</v>
      </c>
      <c r="K224" s="65">
        <v>2</v>
      </c>
      <c r="L224" s="65">
        <v>4</v>
      </c>
      <c r="M224" s="65"/>
      <c r="N224" s="65"/>
      <c r="O224" s="148"/>
      <c r="P224" s="148"/>
      <c r="Q224" s="79">
        <v>1</v>
      </c>
      <c r="R224" s="79"/>
      <c r="S224" s="79"/>
      <c r="T224" s="80"/>
      <c r="U224" s="80" t="s">
        <v>876</v>
      </c>
      <c r="V224" s="457"/>
      <c r="W224" s="457"/>
      <c r="X224" s="463"/>
      <c r="Y224" s="464"/>
      <c r="Z224" s="465"/>
      <c r="AA224" s="464"/>
    </row>
    <row r="225" spans="1:27" ht="12.75" customHeight="1" x14ac:dyDescent="0.25">
      <c r="A225" s="54"/>
      <c r="B225" s="62">
        <v>325</v>
      </c>
      <c r="C225" s="74" t="s">
        <v>1196</v>
      </c>
      <c r="D225" s="74" t="s">
        <v>916</v>
      </c>
      <c r="E225" s="443" t="s">
        <v>1063</v>
      </c>
      <c r="F225" s="443" t="s">
        <v>142</v>
      </c>
      <c r="G225" s="56" t="s">
        <v>1088</v>
      </c>
      <c r="H225" s="443" t="s">
        <v>153</v>
      </c>
      <c r="I225" s="57" t="s">
        <v>875</v>
      </c>
      <c r="J225" s="443">
        <v>1</v>
      </c>
      <c r="K225" s="443">
        <v>3</v>
      </c>
      <c r="L225" s="443">
        <v>6</v>
      </c>
      <c r="M225" s="443"/>
      <c r="N225" s="443"/>
      <c r="O225" s="124"/>
      <c r="P225" s="124"/>
      <c r="Q225" s="450">
        <v>1</v>
      </c>
      <c r="R225" s="450"/>
      <c r="S225" s="450"/>
      <c r="T225" s="451"/>
      <c r="U225" s="451" t="s">
        <v>876</v>
      </c>
      <c r="V225" s="58"/>
      <c r="W225" s="58"/>
      <c r="X225" s="59"/>
      <c r="Y225" s="60"/>
      <c r="Z225" s="61"/>
      <c r="AA225" s="60"/>
    </row>
    <row r="226" spans="1:27" ht="13.5" customHeight="1" x14ac:dyDescent="0.25">
      <c r="A226" s="54"/>
      <c r="B226" s="62">
        <v>326</v>
      </c>
      <c r="C226" s="74" t="s">
        <v>1197</v>
      </c>
      <c r="D226" s="74" t="s">
        <v>1021</v>
      </c>
      <c r="E226" s="443" t="s">
        <v>1063</v>
      </c>
      <c r="F226" s="443" t="s">
        <v>142</v>
      </c>
      <c r="G226" s="56" t="s">
        <v>1085</v>
      </c>
      <c r="H226" s="443"/>
      <c r="I226" s="57" t="s">
        <v>875</v>
      </c>
      <c r="J226" s="443">
        <v>1</v>
      </c>
      <c r="K226" s="443">
        <v>2</v>
      </c>
      <c r="L226" s="443">
        <v>4</v>
      </c>
      <c r="M226" s="443"/>
      <c r="N226" s="443"/>
      <c r="O226" s="124"/>
      <c r="P226" s="124"/>
      <c r="Q226" s="450">
        <v>1</v>
      </c>
      <c r="R226" s="450"/>
      <c r="S226" s="450"/>
      <c r="T226" s="451"/>
      <c r="U226" s="451" t="s">
        <v>876</v>
      </c>
      <c r="V226" s="58"/>
      <c r="W226" s="58"/>
      <c r="X226" s="59"/>
      <c r="Y226" s="60"/>
      <c r="Z226" s="61"/>
      <c r="AA226" s="60"/>
    </row>
    <row r="227" spans="1:27" ht="12.75" customHeight="1" x14ac:dyDescent="0.25">
      <c r="A227" s="54"/>
      <c r="B227" s="62">
        <v>327</v>
      </c>
      <c r="C227" s="74" t="s">
        <v>1198</v>
      </c>
      <c r="D227" s="74" t="s">
        <v>1021</v>
      </c>
      <c r="E227" s="443" t="s">
        <v>1063</v>
      </c>
      <c r="F227" s="443" t="s">
        <v>142</v>
      </c>
      <c r="G227" s="56" t="s">
        <v>1085</v>
      </c>
      <c r="H227" s="443"/>
      <c r="I227" s="57" t="s">
        <v>875</v>
      </c>
      <c r="J227" s="443">
        <v>1</v>
      </c>
      <c r="K227" s="443">
        <v>2</v>
      </c>
      <c r="L227" s="443">
        <v>4</v>
      </c>
      <c r="M227" s="443"/>
      <c r="N227" s="443"/>
      <c r="O227" s="124"/>
      <c r="P227" s="124"/>
      <c r="Q227" s="450">
        <v>1</v>
      </c>
      <c r="R227" s="450"/>
      <c r="S227" s="450"/>
      <c r="T227" s="451"/>
      <c r="U227" s="451" t="s">
        <v>876</v>
      </c>
      <c r="V227" s="58"/>
      <c r="W227" s="58"/>
      <c r="X227" s="59"/>
      <c r="Y227" s="60"/>
      <c r="Z227" s="61"/>
      <c r="AA227" s="60"/>
    </row>
    <row r="228" spans="1:27" ht="12.75" customHeight="1" x14ac:dyDescent="0.25">
      <c r="A228" s="54"/>
      <c r="B228" s="437">
        <v>328</v>
      </c>
      <c r="C228" s="74" t="s">
        <v>1199</v>
      </c>
      <c r="D228" s="74" t="s">
        <v>916</v>
      </c>
      <c r="E228" s="443" t="s">
        <v>1063</v>
      </c>
      <c r="F228" s="443" t="s">
        <v>142</v>
      </c>
      <c r="G228" s="56" t="s">
        <v>1072</v>
      </c>
      <c r="H228" s="443" t="s">
        <v>1073</v>
      </c>
      <c r="I228" s="443" t="s">
        <v>875</v>
      </c>
      <c r="J228" s="443">
        <v>1</v>
      </c>
      <c r="K228" s="443">
        <v>3</v>
      </c>
      <c r="L228" s="443">
        <v>6</v>
      </c>
      <c r="M228" s="443"/>
      <c r="N228" s="443"/>
      <c r="O228" s="124"/>
      <c r="P228" s="124"/>
      <c r="Q228" s="450">
        <v>1</v>
      </c>
      <c r="R228" s="450"/>
      <c r="S228" s="450"/>
      <c r="T228" s="451"/>
      <c r="U228" s="451" t="s">
        <v>876</v>
      </c>
      <c r="V228" s="58"/>
      <c r="W228" s="58"/>
      <c r="X228" s="59"/>
      <c r="Y228" s="60"/>
      <c r="Z228" s="61"/>
      <c r="AA228" s="60"/>
    </row>
    <row r="229" spans="1:27" ht="12.75" customHeight="1" x14ac:dyDescent="0.25">
      <c r="A229" s="54"/>
      <c r="B229" s="437">
        <v>329</v>
      </c>
      <c r="C229" s="74" t="s">
        <v>1200</v>
      </c>
      <c r="D229" s="74" t="s">
        <v>916</v>
      </c>
      <c r="E229" s="443" t="s">
        <v>1063</v>
      </c>
      <c r="F229" s="443" t="s">
        <v>142</v>
      </c>
      <c r="G229" s="56" t="s">
        <v>1072</v>
      </c>
      <c r="H229" s="443" t="s">
        <v>1073</v>
      </c>
      <c r="I229" s="57" t="s">
        <v>875</v>
      </c>
      <c r="J229" s="443">
        <v>1</v>
      </c>
      <c r="K229" s="443">
        <v>3</v>
      </c>
      <c r="L229" s="443">
        <v>6</v>
      </c>
      <c r="M229" s="443"/>
      <c r="N229" s="443"/>
      <c r="O229" s="124"/>
      <c r="P229" s="124"/>
      <c r="Q229" s="450">
        <v>1</v>
      </c>
      <c r="R229" s="450"/>
      <c r="S229" s="450"/>
      <c r="T229" s="451"/>
      <c r="U229" s="451" t="s">
        <v>876</v>
      </c>
      <c r="V229" s="58"/>
      <c r="W229" s="58"/>
      <c r="X229" s="59"/>
      <c r="Y229" s="60"/>
      <c r="Z229" s="61"/>
      <c r="AA229" s="60"/>
    </row>
    <row r="230" spans="1:27" ht="12.75" customHeight="1" x14ac:dyDescent="0.25">
      <c r="A230" s="54"/>
      <c r="B230" s="437">
        <v>330</v>
      </c>
      <c r="C230" s="74" t="s">
        <v>1201</v>
      </c>
      <c r="D230" s="74" t="s">
        <v>916</v>
      </c>
      <c r="E230" s="443" t="s">
        <v>1063</v>
      </c>
      <c r="F230" s="443" t="s">
        <v>142</v>
      </c>
      <c r="G230" s="56" t="s">
        <v>1072</v>
      </c>
      <c r="H230" s="443" t="s">
        <v>1073</v>
      </c>
      <c r="I230" s="57" t="s">
        <v>875</v>
      </c>
      <c r="J230" s="443">
        <v>1</v>
      </c>
      <c r="K230" s="443">
        <v>3</v>
      </c>
      <c r="L230" s="443">
        <v>6</v>
      </c>
      <c r="M230" s="443"/>
      <c r="N230" s="443"/>
      <c r="O230" s="124"/>
      <c r="P230" s="124"/>
      <c r="Q230" s="450">
        <v>1</v>
      </c>
      <c r="R230" s="450"/>
      <c r="S230" s="450"/>
      <c r="T230" s="451"/>
      <c r="U230" s="451" t="s">
        <v>876</v>
      </c>
      <c r="V230" s="58"/>
      <c r="W230" s="58"/>
      <c r="X230" s="59"/>
      <c r="Y230" s="60"/>
      <c r="Z230" s="61"/>
      <c r="AA230" s="60"/>
    </row>
    <row r="231" spans="1:27" ht="12.75" customHeight="1" x14ac:dyDescent="0.25">
      <c r="A231" s="54"/>
      <c r="B231" s="149">
        <v>331</v>
      </c>
      <c r="C231" s="77" t="s">
        <v>1202</v>
      </c>
      <c r="D231" s="77" t="s">
        <v>916</v>
      </c>
      <c r="E231" s="65" t="s">
        <v>1063</v>
      </c>
      <c r="F231" s="65" t="s">
        <v>142</v>
      </c>
      <c r="G231" s="64" t="s">
        <v>1072</v>
      </c>
      <c r="H231" s="65" t="s">
        <v>1073</v>
      </c>
      <c r="I231" s="456" t="s">
        <v>875</v>
      </c>
      <c r="J231" s="65">
        <v>1</v>
      </c>
      <c r="K231" s="65">
        <v>3</v>
      </c>
      <c r="L231" s="65">
        <v>6</v>
      </c>
      <c r="M231" s="65"/>
      <c r="N231" s="65"/>
      <c r="O231" s="148"/>
      <c r="P231" s="148"/>
      <c r="Q231" s="79">
        <v>1</v>
      </c>
      <c r="R231" s="79"/>
      <c r="S231" s="79"/>
      <c r="T231" s="80"/>
      <c r="U231" s="80" t="s">
        <v>876</v>
      </c>
      <c r="V231" s="457"/>
      <c r="W231" s="457"/>
      <c r="X231" s="463"/>
      <c r="Y231" s="464"/>
      <c r="Z231" s="465"/>
      <c r="AA231" s="464"/>
    </row>
    <row r="232" spans="1:27" s="110" customFormat="1" ht="12.75" customHeight="1" x14ac:dyDescent="0.25">
      <c r="A232" s="54"/>
      <c r="B232" s="62">
        <v>332</v>
      </c>
      <c r="C232" s="74" t="s">
        <v>1203</v>
      </c>
      <c r="D232" s="74" t="s">
        <v>916</v>
      </c>
      <c r="E232" s="443" t="s">
        <v>1063</v>
      </c>
      <c r="F232" s="443" t="s">
        <v>142</v>
      </c>
      <c r="G232" s="56" t="s">
        <v>1072</v>
      </c>
      <c r="H232" s="443" t="s">
        <v>1073</v>
      </c>
      <c r="I232" s="57" t="s">
        <v>875</v>
      </c>
      <c r="J232" s="443">
        <v>1</v>
      </c>
      <c r="K232" s="443">
        <v>3</v>
      </c>
      <c r="L232" s="443">
        <v>6</v>
      </c>
      <c r="M232" s="443"/>
      <c r="N232" s="443"/>
      <c r="O232" s="124"/>
      <c r="P232" s="124"/>
      <c r="Q232" s="450">
        <v>1</v>
      </c>
      <c r="R232" s="450"/>
      <c r="S232" s="450"/>
      <c r="T232" s="451"/>
      <c r="U232" s="451" t="s">
        <v>876</v>
      </c>
      <c r="V232" s="58"/>
      <c r="W232" s="58"/>
      <c r="X232" s="59"/>
      <c r="Y232" s="60"/>
      <c r="Z232" s="61"/>
      <c r="AA232" s="60"/>
    </row>
    <row r="233" spans="1:27" s="110" customFormat="1" ht="12.75" customHeight="1" x14ac:dyDescent="0.25">
      <c r="A233" s="54"/>
      <c r="B233" s="62">
        <v>333</v>
      </c>
      <c r="C233" s="74" t="s">
        <v>1204</v>
      </c>
      <c r="D233" s="74" t="s">
        <v>1021</v>
      </c>
      <c r="E233" s="443" t="s">
        <v>1063</v>
      </c>
      <c r="F233" s="443"/>
      <c r="G233" s="56" t="s">
        <v>1149</v>
      </c>
      <c r="H233" s="443" t="s">
        <v>1205</v>
      </c>
      <c r="I233" s="57" t="s">
        <v>875</v>
      </c>
      <c r="J233" s="443">
        <v>1</v>
      </c>
      <c r="K233" s="443">
        <v>3</v>
      </c>
      <c r="L233" s="443">
        <v>6</v>
      </c>
      <c r="M233" s="443"/>
      <c r="N233" s="443"/>
      <c r="O233" s="124"/>
      <c r="P233" s="124"/>
      <c r="Q233" s="450">
        <v>1</v>
      </c>
      <c r="R233" s="450"/>
      <c r="S233" s="450"/>
      <c r="T233" s="451"/>
      <c r="U233" s="451"/>
      <c r="V233" s="139"/>
      <c r="W233" s="139"/>
      <c r="X233" s="63"/>
      <c r="Y233" s="70"/>
      <c r="Z233" s="67"/>
      <c r="AA233" s="70"/>
    </row>
    <row r="234" spans="1:27" ht="25.5" customHeight="1" x14ac:dyDescent="0.25">
      <c r="A234" s="54"/>
      <c r="B234" s="62">
        <v>334</v>
      </c>
      <c r="C234" s="74" t="s">
        <v>1206</v>
      </c>
      <c r="D234" s="74" t="s">
        <v>1021</v>
      </c>
      <c r="E234" s="443" t="s">
        <v>1063</v>
      </c>
      <c r="F234" s="443"/>
      <c r="G234" s="56" t="s">
        <v>1149</v>
      </c>
      <c r="H234" s="137">
        <v>1E-3</v>
      </c>
      <c r="I234" s="57" t="s">
        <v>875</v>
      </c>
      <c r="J234" s="443">
        <v>1</v>
      </c>
      <c r="K234" s="443">
        <v>2</v>
      </c>
      <c r="L234" s="443">
        <v>4</v>
      </c>
      <c r="M234" s="443"/>
      <c r="N234" s="443"/>
      <c r="O234" s="124"/>
      <c r="P234" s="124"/>
      <c r="Q234" s="450">
        <v>1</v>
      </c>
      <c r="R234" s="450"/>
      <c r="S234" s="450"/>
      <c r="T234" s="451"/>
      <c r="U234" s="451"/>
      <c r="V234" s="139"/>
      <c r="W234" s="139"/>
      <c r="X234" s="63"/>
      <c r="Y234" s="70"/>
      <c r="Z234" s="67"/>
      <c r="AA234" s="70"/>
    </row>
    <row r="235" spans="1:27" x14ac:dyDescent="0.25">
      <c r="A235" s="126"/>
      <c r="B235" s="150">
        <v>335</v>
      </c>
      <c r="C235" s="151" t="s">
        <v>1207</v>
      </c>
      <c r="D235" s="151" t="s">
        <v>916</v>
      </c>
      <c r="E235" s="152" t="s">
        <v>1063</v>
      </c>
      <c r="F235" s="152" t="s">
        <v>142</v>
      </c>
      <c r="G235" s="153" t="s">
        <v>1085</v>
      </c>
      <c r="H235" s="152"/>
      <c r="I235" s="154" t="s">
        <v>875</v>
      </c>
      <c r="J235" s="152">
        <v>1</v>
      </c>
      <c r="K235" s="152">
        <v>2</v>
      </c>
      <c r="L235" s="152">
        <v>4</v>
      </c>
      <c r="M235" s="152"/>
      <c r="N235" s="152"/>
      <c r="O235" s="155"/>
      <c r="P235" s="155"/>
      <c r="Q235" s="156">
        <v>1</v>
      </c>
      <c r="R235" s="156">
        <v>1</v>
      </c>
      <c r="S235" s="156">
        <v>1</v>
      </c>
      <c r="T235" s="157"/>
      <c r="U235" s="157" t="s">
        <v>876</v>
      </c>
      <c r="V235" s="158"/>
      <c r="W235" s="158"/>
      <c r="X235" s="159"/>
      <c r="Y235" s="160"/>
      <c r="Z235" s="161"/>
      <c r="AA235" s="160"/>
    </row>
    <row r="236" spans="1:27" x14ac:dyDescent="0.25">
      <c r="A236" s="126"/>
      <c r="B236" s="162">
        <v>336</v>
      </c>
      <c r="C236" s="163" t="s">
        <v>1208</v>
      </c>
      <c r="D236" s="163" t="s">
        <v>916</v>
      </c>
      <c r="E236" s="164" t="s">
        <v>1063</v>
      </c>
      <c r="F236" s="164" t="s">
        <v>142</v>
      </c>
      <c r="G236" s="165" t="s">
        <v>1072</v>
      </c>
      <c r="H236" s="164" t="s">
        <v>1073</v>
      </c>
      <c r="I236" s="166" t="s">
        <v>875</v>
      </c>
      <c r="J236" s="164">
        <v>1</v>
      </c>
      <c r="K236" s="164">
        <v>3</v>
      </c>
      <c r="L236" s="164">
        <v>6</v>
      </c>
      <c r="M236" s="164"/>
      <c r="N236" s="164"/>
      <c r="O236" s="167"/>
      <c r="P236" s="167"/>
      <c r="Q236" s="168">
        <v>1</v>
      </c>
      <c r="R236" s="168">
        <v>1</v>
      </c>
      <c r="S236" s="168">
        <v>1</v>
      </c>
      <c r="T236" s="169"/>
      <c r="U236" s="169" t="s">
        <v>876</v>
      </c>
      <c r="V236" s="170"/>
      <c r="W236" s="170"/>
      <c r="X236" s="171"/>
      <c r="Y236" s="68"/>
      <c r="Z236" s="172"/>
      <c r="AA236" s="68"/>
    </row>
    <row r="237" spans="1:27" x14ac:dyDescent="0.25">
      <c r="A237" s="126"/>
      <c r="B237" s="162">
        <v>337</v>
      </c>
      <c r="C237" s="163" t="s">
        <v>1209</v>
      </c>
      <c r="D237" s="163" t="s">
        <v>916</v>
      </c>
      <c r="E237" s="164" t="s">
        <v>1063</v>
      </c>
      <c r="F237" s="164" t="s">
        <v>142</v>
      </c>
      <c r="G237" s="165" t="s">
        <v>1088</v>
      </c>
      <c r="H237" s="164" t="s">
        <v>153</v>
      </c>
      <c r="I237" s="166" t="s">
        <v>875</v>
      </c>
      <c r="J237" s="164">
        <v>1</v>
      </c>
      <c r="K237" s="164">
        <v>3</v>
      </c>
      <c r="L237" s="164">
        <v>6</v>
      </c>
      <c r="M237" s="164"/>
      <c r="N237" s="164"/>
      <c r="O237" s="167"/>
      <c r="P237" s="167"/>
      <c r="Q237" s="168">
        <v>1</v>
      </c>
      <c r="R237" s="168">
        <v>1</v>
      </c>
      <c r="S237" s="168">
        <v>1</v>
      </c>
      <c r="T237" s="169"/>
      <c r="U237" s="169" t="s">
        <v>876</v>
      </c>
      <c r="V237" s="170"/>
      <c r="W237" s="170"/>
      <c r="X237" s="171"/>
      <c r="Y237" s="68"/>
      <c r="Z237" s="172"/>
      <c r="AA237" s="68"/>
    </row>
    <row r="238" spans="1:27" x14ac:dyDescent="0.25">
      <c r="A238" s="126"/>
      <c r="B238" s="62"/>
      <c r="C238" s="74"/>
      <c r="D238" s="74"/>
      <c r="E238" s="443"/>
      <c r="F238" s="443"/>
      <c r="G238" s="56"/>
      <c r="H238" s="443"/>
      <c r="I238" s="57"/>
      <c r="J238" s="443"/>
      <c r="K238" s="443"/>
      <c r="L238" s="443"/>
      <c r="M238" s="443"/>
      <c r="N238" s="443"/>
      <c r="O238" s="124"/>
      <c r="P238" s="124"/>
      <c r="Q238" s="450"/>
      <c r="R238" s="450"/>
      <c r="S238" s="450"/>
      <c r="T238" s="451"/>
      <c r="U238" s="451"/>
      <c r="V238" s="58"/>
      <c r="W238" s="58"/>
      <c r="X238" s="59"/>
      <c r="Y238" s="60"/>
      <c r="Z238" s="61"/>
      <c r="AA238" s="60"/>
    </row>
    <row r="239" spans="1:27" x14ac:dyDescent="0.25">
      <c r="A239" s="126"/>
      <c r="B239" s="437">
        <v>338</v>
      </c>
      <c r="C239" s="74" t="s">
        <v>1210</v>
      </c>
      <c r="D239" s="74" t="s">
        <v>916</v>
      </c>
      <c r="E239" s="443" t="s">
        <v>1063</v>
      </c>
      <c r="F239" s="443" t="s">
        <v>142</v>
      </c>
      <c r="G239" s="56" t="s">
        <v>1072</v>
      </c>
      <c r="H239" s="443" t="s">
        <v>1073</v>
      </c>
      <c r="I239" s="57" t="s">
        <v>875</v>
      </c>
      <c r="J239" s="443">
        <v>1</v>
      </c>
      <c r="K239" s="443">
        <v>3</v>
      </c>
      <c r="L239" s="443">
        <v>6</v>
      </c>
      <c r="M239" s="443"/>
      <c r="N239" s="443"/>
      <c r="O239" s="124"/>
      <c r="P239" s="124"/>
      <c r="Q239" s="450">
        <v>1</v>
      </c>
      <c r="R239" s="450">
        <v>1</v>
      </c>
      <c r="S239" s="450"/>
      <c r="T239" s="451"/>
      <c r="U239" s="451" t="s">
        <v>876</v>
      </c>
      <c r="V239" s="58"/>
      <c r="W239" s="58"/>
      <c r="X239" s="59"/>
      <c r="Y239" s="60"/>
      <c r="Z239" s="61"/>
      <c r="AA239" s="60"/>
    </row>
    <row r="240" spans="1:27" x14ac:dyDescent="0.25">
      <c r="A240" s="126"/>
      <c r="B240" s="437">
        <v>339</v>
      </c>
      <c r="C240" s="74" t="s">
        <v>1211</v>
      </c>
      <c r="D240" s="74" t="s">
        <v>916</v>
      </c>
      <c r="E240" s="443" t="s">
        <v>1063</v>
      </c>
      <c r="F240" s="443" t="s">
        <v>142</v>
      </c>
      <c r="G240" s="56" t="s">
        <v>1072</v>
      </c>
      <c r="H240" s="443" t="s">
        <v>1073</v>
      </c>
      <c r="I240" s="57" t="s">
        <v>875</v>
      </c>
      <c r="J240" s="443">
        <v>1</v>
      </c>
      <c r="K240" s="443">
        <v>3</v>
      </c>
      <c r="L240" s="443">
        <v>6</v>
      </c>
      <c r="M240" s="443"/>
      <c r="N240" s="443"/>
      <c r="O240" s="124"/>
      <c r="P240" s="124"/>
      <c r="Q240" s="450">
        <v>1</v>
      </c>
      <c r="R240" s="450">
        <v>1</v>
      </c>
      <c r="S240" s="450"/>
      <c r="T240" s="451"/>
      <c r="U240" s="451" t="s">
        <v>876</v>
      </c>
      <c r="V240" s="58"/>
      <c r="W240" s="58"/>
      <c r="X240" s="59"/>
      <c r="Y240" s="60"/>
      <c r="Z240" s="61"/>
      <c r="AA240" s="60"/>
    </row>
    <row r="241" spans="1:27" x14ac:dyDescent="0.25">
      <c r="A241" s="126"/>
      <c r="B241" s="437">
        <v>340</v>
      </c>
      <c r="C241" s="74" t="s">
        <v>1212</v>
      </c>
      <c r="D241" s="74" t="s">
        <v>916</v>
      </c>
      <c r="E241" s="443" t="s">
        <v>1063</v>
      </c>
      <c r="F241" s="443" t="s">
        <v>142</v>
      </c>
      <c r="G241" s="56" t="s">
        <v>1072</v>
      </c>
      <c r="H241" s="443" t="s">
        <v>1073</v>
      </c>
      <c r="I241" s="57" t="s">
        <v>875</v>
      </c>
      <c r="J241" s="443">
        <v>1</v>
      </c>
      <c r="K241" s="443">
        <v>3</v>
      </c>
      <c r="L241" s="443">
        <v>6</v>
      </c>
      <c r="M241" s="443"/>
      <c r="N241" s="443"/>
      <c r="O241" s="124"/>
      <c r="P241" s="124"/>
      <c r="Q241" s="450">
        <v>1</v>
      </c>
      <c r="R241" s="450">
        <v>1</v>
      </c>
      <c r="S241" s="450"/>
      <c r="T241" s="451"/>
      <c r="U241" s="451" t="s">
        <v>876</v>
      </c>
      <c r="V241" s="58"/>
      <c r="W241" s="58"/>
      <c r="X241" s="59"/>
      <c r="Y241" s="60"/>
      <c r="Z241" s="61"/>
      <c r="AA241" s="60"/>
    </row>
    <row r="242" spans="1:27" x14ac:dyDescent="0.25">
      <c r="A242" s="126"/>
      <c r="B242" s="437">
        <v>341</v>
      </c>
      <c r="C242" s="74" t="s">
        <v>1213</v>
      </c>
      <c r="D242" s="74" t="s">
        <v>916</v>
      </c>
      <c r="E242" s="443" t="s">
        <v>1063</v>
      </c>
      <c r="F242" s="443" t="s">
        <v>142</v>
      </c>
      <c r="G242" s="56" t="s">
        <v>1072</v>
      </c>
      <c r="H242" s="443" t="s">
        <v>1073</v>
      </c>
      <c r="I242" s="57" t="s">
        <v>875</v>
      </c>
      <c r="J242" s="443">
        <v>1</v>
      </c>
      <c r="K242" s="443">
        <v>3</v>
      </c>
      <c r="L242" s="443">
        <v>6</v>
      </c>
      <c r="M242" s="443"/>
      <c r="N242" s="443"/>
      <c r="O242" s="124"/>
      <c r="P242" s="124"/>
      <c r="Q242" s="450">
        <v>1</v>
      </c>
      <c r="R242" s="450">
        <v>1</v>
      </c>
      <c r="S242" s="450"/>
      <c r="T242" s="451"/>
      <c r="U242" s="451" t="s">
        <v>876</v>
      </c>
      <c r="V242" s="58"/>
      <c r="W242" s="58"/>
      <c r="X242" s="59"/>
      <c r="Y242" s="60"/>
      <c r="Z242" s="61"/>
      <c r="AA242" s="60"/>
    </row>
    <row r="243" spans="1:27" x14ac:dyDescent="0.25">
      <c r="A243" s="126"/>
      <c r="B243" s="437">
        <v>342</v>
      </c>
      <c r="C243" s="74" t="s">
        <v>1214</v>
      </c>
      <c r="D243" s="74" t="s">
        <v>916</v>
      </c>
      <c r="E243" s="443" t="s">
        <v>1063</v>
      </c>
      <c r="F243" s="443" t="s">
        <v>142</v>
      </c>
      <c r="G243" s="56" t="s">
        <v>1072</v>
      </c>
      <c r="H243" s="443" t="s">
        <v>1073</v>
      </c>
      <c r="I243" s="57" t="s">
        <v>875</v>
      </c>
      <c r="J243" s="443">
        <v>1</v>
      </c>
      <c r="K243" s="443">
        <v>3</v>
      </c>
      <c r="L243" s="443">
        <v>6</v>
      </c>
      <c r="M243" s="443"/>
      <c r="N243" s="443"/>
      <c r="O243" s="124"/>
      <c r="P243" s="124"/>
      <c r="Q243" s="450">
        <v>1</v>
      </c>
      <c r="R243" s="450">
        <v>1</v>
      </c>
      <c r="S243" s="450"/>
      <c r="T243" s="451"/>
      <c r="U243" s="451" t="s">
        <v>876</v>
      </c>
      <c r="V243" s="58"/>
      <c r="W243" s="58"/>
      <c r="X243" s="59"/>
      <c r="Y243" s="60"/>
      <c r="Z243" s="61"/>
      <c r="AA243" s="60"/>
    </row>
    <row r="244" spans="1:27" x14ac:dyDescent="0.25">
      <c r="A244" s="126"/>
      <c r="B244" s="437">
        <v>343</v>
      </c>
      <c r="C244" s="74" t="s">
        <v>1215</v>
      </c>
      <c r="D244" s="74" t="s">
        <v>916</v>
      </c>
      <c r="E244" s="443" t="s">
        <v>1063</v>
      </c>
      <c r="F244" s="443" t="s">
        <v>142</v>
      </c>
      <c r="G244" s="56" t="s">
        <v>1072</v>
      </c>
      <c r="H244" s="443" t="s">
        <v>1073</v>
      </c>
      <c r="I244" s="57" t="s">
        <v>875</v>
      </c>
      <c r="J244" s="443">
        <v>1</v>
      </c>
      <c r="K244" s="443">
        <v>3</v>
      </c>
      <c r="L244" s="443">
        <v>6</v>
      </c>
      <c r="M244" s="443"/>
      <c r="N244" s="443"/>
      <c r="O244" s="124"/>
      <c r="P244" s="124"/>
      <c r="Q244" s="450">
        <v>1</v>
      </c>
      <c r="R244" s="450">
        <v>1</v>
      </c>
      <c r="S244" s="450"/>
      <c r="T244" s="451"/>
      <c r="U244" s="451" t="s">
        <v>876</v>
      </c>
      <c r="V244" s="58"/>
      <c r="W244" s="58"/>
      <c r="X244" s="59"/>
      <c r="Y244" s="60"/>
      <c r="Z244" s="61"/>
      <c r="AA244" s="60"/>
    </row>
    <row r="245" spans="1:27" x14ac:dyDescent="0.25">
      <c r="A245" s="126"/>
      <c r="B245" s="437">
        <v>344</v>
      </c>
      <c r="C245" s="74" t="s">
        <v>1216</v>
      </c>
      <c r="D245" s="74" t="s">
        <v>916</v>
      </c>
      <c r="E245" s="443" t="s">
        <v>1063</v>
      </c>
      <c r="F245" s="443" t="s">
        <v>142</v>
      </c>
      <c r="G245" s="56" t="s">
        <v>1072</v>
      </c>
      <c r="H245" s="443" t="s">
        <v>1073</v>
      </c>
      <c r="I245" s="57" t="s">
        <v>875</v>
      </c>
      <c r="J245" s="443">
        <v>1</v>
      </c>
      <c r="K245" s="443">
        <v>3</v>
      </c>
      <c r="L245" s="443">
        <v>6</v>
      </c>
      <c r="M245" s="443"/>
      <c r="N245" s="443"/>
      <c r="O245" s="124"/>
      <c r="P245" s="124"/>
      <c r="Q245" s="450">
        <v>1</v>
      </c>
      <c r="R245" s="450">
        <v>1</v>
      </c>
      <c r="S245" s="450"/>
      <c r="T245" s="451"/>
      <c r="U245" s="451" t="s">
        <v>876</v>
      </c>
      <c r="V245" s="58"/>
      <c r="W245" s="58"/>
      <c r="X245" s="59"/>
      <c r="Y245" s="60"/>
      <c r="Z245" s="61"/>
      <c r="AA245" s="60"/>
    </row>
    <row r="246" spans="1:27" x14ac:dyDescent="0.25">
      <c r="A246" s="126"/>
      <c r="B246" s="437">
        <v>345</v>
      </c>
      <c r="C246" s="74" t="s">
        <v>1217</v>
      </c>
      <c r="D246" s="74" t="s">
        <v>916</v>
      </c>
      <c r="E246" s="443" t="s">
        <v>1063</v>
      </c>
      <c r="F246" s="443" t="s">
        <v>142</v>
      </c>
      <c r="G246" s="56" t="s">
        <v>1072</v>
      </c>
      <c r="H246" s="443" t="s">
        <v>1073</v>
      </c>
      <c r="I246" s="57" t="s">
        <v>875</v>
      </c>
      <c r="J246" s="443">
        <v>1</v>
      </c>
      <c r="K246" s="443">
        <v>3</v>
      </c>
      <c r="L246" s="443">
        <v>6</v>
      </c>
      <c r="M246" s="443"/>
      <c r="N246" s="443"/>
      <c r="O246" s="124"/>
      <c r="P246" s="124"/>
      <c r="Q246" s="450">
        <v>1</v>
      </c>
      <c r="R246" s="450">
        <v>1</v>
      </c>
      <c r="S246" s="450"/>
      <c r="T246" s="451"/>
      <c r="U246" s="451" t="s">
        <v>876</v>
      </c>
      <c r="V246" s="58"/>
      <c r="W246" s="58"/>
      <c r="X246" s="59"/>
      <c r="Y246" s="60"/>
      <c r="Z246" s="61"/>
      <c r="AA246" s="60"/>
    </row>
    <row r="247" spans="1:27" x14ac:dyDescent="0.25">
      <c r="A247" s="126"/>
      <c r="B247" s="437">
        <v>346</v>
      </c>
      <c r="C247" s="74" t="s">
        <v>1218</v>
      </c>
      <c r="D247" s="74" t="s">
        <v>916</v>
      </c>
      <c r="E247" s="443" t="s">
        <v>1063</v>
      </c>
      <c r="F247" s="443" t="s">
        <v>142</v>
      </c>
      <c r="G247" s="56" t="s">
        <v>1072</v>
      </c>
      <c r="H247" s="443" t="s">
        <v>1073</v>
      </c>
      <c r="I247" s="57" t="s">
        <v>875</v>
      </c>
      <c r="J247" s="443">
        <v>1</v>
      </c>
      <c r="K247" s="443">
        <v>3</v>
      </c>
      <c r="L247" s="443">
        <v>6</v>
      </c>
      <c r="M247" s="443"/>
      <c r="N247" s="443"/>
      <c r="O247" s="124"/>
      <c r="P247" s="124"/>
      <c r="Q247" s="450">
        <v>1</v>
      </c>
      <c r="R247" s="450">
        <v>1</v>
      </c>
      <c r="S247" s="450"/>
      <c r="T247" s="451"/>
      <c r="U247" s="451" t="s">
        <v>876</v>
      </c>
      <c r="V247" s="58"/>
      <c r="W247" s="58"/>
      <c r="X247" s="59"/>
      <c r="Y247" s="60"/>
      <c r="Z247" s="61"/>
      <c r="AA247" s="60"/>
    </row>
    <row r="248" spans="1:27" x14ac:dyDescent="0.25">
      <c r="A248" s="126"/>
      <c r="B248" s="437">
        <v>347</v>
      </c>
      <c r="C248" s="74" t="s">
        <v>1219</v>
      </c>
      <c r="D248" s="74" t="s">
        <v>916</v>
      </c>
      <c r="E248" s="443" t="s">
        <v>1063</v>
      </c>
      <c r="F248" s="443" t="s">
        <v>142</v>
      </c>
      <c r="G248" s="56" t="s">
        <v>1072</v>
      </c>
      <c r="H248" s="443" t="s">
        <v>1073</v>
      </c>
      <c r="I248" s="57" t="s">
        <v>875</v>
      </c>
      <c r="J248" s="443">
        <v>1</v>
      </c>
      <c r="K248" s="443">
        <v>3</v>
      </c>
      <c r="L248" s="443">
        <v>6</v>
      </c>
      <c r="M248" s="443"/>
      <c r="N248" s="443"/>
      <c r="O248" s="124"/>
      <c r="P248" s="124"/>
      <c r="Q248" s="450">
        <v>1</v>
      </c>
      <c r="R248" s="450">
        <v>1</v>
      </c>
      <c r="S248" s="450"/>
      <c r="T248" s="451"/>
      <c r="U248" s="451" t="s">
        <v>876</v>
      </c>
      <c r="V248" s="58"/>
      <c r="W248" s="58"/>
      <c r="X248" s="59"/>
      <c r="Y248" s="60"/>
      <c r="Z248" s="61"/>
      <c r="AA248" s="60"/>
    </row>
    <row r="249" spans="1:27" ht="12.75" customHeight="1" x14ac:dyDescent="0.25">
      <c r="A249" s="54"/>
      <c r="B249" s="437">
        <v>348</v>
      </c>
      <c r="C249" s="74" t="s">
        <v>1220</v>
      </c>
      <c r="D249" s="74" t="s">
        <v>916</v>
      </c>
      <c r="E249" s="443" t="s">
        <v>1063</v>
      </c>
      <c r="F249" s="443" t="s">
        <v>142</v>
      </c>
      <c r="G249" s="56" t="s">
        <v>1088</v>
      </c>
      <c r="H249" s="443"/>
      <c r="I249" s="57" t="s">
        <v>875</v>
      </c>
      <c r="J249" s="443">
        <v>1</v>
      </c>
      <c r="K249" s="443">
        <v>3</v>
      </c>
      <c r="L249" s="443">
        <v>6</v>
      </c>
      <c r="M249" s="443"/>
      <c r="N249" s="443"/>
      <c r="O249" s="124"/>
      <c r="P249" s="124"/>
      <c r="Q249" s="450">
        <v>1</v>
      </c>
      <c r="R249" s="450">
        <v>1</v>
      </c>
      <c r="S249" s="450"/>
      <c r="T249" s="451"/>
      <c r="U249" s="451" t="s">
        <v>876</v>
      </c>
      <c r="V249" s="58"/>
      <c r="W249" s="58"/>
      <c r="X249" s="59"/>
      <c r="Y249" s="60"/>
      <c r="Z249" s="61"/>
      <c r="AA249" s="60"/>
    </row>
    <row r="250" spans="1:27" ht="12.75" customHeight="1" x14ac:dyDescent="0.25">
      <c r="A250" s="54"/>
      <c r="B250" s="437">
        <v>349</v>
      </c>
      <c r="C250" s="74" t="s">
        <v>1221</v>
      </c>
      <c r="D250" s="74" t="s">
        <v>916</v>
      </c>
      <c r="E250" s="443" t="s">
        <v>1063</v>
      </c>
      <c r="F250" s="443" t="s">
        <v>142</v>
      </c>
      <c r="G250" s="56" t="s">
        <v>1088</v>
      </c>
      <c r="H250" s="443" t="s">
        <v>153</v>
      </c>
      <c r="I250" s="57" t="s">
        <v>875</v>
      </c>
      <c r="J250" s="443">
        <v>1</v>
      </c>
      <c r="K250" s="443">
        <v>3</v>
      </c>
      <c r="L250" s="443">
        <v>6</v>
      </c>
      <c r="M250" s="443"/>
      <c r="N250" s="443"/>
      <c r="O250" s="124"/>
      <c r="P250" s="124"/>
      <c r="Q250" s="450">
        <v>1</v>
      </c>
      <c r="R250" s="450">
        <v>1</v>
      </c>
      <c r="S250" s="450"/>
      <c r="T250" s="451"/>
      <c r="U250" s="451" t="s">
        <v>876</v>
      </c>
      <c r="V250" s="58"/>
      <c r="W250" s="58"/>
      <c r="X250" s="59"/>
      <c r="Y250" s="60"/>
      <c r="Z250" s="61"/>
      <c r="AA250" s="60"/>
    </row>
    <row r="251" spans="1:27" ht="12.75" customHeight="1" x14ac:dyDescent="0.25">
      <c r="A251" s="54"/>
      <c r="B251" s="437">
        <v>350</v>
      </c>
      <c r="C251" s="74" t="s">
        <v>1222</v>
      </c>
      <c r="D251" s="74" t="s">
        <v>916</v>
      </c>
      <c r="E251" s="443" t="s">
        <v>1063</v>
      </c>
      <c r="F251" s="443" t="s">
        <v>142</v>
      </c>
      <c r="G251" s="56" t="s">
        <v>1085</v>
      </c>
      <c r="H251" s="443"/>
      <c r="I251" s="57" t="s">
        <v>875</v>
      </c>
      <c r="J251" s="443">
        <v>1</v>
      </c>
      <c r="K251" s="443">
        <v>2</v>
      </c>
      <c r="L251" s="443">
        <v>4</v>
      </c>
      <c r="M251" s="443"/>
      <c r="N251" s="443"/>
      <c r="O251" s="124"/>
      <c r="P251" s="124"/>
      <c r="Q251" s="450">
        <v>1</v>
      </c>
      <c r="R251" s="450">
        <v>1</v>
      </c>
      <c r="S251" s="450"/>
      <c r="T251" s="451"/>
      <c r="U251" s="451" t="s">
        <v>876</v>
      </c>
      <c r="V251" s="58"/>
      <c r="W251" s="58"/>
      <c r="X251" s="59"/>
      <c r="Y251" s="60"/>
      <c r="Z251" s="61"/>
      <c r="AA251" s="60"/>
    </row>
    <row r="252" spans="1:27" ht="12.75" customHeight="1" x14ac:dyDescent="0.25">
      <c r="A252" s="54"/>
      <c r="B252" s="437">
        <v>351</v>
      </c>
      <c r="C252" s="74" t="s">
        <v>1223</v>
      </c>
      <c r="D252" s="74" t="s">
        <v>916</v>
      </c>
      <c r="E252" s="443" t="s">
        <v>1063</v>
      </c>
      <c r="F252" s="443" t="s">
        <v>142</v>
      </c>
      <c r="G252" s="56" t="s">
        <v>1088</v>
      </c>
      <c r="H252" s="443" t="s">
        <v>153</v>
      </c>
      <c r="I252" s="57" t="s">
        <v>875</v>
      </c>
      <c r="J252" s="443">
        <v>1</v>
      </c>
      <c r="K252" s="443">
        <v>3</v>
      </c>
      <c r="L252" s="443">
        <v>6</v>
      </c>
      <c r="M252" s="443"/>
      <c r="N252" s="443"/>
      <c r="O252" s="124"/>
      <c r="P252" s="124"/>
      <c r="Q252" s="450">
        <v>1</v>
      </c>
      <c r="R252" s="450">
        <v>1</v>
      </c>
      <c r="S252" s="450"/>
      <c r="T252" s="451"/>
      <c r="U252" s="451" t="s">
        <v>876</v>
      </c>
      <c r="V252" s="58"/>
      <c r="W252" s="58"/>
      <c r="X252" s="59"/>
      <c r="Y252" s="60"/>
      <c r="Z252" s="61"/>
      <c r="AA252" s="60"/>
    </row>
    <row r="253" spans="1:27" ht="12.75" customHeight="1" x14ac:dyDescent="0.25">
      <c r="A253" s="54"/>
      <c r="B253" s="437">
        <v>352</v>
      </c>
      <c r="C253" s="74" t="s">
        <v>1224</v>
      </c>
      <c r="D253" s="74" t="s">
        <v>916</v>
      </c>
      <c r="E253" s="443" t="s">
        <v>1063</v>
      </c>
      <c r="F253" s="443" t="s">
        <v>142</v>
      </c>
      <c r="G253" s="56" t="s">
        <v>1085</v>
      </c>
      <c r="H253" s="443"/>
      <c r="I253" s="57" t="s">
        <v>875</v>
      </c>
      <c r="J253" s="443">
        <v>1</v>
      </c>
      <c r="K253" s="443">
        <v>2</v>
      </c>
      <c r="L253" s="443">
        <v>4</v>
      </c>
      <c r="M253" s="443"/>
      <c r="N253" s="443"/>
      <c r="O253" s="124"/>
      <c r="P253" s="124"/>
      <c r="Q253" s="450">
        <v>1</v>
      </c>
      <c r="R253" s="79">
        <v>1</v>
      </c>
      <c r="S253" s="450"/>
      <c r="T253" s="451"/>
      <c r="U253" s="451" t="s">
        <v>876</v>
      </c>
      <c r="V253" s="58"/>
      <c r="W253" s="58"/>
      <c r="X253" s="59"/>
      <c r="Y253" s="60"/>
      <c r="Z253" s="61"/>
      <c r="AA253" s="60"/>
    </row>
    <row r="254" spans="1:27" ht="12.75" customHeight="1" x14ac:dyDescent="0.25">
      <c r="A254" s="54"/>
      <c r="B254" s="437">
        <v>353</v>
      </c>
      <c r="C254" s="74" t="s">
        <v>1225</v>
      </c>
      <c r="D254" s="74" t="s">
        <v>916</v>
      </c>
      <c r="E254" s="443" t="s">
        <v>1063</v>
      </c>
      <c r="F254" s="443" t="s">
        <v>142</v>
      </c>
      <c r="G254" s="56" t="s">
        <v>1088</v>
      </c>
      <c r="H254" s="443" t="s">
        <v>153</v>
      </c>
      <c r="I254" s="57" t="s">
        <v>875</v>
      </c>
      <c r="J254" s="443">
        <v>1</v>
      </c>
      <c r="K254" s="443">
        <v>3</v>
      </c>
      <c r="L254" s="443">
        <v>6</v>
      </c>
      <c r="M254" s="443"/>
      <c r="N254" s="443"/>
      <c r="O254" s="124"/>
      <c r="P254" s="124"/>
      <c r="Q254" s="450">
        <v>1</v>
      </c>
      <c r="R254" s="450">
        <v>1</v>
      </c>
      <c r="S254" s="450"/>
      <c r="T254" s="451"/>
      <c r="U254" s="451" t="s">
        <v>876</v>
      </c>
      <c r="V254" s="58"/>
      <c r="W254" s="58"/>
      <c r="X254" s="59"/>
      <c r="Y254" s="60"/>
      <c r="Z254" s="61"/>
      <c r="AA254" s="60"/>
    </row>
    <row r="255" spans="1:27" ht="12.75" customHeight="1" x14ac:dyDescent="0.25">
      <c r="A255" s="54"/>
      <c r="B255" s="437">
        <v>354</v>
      </c>
      <c r="C255" s="74" t="s">
        <v>1226</v>
      </c>
      <c r="D255" s="74" t="s">
        <v>916</v>
      </c>
      <c r="E255" s="443" t="s">
        <v>1063</v>
      </c>
      <c r="F255" s="443" t="s">
        <v>142</v>
      </c>
      <c r="G255" s="56" t="s">
        <v>1085</v>
      </c>
      <c r="H255" s="443"/>
      <c r="I255" s="57" t="s">
        <v>875</v>
      </c>
      <c r="J255" s="443">
        <v>1</v>
      </c>
      <c r="K255" s="443">
        <v>2</v>
      </c>
      <c r="L255" s="443">
        <v>4</v>
      </c>
      <c r="M255" s="443"/>
      <c r="N255" s="443"/>
      <c r="O255" s="124"/>
      <c r="P255" s="124"/>
      <c r="Q255" s="450">
        <v>1</v>
      </c>
      <c r="R255" s="450">
        <v>1</v>
      </c>
      <c r="S255" s="450"/>
      <c r="T255" s="451"/>
      <c r="U255" s="451" t="s">
        <v>876</v>
      </c>
      <c r="V255" s="58"/>
      <c r="W255" s="58"/>
      <c r="X255" s="59"/>
      <c r="Y255" s="60"/>
      <c r="Z255" s="61"/>
      <c r="AA255" s="60"/>
    </row>
    <row r="256" spans="1:27" ht="12.75" customHeight="1" x14ac:dyDescent="0.25">
      <c r="A256" s="54"/>
      <c r="B256" s="437">
        <v>355</v>
      </c>
      <c r="C256" s="74" t="s">
        <v>1227</v>
      </c>
      <c r="D256" s="74" t="s">
        <v>916</v>
      </c>
      <c r="E256" s="443" t="s">
        <v>1063</v>
      </c>
      <c r="F256" s="443" t="s">
        <v>142</v>
      </c>
      <c r="G256" s="56" t="s">
        <v>1088</v>
      </c>
      <c r="H256" s="443" t="s">
        <v>153</v>
      </c>
      <c r="I256" s="57" t="s">
        <v>875</v>
      </c>
      <c r="J256" s="443">
        <v>1</v>
      </c>
      <c r="K256" s="443">
        <v>3</v>
      </c>
      <c r="L256" s="443">
        <v>6</v>
      </c>
      <c r="M256" s="443"/>
      <c r="N256" s="443"/>
      <c r="O256" s="124"/>
      <c r="P256" s="124"/>
      <c r="Q256" s="450">
        <v>1</v>
      </c>
      <c r="R256" s="450">
        <v>1</v>
      </c>
      <c r="S256" s="450"/>
      <c r="T256" s="451"/>
      <c r="U256" s="451" t="s">
        <v>876</v>
      </c>
      <c r="V256" s="58"/>
      <c r="W256" s="58"/>
      <c r="X256" s="59"/>
      <c r="Y256" s="60"/>
      <c r="Z256" s="61"/>
      <c r="AA256" s="60"/>
    </row>
    <row r="257" spans="1:27" ht="12.75" customHeight="1" x14ac:dyDescent="0.25">
      <c r="A257" s="54"/>
      <c r="B257" s="437">
        <v>356</v>
      </c>
      <c r="C257" s="74" t="s">
        <v>1228</v>
      </c>
      <c r="D257" s="74" t="s">
        <v>916</v>
      </c>
      <c r="E257" s="443" t="s">
        <v>1063</v>
      </c>
      <c r="F257" s="443" t="s">
        <v>142</v>
      </c>
      <c r="G257" s="56" t="s">
        <v>1085</v>
      </c>
      <c r="H257" s="443"/>
      <c r="I257" s="57" t="s">
        <v>875</v>
      </c>
      <c r="J257" s="443">
        <v>1</v>
      </c>
      <c r="K257" s="443">
        <v>2</v>
      </c>
      <c r="L257" s="443">
        <v>4</v>
      </c>
      <c r="M257" s="443"/>
      <c r="N257" s="443"/>
      <c r="O257" s="124"/>
      <c r="P257" s="124"/>
      <c r="Q257" s="450">
        <v>1</v>
      </c>
      <c r="R257" s="450">
        <v>1</v>
      </c>
      <c r="S257" s="450"/>
      <c r="T257" s="451"/>
      <c r="U257" s="451" t="s">
        <v>876</v>
      </c>
      <c r="V257" s="58"/>
      <c r="W257" s="58"/>
      <c r="X257" s="59"/>
      <c r="Y257" s="60"/>
      <c r="Z257" s="61"/>
      <c r="AA257" s="60"/>
    </row>
    <row r="258" spans="1:27" ht="12.75" customHeight="1" x14ac:dyDescent="0.25">
      <c r="A258" s="54"/>
      <c r="B258" s="437">
        <v>357</v>
      </c>
      <c r="C258" s="74" t="s">
        <v>1229</v>
      </c>
      <c r="D258" s="74" t="s">
        <v>916</v>
      </c>
      <c r="E258" s="443" t="s">
        <v>1063</v>
      </c>
      <c r="F258" s="443" t="s">
        <v>142</v>
      </c>
      <c r="G258" s="56" t="s">
        <v>1088</v>
      </c>
      <c r="H258" s="443" t="s">
        <v>153</v>
      </c>
      <c r="I258" s="57" t="s">
        <v>875</v>
      </c>
      <c r="J258" s="443">
        <v>1</v>
      </c>
      <c r="K258" s="443">
        <v>3</v>
      </c>
      <c r="L258" s="443">
        <v>6</v>
      </c>
      <c r="M258" s="443"/>
      <c r="N258" s="443"/>
      <c r="O258" s="124"/>
      <c r="P258" s="124"/>
      <c r="Q258" s="450">
        <v>1</v>
      </c>
      <c r="R258" s="450">
        <v>1</v>
      </c>
      <c r="S258" s="450"/>
      <c r="T258" s="451"/>
      <c r="U258" s="451" t="s">
        <v>876</v>
      </c>
      <c r="V258" s="58"/>
      <c r="W258" s="58"/>
      <c r="X258" s="59"/>
      <c r="Y258" s="60"/>
      <c r="Z258" s="61"/>
      <c r="AA258" s="60"/>
    </row>
    <row r="259" spans="1:27" ht="12.75" customHeight="1" x14ac:dyDescent="0.25">
      <c r="A259" s="54"/>
      <c r="B259" s="437">
        <v>358</v>
      </c>
      <c r="C259" s="74" t="s">
        <v>1230</v>
      </c>
      <c r="D259" s="74" t="s">
        <v>916</v>
      </c>
      <c r="E259" s="443" t="s">
        <v>1063</v>
      </c>
      <c r="F259" s="443" t="s">
        <v>142</v>
      </c>
      <c r="G259" s="56" t="s">
        <v>1085</v>
      </c>
      <c r="H259" s="443"/>
      <c r="I259" s="57" t="s">
        <v>875</v>
      </c>
      <c r="J259" s="443">
        <v>1</v>
      </c>
      <c r="K259" s="443">
        <v>2</v>
      </c>
      <c r="L259" s="443">
        <v>4</v>
      </c>
      <c r="M259" s="443"/>
      <c r="N259" s="443"/>
      <c r="O259" s="124"/>
      <c r="P259" s="124"/>
      <c r="Q259" s="450">
        <v>1</v>
      </c>
      <c r="R259" s="450">
        <v>1</v>
      </c>
      <c r="S259" s="450"/>
      <c r="T259" s="451"/>
      <c r="U259" s="451" t="s">
        <v>876</v>
      </c>
      <c r="V259" s="58"/>
      <c r="W259" s="58"/>
      <c r="X259" s="59"/>
      <c r="Y259" s="60"/>
      <c r="Z259" s="61"/>
      <c r="AA259" s="60"/>
    </row>
    <row r="260" spans="1:27" ht="12.75" customHeight="1" x14ac:dyDescent="0.25">
      <c r="A260" s="54"/>
      <c r="B260" s="437">
        <v>359</v>
      </c>
      <c r="C260" s="74" t="s">
        <v>1231</v>
      </c>
      <c r="D260" s="74" t="s">
        <v>916</v>
      </c>
      <c r="E260" s="443" t="s">
        <v>1063</v>
      </c>
      <c r="F260" s="443" t="s">
        <v>142</v>
      </c>
      <c r="G260" s="56" t="s">
        <v>1088</v>
      </c>
      <c r="H260" s="443" t="s">
        <v>153</v>
      </c>
      <c r="I260" s="57" t="s">
        <v>875</v>
      </c>
      <c r="J260" s="443">
        <v>1</v>
      </c>
      <c r="K260" s="443">
        <v>3</v>
      </c>
      <c r="L260" s="443">
        <v>6</v>
      </c>
      <c r="M260" s="443"/>
      <c r="N260" s="443"/>
      <c r="O260" s="124"/>
      <c r="P260" s="124"/>
      <c r="Q260" s="450">
        <v>1</v>
      </c>
      <c r="R260" s="450">
        <v>1</v>
      </c>
      <c r="S260" s="450"/>
      <c r="T260" s="451"/>
      <c r="U260" s="451" t="s">
        <v>876</v>
      </c>
      <c r="V260" s="58"/>
      <c r="W260" s="58"/>
      <c r="X260" s="59"/>
      <c r="Y260" s="60"/>
      <c r="Z260" s="61"/>
      <c r="AA260" s="60"/>
    </row>
    <row r="261" spans="1:27" ht="12.75" customHeight="1" x14ac:dyDescent="0.25">
      <c r="A261" s="54"/>
      <c r="B261" s="437">
        <v>360</v>
      </c>
      <c r="C261" s="74" t="s">
        <v>1232</v>
      </c>
      <c r="D261" s="74" t="s">
        <v>916</v>
      </c>
      <c r="E261" s="443" t="s">
        <v>1063</v>
      </c>
      <c r="F261" s="443" t="s">
        <v>142</v>
      </c>
      <c r="G261" s="56" t="s">
        <v>1085</v>
      </c>
      <c r="H261" s="443"/>
      <c r="I261" s="57" t="s">
        <v>875</v>
      </c>
      <c r="J261" s="443">
        <v>1</v>
      </c>
      <c r="K261" s="443">
        <v>2</v>
      </c>
      <c r="L261" s="443">
        <v>4</v>
      </c>
      <c r="M261" s="443"/>
      <c r="N261" s="443"/>
      <c r="O261" s="124"/>
      <c r="P261" s="124"/>
      <c r="Q261" s="450">
        <v>1</v>
      </c>
      <c r="R261" s="450">
        <v>1</v>
      </c>
      <c r="S261" s="450"/>
      <c r="T261" s="451"/>
      <c r="U261" s="451" t="s">
        <v>876</v>
      </c>
      <c r="V261" s="58"/>
      <c r="W261" s="58"/>
      <c r="X261" s="59"/>
      <c r="Y261" s="60"/>
      <c r="Z261" s="61"/>
      <c r="AA261" s="60"/>
    </row>
    <row r="262" spans="1:27" ht="12.75" customHeight="1" x14ac:dyDescent="0.25">
      <c r="A262" s="54"/>
      <c r="B262" s="76">
        <v>361</v>
      </c>
      <c r="C262" s="74" t="s">
        <v>1233</v>
      </c>
      <c r="D262" s="74" t="s">
        <v>916</v>
      </c>
      <c r="E262" s="443" t="s">
        <v>1063</v>
      </c>
      <c r="F262" s="443" t="s">
        <v>142</v>
      </c>
      <c r="G262" s="56" t="s">
        <v>1088</v>
      </c>
      <c r="H262" s="443" t="s">
        <v>153</v>
      </c>
      <c r="I262" s="57" t="s">
        <v>875</v>
      </c>
      <c r="J262" s="443">
        <v>1</v>
      </c>
      <c r="K262" s="443">
        <v>3</v>
      </c>
      <c r="L262" s="443">
        <v>6</v>
      </c>
      <c r="M262" s="443"/>
      <c r="N262" s="443"/>
      <c r="O262" s="124"/>
      <c r="P262" s="124"/>
      <c r="Q262" s="450">
        <v>1</v>
      </c>
      <c r="R262" s="450">
        <v>1</v>
      </c>
      <c r="S262" s="79"/>
      <c r="T262" s="80"/>
      <c r="U262" s="80" t="s">
        <v>876</v>
      </c>
      <c r="V262" s="457"/>
      <c r="W262" s="457"/>
      <c r="X262" s="463"/>
      <c r="Y262" s="464"/>
      <c r="Z262" s="465"/>
      <c r="AA262" s="464"/>
    </row>
    <row r="263" spans="1:27" ht="12.75" customHeight="1" x14ac:dyDescent="0.25">
      <c r="A263" s="54"/>
      <c r="B263" s="62">
        <v>362</v>
      </c>
      <c r="C263" s="77" t="s">
        <v>1234</v>
      </c>
      <c r="D263" s="77" t="s">
        <v>916</v>
      </c>
      <c r="E263" s="65" t="s">
        <v>1063</v>
      </c>
      <c r="F263" s="65" t="s">
        <v>142</v>
      </c>
      <c r="G263" s="64" t="s">
        <v>1085</v>
      </c>
      <c r="H263" s="65"/>
      <c r="I263" s="456" t="s">
        <v>875</v>
      </c>
      <c r="J263" s="65">
        <v>1</v>
      </c>
      <c r="K263" s="65">
        <v>2</v>
      </c>
      <c r="L263" s="65">
        <v>4</v>
      </c>
      <c r="M263" s="65"/>
      <c r="N263" s="65"/>
      <c r="O263" s="148"/>
      <c r="P263" s="148"/>
      <c r="Q263" s="79">
        <v>1</v>
      </c>
      <c r="R263" s="79">
        <v>1</v>
      </c>
      <c r="S263" s="450"/>
      <c r="T263" s="451"/>
      <c r="U263" s="451" t="s">
        <v>876</v>
      </c>
      <c r="V263" s="58"/>
      <c r="W263" s="58"/>
      <c r="X263" s="59"/>
      <c r="Y263" s="60"/>
      <c r="Z263" s="61"/>
      <c r="AA263" s="60"/>
    </row>
    <row r="264" spans="1:27" x14ac:dyDescent="0.25">
      <c r="A264" s="126"/>
      <c r="B264" s="437">
        <v>363</v>
      </c>
      <c r="C264" s="74" t="s">
        <v>1235</v>
      </c>
      <c r="D264" s="74" t="s">
        <v>916</v>
      </c>
      <c r="E264" s="443" t="s">
        <v>1063</v>
      </c>
      <c r="F264" s="443" t="s">
        <v>142</v>
      </c>
      <c r="G264" s="56" t="s">
        <v>1088</v>
      </c>
      <c r="H264" s="443" t="s">
        <v>153</v>
      </c>
      <c r="I264" s="57" t="s">
        <v>875</v>
      </c>
      <c r="J264" s="443">
        <v>1</v>
      </c>
      <c r="K264" s="443">
        <v>3</v>
      </c>
      <c r="L264" s="443">
        <v>6</v>
      </c>
      <c r="M264" s="443"/>
      <c r="N264" s="443"/>
      <c r="O264" s="124"/>
      <c r="P264" s="124"/>
      <c r="Q264" s="450">
        <v>1</v>
      </c>
      <c r="R264" s="450">
        <v>1</v>
      </c>
      <c r="S264" s="450"/>
      <c r="T264" s="451"/>
      <c r="U264" s="451" t="s">
        <v>876</v>
      </c>
      <c r="V264" s="58"/>
      <c r="W264" s="58"/>
      <c r="X264" s="59"/>
      <c r="Y264" s="60"/>
      <c r="Z264" s="61"/>
      <c r="AA264" s="60"/>
    </row>
    <row r="265" spans="1:27" x14ac:dyDescent="0.25">
      <c r="A265" s="126"/>
      <c r="B265" s="437">
        <v>364</v>
      </c>
      <c r="C265" s="74" t="s">
        <v>1236</v>
      </c>
      <c r="D265" s="74" t="s">
        <v>916</v>
      </c>
      <c r="E265" s="443" t="s">
        <v>1063</v>
      </c>
      <c r="F265" s="443" t="s">
        <v>142</v>
      </c>
      <c r="G265" s="56" t="s">
        <v>1072</v>
      </c>
      <c r="H265" s="443" t="s">
        <v>1073</v>
      </c>
      <c r="I265" s="57" t="s">
        <v>875</v>
      </c>
      <c r="J265" s="443">
        <v>1</v>
      </c>
      <c r="K265" s="443">
        <v>3</v>
      </c>
      <c r="L265" s="443">
        <v>6</v>
      </c>
      <c r="M265" s="443"/>
      <c r="N265" s="443"/>
      <c r="O265" s="124"/>
      <c r="P265" s="124"/>
      <c r="Q265" s="450">
        <v>1</v>
      </c>
      <c r="R265" s="450">
        <v>1</v>
      </c>
      <c r="S265" s="450"/>
      <c r="T265" s="451"/>
      <c r="U265" s="451" t="s">
        <v>876</v>
      </c>
      <c r="V265" s="58"/>
      <c r="W265" s="58"/>
      <c r="X265" s="59"/>
      <c r="Y265" s="60"/>
      <c r="Z265" s="61"/>
      <c r="AA265" s="60"/>
    </row>
    <row r="266" spans="1:27" x14ac:dyDescent="0.25">
      <c r="A266" s="126"/>
      <c r="B266" s="437">
        <v>365</v>
      </c>
      <c r="C266" s="74" t="s">
        <v>1237</v>
      </c>
      <c r="D266" s="74" t="s">
        <v>916</v>
      </c>
      <c r="E266" s="443" t="s">
        <v>1063</v>
      </c>
      <c r="F266" s="443" t="s">
        <v>142</v>
      </c>
      <c r="G266" s="56" t="s">
        <v>1072</v>
      </c>
      <c r="H266" s="443" t="s">
        <v>1073</v>
      </c>
      <c r="I266" s="57" t="s">
        <v>875</v>
      </c>
      <c r="J266" s="443">
        <v>1</v>
      </c>
      <c r="K266" s="443">
        <v>3</v>
      </c>
      <c r="L266" s="443">
        <v>6</v>
      </c>
      <c r="M266" s="443"/>
      <c r="N266" s="443"/>
      <c r="O266" s="124"/>
      <c r="P266" s="124"/>
      <c r="Q266" s="450">
        <v>1</v>
      </c>
      <c r="R266" s="450">
        <v>1</v>
      </c>
      <c r="S266" s="450"/>
      <c r="T266" s="451"/>
      <c r="U266" s="451" t="s">
        <v>876</v>
      </c>
      <c r="V266" s="58"/>
      <c r="W266" s="58"/>
      <c r="X266" s="59"/>
      <c r="Y266" s="60"/>
      <c r="Z266" s="61"/>
      <c r="AA266" s="60"/>
    </row>
    <row r="267" spans="1:27" x14ac:dyDescent="0.25">
      <c r="A267" s="126"/>
      <c r="B267" s="437">
        <v>366</v>
      </c>
      <c r="C267" s="74" t="s">
        <v>1238</v>
      </c>
      <c r="D267" s="74" t="s">
        <v>916</v>
      </c>
      <c r="E267" s="443" t="s">
        <v>1063</v>
      </c>
      <c r="F267" s="443" t="s">
        <v>142</v>
      </c>
      <c r="G267" s="56" t="s">
        <v>1072</v>
      </c>
      <c r="H267" s="443" t="s">
        <v>1073</v>
      </c>
      <c r="I267" s="57" t="s">
        <v>875</v>
      </c>
      <c r="J267" s="443">
        <v>1</v>
      </c>
      <c r="K267" s="443">
        <v>3</v>
      </c>
      <c r="L267" s="443">
        <v>6</v>
      </c>
      <c r="M267" s="443"/>
      <c r="N267" s="443"/>
      <c r="O267" s="124"/>
      <c r="P267" s="124"/>
      <c r="Q267" s="450">
        <v>1</v>
      </c>
      <c r="R267" s="450">
        <v>1</v>
      </c>
      <c r="S267" s="450"/>
      <c r="T267" s="451"/>
      <c r="U267" s="451" t="s">
        <v>876</v>
      </c>
      <c r="V267" s="58"/>
      <c r="W267" s="58"/>
      <c r="X267" s="59"/>
      <c r="Y267" s="60"/>
      <c r="Z267" s="61"/>
      <c r="AA267" s="60"/>
    </row>
    <row r="268" spans="1:27" x14ac:dyDescent="0.25">
      <c r="A268" s="126"/>
      <c r="B268" s="437">
        <v>367</v>
      </c>
      <c r="C268" s="74" t="s">
        <v>1239</v>
      </c>
      <c r="D268" s="74" t="s">
        <v>916</v>
      </c>
      <c r="E268" s="443" t="s">
        <v>1063</v>
      </c>
      <c r="F268" s="443" t="s">
        <v>142</v>
      </c>
      <c r="G268" s="56" t="s">
        <v>1072</v>
      </c>
      <c r="H268" s="443" t="s">
        <v>1073</v>
      </c>
      <c r="I268" s="57" t="s">
        <v>875</v>
      </c>
      <c r="J268" s="443">
        <v>1</v>
      </c>
      <c r="K268" s="443">
        <v>3</v>
      </c>
      <c r="L268" s="443">
        <v>6</v>
      </c>
      <c r="M268" s="443"/>
      <c r="N268" s="443"/>
      <c r="O268" s="124"/>
      <c r="P268" s="124"/>
      <c r="Q268" s="450">
        <v>1</v>
      </c>
      <c r="R268" s="450">
        <v>1</v>
      </c>
      <c r="S268" s="450"/>
      <c r="T268" s="451"/>
      <c r="U268" s="451" t="s">
        <v>876</v>
      </c>
      <c r="V268" s="58"/>
      <c r="W268" s="58"/>
      <c r="X268" s="59"/>
      <c r="Y268" s="60"/>
      <c r="Z268" s="61"/>
      <c r="AA268" s="60"/>
    </row>
    <row r="269" spans="1:27" x14ac:dyDescent="0.25">
      <c r="A269" s="126"/>
      <c r="B269" s="437">
        <v>368</v>
      </c>
      <c r="C269" s="74" t="s">
        <v>1240</v>
      </c>
      <c r="D269" s="74" t="s">
        <v>916</v>
      </c>
      <c r="E269" s="443" t="s">
        <v>1063</v>
      </c>
      <c r="F269" s="443" t="s">
        <v>142</v>
      </c>
      <c r="G269" s="56" t="s">
        <v>1072</v>
      </c>
      <c r="H269" s="443" t="s">
        <v>1073</v>
      </c>
      <c r="I269" s="57" t="s">
        <v>875</v>
      </c>
      <c r="J269" s="443">
        <v>1</v>
      </c>
      <c r="K269" s="443">
        <v>3</v>
      </c>
      <c r="L269" s="443">
        <v>6</v>
      </c>
      <c r="M269" s="443"/>
      <c r="N269" s="443"/>
      <c r="O269" s="124"/>
      <c r="P269" s="124"/>
      <c r="Q269" s="450">
        <v>1</v>
      </c>
      <c r="R269" s="450">
        <v>1</v>
      </c>
      <c r="S269" s="450"/>
      <c r="T269" s="451"/>
      <c r="U269" s="451" t="s">
        <v>876</v>
      </c>
      <c r="V269" s="58"/>
      <c r="W269" s="58"/>
      <c r="X269" s="59"/>
      <c r="Y269" s="60"/>
      <c r="Z269" s="61"/>
      <c r="AA269" s="60"/>
    </row>
    <row r="270" spans="1:27" x14ac:dyDescent="0.25">
      <c r="A270" s="126"/>
      <c r="B270" s="437">
        <v>369</v>
      </c>
      <c r="C270" s="74" t="s">
        <v>1241</v>
      </c>
      <c r="D270" s="74" t="s">
        <v>916</v>
      </c>
      <c r="E270" s="443" t="s">
        <v>1063</v>
      </c>
      <c r="F270" s="443" t="s">
        <v>142</v>
      </c>
      <c r="G270" s="56" t="s">
        <v>1072</v>
      </c>
      <c r="H270" s="443" t="s">
        <v>1073</v>
      </c>
      <c r="I270" s="57" t="s">
        <v>875</v>
      </c>
      <c r="J270" s="443">
        <v>1</v>
      </c>
      <c r="K270" s="443">
        <v>3</v>
      </c>
      <c r="L270" s="443">
        <v>6</v>
      </c>
      <c r="M270" s="443"/>
      <c r="N270" s="443"/>
      <c r="O270" s="124"/>
      <c r="P270" s="124"/>
      <c r="Q270" s="450">
        <v>1</v>
      </c>
      <c r="R270" s="450">
        <v>1</v>
      </c>
      <c r="S270" s="450"/>
      <c r="T270" s="451"/>
      <c r="U270" s="451" t="s">
        <v>876</v>
      </c>
      <c r="V270" s="58"/>
      <c r="W270" s="58"/>
      <c r="X270" s="59"/>
      <c r="Y270" s="60"/>
      <c r="Z270" s="61"/>
      <c r="AA270" s="60"/>
    </row>
    <row r="271" spans="1:27" x14ac:dyDescent="0.25">
      <c r="A271" s="126"/>
      <c r="B271" s="437">
        <v>370</v>
      </c>
      <c r="C271" s="74" t="s">
        <v>1242</v>
      </c>
      <c r="D271" s="74" t="s">
        <v>916</v>
      </c>
      <c r="E271" s="443" t="s">
        <v>1063</v>
      </c>
      <c r="F271" s="443" t="s">
        <v>142</v>
      </c>
      <c r="G271" s="56" t="s">
        <v>1072</v>
      </c>
      <c r="H271" s="443" t="s">
        <v>1073</v>
      </c>
      <c r="I271" s="57" t="s">
        <v>875</v>
      </c>
      <c r="J271" s="443">
        <v>1</v>
      </c>
      <c r="K271" s="443">
        <v>3</v>
      </c>
      <c r="L271" s="443">
        <v>6</v>
      </c>
      <c r="M271" s="443"/>
      <c r="N271" s="443"/>
      <c r="O271" s="124"/>
      <c r="P271" s="124"/>
      <c r="Q271" s="450">
        <v>1</v>
      </c>
      <c r="R271" s="450">
        <v>1</v>
      </c>
      <c r="S271" s="450"/>
      <c r="T271" s="451"/>
      <c r="U271" s="451" t="s">
        <v>876</v>
      </c>
      <c r="V271" s="58"/>
      <c r="W271" s="58"/>
      <c r="X271" s="59"/>
      <c r="Y271" s="60"/>
      <c r="Z271" s="61"/>
      <c r="AA271" s="60"/>
    </row>
    <row r="272" spans="1:27" x14ac:dyDescent="0.25">
      <c r="A272" s="126"/>
      <c r="B272" s="132">
        <v>371</v>
      </c>
      <c r="C272" s="74" t="s">
        <v>1243</v>
      </c>
      <c r="D272" s="74" t="s">
        <v>916</v>
      </c>
      <c r="E272" s="443" t="s">
        <v>1063</v>
      </c>
      <c r="F272" s="443" t="s">
        <v>142</v>
      </c>
      <c r="G272" s="56" t="s">
        <v>1072</v>
      </c>
      <c r="H272" s="443" t="s">
        <v>1073</v>
      </c>
      <c r="I272" s="57" t="s">
        <v>875</v>
      </c>
      <c r="J272" s="443">
        <v>1</v>
      </c>
      <c r="K272" s="443">
        <v>3</v>
      </c>
      <c r="L272" s="443">
        <v>6</v>
      </c>
      <c r="M272" s="443"/>
      <c r="N272" s="443"/>
      <c r="O272" s="124"/>
      <c r="P272" s="124"/>
      <c r="Q272" s="450">
        <v>1</v>
      </c>
      <c r="R272" s="450">
        <v>1</v>
      </c>
      <c r="S272" s="460"/>
      <c r="T272" s="135"/>
      <c r="U272" s="135"/>
      <c r="V272" s="458"/>
      <c r="W272" s="458"/>
      <c r="X272" s="445"/>
      <c r="Y272" s="453"/>
      <c r="Z272" s="455"/>
      <c r="AA272" s="453"/>
    </row>
    <row r="273" spans="1:27" x14ac:dyDescent="0.25">
      <c r="A273" s="126"/>
      <c r="B273" s="469">
        <v>372</v>
      </c>
      <c r="C273" s="470" t="s">
        <v>4470</v>
      </c>
      <c r="D273" s="470" t="s">
        <v>1021</v>
      </c>
      <c r="E273" s="471" t="s">
        <v>1063</v>
      </c>
      <c r="F273" s="471" t="s">
        <v>142</v>
      </c>
      <c r="G273" s="472" t="s">
        <v>1149</v>
      </c>
      <c r="H273" s="473" t="s">
        <v>142</v>
      </c>
      <c r="I273" s="474" t="s">
        <v>875</v>
      </c>
      <c r="J273" s="471">
        <v>1</v>
      </c>
      <c r="K273" s="473">
        <v>3</v>
      </c>
      <c r="L273" s="473">
        <v>6</v>
      </c>
      <c r="M273" s="473"/>
      <c r="N273" s="473"/>
      <c r="O273" s="475"/>
      <c r="P273" s="475"/>
      <c r="Q273" s="476">
        <v>1</v>
      </c>
      <c r="R273" s="460"/>
      <c r="S273" s="460"/>
      <c r="T273" s="135"/>
      <c r="U273" s="135"/>
      <c r="V273" s="458"/>
      <c r="W273" s="458"/>
      <c r="X273" s="445"/>
      <c r="Y273" s="453"/>
      <c r="Z273" s="455"/>
      <c r="AA273" s="453"/>
    </row>
    <row r="274" spans="1:27" x14ac:dyDescent="0.25">
      <c r="A274" s="126"/>
      <c r="B274" s="469">
        <v>373</v>
      </c>
      <c r="C274" s="470" t="s">
        <v>4471</v>
      </c>
      <c r="D274" s="470" t="s">
        <v>1021</v>
      </c>
      <c r="E274" s="471" t="s">
        <v>1063</v>
      </c>
      <c r="F274" s="471" t="s">
        <v>142</v>
      </c>
      <c r="G274" s="472" t="s">
        <v>1149</v>
      </c>
      <c r="H274" s="473" t="s">
        <v>142</v>
      </c>
      <c r="I274" s="474" t="s">
        <v>875</v>
      </c>
      <c r="J274" s="471">
        <v>1</v>
      </c>
      <c r="K274" s="473">
        <v>3</v>
      </c>
      <c r="L274" s="473">
        <v>6</v>
      </c>
      <c r="M274" s="473"/>
      <c r="N274" s="473"/>
      <c r="O274" s="475"/>
      <c r="P274" s="475"/>
      <c r="Q274" s="476">
        <v>1</v>
      </c>
      <c r="R274" s="460"/>
      <c r="S274" s="460"/>
      <c r="T274" s="135"/>
      <c r="U274" s="135"/>
      <c r="V274" s="458"/>
      <c r="W274" s="458"/>
      <c r="X274" s="445"/>
      <c r="Y274" s="453"/>
      <c r="Z274" s="455"/>
      <c r="AA274" s="453"/>
    </row>
    <row r="275" spans="1:27" s="110" customFormat="1" ht="12.75" customHeight="1" x14ac:dyDescent="0.25">
      <c r="B275" s="188">
        <v>374</v>
      </c>
      <c r="C275" s="477" t="s">
        <v>4472</v>
      </c>
      <c r="D275" s="477" t="s">
        <v>1046</v>
      </c>
      <c r="E275" s="180"/>
      <c r="F275" s="180"/>
      <c r="G275" s="181" t="s">
        <v>1035</v>
      </c>
      <c r="H275" s="180" t="s">
        <v>1111</v>
      </c>
      <c r="I275" s="182" t="s">
        <v>875</v>
      </c>
      <c r="J275" s="180">
        <v>1</v>
      </c>
      <c r="K275" s="180">
        <v>1</v>
      </c>
      <c r="L275" s="180">
        <f t="shared" ref="L275" si="3">K275*2</f>
        <v>2</v>
      </c>
      <c r="M275" s="180">
        <v>1</v>
      </c>
      <c r="N275" s="180">
        <v>1</v>
      </c>
      <c r="O275" s="478"/>
      <c r="P275" s="478"/>
      <c r="Q275" s="178">
        <v>1</v>
      </c>
      <c r="R275" s="178">
        <v>1</v>
      </c>
      <c r="S275" s="178"/>
      <c r="T275" s="183"/>
      <c r="U275" s="183" t="s">
        <v>876</v>
      </c>
      <c r="V275" s="184">
        <v>1</v>
      </c>
      <c r="W275" s="184">
        <v>1</v>
      </c>
      <c r="X275" s="59"/>
      <c r="Y275" s="60"/>
      <c r="Z275" s="61"/>
      <c r="AA275" s="60"/>
    </row>
    <row r="276" spans="1:27" ht="13.8" thickBot="1" x14ac:dyDescent="0.3">
      <c r="A276" s="126"/>
      <c r="B276" s="140"/>
      <c r="C276" s="133"/>
      <c r="D276" s="133"/>
      <c r="E276" s="66"/>
      <c r="F276" s="66"/>
      <c r="G276" s="439"/>
      <c r="H276" s="66"/>
      <c r="I276" s="441"/>
      <c r="J276" s="66"/>
      <c r="K276" s="66"/>
      <c r="L276" s="66"/>
      <c r="M276" s="66"/>
      <c r="N276" s="66"/>
      <c r="O276" s="142"/>
      <c r="P276" s="142"/>
      <c r="Q276" s="460"/>
      <c r="R276" s="460"/>
      <c r="S276" s="460"/>
      <c r="T276" s="135"/>
      <c r="U276" s="135"/>
      <c r="V276" s="458"/>
      <c r="W276" s="458"/>
      <c r="X276" s="445"/>
      <c r="Y276" s="453"/>
      <c r="Z276" s="455"/>
      <c r="AA276" s="453"/>
    </row>
    <row r="277" spans="1:27" ht="12.75" customHeight="1" x14ac:dyDescent="0.25">
      <c r="A277" s="52" t="s">
        <v>1244</v>
      </c>
      <c r="B277" s="84">
        <v>400</v>
      </c>
      <c r="C277" s="85" t="s">
        <v>1245</v>
      </c>
      <c r="D277" s="85" t="s">
        <v>1021</v>
      </c>
      <c r="E277" s="442" t="s">
        <v>1063</v>
      </c>
      <c r="F277" s="442" t="s">
        <v>142</v>
      </c>
      <c r="G277" s="86" t="s">
        <v>1246</v>
      </c>
      <c r="H277" s="442" t="s">
        <v>93</v>
      </c>
      <c r="I277" s="87" t="s">
        <v>875</v>
      </c>
      <c r="J277" s="442">
        <v>10</v>
      </c>
      <c r="K277" s="442">
        <v>30</v>
      </c>
      <c r="L277" s="442">
        <v>60</v>
      </c>
      <c r="M277" s="442"/>
      <c r="N277" s="442"/>
      <c r="O277" s="122"/>
      <c r="P277" s="122"/>
      <c r="Q277" s="449">
        <v>1</v>
      </c>
      <c r="R277" s="449">
        <v>1</v>
      </c>
      <c r="S277" s="449"/>
      <c r="T277" s="461"/>
      <c r="U277" s="461" t="s">
        <v>876</v>
      </c>
      <c r="V277" s="88"/>
      <c r="W277" s="88"/>
      <c r="X277" s="89"/>
      <c r="Y277" s="90"/>
      <c r="Z277" s="91"/>
      <c r="AA277" s="90"/>
    </row>
    <row r="278" spans="1:27" ht="12.75" customHeight="1" x14ac:dyDescent="0.25">
      <c r="A278" s="54"/>
      <c r="B278" s="62">
        <v>401</v>
      </c>
      <c r="C278" s="74" t="s">
        <v>1248</v>
      </c>
      <c r="D278" s="74" t="s">
        <v>1021</v>
      </c>
      <c r="E278" s="443" t="s">
        <v>1063</v>
      </c>
      <c r="F278" s="443" t="s">
        <v>142</v>
      </c>
      <c r="G278" s="56" t="s">
        <v>1246</v>
      </c>
      <c r="H278" s="443" t="s">
        <v>880</v>
      </c>
      <c r="I278" s="57" t="s">
        <v>875</v>
      </c>
      <c r="J278" s="443">
        <v>12</v>
      </c>
      <c r="K278" s="443">
        <v>36</v>
      </c>
      <c r="L278" s="443">
        <v>72</v>
      </c>
      <c r="M278" s="443"/>
      <c r="N278" s="443"/>
      <c r="O278" s="124"/>
      <c r="P278" s="124"/>
      <c r="Q278" s="450">
        <v>1</v>
      </c>
      <c r="R278" s="450">
        <v>1</v>
      </c>
      <c r="S278" s="450"/>
      <c r="T278" s="451"/>
      <c r="U278" s="451" t="s">
        <v>876</v>
      </c>
      <c r="V278" s="58"/>
      <c r="W278" s="58"/>
      <c r="X278" s="59"/>
      <c r="Y278" s="60"/>
      <c r="Z278" s="61"/>
      <c r="AA278" s="60"/>
    </row>
    <row r="279" spans="1:27" ht="12.75" customHeight="1" x14ac:dyDescent="0.25">
      <c r="A279" s="54"/>
      <c r="B279" s="62">
        <v>4011</v>
      </c>
      <c r="C279" s="74" t="s">
        <v>1249</v>
      </c>
      <c r="D279" s="74" t="s">
        <v>1021</v>
      </c>
      <c r="E279" s="443" t="s">
        <v>1063</v>
      </c>
      <c r="F279" s="443" t="s">
        <v>142</v>
      </c>
      <c r="G279" s="56" t="s">
        <v>1246</v>
      </c>
      <c r="H279" s="443" t="s">
        <v>880</v>
      </c>
      <c r="I279" s="57" t="s">
        <v>875</v>
      </c>
      <c r="J279" s="443">
        <v>12</v>
      </c>
      <c r="K279" s="443">
        <v>36</v>
      </c>
      <c r="L279" s="443">
        <v>72</v>
      </c>
      <c r="M279" s="443"/>
      <c r="N279" s="443"/>
      <c r="O279" s="124"/>
      <c r="P279" s="124"/>
      <c r="Q279" s="450">
        <v>1</v>
      </c>
      <c r="R279" s="450">
        <v>1</v>
      </c>
      <c r="S279" s="450"/>
      <c r="T279" s="451"/>
      <c r="U279" s="451" t="s">
        <v>876</v>
      </c>
      <c r="V279" s="58"/>
      <c r="W279" s="58"/>
      <c r="X279" s="59"/>
      <c r="Y279" s="60"/>
      <c r="Z279" s="61">
        <v>1</v>
      </c>
      <c r="AA279" s="60"/>
    </row>
    <row r="280" spans="1:27" ht="12.75" customHeight="1" x14ac:dyDescent="0.25">
      <c r="A280" s="54"/>
      <c r="B280" s="62">
        <v>402</v>
      </c>
      <c r="C280" s="74" t="s">
        <v>1250</v>
      </c>
      <c r="D280" s="74" t="s">
        <v>1021</v>
      </c>
      <c r="E280" s="443" t="s">
        <v>1063</v>
      </c>
      <c r="F280" s="443" t="s">
        <v>142</v>
      </c>
      <c r="G280" s="56" t="s">
        <v>1246</v>
      </c>
      <c r="H280" s="443" t="s">
        <v>900</v>
      </c>
      <c r="I280" s="57" t="s">
        <v>875</v>
      </c>
      <c r="J280" s="443">
        <v>10</v>
      </c>
      <c r="K280" s="443">
        <v>30</v>
      </c>
      <c r="L280" s="443">
        <v>60</v>
      </c>
      <c r="M280" s="443"/>
      <c r="N280" s="443"/>
      <c r="O280" s="124"/>
      <c r="P280" s="124"/>
      <c r="Q280" s="450">
        <v>1</v>
      </c>
      <c r="R280" s="450">
        <v>1</v>
      </c>
      <c r="S280" s="450"/>
      <c r="T280" s="451"/>
      <c r="U280" s="451" t="s">
        <v>876</v>
      </c>
      <c r="V280" s="58"/>
      <c r="W280" s="58"/>
      <c r="X280" s="59"/>
      <c r="Y280" s="60"/>
      <c r="Z280" s="61"/>
      <c r="AA280" s="60"/>
    </row>
    <row r="281" spans="1:27" ht="12.75" customHeight="1" x14ac:dyDescent="0.25">
      <c r="A281" s="54"/>
      <c r="B281" s="62">
        <v>4021</v>
      </c>
      <c r="C281" s="74" t="s">
        <v>1251</v>
      </c>
      <c r="D281" s="74" t="s">
        <v>1021</v>
      </c>
      <c r="E281" s="443" t="s">
        <v>1063</v>
      </c>
      <c r="F281" s="443" t="s">
        <v>142</v>
      </c>
      <c r="G281" s="56" t="s">
        <v>1246</v>
      </c>
      <c r="H281" s="443" t="s">
        <v>900</v>
      </c>
      <c r="I281" s="57" t="s">
        <v>875</v>
      </c>
      <c r="J281" s="443">
        <v>10</v>
      </c>
      <c r="K281" s="443">
        <v>30</v>
      </c>
      <c r="L281" s="443">
        <v>60</v>
      </c>
      <c r="M281" s="443"/>
      <c r="N281" s="443"/>
      <c r="O281" s="124"/>
      <c r="P281" s="124"/>
      <c r="Q281" s="450">
        <v>1</v>
      </c>
      <c r="R281" s="450">
        <v>1</v>
      </c>
      <c r="S281" s="450"/>
      <c r="T281" s="451"/>
      <c r="U281" s="451" t="s">
        <v>876</v>
      </c>
      <c r="V281" s="58"/>
      <c r="W281" s="58"/>
      <c r="X281" s="59"/>
      <c r="Y281" s="60"/>
      <c r="Z281" s="61">
        <v>1</v>
      </c>
      <c r="AA281" s="60"/>
    </row>
    <row r="282" spans="1:27" s="110" customFormat="1" ht="25.5" customHeight="1" x14ac:dyDescent="0.25">
      <c r="A282" s="54"/>
      <c r="B282" s="62">
        <v>403</v>
      </c>
      <c r="C282" s="74" t="s">
        <v>1252</v>
      </c>
      <c r="D282" s="74" t="s">
        <v>1021</v>
      </c>
      <c r="E282" s="443" t="s">
        <v>1063</v>
      </c>
      <c r="F282" s="443" t="s">
        <v>142</v>
      </c>
      <c r="G282" s="56" t="s">
        <v>1246</v>
      </c>
      <c r="H282" s="443" t="s">
        <v>1131</v>
      </c>
      <c r="I282" s="57" t="s">
        <v>875</v>
      </c>
      <c r="J282" s="443">
        <v>10</v>
      </c>
      <c r="K282" s="443">
        <v>30</v>
      </c>
      <c r="L282" s="443">
        <v>60</v>
      </c>
      <c r="M282" s="443"/>
      <c r="N282" s="443"/>
      <c r="O282" s="124"/>
      <c r="P282" s="124"/>
      <c r="Q282" s="450">
        <v>1</v>
      </c>
      <c r="R282" s="450">
        <v>1</v>
      </c>
      <c r="S282" s="450"/>
      <c r="T282" s="451"/>
      <c r="U282" s="451" t="s">
        <v>876</v>
      </c>
      <c r="V282" s="58"/>
      <c r="W282" s="58"/>
      <c r="X282" s="59"/>
      <c r="Y282" s="60"/>
      <c r="Z282" s="61"/>
      <c r="AA282" s="60"/>
    </row>
    <row r="283" spans="1:27" s="110" customFormat="1" ht="12.75" customHeight="1" x14ac:dyDescent="0.25">
      <c r="A283" s="54"/>
      <c r="B283" s="62">
        <v>404</v>
      </c>
      <c r="C283" s="74" t="s">
        <v>1253</v>
      </c>
      <c r="D283" s="74" t="s">
        <v>1021</v>
      </c>
      <c r="E283" s="443" t="s">
        <v>1063</v>
      </c>
      <c r="F283" s="443" t="s">
        <v>142</v>
      </c>
      <c r="G283" s="56" t="s">
        <v>1246</v>
      </c>
      <c r="H283" s="443" t="s">
        <v>1131</v>
      </c>
      <c r="I283" s="57" t="s">
        <v>875</v>
      </c>
      <c r="J283" s="443">
        <v>10</v>
      </c>
      <c r="K283" s="443">
        <v>30</v>
      </c>
      <c r="L283" s="443">
        <v>60</v>
      </c>
      <c r="M283" s="443"/>
      <c r="N283" s="443"/>
      <c r="O283" s="124"/>
      <c r="P283" s="124"/>
      <c r="Q283" s="450">
        <v>1</v>
      </c>
      <c r="R283" s="450">
        <v>1</v>
      </c>
      <c r="S283" s="450"/>
      <c r="T283" s="451"/>
      <c r="U283" s="451" t="s">
        <v>876</v>
      </c>
      <c r="V283" s="58"/>
      <c r="W283" s="58"/>
      <c r="X283" s="59"/>
      <c r="Y283" s="60"/>
      <c r="Z283" s="61"/>
      <c r="AA283" s="60"/>
    </row>
    <row r="284" spans="1:27" s="110" customFormat="1" ht="12.75" customHeight="1" x14ac:dyDescent="0.25">
      <c r="A284" s="54"/>
      <c r="B284" s="62">
        <v>405</v>
      </c>
      <c r="C284" s="74" t="s">
        <v>1254</v>
      </c>
      <c r="D284" s="74" t="s">
        <v>1021</v>
      </c>
      <c r="E284" s="443" t="s">
        <v>1063</v>
      </c>
      <c r="F284" s="443" t="s">
        <v>142</v>
      </c>
      <c r="G284" s="56" t="s">
        <v>1246</v>
      </c>
      <c r="H284" s="443" t="s">
        <v>92</v>
      </c>
      <c r="I284" s="57" t="s">
        <v>875</v>
      </c>
      <c r="J284" s="443">
        <v>10</v>
      </c>
      <c r="K284" s="443">
        <v>30</v>
      </c>
      <c r="L284" s="443">
        <v>60</v>
      </c>
      <c r="M284" s="443"/>
      <c r="N284" s="443"/>
      <c r="O284" s="124"/>
      <c r="P284" s="124"/>
      <c r="Q284" s="450">
        <v>1</v>
      </c>
      <c r="R284" s="450">
        <v>1</v>
      </c>
      <c r="S284" s="450"/>
      <c r="T284" s="451"/>
      <c r="U284" s="451" t="s">
        <v>876</v>
      </c>
      <c r="V284" s="58"/>
      <c r="W284" s="58"/>
      <c r="X284" s="59"/>
      <c r="Y284" s="60"/>
      <c r="Z284" s="61"/>
      <c r="AA284" s="60"/>
    </row>
    <row r="285" spans="1:27" s="110" customFormat="1" ht="26.25" customHeight="1" x14ac:dyDescent="0.25">
      <c r="A285" s="54"/>
      <c r="B285" s="62">
        <v>4051</v>
      </c>
      <c r="C285" s="74" t="s">
        <v>1255</v>
      </c>
      <c r="D285" s="74" t="s">
        <v>1021</v>
      </c>
      <c r="E285" s="443" t="s">
        <v>1063</v>
      </c>
      <c r="F285" s="443" t="s">
        <v>142</v>
      </c>
      <c r="G285" s="56" t="s">
        <v>1246</v>
      </c>
      <c r="H285" s="443" t="s">
        <v>92</v>
      </c>
      <c r="I285" s="57" t="s">
        <v>875</v>
      </c>
      <c r="J285" s="443">
        <v>10</v>
      </c>
      <c r="K285" s="443">
        <v>30</v>
      </c>
      <c r="L285" s="443">
        <v>60</v>
      </c>
      <c r="M285" s="443"/>
      <c r="N285" s="443"/>
      <c r="O285" s="124"/>
      <c r="P285" s="124"/>
      <c r="Q285" s="450">
        <v>1</v>
      </c>
      <c r="R285" s="450">
        <v>1</v>
      </c>
      <c r="S285" s="450"/>
      <c r="T285" s="451"/>
      <c r="U285" s="451" t="s">
        <v>876</v>
      </c>
      <c r="V285" s="139"/>
      <c r="W285" s="139"/>
      <c r="X285" s="63"/>
      <c r="Y285" s="70"/>
      <c r="Z285" s="67"/>
      <c r="AA285" s="70"/>
    </row>
    <row r="286" spans="1:27" ht="26.25" customHeight="1" x14ac:dyDescent="0.25">
      <c r="A286" s="54"/>
      <c r="B286" s="62">
        <v>406</v>
      </c>
      <c r="C286" s="74" t="s">
        <v>1256</v>
      </c>
      <c r="D286" s="74" t="s">
        <v>1021</v>
      </c>
      <c r="E286" s="443" t="s">
        <v>1063</v>
      </c>
      <c r="F286" s="443" t="s">
        <v>142</v>
      </c>
      <c r="G286" s="56" t="s">
        <v>1246</v>
      </c>
      <c r="H286" s="443" t="s">
        <v>93</v>
      </c>
      <c r="I286" s="57" t="s">
        <v>875</v>
      </c>
      <c r="J286" s="443">
        <v>10</v>
      </c>
      <c r="K286" s="443">
        <v>30</v>
      </c>
      <c r="L286" s="443">
        <v>60</v>
      </c>
      <c r="M286" s="443"/>
      <c r="N286" s="443"/>
      <c r="O286" s="124"/>
      <c r="P286" s="124"/>
      <c r="Q286" s="450">
        <v>1</v>
      </c>
      <c r="R286" s="450">
        <v>1</v>
      </c>
      <c r="S286" s="450"/>
      <c r="T286" s="451"/>
      <c r="U286" s="451" t="s">
        <v>876</v>
      </c>
      <c r="V286" s="58"/>
      <c r="W286" s="58"/>
      <c r="X286" s="59"/>
      <c r="Y286" s="60"/>
      <c r="Z286" s="61"/>
      <c r="AA286" s="60"/>
    </row>
    <row r="287" spans="1:27" ht="26.25" customHeight="1" x14ac:dyDescent="0.25">
      <c r="A287" s="54"/>
      <c r="B287" s="62">
        <v>407</v>
      </c>
      <c r="C287" s="74" t="s">
        <v>1257</v>
      </c>
      <c r="D287" s="74" t="s">
        <v>1021</v>
      </c>
      <c r="E287" s="443" t="s">
        <v>1063</v>
      </c>
      <c r="F287" s="443" t="s">
        <v>142</v>
      </c>
      <c r="G287" s="56" t="s">
        <v>1246</v>
      </c>
      <c r="H287" s="443" t="s">
        <v>1131</v>
      </c>
      <c r="I287" s="57" t="s">
        <v>875</v>
      </c>
      <c r="J287" s="443">
        <v>10</v>
      </c>
      <c r="K287" s="443">
        <v>30</v>
      </c>
      <c r="L287" s="443">
        <v>60</v>
      </c>
      <c r="M287" s="443"/>
      <c r="N287" s="443"/>
      <c r="O287" s="124"/>
      <c r="P287" s="124"/>
      <c r="Q287" s="450">
        <v>1</v>
      </c>
      <c r="R287" s="450">
        <v>1</v>
      </c>
      <c r="S287" s="450"/>
      <c r="T287" s="451"/>
      <c r="U287" s="451" t="s">
        <v>876</v>
      </c>
      <c r="V287" s="58"/>
      <c r="W287" s="58"/>
      <c r="X287" s="59"/>
      <c r="Y287" s="60"/>
      <c r="Z287" s="61"/>
      <c r="AA287" s="60"/>
    </row>
    <row r="288" spans="1:27" ht="26.25" customHeight="1" x14ac:dyDescent="0.25">
      <c r="A288" s="54"/>
      <c r="B288" s="62">
        <v>408</v>
      </c>
      <c r="C288" s="74" t="s">
        <v>1258</v>
      </c>
      <c r="D288" s="74" t="s">
        <v>1021</v>
      </c>
      <c r="E288" s="443" t="s">
        <v>1063</v>
      </c>
      <c r="F288" s="443" t="s">
        <v>142</v>
      </c>
      <c r="G288" s="56" t="s">
        <v>1246</v>
      </c>
      <c r="H288" s="443" t="s">
        <v>1131</v>
      </c>
      <c r="I288" s="57" t="s">
        <v>875</v>
      </c>
      <c r="J288" s="443">
        <v>10</v>
      </c>
      <c r="K288" s="443">
        <v>30</v>
      </c>
      <c r="L288" s="443">
        <v>60</v>
      </c>
      <c r="M288" s="443"/>
      <c r="N288" s="443"/>
      <c r="O288" s="124"/>
      <c r="P288" s="124"/>
      <c r="Q288" s="450">
        <v>1</v>
      </c>
      <c r="R288" s="450">
        <v>1</v>
      </c>
      <c r="S288" s="450"/>
      <c r="T288" s="451"/>
      <c r="U288" s="451" t="s">
        <v>876</v>
      </c>
      <c r="V288" s="58"/>
      <c r="W288" s="58"/>
      <c r="X288" s="59"/>
      <c r="Y288" s="60"/>
      <c r="Z288" s="61"/>
      <c r="AA288" s="60"/>
    </row>
    <row r="289" spans="1:27" ht="26.25" customHeight="1" x14ac:dyDescent="0.25">
      <c r="A289" s="54"/>
      <c r="B289" s="76">
        <v>409</v>
      </c>
      <c r="C289" s="77" t="s">
        <v>1259</v>
      </c>
      <c r="D289" s="74" t="s">
        <v>1021</v>
      </c>
      <c r="E289" s="443" t="s">
        <v>1063</v>
      </c>
      <c r="F289" s="443" t="s">
        <v>142</v>
      </c>
      <c r="G289" s="56" t="s">
        <v>1246</v>
      </c>
      <c r="H289" s="443" t="s">
        <v>93</v>
      </c>
      <c r="I289" s="57" t="s">
        <v>875</v>
      </c>
      <c r="J289" s="443">
        <v>10</v>
      </c>
      <c r="K289" s="443">
        <v>30</v>
      </c>
      <c r="L289" s="443">
        <v>60</v>
      </c>
      <c r="M289" s="65"/>
      <c r="N289" s="65"/>
      <c r="O289" s="148"/>
      <c r="P289" s="148"/>
      <c r="Q289" s="450">
        <v>1</v>
      </c>
      <c r="R289" s="450">
        <v>1</v>
      </c>
      <c r="S289" s="79"/>
      <c r="T289" s="80"/>
      <c r="U289" s="80"/>
      <c r="V289" s="457"/>
      <c r="W289" s="457"/>
      <c r="X289" s="463"/>
      <c r="Y289" s="464"/>
      <c r="Z289" s="465"/>
      <c r="AA289" s="464"/>
    </row>
    <row r="290" spans="1:27" ht="25.5" customHeight="1" thickBot="1" x14ac:dyDescent="0.3">
      <c r="A290" s="94"/>
      <c r="B290" s="195"/>
      <c r="C290" s="196"/>
      <c r="D290" s="196"/>
      <c r="E290" s="197"/>
      <c r="F290" s="197"/>
      <c r="G290" s="198"/>
      <c r="H290" s="197"/>
      <c r="I290" s="199"/>
      <c r="J290" s="197"/>
      <c r="K290" s="197"/>
      <c r="L290" s="197"/>
      <c r="M290" s="96"/>
      <c r="N290" s="96"/>
      <c r="O290" s="200"/>
      <c r="P290" s="200"/>
      <c r="Q290" s="100"/>
      <c r="R290" s="100"/>
      <c r="S290" s="100"/>
      <c r="T290" s="101"/>
      <c r="U290" s="101"/>
      <c r="V290" s="102"/>
      <c r="W290" s="102"/>
      <c r="X290" s="103"/>
      <c r="Y290" s="104"/>
      <c r="Z290" s="105"/>
      <c r="AA290" s="104"/>
    </row>
    <row r="291" spans="1:27" ht="12.75" customHeight="1" x14ac:dyDescent="0.25">
      <c r="A291" s="54" t="s">
        <v>1260</v>
      </c>
      <c r="B291" s="140">
        <v>410</v>
      </c>
      <c r="C291" s="136" t="s">
        <v>1261</v>
      </c>
      <c r="D291" s="133" t="s">
        <v>1021</v>
      </c>
      <c r="E291" s="66" t="s">
        <v>1063</v>
      </c>
      <c r="F291" s="66" t="s">
        <v>142</v>
      </c>
      <c r="G291" s="439" t="s">
        <v>1246</v>
      </c>
      <c r="H291" s="66" t="s">
        <v>891</v>
      </c>
      <c r="I291" s="66" t="s">
        <v>875</v>
      </c>
      <c r="J291" s="66">
        <v>10</v>
      </c>
      <c r="K291" s="442">
        <v>30</v>
      </c>
      <c r="L291" s="442">
        <v>60</v>
      </c>
      <c r="M291" s="66"/>
      <c r="N291" s="66"/>
      <c r="O291" s="142"/>
      <c r="P291" s="142"/>
      <c r="Q291" s="460">
        <v>1</v>
      </c>
      <c r="R291" s="460">
        <v>1</v>
      </c>
      <c r="S291" s="460"/>
      <c r="T291" s="135"/>
      <c r="U291" s="135" t="s">
        <v>876</v>
      </c>
      <c r="V291" s="458"/>
      <c r="W291" s="458"/>
      <c r="X291" s="445"/>
      <c r="Y291" s="453"/>
      <c r="Z291" s="455"/>
      <c r="AA291" s="453"/>
    </row>
    <row r="292" spans="1:27" ht="13.5" customHeight="1" x14ac:dyDescent="0.25">
      <c r="A292" s="54"/>
      <c r="B292" s="62">
        <v>411</v>
      </c>
      <c r="C292" s="125" t="s">
        <v>1262</v>
      </c>
      <c r="D292" s="74" t="s">
        <v>1021</v>
      </c>
      <c r="E292" s="443" t="s">
        <v>1063</v>
      </c>
      <c r="F292" s="443" t="s">
        <v>142</v>
      </c>
      <c r="G292" s="56" t="s">
        <v>1246</v>
      </c>
      <c r="H292" s="443" t="s">
        <v>891</v>
      </c>
      <c r="I292" s="443" t="s">
        <v>875</v>
      </c>
      <c r="J292" s="443">
        <v>13</v>
      </c>
      <c r="K292" s="443">
        <v>39</v>
      </c>
      <c r="L292" s="443">
        <v>78</v>
      </c>
      <c r="M292" s="443"/>
      <c r="N292" s="443"/>
      <c r="O292" s="124"/>
      <c r="P292" s="124"/>
      <c r="Q292" s="450">
        <v>1</v>
      </c>
      <c r="R292" s="450">
        <v>1</v>
      </c>
      <c r="S292" s="450"/>
      <c r="T292" s="451"/>
      <c r="U292" s="451" t="s">
        <v>876</v>
      </c>
      <c r="V292" s="58"/>
      <c r="W292" s="58"/>
      <c r="X292" s="59"/>
      <c r="Y292" s="60"/>
      <c r="Z292" s="61"/>
      <c r="AA292" s="60"/>
    </row>
    <row r="293" spans="1:27" x14ac:dyDescent="0.25">
      <c r="A293" s="54"/>
      <c r="B293" s="76">
        <v>412</v>
      </c>
      <c r="C293" s="201" t="s">
        <v>1263</v>
      </c>
      <c r="D293" s="77" t="s">
        <v>1021</v>
      </c>
      <c r="E293" s="65" t="s">
        <v>1063</v>
      </c>
      <c r="F293" s="65" t="s">
        <v>142</v>
      </c>
      <c r="G293" s="64" t="s">
        <v>1246</v>
      </c>
      <c r="H293" s="65" t="s">
        <v>891</v>
      </c>
      <c r="I293" s="443" t="s">
        <v>875</v>
      </c>
      <c r="J293" s="443">
        <v>10</v>
      </c>
      <c r="K293" s="443">
        <v>30</v>
      </c>
      <c r="L293" s="443">
        <v>60</v>
      </c>
      <c r="M293" s="65"/>
      <c r="N293" s="65"/>
      <c r="O293" s="148"/>
      <c r="P293" s="148"/>
      <c r="Q293" s="79">
        <v>1</v>
      </c>
      <c r="R293" s="79">
        <v>1</v>
      </c>
      <c r="S293" s="79"/>
      <c r="T293" s="80"/>
      <c r="U293" s="80" t="s">
        <v>876</v>
      </c>
      <c r="V293" s="457"/>
      <c r="W293" s="457"/>
      <c r="X293" s="463"/>
      <c r="Y293" s="464"/>
      <c r="Z293" s="465"/>
      <c r="AA293" s="464"/>
    </row>
    <row r="294" spans="1:27" x14ac:dyDescent="0.25">
      <c r="A294" s="54"/>
      <c r="B294" s="76">
        <v>413</v>
      </c>
      <c r="C294" s="201" t="s">
        <v>1264</v>
      </c>
      <c r="D294" s="77" t="s">
        <v>1021</v>
      </c>
      <c r="E294" s="65" t="s">
        <v>1063</v>
      </c>
      <c r="F294" s="65" t="s">
        <v>142</v>
      </c>
      <c r="G294" s="64" t="s">
        <v>1246</v>
      </c>
      <c r="H294" s="65" t="s">
        <v>891</v>
      </c>
      <c r="I294" s="443" t="s">
        <v>875</v>
      </c>
      <c r="J294" s="443">
        <v>10</v>
      </c>
      <c r="K294" s="443">
        <v>30</v>
      </c>
      <c r="L294" s="443">
        <v>66</v>
      </c>
      <c r="M294" s="65"/>
      <c r="N294" s="65"/>
      <c r="O294" s="148"/>
      <c r="P294" s="148"/>
      <c r="Q294" s="79">
        <v>1</v>
      </c>
      <c r="R294" s="79">
        <v>1</v>
      </c>
      <c r="S294" s="79"/>
      <c r="T294" s="80"/>
      <c r="U294" s="80" t="s">
        <v>876</v>
      </c>
      <c r="V294" s="457"/>
      <c r="W294" s="457"/>
      <c r="X294" s="463"/>
      <c r="Y294" s="464"/>
      <c r="Z294" s="465"/>
      <c r="AA294" s="464"/>
    </row>
    <row r="295" spans="1:27" x14ac:dyDescent="0.25">
      <c r="A295" s="54"/>
      <c r="B295" s="62">
        <v>414</v>
      </c>
      <c r="C295" s="125" t="s">
        <v>1265</v>
      </c>
      <c r="D295" s="74" t="s">
        <v>1021</v>
      </c>
      <c r="E295" s="443" t="s">
        <v>1063</v>
      </c>
      <c r="F295" s="443" t="s">
        <v>142</v>
      </c>
      <c r="G295" s="56" t="s">
        <v>1246</v>
      </c>
      <c r="H295" s="443" t="s">
        <v>891</v>
      </c>
      <c r="I295" s="443" t="s">
        <v>875</v>
      </c>
      <c r="J295" s="443">
        <v>13</v>
      </c>
      <c r="K295" s="443">
        <v>39</v>
      </c>
      <c r="L295" s="443">
        <v>84</v>
      </c>
      <c r="M295" s="443"/>
      <c r="N295" s="443"/>
      <c r="O295" s="124"/>
      <c r="P295" s="124"/>
      <c r="Q295" s="450">
        <v>1</v>
      </c>
      <c r="R295" s="450">
        <v>1</v>
      </c>
      <c r="S295" s="450"/>
      <c r="T295" s="451"/>
      <c r="U295" s="451" t="s">
        <v>876</v>
      </c>
      <c r="V295" s="58"/>
      <c r="W295" s="58"/>
      <c r="X295" s="59"/>
      <c r="Y295" s="60"/>
      <c r="Z295" s="61"/>
      <c r="AA295" s="60"/>
    </row>
    <row r="296" spans="1:27" x14ac:dyDescent="0.25">
      <c r="A296" s="54"/>
      <c r="B296" s="76">
        <v>415</v>
      </c>
      <c r="C296" s="201" t="s">
        <v>1266</v>
      </c>
      <c r="D296" s="77" t="s">
        <v>1021</v>
      </c>
      <c r="E296" s="65" t="s">
        <v>1063</v>
      </c>
      <c r="F296" s="65" t="s">
        <v>142</v>
      </c>
      <c r="G296" s="64" t="s">
        <v>1246</v>
      </c>
      <c r="H296" s="443" t="s">
        <v>891</v>
      </c>
      <c r="I296" s="456" t="s">
        <v>875</v>
      </c>
      <c r="J296" s="65">
        <v>10</v>
      </c>
      <c r="K296" s="65">
        <v>30</v>
      </c>
      <c r="L296" s="65">
        <v>60</v>
      </c>
      <c r="M296" s="65"/>
      <c r="N296" s="65"/>
      <c r="O296" s="148"/>
      <c r="P296" s="148"/>
      <c r="Q296" s="79">
        <v>1</v>
      </c>
      <c r="R296" s="79">
        <v>1</v>
      </c>
      <c r="S296" s="79"/>
      <c r="T296" s="80"/>
      <c r="U296" s="80" t="s">
        <v>876</v>
      </c>
      <c r="V296" s="457"/>
      <c r="W296" s="457"/>
      <c r="X296" s="463"/>
      <c r="Y296" s="464"/>
      <c r="Z296" s="465"/>
      <c r="AA296" s="464"/>
    </row>
    <row r="297" spans="1:27" x14ac:dyDescent="0.25">
      <c r="A297" s="54"/>
      <c r="B297" s="62">
        <v>416</v>
      </c>
      <c r="C297" s="125" t="s">
        <v>1267</v>
      </c>
      <c r="D297" s="74" t="s">
        <v>1021</v>
      </c>
      <c r="E297" s="443" t="s">
        <v>1063</v>
      </c>
      <c r="F297" s="443" t="s">
        <v>142</v>
      </c>
      <c r="G297" s="56" t="s">
        <v>1246</v>
      </c>
      <c r="H297" s="443" t="s">
        <v>891</v>
      </c>
      <c r="I297" s="57" t="s">
        <v>875</v>
      </c>
      <c r="J297" s="443">
        <v>10</v>
      </c>
      <c r="K297" s="443">
        <v>30</v>
      </c>
      <c r="L297" s="443">
        <v>60</v>
      </c>
      <c r="M297" s="443"/>
      <c r="N297" s="443"/>
      <c r="O297" s="124"/>
      <c r="P297" s="124"/>
      <c r="Q297" s="450"/>
      <c r="R297" s="450"/>
      <c r="S297" s="450"/>
      <c r="T297" s="451"/>
      <c r="U297" s="451" t="s">
        <v>876</v>
      </c>
      <c r="V297" s="58"/>
      <c r="W297" s="58"/>
      <c r="X297" s="59"/>
      <c r="Y297" s="60"/>
      <c r="Z297" s="61"/>
      <c r="AA297" s="60"/>
    </row>
    <row r="298" spans="1:27" ht="26.4" x14ac:dyDescent="0.25">
      <c r="A298" s="106"/>
      <c r="B298" s="149">
        <v>417</v>
      </c>
      <c r="C298" s="201" t="s">
        <v>1268</v>
      </c>
      <c r="D298" s="77" t="s">
        <v>1021</v>
      </c>
      <c r="E298" s="65" t="s">
        <v>1063</v>
      </c>
      <c r="F298" s="65" t="s">
        <v>142</v>
      </c>
      <c r="G298" s="64" t="s">
        <v>1246</v>
      </c>
      <c r="H298" s="443" t="s">
        <v>891</v>
      </c>
      <c r="I298" s="456" t="s">
        <v>875</v>
      </c>
      <c r="J298" s="65">
        <v>10</v>
      </c>
      <c r="K298" s="65">
        <v>30</v>
      </c>
      <c r="L298" s="65">
        <v>60</v>
      </c>
      <c r="M298" s="65"/>
      <c r="N298" s="65"/>
      <c r="O298" s="148"/>
      <c r="P298" s="148"/>
      <c r="Q298" s="79"/>
      <c r="R298" s="79"/>
      <c r="S298" s="79">
        <v>1</v>
      </c>
      <c r="T298" s="80"/>
      <c r="U298" s="80"/>
      <c r="V298" s="457"/>
      <c r="W298" s="457"/>
      <c r="X298" s="463"/>
      <c r="Y298" s="464"/>
      <c r="Z298" s="465"/>
      <c r="AA298" s="464"/>
    </row>
    <row r="299" spans="1:27" ht="26.4" x14ac:dyDescent="0.25">
      <c r="A299" s="54"/>
      <c r="B299" s="62">
        <v>418</v>
      </c>
      <c r="C299" s="125" t="s">
        <v>1269</v>
      </c>
      <c r="D299" s="74" t="s">
        <v>1021</v>
      </c>
      <c r="E299" s="443" t="s">
        <v>1063</v>
      </c>
      <c r="F299" s="443" t="s">
        <v>142</v>
      </c>
      <c r="G299" s="56" t="s">
        <v>1246</v>
      </c>
      <c r="H299" s="443" t="s">
        <v>891</v>
      </c>
      <c r="I299" s="57" t="s">
        <v>875</v>
      </c>
      <c r="J299" s="443">
        <v>10</v>
      </c>
      <c r="K299" s="443">
        <v>30</v>
      </c>
      <c r="L299" s="443">
        <v>60</v>
      </c>
      <c r="M299" s="443"/>
      <c r="N299" s="443"/>
      <c r="O299" s="124"/>
      <c r="P299" s="124"/>
      <c r="Q299" s="450"/>
      <c r="R299" s="450"/>
      <c r="S299" s="450">
        <v>1</v>
      </c>
      <c r="T299" s="451"/>
      <c r="U299" s="451" t="s">
        <v>876</v>
      </c>
      <c r="V299" s="58"/>
      <c r="W299" s="58"/>
      <c r="X299" s="59"/>
      <c r="Y299" s="60"/>
      <c r="Z299" s="61"/>
      <c r="AA299" s="60"/>
    </row>
    <row r="300" spans="1:27" ht="26.4" x14ac:dyDescent="0.25">
      <c r="A300" s="54"/>
      <c r="B300" s="140">
        <v>419</v>
      </c>
      <c r="C300" s="202" t="s">
        <v>1270</v>
      </c>
      <c r="D300" s="133" t="s">
        <v>1021</v>
      </c>
      <c r="E300" s="66" t="s">
        <v>1063</v>
      </c>
      <c r="F300" s="66" t="s">
        <v>142</v>
      </c>
      <c r="G300" s="439" t="s">
        <v>1246</v>
      </c>
      <c r="H300" s="443" t="s">
        <v>891</v>
      </c>
      <c r="I300" s="441" t="s">
        <v>875</v>
      </c>
      <c r="J300" s="66">
        <v>10</v>
      </c>
      <c r="K300" s="66">
        <v>30</v>
      </c>
      <c r="L300" s="66">
        <v>60</v>
      </c>
      <c r="M300" s="66"/>
      <c r="N300" s="66"/>
      <c r="O300" s="142"/>
      <c r="P300" s="142"/>
      <c r="Q300" s="460"/>
      <c r="R300" s="460"/>
      <c r="S300" s="460">
        <v>1</v>
      </c>
      <c r="T300" s="135"/>
      <c r="U300" s="135" t="s">
        <v>876</v>
      </c>
      <c r="V300" s="458"/>
      <c r="W300" s="458"/>
      <c r="X300" s="445"/>
      <c r="Y300" s="453"/>
      <c r="Z300" s="455"/>
      <c r="AA300" s="453"/>
    </row>
    <row r="301" spans="1:27" ht="26.4" x14ac:dyDescent="0.25">
      <c r="A301" s="54"/>
      <c r="B301" s="140">
        <v>4110</v>
      </c>
      <c r="C301" s="201" t="s">
        <v>1271</v>
      </c>
      <c r="D301" s="133" t="s">
        <v>1021</v>
      </c>
      <c r="E301" s="66" t="s">
        <v>1063</v>
      </c>
      <c r="F301" s="66" t="s">
        <v>142</v>
      </c>
      <c r="G301" s="439" t="s">
        <v>1246</v>
      </c>
      <c r="H301" s="443" t="s">
        <v>891</v>
      </c>
      <c r="I301" s="441" t="s">
        <v>875</v>
      </c>
      <c r="J301" s="66">
        <v>10</v>
      </c>
      <c r="K301" s="66">
        <v>30</v>
      </c>
      <c r="L301" s="66">
        <v>60</v>
      </c>
      <c r="M301" s="66"/>
      <c r="N301" s="66"/>
      <c r="O301" s="142"/>
      <c r="P301" s="142"/>
      <c r="Q301" s="460"/>
      <c r="R301" s="460"/>
      <c r="S301" s="460">
        <v>1</v>
      </c>
      <c r="T301" s="135"/>
      <c r="U301" s="135" t="s">
        <v>876</v>
      </c>
      <c r="V301" s="458"/>
      <c r="W301" s="458"/>
      <c r="X301" s="445"/>
      <c r="Y301" s="453"/>
      <c r="Z301" s="455"/>
      <c r="AA301" s="453"/>
    </row>
    <row r="302" spans="1:27" ht="26.4" x14ac:dyDescent="0.25">
      <c r="A302" s="54"/>
      <c r="B302" s="140">
        <v>4111</v>
      </c>
      <c r="C302" s="125" t="s">
        <v>1272</v>
      </c>
      <c r="D302" s="133" t="s">
        <v>1021</v>
      </c>
      <c r="E302" s="66" t="s">
        <v>1063</v>
      </c>
      <c r="F302" s="66" t="s">
        <v>142</v>
      </c>
      <c r="G302" s="439" t="s">
        <v>1246</v>
      </c>
      <c r="H302" s="443" t="s">
        <v>891</v>
      </c>
      <c r="I302" s="441" t="s">
        <v>875</v>
      </c>
      <c r="J302" s="66">
        <v>10</v>
      </c>
      <c r="K302" s="66">
        <v>30</v>
      </c>
      <c r="L302" s="66">
        <v>60</v>
      </c>
      <c r="M302" s="66"/>
      <c r="N302" s="66"/>
      <c r="O302" s="142"/>
      <c r="P302" s="142"/>
      <c r="Q302" s="460"/>
      <c r="R302" s="460"/>
      <c r="S302" s="460">
        <v>1</v>
      </c>
      <c r="T302" s="135"/>
      <c r="U302" s="135" t="s">
        <v>876</v>
      </c>
      <c r="V302" s="458"/>
      <c r="W302" s="458"/>
      <c r="X302" s="445"/>
      <c r="Y302" s="453"/>
      <c r="Z302" s="455"/>
      <c r="AA302" s="453"/>
    </row>
    <row r="303" spans="1:27" ht="26.4" x14ac:dyDescent="0.25">
      <c r="A303" s="54"/>
      <c r="B303" s="62">
        <v>4112</v>
      </c>
      <c r="C303" s="125" t="s">
        <v>1273</v>
      </c>
      <c r="D303" s="74" t="s">
        <v>1021</v>
      </c>
      <c r="E303" s="443" t="s">
        <v>1063</v>
      </c>
      <c r="F303" s="443" t="s">
        <v>142</v>
      </c>
      <c r="G303" s="56" t="s">
        <v>1246</v>
      </c>
      <c r="H303" s="443" t="s">
        <v>891</v>
      </c>
      <c r="I303" s="57" t="s">
        <v>875</v>
      </c>
      <c r="J303" s="443">
        <v>10</v>
      </c>
      <c r="K303" s="443">
        <v>30</v>
      </c>
      <c r="L303" s="443">
        <v>60</v>
      </c>
      <c r="M303" s="443"/>
      <c r="N303" s="443"/>
      <c r="O303" s="124"/>
      <c r="P303" s="124"/>
      <c r="Q303" s="450"/>
      <c r="R303" s="450"/>
      <c r="S303" s="450">
        <v>1</v>
      </c>
      <c r="T303" s="451"/>
      <c r="U303" s="451" t="s">
        <v>876</v>
      </c>
      <c r="V303" s="58"/>
      <c r="W303" s="58"/>
      <c r="X303" s="59"/>
      <c r="Y303" s="60"/>
      <c r="Z303" s="61"/>
      <c r="AA303" s="60"/>
    </row>
    <row r="304" spans="1:27" ht="26.4" x14ac:dyDescent="0.25">
      <c r="A304" s="54"/>
      <c r="B304" s="140">
        <v>4113</v>
      </c>
      <c r="C304" s="202" t="s">
        <v>1274</v>
      </c>
      <c r="D304" s="133" t="s">
        <v>1021</v>
      </c>
      <c r="E304" s="66" t="s">
        <v>1063</v>
      </c>
      <c r="F304" s="66" t="s">
        <v>142</v>
      </c>
      <c r="G304" s="439" t="s">
        <v>1246</v>
      </c>
      <c r="H304" s="443" t="s">
        <v>891</v>
      </c>
      <c r="I304" s="441" t="s">
        <v>875</v>
      </c>
      <c r="J304" s="66">
        <v>10</v>
      </c>
      <c r="K304" s="66">
        <v>30</v>
      </c>
      <c r="L304" s="66">
        <v>60</v>
      </c>
      <c r="M304" s="66"/>
      <c r="N304" s="66"/>
      <c r="O304" s="142"/>
      <c r="P304" s="142"/>
      <c r="Q304" s="460"/>
      <c r="R304" s="460"/>
      <c r="S304" s="460">
        <v>1</v>
      </c>
      <c r="T304" s="135"/>
      <c r="U304" s="135" t="s">
        <v>876</v>
      </c>
      <c r="V304" s="458"/>
      <c r="W304" s="458"/>
      <c r="X304" s="445"/>
      <c r="Y304" s="453"/>
      <c r="Z304" s="455"/>
      <c r="AA304" s="453"/>
    </row>
    <row r="305" spans="1:27" ht="25.5" customHeight="1" thickBot="1" x14ac:dyDescent="0.3">
      <c r="A305" s="54"/>
      <c r="B305" s="62">
        <v>4114</v>
      </c>
      <c r="C305" s="125" t="s">
        <v>1275</v>
      </c>
      <c r="D305" s="74" t="s">
        <v>1021</v>
      </c>
      <c r="E305" s="443" t="s">
        <v>1063</v>
      </c>
      <c r="F305" s="443" t="s">
        <v>142</v>
      </c>
      <c r="G305" s="56" t="s">
        <v>1246</v>
      </c>
      <c r="H305" s="443" t="s">
        <v>891</v>
      </c>
      <c r="I305" s="57" t="s">
        <v>875</v>
      </c>
      <c r="J305" s="443">
        <v>10</v>
      </c>
      <c r="K305" s="443">
        <v>30</v>
      </c>
      <c r="L305" s="443">
        <v>60</v>
      </c>
      <c r="M305" s="443"/>
      <c r="N305" s="443"/>
      <c r="O305" s="124"/>
      <c r="P305" s="124"/>
      <c r="Q305" s="450"/>
      <c r="R305" s="450"/>
      <c r="S305" s="450">
        <v>1</v>
      </c>
      <c r="T305" s="451"/>
      <c r="U305" s="451" t="s">
        <v>876</v>
      </c>
      <c r="V305" s="58"/>
      <c r="W305" s="58"/>
      <c r="X305" s="59"/>
      <c r="Y305" s="60"/>
      <c r="Z305" s="61"/>
      <c r="AA305" s="60"/>
    </row>
    <row r="306" spans="1:27" ht="26.4" x14ac:dyDescent="0.25">
      <c r="A306" s="52" t="s">
        <v>1276</v>
      </c>
      <c r="B306" s="436">
        <v>420</v>
      </c>
      <c r="C306" s="203" t="s">
        <v>1277</v>
      </c>
      <c r="D306" s="85" t="s">
        <v>1021</v>
      </c>
      <c r="E306" s="442" t="s">
        <v>1063</v>
      </c>
      <c r="F306" s="442" t="s">
        <v>142</v>
      </c>
      <c r="G306" s="86" t="s">
        <v>1246</v>
      </c>
      <c r="H306" s="442"/>
      <c r="I306" s="87" t="s">
        <v>875</v>
      </c>
      <c r="J306" s="442">
        <v>10</v>
      </c>
      <c r="K306" s="442">
        <v>30</v>
      </c>
      <c r="L306" s="442">
        <v>60</v>
      </c>
      <c r="M306" s="442"/>
      <c r="N306" s="442"/>
      <c r="O306" s="122"/>
      <c r="P306" s="122"/>
      <c r="Q306" s="449">
        <v>1</v>
      </c>
      <c r="R306" s="449">
        <v>1</v>
      </c>
      <c r="S306" s="449"/>
      <c r="T306" s="461"/>
      <c r="U306" s="461" t="s">
        <v>876</v>
      </c>
      <c r="V306" s="88"/>
      <c r="W306" s="88"/>
      <c r="X306" s="89"/>
      <c r="Y306" s="90"/>
      <c r="Z306" s="91"/>
      <c r="AA306" s="90"/>
    </row>
    <row r="307" spans="1:27" ht="12.75" customHeight="1" x14ac:dyDescent="0.25">
      <c r="A307" s="54"/>
      <c r="B307" s="437">
        <v>421</v>
      </c>
      <c r="C307" s="125" t="s">
        <v>1278</v>
      </c>
      <c r="D307" s="74" t="s">
        <v>1021</v>
      </c>
      <c r="E307" s="443" t="s">
        <v>1063</v>
      </c>
      <c r="F307" s="443" t="s">
        <v>142</v>
      </c>
      <c r="G307" s="56" t="s">
        <v>1246</v>
      </c>
      <c r="H307" s="443" t="s">
        <v>1073</v>
      </c>
      <c r="I307" s="57" t="s">
        <v>875</v>
      </c>
      <c r="J307" s="443">
        <v>13</v>
      </c>
      <c r="K307" s="443">
        <v>39</v>
      </c>
      <c r="L307" s="443">
        <v>84</v>
      </c>
      <c r="M307" s="443"/>
      <c r="N307" s="443"/>
      <c r="O307" s="124"/>
      <c r="P307" s="124"/>
      <c r="Q307" s="450">
        <v>1</v>
      </c>
      <c r="R307" s="450">
        <v>1</v>
      </c>
      <c r="S307" s="450"/>
      <c r="T307" s="451"/>
      <c r="U307" s="451" t="s">
        <v>876</v>
      </c>
      <c r="V307" s="58"/>
      <c r="W307" s="58"/>
      <c r="X307" s="59"/>
      <c r="Y307" s="60"/>
      <c r="Z307" s="61"/>
      <c r="AA307" s="60"/>
    </row>
    <row r="308" spans="1:27" x14ac:dyDescent="0.25">
      <c r="A308" s="54"/>
      <c r="B308" s="437">
        <v>422</v>
      </c>
      <c r="C308" s="125" t="s">
        <v>1279</v>
      </c>
      <c r="D308" s="74" t="s">
        <v>1021</v>
      </c>
      <c r="E308" s="443" t="s">
        <v>1063</v>
      </c>
      <c r="F308" s="443" t="s">
        <v>142</v>
      </c>
      <c r="G308" s="56" t="s">
        <v>1246</v>
      </c>
      <c r="H308" s="443" t="s">
        <v>1073</v>
      </c>
      <c r="I308" s="57" t="s">
        <v>875</v>
      </c>
      <c r="J308" s="443">
        <v>10</v>
      </c>
      <c r="K308" s="443">
        <v>30</v>
      </c>
      <c r="L308" s="443">
        <v>60</v>
      </c>
      <c r="M308" s="443"/>
      <c r="N308" s="443"/>
      <c r="O308" s="124"/>
      <c r="P308" s="124"/>
      <c r="Q308" s="450">
        <v>1</v>
      </c>
      <c r="R308" s="450">
        <v>1</v>
      </c>
      <c r="S308" s="450"/>
      <c r="T308" s="451"/>
      <c r="U308" s="451" t="s">
        <v>876</v>
      </c>
      <c r="V308" s="58"/>
      <c r="W308" s="58"/>
      <c r="X308" s="59"/>
      <c r="Y308" s="60"/>
      <c r="Z308" s="61"/>
      <c r="AA308" s="60"/>
    </row>
    <row r="309" spans="1:27" x14ac:dyDescent="0.25">
      <c r="A309" s="54"/>
      <c r="B309" s="204">
        <v>423</v>
      </c>
      <c r="C309" s="202" t="s">
        <v>1280</v>
      </c>
      <c r="D309" s="205" t="s">
        <v>1021</v>
      </c>
      <c r="E309" s="113" t="s">
        <v>1063</v>
      </c>
      <c r="F309" s="113" t="s">
        <v>142</v>
      </c>
      <c r="G309" s="438" t="s">
        <v>1246</v>
      </c>
      <c r="H309" s="113" t="s">
        <v>1073</v>
      </c>
      <c r="I309" s="440" t="s">
        <v>875</v>
      </c>
      <c r="J309" s="113">
        <v>10</v>
      </c>
      <c r="K309" s="113">
        <v>30</v>
      </c>
      <c r="L309" s="113">
        <v>60</v>
      </c>
      <c r="M309" s="113"/>
      <c r="N309" s="113"/>
      <c r="O309" s="206"/>
      <c r="P309" s="206"/>
      <c r="Q309" s="459"/>
      <c r="R309" s="459">
        <v>1</v>
      </c>
      <c r="S309" s="459"/>
      <c r="T309" s="207"/>
      <c r="U309" s="207"/>
      <c r="V309" s="462"/>
      <c r="W309" s="462"/>
      <c r="X309" s="444"/>
      <c r="Y309" s="452"/>
      <c r="Z309" s="454"/>
      <c r="AA309" s="452"/>
    </row>
    <row r="310" spans="1:27" x14ac:dyDescent="0.25">
      <c r="A310" s="54"/>
      <c r="B310" s="149">
        <v>424</v>
      </c>
      <c r="C310" s="201" t="s">
        <v>1281</v>
      </c>
      <c r="D310" s="77" t="s">
        <v>1021</v>
      </c>
      <c r="E310" s="65" t="s">
        <v>1063</v>
      </c>
      <c r="F310" s="65" t="s">
        <v>142</v>
      </c>
      <c r="G310" s="64" t="s">
        <v>1246</v>
      </c>
      <c r="H310" s="65" t="s">
        <v>1073</v>
      </c>
      <c r="I310" s="456" t="s">
        <v>875</v>
      </c>
      <c r="J310" s="65">
        <v>10</v>
      </c>
      <c r="K310" s="65">
        <v>30</v>
      </c>
      <c r="L310" s="65">
        <v>60</v>
      </c>
      <c r="M310" s="65"/>
      <c r="N310" s="65"/>
      <c r="O310" s="148"/>
      <c r="P310" s="148"/>
      <c r="Q310" s="79"/>
      <c r="R310" s="79">
        <v>1</v>
      </c>
      <c r="S310" s="79"/>
      <c r="T310" s="80"/>
      <c r="U310" s="80"/>
      <c r="V310" s="457"/>
      <c r="W310" s="457"/>
      <c r="X310" s="463"/>
      <c r="Y310" s="464"/>
      <c r="Z310" s="465"/>
      <c r="AA310" s="464"/>
    </row>
    <row r="311" spans="1:27" x14ac:dyDescent="0.25">
      <c r="A311" s="106"/>
      <c r="B311" s="437">
        <v>425</v>
      </c>
      <c r="C311" s="125" t="s">
        <v>1282</v>
      </c>
      <c r="D311" s="74" t="s">
        <v>1021</v>
      </c>
      <c r="E311" s="443" t="s">
        <v>1063</v>
      </c>
      <c r="F311" s="443" t="s">
        <v>142</v>
      </c>
      <c r="G311" s="56" t="s">
        <v>1246</v>
      </c>
      <c r="H311" s="443" t="s">
        <v>1073</v>
      </c>
      <c r="I311" s="57" t="s">
        <v>875</v>
      </c>
      <c r="J311" s="443">
        <v>10</v>
      </c>
      <c r="K311" s="443">
        <v>30</v>
      </c>
      <c r="L311" s="443">
        <v>60</v>
      </c>
      <c r="M311" s="443"/>
      <c r="N311" s="443"/>
      <c r="O311" s="124"/>
      <c r="P311" s="124"/>
      <c r="Q311" s="450"/>
      <c r="R311" s="450">
        <v>1</v>
      </c>
      <c r="S311" s="450"/>
      <c r="T311" s="451"/>
      <c r="U311" s="451"/>
      <c r="V311" s="58"/>
      <c r="W311" s="58"/>
      <c r="X311" s="59"/>
      <c r="Y311" s="60"/>
      <c r="Z311" s="61"/>
      <c r="AA311" s="60"/>
    </row>
    <row r="312" spans="1:27" ht="26.4" x14ac:dyDescent="0.25">
      <c r="A312" s="106"/>
      <c r="B312" s="149">
        <v>426</v>
      </c>
      <c r="C312" s="201" t="s">
        <v>1283</v>
      </c>
      <c r="D312" s="77" t="s">
        <v>1021</v>
      </c>
      <c r="E312" s="65" t="s">
        <v>1063</v>
      </c>
      <c r="F312" s="65" t="s">
        <v>142</v>
      </c>
      <c r="G312" s="64" t="s">
        <v>1246</v>
      </c>
      <c r="H312" s="65" t="s">
        <v>1073</v>
      </c>
      <c r="I312" s="456" t="s">
        <v>875</v>
      </c>
      <c r="J312" s="65">
        <v>10</v>
      </c>
      <c r="K312" s="65">
        <v>30</v>
      </c>
      <c r="L312" s="65">
        <v>60</v>
      </c>
      <c r="M312" s="65"/>
      <c r="N312" s="65"/>
      <c r="O312" s="148"/>
      <c r="P312" s="148"/>
      <c r="Q312" s="79"/>
      <c r="R312" s="79"/>
      <c r="S312" s="79">
        <v>1</v>
      </c>
      <c r="T312" s="80"/>
      <c r="U312" s="80"/>
      <c r="V312" s="457"/>
      <c r="W312" s="457"/>
      <c r="X312" s="463"/>
      <c r="Y312" s="464"/>
      <c r="Z312" s="465"/>
      <c r="AA312" s="464"/>
    </row>
    <row r="313" spans="1:27" ht="26.4" x14ac:dyDescent="0.25">
      <c r="A313" s="54"/>
      <c r="B313" s="149">
        <v>427</v>
      </c>
      <c r="C313" s="201" t="s">
        <v>1284</v>
      </c>
      <c r="D313" s="77" t="s">
        <v>1021</v>
      </c>
      <c r="E313" s="65" t="s">
        <v>1063</v>
      </c>
      <c r="F313" s="65" t="s">
        <v>142</v>
      </c>
      <c r="G313" s="64" t="s">
        <v>1246</v>
      </c>
      <c r="H313" s="65" t="s">
        <v>1073</v>
      </c>
      <c r="I313" s="456" t="s">
        <v>875</v>
      </c>
      <c r="J313" s="65">
        <v>10</v>
      </c>
      <c r="K313" s="65">
        <v>30</v>
      </c>
      <c r="L313" s="65">
        <v>60</v>
      </c>
      <c r="M313" s="65"/>
      <c r="N313" s="65"/>
      <c r="O313" s="148"/>
      <c r="P313" s="148"/>
      <c r="Q313" s="79"/>
      <c r="R313" s="79"/>
      <c r="S313" s="79">
        <v>1</v>
      </c>
      <c r="T313" s="80"/>
      <c r="U313" s="80"/>
      <c r="V313" s="457"/>
      <c r="W313" s="457"/>
      <c r="X313" s="463"/>
      <c r="Y313" s="464"/>
      <c r="Z313" s="465"/>
      <c r="AA313" s="464"/>
    </row>
    <row r="314" spans="1:27" ht="26.4" x14ac:dyDescent="0.25">
      <c r="A314" s="106"/>
      <c r="B314" s="149">
        <v>428</v>
      </c>
      <c r="C314" s="201" t="s">
        <v>1285</v>
      </c>
      <c r="D314" s="77" t="s">
        <v>1021</v>
      </c>
      <c r="E314" s="65" t="s">
        <v>1063</v>
      </c>
      <c r="F314" s="65" t="s">
        <v>142</v>
      </c>
      <c r="G314" s="64" t="s">
        <v>1246</v>
      </c>
      <c r="H314" s="65" t="s">
        <v>1073</v>
      </c>
      <c r="I314" s="456" t="s">
        <v>875</v>
      </c>
      <c r="J314" s="65">
        <v>10</v>
      </c>
      <c r="K314" s="65">
        <v>30</v>
      </c>
      <c r="L314" s="65">
        <v>60</v>
      </c>
      <c r="M314" s="65"/>
      <c r="N314" s="65"/>
      <c r="O314" s="148"/>
      <c r="P314" s="148"/>
      <c r="Q314" s="79"/>
      <c r="R314" s="79"/>
      <c r="S314" s="79">
        <v>1</v>
      </c>
      <c r="T314" s="80"/>
      <c r="U314" s="80"/>
      <c r="V314" s="457"/>
      <c r="W314" s="457"/>
      <c r="X314" s="463"/>
      <c r="Y314" s="464"/>
      <c r="Z314" s="465"/>
      <c r="AA314" s="464"/>
    </row>
    <row r="315" spans="1:27" ht="26.4" x14ac:dyDescent="0.25">
      <c r="A315" s="106"/>
      <c r="B315" s="149">
        <v>429</v>
      </c>
      <c r="C315" s="125" t="s">
        <v>1286</v>
      </c>
      <c r="D315" s="74" t="s">
        <v>1021</v>
      </c>
      <c r="E315" s="443" t="s">
        <v>1063</v>
      </c>
      <c r="F315" s="443" t="s">
        <v>142</v>
      </c>
      <c r="G315" s="56" t="s">
        <v>1246</v>
      </c>
      <c r="H315" s="443" t="s">
        <v>1073</v>
      </c>
      <c r="I315" s="57" t="s">
        <v>875</v>
      </c>
      <c r="J315" s="443">
        <v>10</v>
      </c>
      <c r="K315" s="443">
        <v>30</v>
      </c>
      <c r="L315" s="443">
        <v>60</v>
      </c>
      <c r="M315" s="443"/>
      <c r="N315" s="443"/>
      <c r="O315" s="124"/>
      <c r="P315" s="124"/>
      <c r="Q315" s="450"/>
      <c r="R315" s="450"/>
      <c r="S315" s="450">
        <v>1</v>
      </c>
      <c r="T315" s="451"/>
      <c r="U315" s="451"/>
      <c r="V315" s="58"/>
      <c r="W315" s="58"/>
      <c r="X315" s="59"/>
      <c r="Y315" s="60"/>
      <c r="Z315" s="61"/>
      <c r="AA315" s="60"/>
    </row>
    <row r="316" spans="1:27" ht="26.4" x14ac:dyDescent="0.25">
      <c r="A316" s="106"/>
      <c r="B316" s="437">
        <v>4210</v>
      </c>
      <c r="C316" s="125" t="s">
        <v>1287</v>
      </c>
      <c r="D316" s="74" t="s">
        <v>1021</v>
      </c>
      <c r="E316" s="443" t="s">
        <v>1063</v>
      </c>
      <c r="F316" s="443" t="s">
        <v>142</v>
      </c>
      <c r="G316" s="56" t="s">
        <v>1246</v>
      </c>
      <c r="H316" s="443" t="s">
        <v>1073</v>
      </c>
      <c r="I316" s="57" t="s">
        <v>875</v>
      </c>
      <c r="J316" s="443">
        <v>10</v>
      </c>
      <c r="K316" s="443">
        <v>30</v>
      </c>
      <c r="L316" s="443">
        <v>60</v>
      </c>
      <c r="M316" s="443"/>
      <c r="N316" s="443"/>
      <c r="O316" s="124"/>
      <c r="P316" s="124"/>
      <c r="Q316" s="450"/>
      <c r="R316" s="450"/>
      <c r="S316" s="450">
        <v>1</v>
      </c>
      <c r="T316" s="451"/>
      <c r="U316" s="451"/>
      <c r="V316" s="58"/>
      <c r="W316" s="58"/>
      <c r="X316" s="59"/>
      <c r="Y316" s="60"/>
      <c r="Z316" s="61"/>
      <c r="AA316" s="60"/>
    </row>
    <row r="317" spans="1:27" ht="26.4" x14ac:dyDescent="0.25">
      <c r="A317" s="106"/>
      <c r="B317" s="437">
        <v>4211</v>
      </c>
      <c r="C317" s="136" t="s">
        <v>1288</v>
      </c>
      <c r="D317" s="74" t="s">
        <v>1021</v>
      </c>
      <c r="E317" s="443" t="s">
        <v>1063</v>
      </c>
      <c r="F317" s="443" t="s">
        <v>142</v>
      </c>
      <c r="G317" s="56" t="s">
        <v>1246</v>
      </c>
      <c r="H317" s="443" t="s">
        <v>1073</v>
      </c>
      <c r="I317" s="57" t="s">
        <v>875</v>
      </c>
      <c r="J317" s="443">
        <v>10</v>
      </c>
      <c r="K317" s="443">
        <v>30</v>
      </c>
      <c r="L317" s="443">
        <v>60</v>
      </c>
      <c r="M317" s="443"/>
      <c r="N317" s="443"/>
      <c r="O317" s="124"/>
      <c r="P317" s="124"/>
      <c r="Q317" s="450"/>
      <c r="R317" s="450"/>
      <c r="S317" s="450">
        <v>1</v>
      </c>
      <c r="T317" s="135"/>
      <c r="U317" s="135"/>
      <c r="V317" s="458"/>
      <c r="W317" s="458"/>
      <c r="X317" s="445"/>
      <c r="Y317" s="453"/>
      <c r="Z317" s="455"/>
      <c r="AA317" s="453"/>
    </row>
    <row r="318" spans="1:27" ht="26.4" x14ac:dyDescent="0.25">
      <c r="A318" s="54"/>
      <c r="B318" s="437">
        <v>4212</v>
      </c>
      <c r="C318" s="125" t="s">
        <v>1289</v>
      </c>
      <c r="D318" s="74" t="s">
        <v>1021</v>
      </c>
      <c r="E318" s="443" t="s">
        <v>1063</v>
      </c>
      <c r="F318" s="443" t="s">
        <v>142</v>
      </c>
      <c r="G318" s="56" t="s">
        <v>1246</v>
      </c>
      <c r="H318" s="443" t="s">
        <v>1073</v>
      </c>
      <c r="I318" s="57" t="s">
        <v>875</v>
      </c>
      <c r="J318" s="443">
        <v>10</v>
      </c>
      <c r="K318" s="443">
        <v>30</v>
      </c>
      <c r="L318" s="443">
        <v>60</v>
      </c>
      <c r="M318" s="443"/>
      <c r="N318" s="443"/>
      <c r="O318" s="124"/>
      <c r="P318" s="124"/>
      <c r="Q318" s="450"/>
      <c r="R318" s="450"/>
      <c r="S318" s="450">
        <v>1</v>
      </c>
      <c r="T318" s="451"/>
      <c r="U318" s="451"/>
      <c r="V318" s="58"/>
      <c r="W318" s="58"/>
      <c r="X318" s="59"/>
      <c r="Y318" s="60"/>
      <c r="Z318" s="61"/>
      <c r="AA318" s="60"/>
    </row>
    <row r="319" spans="1:27" ht="26.4" x14ac:dyDescent="0.25">
      <c r="A319" s="106"/>
      <c r="B319" s="204">
        <v>4213</v>
      </c>
      <c r="C319" s="202" t="s">
        <v>1290</v>
      </c>
      <c r="D319" s="205" t="s">
        <v>1021</v>
      </c>
      <c r="E319" s="66" t="s">
        <v>1063</v>
      </c>
      <c r="F319" s="66" t="s">
        <v>142</v>
      </c>
      <c r="G319" s="439" t="s">
        <v>1246</v>
      </c>
      <c r="H319" s="66" t="s">
        <v>1073</v>
      </c>
      <c r="I319" s="441" t="s">
        <v>875</v>
      </c>
      <c r="J319" s="66">
        <v>10</v>
      </c>
      <c r="K319" s="66">
        <v>30</v>
      </c>
      <c r="L319" s="66">
        <v>60</v>
      </c>
      <c r="M319" s="113"/>
      <c r="N319" s="113"/>
      <c r="O319" s="206"/>
      <c r="P319" s="206"/>
      <c r="Q319" s="459"/>
      <c r="R319" s="459"/>
      <c r="S319" s="459">
        <v>1</v>
      </c>
      <c r="T319" s="207"/>
      <c r="U319" s="207"/>
      <c r="V319" s="462"/>
      <c r="W319" s="462"/>
      <c r="X319" s="444"/>
      <c r="Y319" s="452"/>
      <c r="Z319" s="454"/>
      <c r="AA319" s="452"/>
    </row>
    <row r="320" spans="1:27" ht="26.4" x14ac:dyDescent="0.25">
      <c r="A320" s="106"/>
      <c r="B320" s="208">
        <v>4214</v>
      </c>
      <c r="C320" s="209" t="s">
        <v>1291</v>
      </c>
      <c r="D320" s="210" t="s">
        <v>1021</v>
      </c>
      <c r="E320" s="65" t="s">
        <v>1063</v>
      </c>
      <c r="F320" s="65" t="s">
        <v>142</v>
      </c>
      <c r="G320" s="64" t="s">
        <v>1246</v>
      </c>
      <c r="H320" s="65" t="s">
        <v>1073</v>
      </c>
      <c r="I320" s="456" t="s">
        <v>875</v>
      </c>
      <c r="J320" s="65">
        <v>11</v>
      </c>
      <c r="K320" s="65">
        <v>33</v>
      </c>
      <c r="L320" s="65">
        <v>66</v>
      </c>
      <c r="M320" s="65"/>
      <c r="N320" s="65"/>
      <c r="O320" s="148"/>
      <c r="P320" s="148"/>
      <c r="Q320" s="79"/>
      <c r="R320" s="79"/>
      <c r="S320" s="79">
        <v>1</v>
      </c>
      <c r="T320" s="207"/>
      <c r="U320" s="207"/>
      <c r="V320" s="462"/>
      <c r="W320" s="462"/>
      <c r="X320" s="444"/>
      <c r="Y320" s="452"/>
      <c r="Z320" s="454"/>
      <c r="AA320" s="452"/>
    </row>
    <row r="321" spans="1:27" ht="13.8" thickBot="1" x14ac:dyDescent="0.3">
      <c r="A321" s="106"/>
      <c r="B321" s="208">
        <v>4215</v>
      </c>
      <c r="C321" s="209" t="s">
        <v>1292</v>
      </c>
      <c r="D321" s="210" t="s">
        <v>1021</v>
      </c>
      <c r="E321" s="65" t="s">
        <v>1063</v>
      </c>
      <c r="F321" s="65" t="s">
        <v>142</v>
      </c>
      <c r="G321" s="64" t="s">
        <v>1246</v>
      </c>
      <c r="H321" s="65" t="s">
        <v>1073</v>
      </c>
      <c r="I321" s="456" t="s">
        <v>875</v>
      </c>
      <c r="J321" s="65">
        <v>9</v>
      </c>
      <c r="K321" s="65">
        <v>18</v>
      </c>
      <c r="L321" s="65">
        <v>36</v>
      </c>
      <c r="M321" s="65"/>
      <c r="N321" s="65"/>
      <c r="O321" s="148"/>
      <c r="P321" s="148"/>
      <c r="Q321" s="79"/>
      <c r="R321" s="79"/>
      <c r="S321" s="79">
        <v>1</v>
      </c>
      <c r="T321" s="207"/>
      <c r="U321" s="207"/>
      <c r="V321" s="462"/>
      <c r="W321" s="462"/>
      <c r="X321" s="444"/>
      <c r="Y321" s="452"/>
      <c r="Z321" s="454"/>
      <c r="AA321" s="452"/>
    </row>
    <row r="322" spans="1:27" ht="26.4" x14ac:dyDescent="0.25">
      <c r="A322" s="52" t="s">
        <v>1293</v>
      </c>
      <c r="B322" s="140">
        <v>430</v>
      </c>
      <c r="C322" s="136" t="s">
        <v>1294</v>
      </c>
      <c r="D322" s="85" t="s">
        <v>1021</v>
      </c>
      <c r="E322" s="442" t="s">
        <v>1063</v>
      </c>
      <c r="F322" s="442" t="s">
        <v>142</v>
      </c>
      <c r="G322" s="86" t="s">
        <v>1246</v>
      </c>
      <c r="H322" s="442"/>
      <c r="I322" s="87" t="s">
        <v>875</v>
      </c>
      <c r="J322" s="442">
        <v>10</v>
      </c>
      <c r="K322" s="442">
        <v>30</v>
      </c>
      <c r="L322" s="442">
        <v>60</v>
      </c>
      <c r="M322" s="442"/>
      <c r="N322" s="442"/>
      <c r="O322" s="122"/>
      <c r="P322" s="122"/>
      <c r="Q322" s="449">
        <v>1</v>
      </c>
      <c r="R322" s="449">
        <v>1</v>
      </c>
      <c r="S322" s="449"/>
      <c r="T322" s="461"/>
      <c r="U322" s="461" t="s">
        <v>876</v>
      </c>
      <c r="V322" s="88"/>
      <c r="W322" s="88"/>
      <c r="X322" s="89"/>
      <c r="Y322" s="90"/>
      <c r="Z322" s="91"/>
      <c r="AA322" s="90"/>
    </row>
    <row r="323" spans="1:27" x14ac:dyDescent="0.25">
      <c r="A323" s="54"/>
      <c r="B323" s="62">
        <v>431</v>
      </c>
      <c r="C323" s="125" t="s">
        <v>1295</v>
      </c>
      <c r="D323" s="74" t="s">
        <v>1021</v>
      </c>
      <c r="E323" s="443" t="s">
        <v>1063</v>
      </c>
      <c r="F323" s="443" t="s">
        <v>142</v>
      </c>
      <c r="G323" s="56" t="s">
        <v>1246</v>
      </c>
      <c r="H323" s="443" t="s">
        <v>153</v>
      </c>
      <c r="I323" s="57" t="s">
        <v>875</v>
      </c>
      <c r="J323" s="443">
        <v>13</v>
      </c>
      <c r="K323" s="443">
        <v>39</v>
      </c>
      <c r="L323" s="443">
        <v>84</v>
      </c>
      <c r="M323" s="443"/>
      <c r="N323" s="443"/>
      <c r="O323" s="124"/>
      <c r="P323" s="124"/>
      <c r="Q323" s="450">
        <v>1</v>
      </c>
      <c r="R323" s="450">
        <v>1</v>
      </c>
      <c r="S323" s="450"/>
      <c r="T323" s="451"/>
      <c r="U323" s="451" t="s">
        <v>876</v>
      </c>
      <c r="V323" s="58"/>
      <c r="W323" s="58"/>
      <c r="X323" s="59"/>
      <c r="Y323" s="60"/>
      <c r="Z323" s="61"/>
      <c r="AA323" s="60"/>
    </row>
    <row r="324" spans="1:27" x14ac:dyDescent="0.25">
      <c r="A324" s="54"/>
      <c r="B324" s="62">
        <v>432</v>
      </c>
      <c r="C324" s="125" t="s">
        <v>1296</v>
      </c>
      <c r="D324" s="74" t="s">
        <v>1021</v>
      </c>
      <c r="E324" s="443" t="s">
        <v>1063</v>
      </c>
      <c r="F324" s="443" t="s">
        <v>142</v>
      </c>
      <c r="G324" s="56" t="s">
        <v>1246</v>
      </c>
      <c r="H324" s="443" t="s">
        <v>153</v>
      </c>
      <c r="I324" s="57" t="s">
        <v>875</v>
      </c>
      <c r="J324" s="443">
        <v>10</v>
      </c>
      <c r="K324" s="443">
        <v>30</v>
      </c>
      <c r="L324" s="443">
        <v>60</v>
      </c>
      <c r="M324" s="443"/>
      <c r="N324" s="443"/>
      <c r="O324" s="124"/>
      <c r="P324" s="124"/>
      <c r="Q324" s="450">
        <v>1</v>
      </c>
      <c r="R324" s="450">
        <v>1</v>
      </c>
      <c r="S324" s="450"/>
      <c r="T324" s="451"/>
      <c r="U324" s="451" t="s">
        <v>876</v>
      </c>
      <c r="V324" s="58"/>
      <c r="W324" s="58"/>
      <c r="X324" s="59"/>
      <c r="Y324" s="60"/>
      <c r="Z324" s="61"/>
      <c r="AA324" s="60"/>
    </row>
    <row r="325" spans="1:27" ht="26.4" x14ac:dyDescent="0.25">
      <c r="A325" s="54"/>
      <c r="B325" s="140">
        <v>433</v>
      </c>
      <c r="C325" s="136" t="s">
        <v>1297</v>
      </c>
      <c r="D325" s="133" t="s">
        <v>1021</v>
      </c>
      <c r="E325" s="66" t="s">
        <v>1063</v>
      </c>
      <c r="F325" s="66" t="s">
        <v>142</v>
      </c>
      <c r="G325" s="439" t="s">
        <v>1246</v>
      </c>
      <c r="H325" s="66" t="s">
        <v>153</v>
      </c>
      <c r="I325" s="441" t="s">
        <v>875</v>
      </c>
      <c r="J325" s="66">
        <v>10</v>
      </c>
      <c r="K325" s="66">
        <v>30</v>
      </c>
      <c r="L325" s="66">
        <v>60</v>
      </c>
      <c r="M325" s="66"/>
      <c r="N325" s="66"/>
      <c r="O325" s="142"/>
      <c r="P325" s="142"/>
      <c r="Q325" s="460"/>
      <c r="R325" s="460"/>
      <c r="S325" s="460">
        <v>1</v>
      </c>
      <c r="T325" s="135"/>
      <c r="U325" s="135" t="s">
        <v>876</v>
      </c>
      <c r="V325" s="458"/>
      <c r="W325" s="458"/>
      <c r="X325" s="445"/>
      <c r="Y325" s="453"/>
      <c r="Z325" s="455"/>
      <c r="AA325" s="453"/>
    </row>
    <row r="326" spans="1:27" ht="26.4" x14ac:dyDescent="0.25">
      <c r="A326" s="54"/>
      <c r="B326" s="62">
        <v>434</v>
      </c>
      <c r="C326" s="125" t="s">
        <v>1298</v>
      </c>
      <c r="D326" s="74" t="s">
        <v>1021</v>
      </c>
      <c r="E326" s="443" t="s">
        <v>1063</v>
      </c>
      <c r="F326" s="443" t="s">
        <v>142</v>
      </c>
      <c r="G326" s="56" t="s">
        <v>1246</v>
      </c>
      <c r="H326" s="443" t="s">
        <v>153</v>
      </c>
      <c r="I326" s="57" t="s">
        <v>875</v>
      </c>
      <c r="J326" s="443">
        <v>10</v>
      </c>
      <c r="K326" s="443">
        <v>30</v>
      </c>
      <c r="L326" s="443">
        <v>60</v>
      </c>
      <c r="M326" s="443"/>
      <c r="N326" s="443"/>
      <c r="O326" s="124"/>
      <c r="P326" s="124"/>
      <c r="Q326" s="450"/>
      <c r="R326" s="450"/>
      <c r="S326" s="450">
        <v>1</v>
      </c>
      <c r="T326" s="451"/>
      <c r="U326" s="451" t="s">
        <v>876</v>
      </c>
      <c r="V326" s="58"/>
      <c r="W326" s="58"/>
      <c r="X326" s="59"/>
      <c r="Y326" s="60"/>
      <c r="Z326" s="61"/>
      <c r="AA326" s="60"/>
    </row>
    <row r="327" spans="1:27" ht="26.4" x14ac:dyDescent="0.25">
      <c r="A327" s="54"/>
      <c r="B327" s="62">
        <v>435</v>
      </c>
      <c r="C327" s="125" t="s">
        <v>1299</v>
      </c>
      <c r="D327" s="74" t="s">
        <v>1021</v>
      </c>
      <c r="E327" s="443" t="s">
        <v>1063</v>
      </c>
      <c r="F327" s="443" t="s">
        <v>142</v>
      </c>
      <c r="G327" s="56" t="s">
        <v>1246</v>
      </c>
      <c r="H327" s="443" t="s">
        <v>153</v>
      </c>
      <c r="I327" s="57" t="s">
        <v>875</v>
      </c>
      <c r="J327" s="443">
        <v>10</v>
      </c>
      <c r="K327" s="443">
        <v>30</v>
      </c>
      <c r="L327" s="443">
        <v>60</v>
      </c>
      <c r="M327" s="443"/>
      <c r="N327" s="443"/>
      <c r="O327" s="124"/>
      <c r="P327" s="124"/>
      <c r="Q327" s="450"/>
      <c r="R327" s="450"/>
      <c r="S327" s="450">
        <v>1</v>
      </c>
      <c r="T327" s="451"/>
      <c r="U327" s="451" t="s">
        <v>876</v>
      </c>
      <c r="V327" s="58"/>
      <c r="W327" s="58"/>
      <c r="X327" s="59"/>
      <c r="Y327" s="60"/>
      <c r="Z327" s="61"/>
      <c r="AA327" s="60"/>
    </row>
    <row r="328" spans="1:27" ht="26.4" x14ac:dyDescent="0.25">
      <c r="A328" s="54"/>
      <c r="B328" s="62">
        <v>436</v>
      </c>
      <c r="C328" s="125" t="s">
        <v>1300</v>
      </c>
      <c r="D328" s="74" t="s">
        <v>1021</v>
      </c>
      <c r="E328" s="443" t="s">
        <v>1063</v>
      </c>
      <c r="F328" s="443" t="s">
        <v>142</v>
      </c>
      <c r="G328" s="56" t="s">
        <v>1246</v>
      </c>
      <c r="H328" s="443" t="s">
        <v>153</v>
      </c>
      <c r="I328" s="57" t="s">
        <v>875</v>
      </c>
      <c r="J328" s="443">
        <v>10</v>
      </c>
      <c r="K328" s="443">
        <v>30</v>
      </c>
      <c r="L328" s="443">
        <v>60</v>
      </c>
      <c r="M328" s="443"/>
      <c r="N328" s="443"/>
      <c r="O328" s="124"/>
      <c r="P328" s="124"/>
      <c r="Q328" s="450"/>
      <c r="R328" s="450"/>
      <c r="S328" s="450">
        <v>1</v>
      </c>
      <c r="T328" s="451"/>
      <c r="U328" s="451" t="s">
        <v>876</v>
      </c>
      <c r="V328" s="58"/>
      <c r="W328" s="58"/>
      <c r="X328" s="59"/>
      <c r="Y328" s="60"/>
      <c r="Z328" s="61"/>
      <c r="AA328" s="60"/>
    </row>
    <row r="329" spans="1:27" ht="26.4" x14ac:dyDescent="0.25">
      <c r="A329" s="54"/>
      <c r="B329" s="62">
        <v>437</v>
      </c>
      <c r="C329" s="125" t="s">
        <v>1301</v>
      </c>
      <c r="D329" s="74" t="s">
        <v>1021</v>
      </c>
      <c r="E329" s="443" t="s">
        <v>1063</v>
      </c>
      <c r="F329" s="443" t="s">
        <v>142</v>
      </c>
      <c r="G329" s="56" t="s">
        <v>1246</v>
      </c>
      <c r="H329" s="443" t="s">
        <v>153</v>
      </c>
      <c r="I329" s="57" t="s">
        <v>875</v>
      </c>
      <c r="J329" s="443">
        <v>10</v>
      </c>
      <c r="K329" s="443">
        <v>30</v>
      </c>
      <c r="L329" s="443">
        <v>60</v>
      </c>
      <c r="M329" s="443"/>
      <c r="N329" s="443"/>
      <c r="O329" s="124"/>
      <c r="P329" s="124"/>
      <c r="Q329" s="450"/>
      <c r="R329" s="450"/>
      <c r="S329" s="450">
        <v>1</v>
      </c>
      <c r="T329" s="451"/>
      <c r="U329" s="451" t="s">
        <v>876</v>
      </c>
      <c r="V329" s="58"/>
      <c r="W329" s="58"/>
      <c r="X329" s="59"/>
      <c r="Y329" s="60"/>
      <c r="Z329" s="61"/>
      <c r="AA329" s="60"/>
    </row>
    <row r="330" spans="1:27" ht="26.4" x14ac:dyDescent="0.25">
      <c r="A330" s="54"/>
      <c r="B330" s="62">
        <v>438</v>
      </c>
      <c r="C330" s="125" t="s">
        <v>1302</v>
      </c>
      <c r="D330" s="74" t="s">
        <v>1021</v>
      </c>
      <c r="E330" s="443" t="s">
        <v>1063</v>
      </c>
      <c r="F330" s="443" t="s">
        <v>142</v>
      </c>
      <c r="G330" s="56" t="s">
        <v>1246</v>
      </c>
      <c r="H330" s="443" t="s">
        <v>153</v>
      </c>
      <c r="I330" s="57" t="s">
        <v>875</v>
      </c>
      <c r="J330" s="443">
        <v>10</v>
      </c>
      <c r="K330" s="443">
        <v>30</v>
      </c>
      <c r="L330" s="443">
        <v>60</v>
      </c>
      <c r="M330" s="443"/>
      <c r="N330" s="443"/>
      <c r="O330" s="124"/>
      <c r="P330" s="124"/>
      <c r="Q330" s="450"/>
      <c r="R330" s="450"/>
      <c r="S330" s="450">
        <v>1</v>
      </c>
      <c r="T330" s="451"/>
      <c r="U330" s="451" t="s">
        <v>876</v>
      </c>
      <c r="V330" s="58"/>
      <c r="W330" s="58"/>
      <c r="X330" s="59"/>
      <c r="Y330" s="60"/>
      <c r="Z330" s="61"/>
      <c r="AA330" s="60"/>
    </row>
    <row r="331" spans="1:27" ht="25.5" customHeight="1" thickBot="1" x14ac:dyDescent="0.3">
      <c r="A331" s="54"/>
      <c r="B331" s="140">
        <v>439</v>
      </c>
      <c r="C331" s="202" t="s">
        <v>1303</v>
      </c>
      <c r="D331" s="74" t="s">
        <v>1021</v>
      </c>
      <c r="E331" s="443" t="s">
        <v>1063</v>
      </c>
      <c r="F331" s="443" t="s">
        <v>142</v>
      </c>
      <c r="G331" s="56" t="s">
        <v>1246</v>
      </c>
      <c r="H331" s="443" t="s">
        <v>153</v>
      </c>
      <c r="I331" s="57" t="s">
        <v>875</v>
      </c>
      <c r="J331" s="443">
        <v>11</v>
      </c>
      <c r="K331" s="443">
        <v>33</v>
      </c>
      <c r="L331" s="443">
        <v>66</v>
      </c>
      <c r="M331" s="443"/>
      <c r="N331" s="443"/>
      <c r="O331" s="124"/>
      <c r="P331" s="124"/>
      <c r="Q331" s="450"/>
      <c r="R331" s="450"/>
      <c r="S331" s="450">
        <v>1</v>
      </c>
      <c r="T331" s="135"/>
      <c r="U331" s="135"/>
      <c r="V331" s="458"/>
      <c r="W331" s="458"/>
      <c r="X331" s="445"/>
      <c r="Y331" s="453"/>
      <c r="Z331" s="455"/>
      <c r="AA331" s="453"/>
    </row>
    <row r="332" spans="1:27" ht="12.75" customHeight="1" x14ac:dyDescent="0.25">
      <c r="A332" s="52" t="s">
        <v>1304</v>
      </c>
      <c r="B332" s="84">
        <v>440</v>
      </c>
      <c r="C332" s="203" t="s">
        <v>4473</v>
      </c>
      <c r="D332" s="85" t="s">
        <v>1021</v>
      </c>
      <c r="E332" s="442" t="s">
        <v>1063</v>
      </c>
      <c r="F332" s="442" t="s">
        <v>142</v>
      </c>
      <c r="G332" s="86" t="s">
        <v>1246</v>
      </c>
      <c r="H332" s="442"/>
      <c r="I332" s="87" t="s">
        <v>875</v>
      </c>
      <c r="J332" s="442">
        <v>10</v>
      </c>
      <c r="K332" s="442">
        <v>30</v>
      </c>
      <c r="L332" s="442">
        <v>60</v>
      </c>
      <c r="M332" s="442"/>
      <c r="N332" s="442"/>
      <c r="O332" s="122"/>
      <c r="P332" s="122"/>
      <c r="Q332" s="449">
        <v>1</v>
      </c>
      <c r="R332" s="449">
        <v>1</v>
      </c>
      <c r="S332" s="449"/>
      <c r="T332" s="461"/>
      <c r="U332" s="461" t="s">
        <v>876</v>
      </c>
      <c r="V332" s="88"/>
      <c r="W332" s="88"/>
      <c r="X332" s="89"/>
      <c r="Y332" s="90"/>
      <c r="Z332" s="91"/>
      <c r="AA332" s="90"/>
    </row>
    <row r="333" spans="1:27" ht="13.5" customHeight="1" x14ac:dyDescent="0.25">
      <c r="A333" s="54"/>
      <c r="B333" s="62">
        <v>441</v>
      </c>
      <c r="C333" s="125" t="s">
        <v>4474</v>
      </c>
      <c r="D333" s="74" t="s">
        <v>1021</v>
      </c>
      <c r="E333" s="443" t="s">
        <v>1063</v>
      </c>
      <c r="F333" s="443" t="s">
        <v>142</v>
      </c>
      <c r="G333" s="56" t="s">
        <v>1246</v>
      </c>
      <c r="H333" s="443"/>
      <c r="I333" s="57" t="s">
        <v>875</v>
      </c>
      <c r="J333" s="443">
        <v>10</v>
      </c>
      <c r="K333" s="443">
        <v>30</v>
      </c>
      <c r="L333" s="443">
        <v>60</v>
      </c>
      <c r="M333" s="443"/>
      <c r="N333" s="443"/>
      <c r="O333" s="124"/>
      <c r="P333" s="124"/>
      <c r="Q333" s="450">
        <v>1</v>
      </c>
      <c r="R333" s="450">
        <v>1</v>
      </c>
      <c r="S333" s="450"/>
      <c r="T333" s="451"/>
      <c r="U333" s="451" t="s">
        <v>876</v>
      </c>
      <c r="V333" s="58"/>
      <c r="W333" s="58"/>
      <c r="X333" s="59"/>
      <c r="Y333" s="60"/>
      <c r="Z333" s="61"/>
      <c r="AA333" s="60"/>
    </row>
    <row r="334" spans="1:27" x14ac:dyDescent="0.25">
      <c r="A334" s="54"/>
      <c r="B334" s="62">
        <v>442</v>
      </c>
      <c r="C334" s="125" t="s">
        <v>4475</v>
      </c>
      <c r="D334" s="74" t="s">
        <v>1021</v>
      </c>
      <c r="E334" s="443" t="s">
        <v>1063</v>
      </c>
      <c r="F334" s="443" t="s">
        <v>142</v>
      </c>
      <c r="G334" s="56" t="s">
        <v>1246</v>
      </c>
      <c r="H334" s="443"/>
      <c r="I334" s="57" t="s">
        <v>875</v>
      </c>
      <c r="J334" s="443">
        <v>10</v>
      </c>
      <c r="K334" s="443">
        <v>30</v>
      </c>
      <c r="L334" s="443">
        <v>60</v>
      </c>
      <c r="M334" s="443"/>
      <c r="N334" s="443"/>
      <c r="O334" s="124"/>
      <c r="P334" s="124"/>
      <c r="Q334" s="450">
        <v>1</v>
      </c>
      <c r="R334" s="450"/>
      <c r="S334" s="450"/>
      <c r="T334" s="451"/>
      <c r="U334" s="451" t="s">
        <v>876</v>
      </c>
      <c r="V334" s="58"/>
      <c r="W334" s="58"/>
      <c r="X334" s="59"/>
      <c r="Y334" s="60"/>
      <c r="Z334" s="61"/>
      <c r="AA334" s="60"/>
    </row>
    <row r="335" spans="1:27" ht="26.4" x14ac:dyDescent="0.25">
      <c r="A335" s="106"/>
      <c r="B335" s="62">
        <v>443</v>
      </c>
      <c r="C335" s="125" t="s">
        <v>4476</v>
      </c>
      <c r="D335" s="74" t="s">
        <v>1021</v>
      </c>
      <c r="E335" s="443" t="s">
        <v>1063</v>
      </c>
      <c r="F335" s="443" t="s">
        <v>142</v>
      </c>
      <c r="G335" s="56" t="s">
        <v>1246</v>
      </c>
      <c r="H335" s="443" t="s">
        <v>1305</v>
      </c>
      <c r="I335" s="57" t="s">
        <v>875</v>
      </c>
      <c r="J335" s="443">
        <v>10</v>
      </c>
      <c r="K335" s="443">
        <v>30</v>
      </c>
      <c r="L335" s="443">
        <v>60</v>
      </c>
      <c r="M335" s="443"/>
      <c r="N335" s="443"/>
      <c r="O335" s="124"/>
      <c r="P335" s="124"/>
      <c r="Q335" s="450">
        <v>1</v>
      </c>
      <c r="R335" s="450"/>
      <c r="S335" s="450"/>
      <c r="T335" s="451"/>
      <c r="U335" s="451" t="s">
        <v>876</v>
      </c>
      <c r="V335" s="58"/>
      <c r="W335" s="58"/>
      <c r="X335" s="59"/>
      <c r="Y335" s="60"/>
      <c r="Z335" s="61"/>
      <c r="AA335" s="60"/>
    </row>
    <row r="336" spans="1:27" ht="26.25" customHeight="1" x14ac:dyDescent="0.25">
      <c r="A336" s="106"/>
      <c r="B336" s="62">
        <v>444</v>
      </c>
      <c r="C336" s="125" t="s">
        <v>4477</v>
      </c>
      <c r="D336" s="74" t="s">
        <v>1021</v>
      </c>
      <c r="E336" s="443" t="s">
        <v>1063</v>
      </c>
      <c r="F336" s="443" t="s">
        <v>142</v>
      </c>
      <c r="G336" s="56" t="s">
        <v>1246</v>
      </c>
      <c r="H336" s="443" t="s">
        <v>1305</v>
      </c>
      <c r="I336" s="57" t="s">
        <v>875</v>
      </c>
      <c r="J336" s="443">
        <v>10</v>
      </c>
      <c r="K336" s="443">
        <v>30</v>
      </c>
      <c r="L336" s="443">
        <v>60</v>
      </c>
      <c r="M336" s="443"/>
      <c r="N336" s="443"/>
      <c r="O336" s="124"/>
      <c r="P336" s="124"/>
      <c r="Q336" s="450">
        <v>1</v>
      </c>
      <c r="R336" s="450"/>
      <c r="S336" s="450"/>
      <c r="T336" s="451"/>
      <c r="U336" s="451" t="s">
        <v>876</v>
      </c>
      <c r="V336" s="58"/>
      <c r="W336" s="58"/>
      <c r="X336" s="59"/>
      <c r="Y336" s="60"/>
      <c r="Z336" s="61"/>
      <c r="AA336" s="60"/>
    </row>
    <row r="337" spans="1:27" ht="13.8" thickBot="1" x14ac:dyDescent="0.3">
      <c r="A337" s="54"/>
      <c r="B337" s="83">
        <v>445</v>
      </c>
      <c r="C337" s="212" t="s">
        <v>4478</v>
      </c>
      <c r="D337" s="95" t="s">
        <v>1021</v>
      </c>
      <c r="E337" s="96" t="s">
        <v>1063</v>
      </c>
      <c r="F337" s="96" t="s">
        <v>142</v>
      </c>
      <c r="G337" s="97" t="s">
        <v>1246</v>
      </c>
      <c r="H337" s="96"/>
      <c r="I337" s="98" t="s">
        <v>875</v>
      </c>
      <c r="J337" s="96">
        <v>20</v>
      </c>
      <c r="K337" s="96">
        <v>60</v>
      </c>
      <c r="L337" s="96">
        <v>120</v>
      </c>
      <c r="M337" s="96"/>
      <c r="N337" s="96"/>
      <c r="O337" s="200"/>
      <c r="P337" s="200"/>
      <c r="Q337" s="100">
        <v>1</v>
      </c>
      <c r="R337" s="100">
        <v>1</v>
      </c>
      <c r="S337" s="100"/>
      <c r="T337" s="101"/>
      <c r="U337" s="101" t="s">
        <v>876</v>
      </c>
      <c r="V337" s="102"/>
      <c r="W337" s="102"/>
      <c r="X337" s="103"/>
      <c r="Y337" s="104"/>
      <c r="Z337" s="105"/>
      <c r="AA337" s="104"/>
    </row>
    <row r="338" spans="1:27" s="110" customFormat="1" ht="26.25" customHeight="1" x14ac:dyDescent="0.25">
      <c r="A338" s="52" t="s">
        <v>1293</v>
      </c>
      <c r="B338" s="84">
        <v>450</v>
      </c>
      <c r="C338" s="203" t="s">
        <v>1306</v>
      </c>
      <c r="D338" s="85" t="s">
        <v>1021</v>
      </c>
      <c r="E338" s="442" t="s">
        <v>1063</v>
      </c>
      <c r="F338" s="442" t="s">
        <v>142</v>
      </c>
      <c r="G338" s="86" t="s">
        <v>1246</v>
      </c>
      <c r="H338" s="442"/>
      <c r="I338" s="87" t="s">
        <v>875</v>
      </c>
      <c r="J338" s="442">
        <v>20</v>
      </c>
      <c r="K338" s="442">
        <v>60</v>
      </c>
      <c r="L338" s="442">
        <v>120</v>
      </c>
      <c r="M338" s="442"/>
      <c r="N338" s="442"/>
      <c r="O338" s="122"/>
      <c r="P338" s="122"/>
      <c r="Q338" s="449">
        <v>1</v>
      </c>
      <c r="R338" s="449">
        <v>1</v>
      </c>
      <c r="S338" s="449"/>
      <c r="T338" s="461"/>
      <c r="U338" s="461" t="s">
        <v>876</v>
      </c>
      <c r="V338" s="88"/>
      <c r="W338" s="88"/>
      <c r="X338" s="89"/>
      <c r="Y338" s="90"/>
      <c r="Z338" s="91"/>
      <c r="AA338" s="90"/>
    </row>
    <row r="339" spans="1:27" s="110" customFormat="1" ht="26.25" customHeight="1" thickBot="1" x14ac:dyDescent="0.3">
      <c r="A339" s="211"/>
      <c r="B339" s="83">
        <v>451</v>
      </c>
      <c r="C339" s="212" t="s">
        <v>1307</v>
      </c>
      <c r="D339" s="95" t="s">
        <v>1021</v>
      </c>
      <c r="E339" s="96" t="s">
        <v>1063</v>
      </c>
      <c r="F339" s="96" t="s">
        <v>142</v>
      </c>
      <c r="G339" s="97" t="s">
        <v>1246</v>
      </c>
      <c r="H339" s="96"/>
      <c r="I339" s="98" t="s">
        <v>875</v>
      </c>
      <c r="J339" s="96">
        <v>20</v>
      </c>
      <c r="K339" s="96">
        <v>60</v>
      </c>
      <c r="L339" s="96">
        <v>120</v>
      </c>
      <c r="M339" s="96"/>
      <c r="N339" s="96"/>
      <c r="O339" s="200"/>
      <c r="P339" s="200"/>
      <c r="Q339" s="100">
        <v>1</v>
      </c>
      <c r="R339" s="100">
        <v>1</v>
      </c>
      <c r="S339" s="213"/>
      <c r="T339" s="214"/>
      <c r="U339" s="101" t="s">
        <v>876</v>
      </c>
      <c r="V339" s="215"/>
      <c r="W339" s="215"/>
      <c r="X339" s="216"/>
      <c r="Y339" s="217"/>
      <c r="Z339" s="218"/>
      <c r="AA339" s="217"/>
    </row>
    <row r="340" spans="1:27" s="110" customFormat="1" ht="25.5" customHeight="1" x14ac:dyDescent="0.25">
      <c r="A340" s="54" t="s">
        <v>1308</v>
      </c>
      <c r="B340" s="84">
        <v>460</v>
      </c>
      <c r="C340" s="85" t="s">
        <v>1309</v>
      </c>
      <c r="D340" s="85" t="s">
        <v>1021</v>
      </c>
      <c r="E340" s="442" t="s">
        <v>1063</v>
      </c>
      <c r="F340" s="442" t="s">
        <v>142</v>
      </c>
      <c r="G340" s="86" t="s">
        <v>1246</v>
      </c>
      <c r="H340" s="442" t="s">
        <v>170</v>
      </c>
      <c r="I340" s="87" t="s">
        <v>875</v>
      </c>
      <c r="J340" s="442">
        <v>10</v>
      </c>
      <c r="K340" s="442">
        <v>30</v>
      </c>
      <c r="L340" s="442">
        <v>60</v>
      </c>
      <c r="M340" s="442"/>
      <c r="N340" s="442"/>
      <c r="O340" s="122"/>
      <c r="P340" s="122"/>
      <c r="Q340" s="449">
        <v>1</v>
      </c>
      <c r="R340" s="449">
        <v>1</v>
      </c>
      <c r="S340" s="449"/>
      <c r="T340" s="461"/>
      <c r="U340" s="461" t="s">
        <v>876</v>
      </c>
      <c r="V340" s="88"/>
      <c r="W340" s="219"/>
      <c r="X340" s="220"/>
      <c r="Y340" s="221"/>
      <c r="Z340" s="222">
        <v>1</v>
      </c>
      <c r="AA340" s="221"/>
    </row>
    <row r="341" spans="1:27" s="110" customFormat="1" ht="25.5" customHeight="1" x14ac:dyDescent="0.25">
      <c r="A341" s="54"/>
      <c r="B341" s="62">
        <v>461</v>
      </c>
      <c r="C341" s="74" t="s">
        <v>1310</v>
      </c>
      <c r="D341" s="74" t="s">
        <v>1021</v>
      </c>
      <c r="E341" s="443" t="s">
        <v>1063</v>
      </c>
      <c r="F341" s="443" t="s">
        <v>142</v>
      </c>
      <c r="G341" s="56" t="s">
        <v>1246</v>
      </c>
      <c r="H341" s="443" t="s">
        <v>170</v>
      </c>
      <c r="I341" s="57" t="s">
        <v>875</v>
      </c>
      <c r="J341" s="443">
        <v>10</v>
      </c>
      <c r="K341" s="443">
        <v>30</v>
      </c>
      <c r="L341" s="443">
        <v>60</v>
      </c>
      <c r="M341" s="443"/>
      <c r="N341" s="443"/>
      <c r="O341" s="124"/>
      <c r="P341" s="124"/>
      <c r="Q341" s="450">
        <v>1</v>
      </c>
      <c r="R341" s="450">
        <v>1</v>
      </c>
      <c r="S341" s="450"/>
      <c r="T341" s="451"/>
      <c r="U341" s="451" t="s">
        <v>876</v>
      </c>
      <c r="V341" s="58"/>
      <c r="W341" s="139"/>
      <c r="X341" s="63"/>
      <c r="Y341" s="70"/>
      <c r="Z341" s="67"/>
      <c r="AA341" s="70"/>
    </row>
    <row r="342" spans="1:27" s="110" customFormat="1" ht="26.25" customHeight="1" x14ac:dyDescent="0.25">
      <c r="A342" s="54"/>
      <c r="B342" s="62">
        <v>462</v>
      </c>
      <c r="C342" s="74" t="s">
        <v>1311</v>
      </c>
      <c r="D342" s="74" t="s">
        <v>1021</v>
      </c>
      <c r="E342" s="443" t="s">
        <v>1063</v>
      </c>
      <c r="F342" s="443" t="s">
        <v>142</v>
      </c>
      <c r="G342" s="56" t="s">
        <v>1246</v>
      </c>
      <c r="H342" s="443" t="s">
        <v>170</v>
      </c>
      <c r="I342" s="57" t="s">
        <v>875</v>
      </c>
      <c r="J342" s="443">
        <v>10</v>
      </c>
      <c r="K342" s="443">
        <v>30</v>
      </c>
      <c r="L342" s="443">
        <v>60</v>
      </c>
      <c r="M342" s="443"/>
      <c r="N342" s="443"/>
      <c r="O342" s="124"/>
      <c r="P342" s="124"/>
      <c r="Q342" s="450">
        <v>1</v>
      </c>
      <c r="R342" s="450">
        <v>1</v>
      </c>
      <c r="S342" s="450"/>
      <c r="T342" s="451"/>
      <c r="U342" s="451" t="s">
        <v>876</v>
      </c>
      <c r="V342" s="58"/>
      <c r="W342" s="139"/>
      <c r="X342" s="63"/>
      <c r="Y342" s="70"/>
      <c r="Z342" s="67"/>
      <c r="AA342" s="70"/>
    </row>
    <row r="343" spans="1:27" ht="26.25" customHeight="1" x14ac:dyDescent="0.25">
      <c r="A343" s="54"/>
      <c r="B343" s="62">
        <v>463</v>
      </c>
      <c r="C343" s="74" t="s">
        <v>1312</v>
      </c>
      <c r="D343" s="74" t="s">
        <v>1021</v>
      </c>
      <c r="E343" s="443" t="s">
        <v>1063</v>
      </c>
      <c r="F343" s="443" t="s">
        <v>142</v>
      </c>
      <c r="G343" s="56" t="s">
        <v>1246</v>
      </c>
      <c r="H343" s="443" t="s">
        <v>170</v>
      </c>
      <c r="I343" s="57" t="s">
        <v>875</v>
      </c>
      <c r="J343" s="443">
        <v>10</v>
      </c>
      <c r="K343" s="443">
        <v>30</v>
      </c>
      <c r="L343" s="443">
        <v>60</v>
      </c>
      <c r="M343" s="443"/>
      <c r="N343" s="443"/>
      <c r="O343" s="124"/>
      <c r="P343" s="124"/>
      <c r="Q343" s="450">
        <v>1</v>
      </c>
      <c r="R343" s="450">
        <v>1</v>
      </c>
      <c r="S343" s="450"/>
      <c r="T343" s="451"/>
      <c r="U343" s="451" t="s">
        <v>876</v>
      </c>
      <c r="V343" s="58"/>
      <c r="W343" s="139"/>
      <c r="X343" s="63"/>
      <c r="Y343" s="70"/>
      <c r="Z343" s="67"/>
      <c r="AA343" s="70"/>
    </row>
    <row r="344" spans="1:27" ht="26.25" customHeight="1" x14ac:dyDescent="0.25">
      <c r="A344" s="54"/>
      <c r="B344" s="62">
        <v>464</v>
      </c>
      <c r="C344" s="74" t="s">
        <v>1313</v>
      </c>
      <c r="D344" s="74" t="s">
        <v>1021</v>
      </c>
      <c r="E344" s="443" t="s">
        <v>1063</v>
      </c>
      <c r="F344" s="443" t="s">
        <v>142</v>
      </c>
      <c r="G344" s="56" t="s">
        <v>1246</v>
      </c>
      <c r="H344" s="443" t="s">
        <v>170</v>
      </c>
      <c r="I344" s="57" t="s">
        <v>875</v>
      </c>
      <c r="J344" s="443">
        <v>10</v>
      </c>
      <c r="K344" s="443">
        <v>30</v>
      </c>
      <c r="L344" s="443">
        <v>60</v>
      </c>
      <c r="M344" s="443"/>
      <c r="N344" s="443"/>
      <c r="O344" s="124"/>
      <c r="P344" s="124"/>
      <c r="Q344" s="450">
        <v>1</v>
      </c>
      <c r="R344" s="450">
        <v>1</v>
      </c>
      <c r="S344" s="450"/>
      <c r="T344" s="451"/>
      <c r="U344" s="451" t="s">
        <v>876</v>
      </c>
      <c r="V344" s="58"/>
      <c r="W344" s="58"/>
      <c r="X344" s="59"/>
      <c r="Y344" s="60"/>
      <c r="Z344" s="61"/>
      <c r="AA344" s="60"/>
    </row>
    <row r="345" spans="1:27" s="110" customFormat="1" ht="27" thickBot="1" x14ac:dyDescent="0.3">
      <c r="A345" s="54"/>
      <c r="B345" s="83">
        <v>465</v>
      </c>
      <c r="C345" s="95" t="s">
        <v>1314</v>
      </c>
      <c r="D345" s="95" t="s">
        <v>1021</v>
      </c>
      <c r="E345" s="96" t="s">
        <v>1063</v>
      </c>
      <c r="F345" s="96" t="s">
        <v>142</v>
      </c>
      <c r="G345" s="97" t="s">
        <v>1246</v>
      </c>
      <c r="H345" s="96" t="s">
        <v>170</v>
      </c>
      <c r="I345" s="98" t="s">
        <v>875</v>
      </c>
      <c r="J345" s="96">
        <v>10</v>
      </c>
      <c r="K345" s="96">
        <v>30</v>
      </c>
      <c r="L345" s="96">
        <v>60</v>
      </c>
      <c r="M345" s="96"/>
      <c r="N345" s="96"/>
      <c r="O345" s="200"/>
      <c r="P345" s="200"/>
      <c r="Q345" s="100">
        <v>1</v>
      </c>
      <c r="R345" s="100">
        <v>1</v>
      </c>
      <c r="S345" s="100"/>
      <c r="T345" s="101"/>
      <c r="U345" s="101" t="s">
        <v>876</v>
      </c>
      <c r="V345" s="102"/>
      <c r="W345" s="102"/>
      <c r="X345" s="103"/>
      <c r="Y345" s="104"/>
      <c r="Z345" s="105"/>
      <c r="AA345" s="104"/>
    </row>
    <row r="346" spans="1:27" ht="26.4" x14ac:dyDescent="0.25">
      <c r="A346" s="223" t="s">
        <v>1315</v>
      </c>
      <c r="B346" s="84">
        <v>470</v>
      </c>
      <c r="C346" s="85" t="s">
        <v>1316</v>
      </c>
      <c r="D346" s="85" t="s">
        <v>1021</v>
      </c>
      <c r="E346" s="442" t="s">
        <v>1063</v>
      </c>
      <c r="F346" s="442" t="s">
        <v>142</v>
      </c>
      <c r="G346" s="86" t="s">
        <v>1149</v>
      </c>
      <c r="H346" s="442" t="s">
        <v>906</v>
      </c>
      <c r="I346" s="87" t="s">
        <v>875</v>
      </c>
      <c r="J346" s="442">
        <v>1</v>
      </c>
      <c r="K346" s="442">
        <v>4</v>
      </c>
      <c r="L346" s="442">
        <v>8</v>
      </c>
      <c r="M346" s="442"/>
      <c r="N346" s="442"/>
      <c r="O346" s="122"/>
      <c r="P346" s="122"/>
      <c r="Q346" s="449"/>
      <c r="R346" s="449">
        <v>1</v>
      </c>
      <c r="S346" s="449">
        <v>1</v>
      </c>
      <c r="T346" s="461"/>
      <c r="U346" s="461"/>
      <c r="V346" s="88"/>
      <c r="W346" s="88"/>
      <c r="X346" s="89"/>
      <c r="Y346" s="90"/>
      <c r="Z346" s="91"/>
      <c r="AA346" s="90"/>
    </row>
    <row r="347" spans="1:27" s="121" customFormat="1" ht="26.25" customHeight="1" x14ac:dyDescent="0.25">
      <c r="A347" s="114"/>
      <c r="B347" s="62">
        <v>472</v>
      </c>
      <c r="C347" s="74" t="s">
        <v>4479</v>
      </c>
      <c r="D347" s="74" t="s">
        <v>1021</v>
      </c>
      <c r="E347" s="443" t="s">
        <v>1063</v>
      </c>
      <c r="F347" s="443" t="s">
        <v>142</v>
      </c>
      <c r="G347" s="56" t="s">
        <v>1246</v>
      </c>
      <c r="H347" s="443" t="s">
        <v>906</v>
      </c>
      <c r="I347" s="57" t="s">
        <v>875</v>
      </c>
      <c r="J347" s="443">
        <v>14</v>
      </c>
      <c r="K347" s="443">
        <v>42</v>
      </c>
      <c r="L347" s="443">
        <v>84</v>
      </c>
      <c r="M347" s="443"/>
      <c r="N347" s="443"/>
      <c r="O347" s="124"/>
      <c r="P347" s="124"/>
      <c r="Q347" s="450">
        <v>1</v>
      </c>
      <c r="R347" s="450"/>
      <c r="S347" s="450"/>
      <c r="T347" s="451"/>
      <c r="U347" s="451" t="s">
        <v>876</v>
      </c>
      <c r="V347" s="184"/>
      <c r="W347" s="184"/>
      <c r="X347" s="185"/>
      <c r="Y347" s="186"/>
      <c r="Z347" s="187"/>
      <c r="AA347" s="186"/>
    </row>
    <row r="348" spans="1:27" ht="26.25" customHeight="1" thickBot="1" x14ac:dyDescent="0.3">
      <c r="A348" s="94"/>
      <c r="B348" s="224"/>
      <c r="C348" s="225"/>
      <c r="D348" s="225"/>
      <c r="E348" s="226"/>
      <c r="F348" s="226"/>
      <c r="G348" s="227"/>
      <c r="H348" s="226"/>
      <c r="I348" s="228"/>
      <c r="J348" s="226"/>
      <c r="K348" s="226"/>
      <c r="L348" s="226"/>
      <c r="M348" s="226"/>
      <c r="N348" s="226"/>
      <c r="O348" s="229"/>
      <c r="P348" s="229"/>
      <c r="Q348" s="46"/>
      <c r="R348" s="46"/>
      <c r="S348" s="46"/>
      <c r="T348" s="47"/>
      <c r="U348" s="47"/>
      <c r="V348" s="48"/>
      <c r="W348" s="48"/>
      <c r="X348" s="49"/>
      <c r="Y348" s="50"/>
      <c r="Z348" s="51"/>
      <c r="AA348" s="50"/>
    </row>
    <row r="349" spans="1:27" ht="25.5" customHeight="1" x14ac:dyDescent="0.25">
      <c r="A349" s="54" t="s">
        <v>1317</v>
      </c>
      <c r="B349" s="84">
        <v>480</v>
      </c>
      <c r="C349" s="203" t="s">
        <v>1318</v>
      </c>
      <c r="D349" s="85" t="s">
        <v>1021</v>
      </c>
      <c r="E349" s="442" t="s">
        <v>1063</v>
      </c>
      <c r="F349" s="442" t="s">
        <v>142</v>
      </c>
      <c r="G349" s="86" t="s">
        <v>1246</v>
      </c>
      <c r="H349" s="442" t="s">
        <v>170</v>
      </c>
      <c r="I349" s="87" t="s">
        <v>875</v>
      </c>
      <c r="J349" s="442">
        <v>10</v>
      </c>
      <c r="K349" s="442">
        <v>30</v>
      </c>
      <c r="L349" s="442">
        <v>60</v>
      </c>
      <c r="M349" s="442"/>
      <c r="N349" s="442"/>
      <c r="O349" s="122"/>
      <c r="P349" s="122"/>
      <c r="Q349" s="449">
        <v>1</v>
      </c>
      <c r="R349" s="449"/>
      <c r="S349" s="449"/>
      <c r="T349" s="461"/>
      <c r="U349" s="461" t="s">
        <v>876</v>
      </c>
      <c r="V349" s="88"/>
      <c r="W349" s="88"/>
      <c r="X349" s="89"/>
      <c r="Y349" s="90"/>
      <c r="Z349" s="91"/>
      <c r="AA349" s="90"/>
    </row>
    <row r="350" spans="1:27" ht="25.5" customHeight="1" x14ac:dyDescent="0.25">
      <c r="A350" s="54"/>
      <c r="B350" s="62">
        <v>481</v>
      </c>
      <c r="C350" s="125" t="s">
        <v>1319</v>
      </c>
      <c r="D350" s="74" t="s">
        <v>1021</v>
      </c>
      <c r="E350" s="443" t="s">
        <v>1063</v>
      </c>
      <c r="F350" s="443" t="s">
        <v>142</v>
      </c>
      <c r="G350" s="56" t="s">
        <v>1246</v>
      </c>
      <c r="H350" s="443" t="s">
        <v>170</v>
      </c>
      <c r="I350" s="57" t="s">
        <v>875</v>
      </c>
      <c r="J350" s="443">
        <v>10</v>
      </c>
      <c r="K350" s="443">
        <v>30</v>
      </c>
      <c r="L350" s="443">
        <v>60</v>
      </c>
      <c r="M350" s="443"/>
      <c r="N350" s="443"/>
      <c r="O350" s="124"/>
      <c r="P350" s="124"/>
      <c r="Q350" s="450">
        <v>1</v>
      </c>
      <c r="R350" s="450"/>
      <c r="S350" s="450"/>
      <c r="T350" s="451"/>
      <c r="U350" s="451" t="s">
        <v>876</v>
      </c>
      <c r="V350" s="58"/>
      <c r="W350" s="58"/>
      <c r="X350" s="59"/>
      <c r="Y350" s="60"/>
      <c r="Z350" s="61"/>
      <c r="AA350" s="60"/>
    </row>
    <row r="351" spans="1:27" ht="26.25" customHeight="1" x14ac:dyDescent="0.25">
      <c r="A351" s="54"/>
      <c r="B351" s="62">
        <v>482</v>
      </c>
      <c r="C351" s="125" t="s">
        <v>1320</v>
      </c>
      <c r="D351" s="74" t="s">
        <v>1021</v>
      </c>
      <c r="E351" s="443" t="s">
        <v>1063</v>
      </c>
      <c r="F351" s="443" t="s">
        <v>142</v>
      </c>
      <c r="G351" s="56" t="s">
        <v>1246</v>
      </c>
      <c r="H351" s="443" t="s">
        <v>170</v>
      </c>
      <c r="I351" s="57" t="s">
        <v>875</v>
      </c>
      <c r="J351" s="443">
        <v>10</v>
      </c>
      <c r="K351" s="443">
        <v>30</v>
      </c>
      <c r="L351" s="443">
        <v>60</v>
      </c>
      <c r="M351" s="443"/>
      <c r="N351" s="443"/>
      <c r="O351" s="124"/>
      <c r="P351" s="124"/>
      <c r="Q351" s="450">
        <v>1</v>
      </c>
      <c r="R351" s="450"/>
      <c r="S351" s="450"/>
      <c r="T351" s="451"/>
      <c r="U351" s="451" t="s">
        <v>876</v>
      </c>
      <c r="V351" s="58"/>
      <c r="W351" s="58"/>
      <c r="X351" s="59"/>
      <c r="Y351" s="60"/>
      <c r="Z351" s="61"/>
      <c r="AA351" s="60"/>
    </row>
    <row r="352" spans="1:27" ht="26.25" customHeight="1" x14ac:dyDescent="0.25">
      <c r="A352" s="54"/>
      <c r="B352" s="62">
        <v>483</v>
      </c>
      <c r="C352" s="125" t="s">
        <v>1320</v>
      </c>
      <c r="D352" s="74" t="s">
        <v>1021</v>
      </c>
      <c r="E352" s="443" t="s">
        <v>1063</v>
      </c>
      <c r="F352" s="443" t="s">
        <v>142</v>
      </c>
      <c r="G352" s="56" t="s">
        <v>1246</v>
      </c>
      <c r="H352" s="443" t="s">
        <v>170</v>
      </c>
      <c r="I352" s="57" t="s">
        <v>875</v>
      </c>
      <c r="J352" s="443">
        <v>10</v>
      </c>
      <c r="K352" s="443">
        <v>30</v>
      </c>
      <c r="L352" s="443">
        <v>60</v>
      </c>
      <c r="M352" s="443"/>
      <c r="N352" s="443"/>
      <c r="O352" s="124"/>
      <c r="P352" s="124"/>
      <c r="Q352" s="450">
        <v>1</v>
      </c>
      <c r="R352" s="450"/>
      <c r="S352" s="450"/>
      <c r="T352" s="451"/>
      <c r="U352" s="451" t="s">
        <v>876</v>
      </c>
      <c r="V352" s="58"/>
      <c r="W352" s="58"/>
      <c r="X352" s="59"/>
      <c r="Y352" s="60"/>
      <c r="Z352" s="61"/>
      <c r="AA352" s="60"/>
    </row>
    <row r="353" spans="1:27" ht="26.25" customHeight="1" x14ac:dyDescent="0.25">
      <c r="A353" s="54"/>
      <c r="B353" s="62">
        <v>484</v>
      </c>
      <c r="C353" s="125" t="s">
        <v>1321</v>
      </c>
      <c r="D353" s="74" t="s">
        <v>1021</v>
      </c>
      <c r="E353" s="443" t="s">
        <v>1063</v>
      </c>
      <c r="F353" s="443" t="s">
        <v>142</v>
      </c>
      <c r="G353" s="56" t="s">
        <v>1246</v>
      </c>
      <c r="H353" s="443" t="s">
        <v>170</v>
      </c>
      <c r="I353" s="57" t="s">
        <v>875</v>
      </c>
      <c r="J353" s="443">
        <v>10</v>
      </c>
      <c r="K353" s="443">
        <v>30</v>
      </c>
      <c r="L353" s="443">
        <v>60</v>
      </c>
      <c r="M353" s="443"/>
      <c r="N353" s="443"/>
      <c r="O353" s="124"/>
      <c r="P353" s="124"/>
      <c r="Q353" s="450">
        <v>1</v>
      </c>
      <c r="R353" s="450"/>
      <c r="S353" s="450"/>
      <c r="T353" s="451"/>
      <c r="U353" s="451" t="s">
        <v>876</v>
      </c>
      <c r="V353" s="58"/>
      <c r="W353" s="58"/>
      <c r="X353" s="59"/>
      <c r="Y353" s="60"/>
      <c r="Z353" s="61"/>
      <c r="AA353" s="60"/>
    </row>
    <row r="354" spans="1:27" ht="26.25" customHeight="1" x14ac:dyDescent="0.25">
      <c r="A354" s="54"/>
      <c r="B354" s="62">
        <v>485</v>
      </c>
      <c r="C354" s="125" t="s">
        <v>1322</v>
      </c>
      <c r="D354" s="74" t="s">
        <v>1021</v>
      </c>
      <c r="E354" s="443" t="s">
        <v>1063</v>
      </c>
      <c r="F354" s="443" t="s">
        <v>142</v>
      </c>
      <c r="G354" s="56" t="s">
        <v>1246</v>
      </c>
      <c r="H354" s="443" t="s">
        <v>1205</v>
      </c>
      <c r="I354" s="57" t="s">
        <v>875</v>
      </c>
      <c r="J354" s="443">
        <v>10</v>
      </c>
      <c r="K354" s="443">
        <v>30</v>
      </c>
      <c r="L354" s="443">
        <v>60</v>
      </c>
      <c r="M354" s="443"/>
      <c r="N354" s="443"/>
      <c r="O354" s="124"/>
      <c r="P354" s="124"/>
      <c r="Q354" s="450">
        <v>1</v>
      </c>
      <c r="R354" s="450"/>
      <c r="S354" s="450"/>
      <c r="T354" s="451"/>
      <c r="U354" s="451" t="s">
        <v>876</v>
      </c>
      <c r="V354" s="58"/>
      <c r="W354" s="58"/>
      <c r="X354" s="59"/>
      <c r="Y354" s="60"/>
      <c r="Z354" s="61"/>
      <c r="AA354" s="60"/>
    </row>
    <row r="355" spans="1:27" ht="26.25" customHeight="1" x14ac:dyDescent="0.25">
      <c r="A355" s="54"/>
      <c r="B355" s="62">
        <v>486</v>
      </c>
      <c r="C355" s="125" t="s">
        <v>1323</v>
      </c>
      <c r="D355" s="74" t="s">
        <v>1021</v>
      </c>
      <c r="E355" s="443" t="s">
        <v>1063</v>
      </c>
      <c r="F355" s="443" t="s">
        <v>142</v>
      </c>
      <c r="G355" s="56" t="s">
        <v>1246</v>
      </c>
      <c r="H355" s="443" t="s">
        <v>1205</v>
      </c>
      <c r="I355" s="57" t="s">
        <v>875</v>
      </c>
      <c r="J355" s="443">
        <v>10</v>
      </c>
      <c r="K355" s="443">
        <v>30</v>
      </c>
      <c r="L355" s="443">
        <v>60</v>
      </c>
      <c r="M355" s="443"/>
      <c r="N355" s="443"/>
      <c r="O355" s="124"/>
      <c r="P355" s="124"/>
      <c r="Q355" s="450">
        <v>1</v>
      </c>
      <c r="R355" s="450"/>
      <c r="S355" s="450"/>
      <c r="T355" s="451"/>
      <c r="U355" s="451" t="s">
        <v>876</v>
      </c>
      <c r="V355" s="58"/>
      <c r="W355" s="58"/>
      <c r="X355" s="59"/>
      <c r="Y355" s="60"/>
      <c r="Z355" s="61"/>
      <c r="AA355" s="60"/>
    </row>
    <row r="356" spans="1:27" ht="26.25" customHeight="1" x14ac:dyDescent="0.25">
      <c r="A356" s="54"/>
      <c r="B356" s="62">
        <v>487</v>
      </c>
      <c r="C356" s="125" t="s">
        <v>1324</v>
      </c>
      <c r="D356" s="74" t="s">
        <v>1021</v>
      </c>
      <c r="E356" s="443" t="s">
        <v>1063</v>
      </c>
      <c r="F356" s="443" t="s">
        <v>142</v>
      </c>
      <c r="G356" s="56" t="s">
        <v>1246</v>
      </c>
      <c r="H356" s="443" t="s">
        <v>1205</v>
      </c>
      <c r="I356" s="57" t="s">
        <v>875</v>
      </c>
      <c r="J356" s="443">
        <v>10</v>
      </c>
      <c r="K356" s="443">
        <v>30</v>
      </c>
      <c r="L356" s="443">
        <v>60</v>
      </c>
      <c r="M356" s="443"/>
      <c r="N356" s="443"/>
      <c r="O356" s="124"/>
      <c r="P356" s="124"/>
      <c r="Q356" s="450">
        <v>1</v>
      </c>
      <c r="R356" s="450"/>
      <c r="S356" s="450"/>
      <c r="T356" s="451"/>
      <c r="U356" s="451" t="s">
        <v>876</v>
      </c>
      <c r="V356" s="58"/>
      <c r="W356" s="58"/>
      <c r="X356" s="59"/>
      <c r="Y356" s="60"/>
      <c r="Z356" s="61"/>
      <c r="AA356" s="60"/>
    </row>
    <row r="357" spans="1:27" ht="26.25" customHeight="1" x14ac:dyDescent="0.25">
      <c r="A357" s="54"/>
      <c r="B357" s="62">
        <v>488</v>
      </c>
      <c r="C357" s="125" t="s">
        <v>1325</v>
      </c>
      <c r="D357" s="74" t="s">
        <v>1021</v>
      </c>
      <c r="E357" s="443" t="s">
        <v>1063</v>
      </c>
      <c r="F357" s="443" t="s">
        <v>142</v>
      </c>
      <c r="G357" s="56" t="s">
        <v>1246</v>
      </c>
      <c r="H357" s="443" t="s">
        <v>92</v>
      </c>
      <c r="I357" s="57" t="s">
        <v>875</v>
      </c>
      <c r="J357" s="443">
        <v>10</v>
      </c>
      <c r="K357" s="443">
        <v>30</v>
      </c>
      <c r="L357" s="443">
        <v>60</v>
      </c>
      <c r="M357" s="443"/>
      <c r="N357" s="443"/>
      <c r="O357" s="124"/>
      <c r="P357" s="124"/>
      <c r="Q357" s="450">
        <v>1</v>
      </c>
      <c r="R357" s="450"/>
      <c r="S357" s="450"/>
      <c r="T357" s="451"/>
      <c r="U357" s="451" t="s">
        <v>876</v>
      </c>
      <c r="V357" s="58"/>
      <c r="W357" s="58"/>
      <c r="X357" s="59"/>
      <c r="Y357" s="60"/>
      <c r="Z357" s="61"/>
      <c r="AA357" s="60"/>
    </row>
    <row r="358" spans="1:27" ht="26.25" customHeight="1" x14ac:dyDescent="0.25">
      <c r="A358" s="54"/>
      <c r="B358" s="62">
        <v>489</v>
      </c>
      <c r="C358" s="125" t="s">
        <v>1326</v>
      </c>
      <c r="D358" s="74" t="s">
        <v>1021</v>
      </c>
      <c r="E358" s="443" t="s">
        <v>1063</v>
      </c>
      <c r="F358" s="443" t="s">
        <v>142</v>
      </c>
      <c r="G358" s="56" t="s">
        <v>1246</v>
      </c>
      <c r="H358" s="443" t="s">
        <v>93</v>
      </c>
      <c r="I358" s="57" t="s">
        <v>875</v>
      </c>
      <c r="J358" s="443">
        <v>10</v>
      </c>
      <c r="K358" s="443">
        <v>30</v>
      </c>
      <c r="L358" s="443">
        <v>60</v>
      </c>
      <c r="M358" s="443"/>
      <c r="N358" s="443"/>
      <c r="O358" s="124"/>
      <c r="P358" s="124"/>
      <c r="Q358" s="450">
        <v>1</v>
      </c>
      <c r="R358" s="450"/>
      <c r="S358" s="450"/>
      <c r="T358" s="451"/>
      <c r="U358" s="451" t="s">
        <v>876</v>
      </c>
      <c r="V358" s="58"/>
      <c r="W358" s="58"/>
      <c r="X358" s="59"/>
      <c r="Y358" s="60"/>
      <c r="Z358" s="61"/>
      <c r="AA358" s="60"/>
    </row>
    <row r="359" spans="1:27" ht="26.25" customHeight="1" x14ac:dyDescent="0.25">
      <c r="A359" s="54"/>
      <c r="B359" s="62">
        <v>490</v>
      </c>
      <c r="C359" s="125" t="s">
        <v>1327</v>
      </c>
      <c r="D359" s="74" t="s">
        <v>1021</v>
      </c>
      <c r="E359" s="443" t="s">
        <v>1063</v>
      </c>
      <c r="F359" s="443" t="s">
        <v>142</v>
      </c>
      <c r="G359" s="56" t="s">
        <v>1246</v>
      </c>
      <c r="H359" s="443" t="s">
        <v>170</v>
      </c>
      <c r="I359" s="57" t="s">
        <v>875</v>
      </c>
      <c r="J359" s="443">
        <v>10</v>
      </c>
      <c r="K359" s="443">
        <v>30</v>
      </c>
      <c r="L359" s="443">
        <v>60</v>
      </c>
      <c r="M359" s="443"/>
      <c r="N359" s="443"/>
      <c r="O359" s="124"/>
      <c r="P359" s="124"/>
      <c r="Q359" s="450">
        <v>1</v>
      </c>
      <c r="R359" s="450"/>
      <c r="S359" s="450"/>
      <c r="T359" s="451"/>
      <c r="U359" s="451"/>
      <c r="V359" s="58"/>
      <c r="W359" s="58"/>
      <c r="X359" s="59"/>
      <c r="Y359" s="60"/>
      <c r="Z359" s="61"/>
      <c r="AA359" s="60"/>
    </row>
    <row r="360" spans="1:27" ht="26.25" customHeight="1" x14ac:dyDescent="0.25">
      <c r="A360" s="230"/>
      <c r="B360" s="231">
        <v>491</v>
      </c>
      <c r="C360" s="232" t="s">
        <v>1328</v>
      </c>
      <c r="D360" s="74" t="s">
        <v>1021</v>
      </c>
      <c r="E360" s="443" t="s">
        <v>1063</v>
      </c>
      <c r="F360" s="443" t="s">
        <v>142</v>
      </c>
      <c r="G360" s="56" t="s">
        <v>1246</v>
      </c>
      <c r="H360" s="443" t="s">
        <v>93</v>
      </c>
      <c r="I360" s="57" t="s">
        <v>875</v>
      </c>
      <c r="J360" s="443">
        <v>10</v>
      </c>
      <c r="K360" s="443">
        <v>30</v>
      </c>
      <c r="L360" s="443">
        <v>60</v>
      </c>
      <c r="M360" s="113"/>
      <c r="N360" s="113"/>
      <c r="O360" s="206"/>
      <c r="P360" s="206"/>
      <c r="Q360" s="459">
        <v>1</v>
      </c>
      <c r="R360" s="459"/>
      <c r="S360" s="459"/>
      <c r="T360" s="207"/>
      <c r="U360" s="207"/>
      <c r="V360" s="462"/>
      <c r="W360" s="462"/>
      <c r="X360" s="444"/>
      <c r="Y360" s="452"/>
      <c r="Z360" s="454"/>
      <c r="AA360" s="452"/>
    </row>
    <row r="361" spans="1:27" ht="26.25" customHeight="1" x14ac:dyDescent="0.25">
      <c r="A361" s="230"/>
      <c r="B361" s="231">
        <v>492</v>
      </c>
      <c r="C361" s="233" t="s">
        <v>1329</v>
      </c>
      <c r="D361" s="74" t="s">
        <v>1021</v>
      </c>
      <c r="E361" s="443" t="s">
        <v>1063</v>
      </c>
      <c r="F361" s="443" t="s">
        <v>142</v>
      </c>
      <c r="G361" s="56" t="s">
        <v>1246</v>
      </c>
      <c r="H361" s="443" t="s">
        <v>93</v>
      </c>
      <c r="I361" s="57" t="s">
        <v>875</v>
      </c>
      <c r="J361" s="443">
        <v>10</v>
      </c>
      <c r="K361" s="443">
        <v>30</v>
      </c>
      <c r="L361" s="443">
        <v>60</v>
      </c>
      <c r="M361" s="113"/>
      <c r="N361" s="113"/>
      <c r="O361" s="206"/>
      <c r="P361" s="206"/>
      <c r="Q361" s="459">
        <v>1</v>
      </c>
      <c r="R361" s="459"/>
      <c r="S361" s="459"/>
      <c r="T361" s="207"/>
      <c r="U361" s="207"/>
      <c r="V361" s="462"/>
      <c r="W361" s="462"/>
      <c r="X361" s="444"/>
      <c r="Y361" s="452"/>
      <c r="Z361" s="454"/>
      <c r="AA361" s="452"/>
    </row>
    <row r="362" spans="1:27" ht="25.5" customHeight="1" thickBot="1" x14ac:dyDescent="0.3">
      <c r="A362" s="54"/>
      <c r="B362" s="127"/>
      <c r="C362" s="234"/>
      <c r="D362" s="205"/>
      <c r="E362" s="113"/>
      <c r="F362" s="113"/>
      <c r="G362" s="438"/>
      <c r="H362" s="113"/>
      <c r="I362" s="440"/>
      <c r="J362" s="113"/>
      <c r="K362" s="113"/>
      <c r="L362" s="113"/>
      <c r="M362" s="113"/>
      <c r="N362" s="113"/>
      <c r="O362" s="206"/>
      <c r="P362" s="206"/>
      <c r="Q362" s="459"/>
      <c r="R362" s="459"/>
      <c r="S362" s="459"/>
      <c r="T362" s="207"/>
      <c r="U362" s="207"/>
      <c r="V362" s="462"/>
      <c r="W362" s="462"/>
      <c r="X362" s="444"/>
      <c r="Y362" s="452"/>
      <c r="Z362" s="454"/>
      <c r="AA362" s="452"/>
    </row>
    <row r="363" spans="1:27" ht="12.75" customHeight="1" thickBot="1" x14ac:dyDescent="0.3">
      <c r="A363" s="52" t="s">
        <v>1330</v>
      </c>
      <c r="B363" s="84">
        <v>500</v>
      </c>
      <c r="C363" s="85" t="s">
        <v>1331</v>
      </c>
      <c r="D363" s="85" t="s">
        <v>1021</v>
      </c>
      <c r="E363" s="442" t="s">
        <v>1063</v>
      </c>
      <c r="F363" s="442" t="s">
        <v>142</v>
      </c>
      <c r="G363" s="86" t="s">
        <v>1085</v>
      </c>
      <c r="H363" s="442"/>
      <c r="I363" s="87" t="s">
        <v>875</v>
      </c>
      <c r="J363" s="442">
        <v>1</v>
      </c>
      <c r="K363" s="442">
        <v>2</v>
      </c>
      <c r="L363" s="442">
        <v>4</v>
      </c>
      <c r="M363" s="442"/>
      <c r="N363" s="442"/>
      <c r="O363" s="235">
        <v>1</v>
      </c>
      <c r="P363" s="235">
        <v>1</v>
      </c>
      <c r="Q363" s="449">
        <v>1</v>
      </c>
      <c r="R363" s="449">
        <v>1</v>
      </c>
      <c r="S363" s="449"/>
      <c r="T363" s="461"/>
      <c r="U363" s="461" t="s">
        <v>876</v>
      </c>
      <c r="V363" s="88"/>
      <c r="W363" s="88"/>
      <c r="X363" s="89"/>
      <c r="Y363" s="90"/>
      <c r="Z363" s="91"/>
      <c r="AA363" s="90"/>
    </row>
    <row r="364" spans="1:27" ht="12.75" customHeight="1" thickBot="1" x14ac:dyDescent="0.3">
      <c r="A364" s="123"/>
      <c r="B364" s="62">
        <v>501</v>
      </c>
      <c r="C364" s="74" t="s">
        <v>1332</v>
      </c>
      <c r="D364" s="74" t="s">
        <v>1021</v>
      </c>
      <c r="E364" s="443" t="s">
        <v>1063</v>
      </c>
      <c r="F364" s="443" t="s">
        <v>142</v>
      </c>
      <c r="G364" s="56" t="s">
        <v>1072</v>
      </c>
      <c r="H364" s="443" t="s">
        <v>1073</v>
      </c>
      <c r="I364" s="57" t="s">
        <v>875</v>
      </c>
      <c r="J364" s="443">
        <v>1</v>
      </c>
      <c r="K364" s="443">
        <v>3</v>
      </c>
      <c r="L364" s="443">
        <v>6</v>
      </c>
      <c r="M364" s="443"/>
      <c r="N364" s="443"/>
      <c r="O364" s="235">
        <v>1</v>
      </c>
      <c r="P364" s="235">
        <v>1</v>
      </c>
      <c r="Q364" s="450">
        <v>1</v>
      </c>
      <c r="R364" s="450">
        <v>1</v>
      </c>
      <c r="S364" s="450"/>
      <c r="T364" s="451"/>
      <c r="U364" s="451" t="s">
        <v>876</v>
      </c>
      <c r="V364" s="58"/>
      <c r="W364" s="58"/>
      <c r="X364" s="59"/>
      <c r="Y364" s="60"/>
      <c r="Z364" s="61"/>
      <c r="AA364" s="60"/>
    </row>
    <row r="365" spans="1:27" ht="12.75" customHeight="1" thickBot="1" x14ac:dyDescent="0.3">
      <c r="A365" s="126"/>
      <c r="B365" s="62">
        <v>502</v>
      </c>
      <c r="C365" s="74" t="s">
        <v>1333</v>
      </c>
      <c r="D365" s="74" t="s">
        <v>1021</v>
      </c>
      <c r="E365" s="443" t="s">
        <v>1063</v>
      </c>
      <c r="F365" s="443" t="s">
        <v>142</v>
      </c>
      <c r="G365" s="56" t="s">
        <v>1088</v>
      </c>
      <c r="H365" s="443" t="s">
        <v>153</v>
      </c>
      <c r="I365" s="57" t="s">
        <v>875</v>
      </c>
      <c r="J365" s="443">
        <v>1</v>
      </c>
      <c r="K365" s="443">
        <v>3</v>
      </c>
      <c r="L365" s="443">
        <v>6</v>
      </c>
      <c r="M365" s="443"/>
      <c r="N365" s="443"/>
      <c r="O365" s="235">
        <v>1</v>
      </c>
      <c r="P365" s="235">
        <v>1</v>
      </c>
      <c r="Q365" s="450">
        <v>1</v>
      </c>
      <c r="R365" s="450">
        <v>1</v>
      </c>
      <c r="S365" s="450"/>
      <c r="T365" s="451"/>
      <c r="U365" s="451" t="s">
        <v>876</v>
      </c>
      <c r="V365" s="58"/>
      <c r="W365" s="58"/>
      <c r="X365" s="59"/>
      <c r="Y365" s="60"/>
      <c r="Z365" s="61"/>
      <c r="AA365" s="60"/>
    </row>
    <row r="366" spans="1:27" ht="12.75" customHeight="1" thickBot="1" x14ac:dyDescent="0.3">
      <c r="A366" s="126"/>
      <c r="B366" s="62">
        <v>503</v>
      </c>
      <c r="C366" s="74" t="s">
        <v>1334</v>
      </c>
      <c r="D366" s="74" t="s">
        <v>1021</v>
      </c>
      <c r="E366" s="443" t="s">
        <v>1063</v>
      </c>
      <c r="F366" s="443" t="s">
        <v>142</v>
      </c>
      <c r="G366" s="56" t="s">
        <v>1085</v>
      </c>
      <c r="H366" s="443"/>
      <c r="I366" s="57" t="s">
        <v>875</v>
      </c>
      <c r="J366" s="443">
        <v>1</v>
      </c>
      <c r="K366" s="443">
        <v>2</v>
      </c>
      <c r="L366" s="443">
        <v>4</v>
      </c>
      <c r="M366" s="443"/>
      <c r="N366" s="443"/>
      <c r="O366" s="235">
        <v>1</v>
      </c>
      <c r="P366" s="235">
        <v>1</v>
      </c>
      <c r="Q366" s="450">
        <v>1</v>
      </c>
      <c r="R366" s="450">
        <v>1</v>
      </c>
      <c r="S366" s="450"/>
      <c r="T366" s="451"/>
      <c r="U366" s="451" t="s">
        <v>876</v>
      </c>
      <c r="V366" s="58"/>
      <c r="W366" s="58"/>
      <c r="X366" s="59"/>
      <c r="Y366" s="60"/>
      <c r="Z366" s="61"/>
      <c r="AA366" s="60"/>
    </row>
    <row r="367" spans="1:27" ht="12.75" customHeight="1" thickBot="1" x14ac:dyDescent="0.3">
      <c r="A367" s="126"/>
      <c r="B367" s="62">
        <v>504</v>
      </c>
      <c r="C367" s="74" t="s">
        <v>1335</v>
      </c>
      <c r="D367" s="74" t="s">
        <v>1021</v>
      </c>
      <c r="E367" s="443" t="s">
        <v>1063</v>
      </c>
      <c r="F367" s="443" t="s">
        <v>142</v>
      </c>
      <c r="G367" s="56" t="s">
        <v>1072</v>
      </c>
      <c r="H367" s="443" t="s">
        <v>1073</v>
      </c>
      <c r="I367" s="57" t="s">
        <v>875</v>
      </c>
      <c r="J367" s="443">
        <v>1</v>
      </c>
      <c r="K367" s="443">
        <v>3</v>
      </c>
      <c r="L367" s="443">
        <v>6</v>
      </c>
      <c r="M367" s="443"/>
      <c r="N367" s="443"/>
      <c r="O367" s="235">
        <v>1</v>
      </c>
      <c r="P367" s="235">
        <v>1</v>
      </c>
      <c r="Q367" s="450">
        <v>1</v>
      </c>
      <c r="R367" s="450">
        <v>1</v>
      </c>
      <c r="S367" s="138">
        <v>1</v>
      </c>
      <c r="T367" s="451"/>
      <c r="U367" s="451" t="s">
        <v>876</v>
      </c>
      <c r="V367" s="58"/>
      <c r="W367" s="58"/>
      <c r="X367" s="59"/>
      <c r="Y367" s="60"/>
      <c r="Z367" s="61"/>
      <c r="AA367" s="60"/>
    </row>
    <row r="368" spans="1:27" ht="12.75" customHeight="1" thickBot="1" x14ac:dyDescent="0.3">
      <c r="A368" s="126"/>
      <c r="B368" s="62">
        <v>505</v>
      </c>
      <c r="C368" s="74" t="s">
        <v>1336</v>
      </c>
      <c r="D368" s="74" t="s">
        <v>1021</v>
      </c>
      <c r="E368" s="443" t="s">
        <v>1063</v>
      </c>
      <c r="F368" s="443" t="s">
        <v>142</v>
      </c>
      <c r="G368" s="56" t="s">
        <v>1088</v>
      </c>
      <c r="H368" s="443" t="s">
        <v>153</v>
      </c>
      <c r="I368" s="57" t="s">
        <v>875</v>
      </c>
      <c r="J368" s="443">
        <v>1</v>
      </c>
      <c r="K368" s="443">
        <v>3</v>
      </c>
      <c r="L368" s="443">
        <v>6</v>
      </c>
      <c r="M368" s="443"/>
      <c r="N368" s="443"/>
      <c r="O368" s="235">
        <v>1</v>
      </c>
      <c r="P368" s="235">
        <v>1</v>
      </c>
      <c r="Q368" s="450">
        <v>1</v>
      </c>
      <c r="R368" s="450">
        <v>1</v>
      </c>
      <c r="S368" s="450"/>
      <c r="T368" s="451"/>
      <c r="U368" s="451" t="s">
        <v>876</v>
      </c>
      <c r="V368" s="58"/>
      <c r="W368" s="58"/>
      <c r="X368" s="59"/>
      <c r="Y368" s="60"/>
      <c r="Z368" s="61"/>
      <c r="AA368" s="60"/>
    </row>
    <row r="369" spans="1:27" ht="12.75" customHeight="1" thickBot="1" x14ac:dyDescent="0.3">
      <c r="A369" s="126"/>
      <c r="B369" s="62">
        <v>506</v>
      </c>
      <c r="C369" s="74" t="s">
        <v>1337</v>
      </c>
      <c r="D369" s="74" t="s">
        <v>1021</v>
      </c>
      <c r="E369" s="443" t="s">
        <v>1063</v>
      </c>
      <c r="F369" s="443" t="s">
        <v>142</v>
      </c>
      <c r="G369" s="56" t="s">
        <v>1085</v>
      </c>
      <c r="H369" s="443"/>
      <c r="I369" s="57" t="s">
        <v>875</v>
      </c>
      <c r="J369" s="443">
        <v>1</v>
      </c>
      <c r="K369" s="443">
        <v>2</v>
      </c>
      <c r="L369" s="443">
        <v>4</v>
      </c>
      <c r="M369" s="443"/>
      <c r="N369" s="443"/>
      <c r="O369" s="235">
        <v>1</v>
      </c>
      <c r="P369" s="235">
        <v>1</v>
      </c>
      <c r="Q369" s="450">
        <v>1</v>
      </c>
      <c r="R369" s="450">
        <v>1</v>
      </c>
      <c r="S369" s="450"/>
      <c r="T369" s="451"/>
      <c r="U369" s="451" t="s">
        <v>876</v>
      </c>
      <c r="V369" s="58"/>
      <c r="W369" s="58"/>
      <c r="X369" s="59"/>
      <c r="Y369" s="60"/>
      <c r="Z369" s="61"/>
      <c r="AA369" s="60"/>
    </row>
    <row r="370" spans="1:27" ht="12.75" customHeight="1" thickBot="1" x14ac:dyDescent="0.3">
      <c r="A370" s="126"/>
      <c r="B370" s="62">
        <v>507</v>
      </c>
      <c r="C370" s="74" t="s">
        <v>1338</v>
      </c>
      <c r="D370" s="74" t="s">
        <v>1021</v>
      </c>
      <c r="E370" s="443" t="s">
        <v>1063</v>
      </c>
      <c r="F370" s="443" t="s">
        <v>142</v>
      </c>
      <c r="G370" s="56" t="s">
        <v>1072</v>
      </c>
      <c r="H370" s="443" t="s">
        <v>1073</v>
      </c>
      <c r="I370" s="57" t="s">
        <v>875</v>
      </c>
      <c r="J370" s="443">
        <v>1</v>
      </c>
      <c r="K370" s="443">
        <v>3</v>
      </c>
      <c r="L370" s="443">
        <v>6</v>
      </c>
      <c r="M370" s="443"/>
      <c r="N370" s="443"/>
      <c r="O370" s="235">
        <v>1</v>
      </c>
      <c r="P370" s="235">
        <v>1</v>
      </c>
      <c r="Q370" s="450">
        <v>1</v>
      </c>
      <c r="R370" s="450">
        <v>1</v>
      </c>
      <c r="S370" s="450"/>
      <c r="T370" s="451"/>
      <c r="U370" s="451" t="s">
        <v>876</v>
      </c>
      <c r="V370" s="58"/>
      <c r="W370" s="58"/>
      <c r="X370" s="59"/>
      <c r="Y370" s="60"/>
      <c r="Z370" s="61"/>
      <c r="AA370" s="60"/>
    </row>
    <row r="371" spans="1:27" ht="12.75" customHeight="1" thickBot="1" x14ac:dyDescent="0.3">
      <c r="A371" s="126"/>
      <c r="B371" s="62">
        <v>508</v>
      </c>
      <c r="C371" s="74" t="s">
        <v>1339</v>
      </c>
      <c r="D371" s="74" t="s">
        <v>1021</v>
      </c>
      <c r="E371" s="443" t="s">
        <v>1063</v>
      </c>
      <c r="F371" s="443" t="s">
        <v>142</v>
      </c>
      <c r="G371" s="56" t="s">
        <v>1088</v>
      </c>
      <c r="H371" s="443" t="s">
        <v>153</v>
      </c>
      <c r="I371" s="57" t="s">
        <v>875</v>
      </c>
      <c r="J371" s="443">
        <v>1</v>
      </c>
      <c r="K371" s="443">
        <v>3</v>
      </c>
      <c r="L371" s="443">
        <v>6</v>
      </c>
      <c r="M371" s="443"/>
      <c r="N371" s="443"/>
      <c r="O371" s="235">
        <v>1</v>
      </c>
      <c r="P371" s="235">
        <v>1</v>
      </c>
      <c r="Q371" s="450">
        <v>1</v>
      </c>
      <c r="R371" s="450">
        <v>1</v>
      </c>
      <c r="S371" s="450"/>
      <c r="T371" s="451"/>
      <c r="U371" s="451" t="s">
        <v>876</v>
      </c>
      <c r="V371" s="58"/>
      <c r="W371" s="58"/>
      <c r="X371" s="59"/>
      <c r="Y371" s="60"/>
      <c r="Z371" s="61"/>
      <c r="AA371" s="60"/>
    </row>
    <row r="372" spans="1:27" ht="13.8" thickBot="1" x14ac:dyDescent="0.3">
      <c r="A372" s="126"/>
      <c r="B372" s="62">
        <v>509</v>
      </c>
      <c r="C372" s="125" t="s">
        <v>1340</v>
      </c>
      <c r="D372" s="74" t="s">
        <v>1021</v>
      </c>
      <c r="E372" s="443" t="s">
        <v>1063</v>
      </c>
      <c r="F372" s="443" t="s">
        <v>142</v>
      </c>
      <c r="G372" s="56" t="s">
        <v>1085</v>
      </c>
      <c r="H372" s="443"/>
      <c r="I372" s="57" t="s">
        <v>875</v>
      </c>
      <c r="J372" s="443">
        <v>1</v>
      </c>
      <c r="K372" s="443">
        <v>2</v>
      </c>
      <c r="L372" s="443">
        <v>4</v>
      </c>
      <c r="M372" s="443"/>
      <c r="N372" s="443"/>
      <c r="O372" s="235">
        <v>1</v>
      </c>
      <c r="P372" s="235">
        <v>1</v>
      </c>
      <c r="Q372" s="450">
        <v>1</v>
      </c>
      <c r="R372" s="450">
        <v>1</v>
      </c>
      <c r="S372" s="450"/>
      <c r="T372" s="451"/>
      <c r="U372" s="451" t="s">
        <v>876</v>
      </c>
      <c r="V372" s="58"/>
      <c r="W372" s="58"/>
      <c r="X372" s="59"/>
      <c r="Y372" s="60"/>
      <c r="Z372" s="61"/>
      <c r="AA372" s="60"/>
    </row>
    <row r="373" spans="1:27" ht="12.75" customHeight="1" thickBot="1" x14ac:dyDescent="0.3">
      <c r="A373" s="126"/>
      <c r="B373" s="62">
        <v>510</v>
      </c>
      <c r="C373" s="125" t="s">
        <v>1341</v>
      </c>
      <c r="D373" s="74" t="s">
        <v>1021</v>
      </c>
      <c r="E373" s="443" t="s">
        <v>1063</v>
      </c>
      <c r="F373" s="443" t="s">
        <v>142</v>
      </c>
      <c r="G373" s="56" t="s">
        <v>1072</v>
      </c>
      <c r="H373" s="443" t="s">
        <v>1073</v>
      </c>
      <c r="I373" s="57" t="s">
        <v>875</v>
      </c>
      <c r="J373" s="443">
        <v>1</v>
      </c>
      <c r="K373" s="443">
        <v>3</v>
      </c>
      <c r="L373" s="443">
        <v>6</v>
      </c>
      <c r="M373" s="443"/>
      <c r="N373" s="443"/>
      <c r="O373" s="235">
        <v>1</v>
      </c>
      <c r="P373" s="235">
        <v>1</v>
      </c>
      <c r="Q373" s="450">
        <v>1</v>
      </c>
      <c r="R373" s="450">
        <v>1</v>
      </c>
      <c r="S373" s="450">
        <v>1</v>
      </c>
      <c r="T373" s="451"/>
      <c r="U373" s="451" t="s">
        <v>876</v>
      </c>
      <c r="V373" s="58"/>
      <c r="W373" s="58"/>
      <c r="X373" s="59"/>
      <c r="Y373" s="60"/>
      <c r="Z373" s="61"/>
      <c r="AA373" s="60"/>
    </row>
    <row r="374" spans="1:27" ht="13.8" thickBot="1" x14ac:dyDescent="0.3">
      <c r="A374" s="126"/>
      <c r="B374" s="62">
        <v>511</v>
      </c>
      <c r="C374" s="74" t="s">
        <v>1342</v>
      </c>
      <c r="D374" s="74" t="s">
        <v>1021</v>
      </c>
      <c r="E374" s="443" t="s">
        <v>1063</v>
      </c>
      <c r="F374" s="443" t="s">
        <v>142</v>
      </c>
      <c r="G374" s="56" t="s">
        <v>1088</v>
      </c>
      <c r="H374" s="443" t="s">
        <v>153</v>
      </c>
      <c r="I374" s="57" t="s">
        <v>875</v>
      </c>
      <c r="J374" s="443">
        <v>1</v>
      </c>
      <c r="K374" s="443">
        <v>3</v>
      </c>
      <c r="L374" s="443">
        <v>6</v>
      </c>
      <c r="M374" s="443"/>
      <c r="N374" s="443"/>
      <c r="O374" s="235">
        <v>1</v>
      </c>
      <c r="P374" s="235">
        <v>1</v>
      </c>
      <c r="Q374" s="450">
        <v>1</v>
      </c>
      <c r="R374" s="450">
        <v>1</v>
      </c>
      <c r="S374" s="450"/>
      <c r="T374" s="451"/>
      <c r="U374" s="451" t="s">
        <v>876</v>
      </c>
      <c r="V374" s="58"/>
      <c r="W374" s="58"/>
      <c r="X374" s="59"/>
      <c r="Y374" s="60"/>
      <c r="Z374" s="61"/>
      <c r="AA374" s="60"/>
    </row>
    <row r="375" spans="1:27" ht="13.8" thickBot="1" x14ac:dyDescent="0.3">
      <c r="A375" s="126"/>
      <c r="B375" s="62">
        <v>512</v>
      </c>
      <c r="C375" s="74" t="s">
        <v>1343</v>
      </c>
      <c r="D375" s="74" t="s">
        <v>1021</v>
      </c>
      <c r="E375" s="443" t="s">
        <v>1063</v>
      </c>
      <c r="F375" s="443" t="s">
        <v>142</v>
      </c>
      <c r="G375" s="56" t="s">
        <v>1085</v>
      </c>
      <c r="H375" s="443"/>
      <c r="I375" s="57" t="s">
        <v>875</v>
      </c>
      <c r="J375" s="443">
        <v>1</v>
      </c>
      <c r="K375" s="443">
        <v>2</v>
      </c>
      <c r="L375" s="443">
        <v>4</v>
      </c>
      <c r="M375" s="443"/>
      <c r="N375" s="443"/>
      <c r="O375" s="235">
        <v>1</v>
      </c>
      <c r="P375" s="235">
        <v>1</v>
      </c>
      <c r="Q375" s="450">
        <v>1</v>
      </c>
      <c r="R375" s="450">
        <v>1</v>
      </c>
      <c r="S375" s="450">
        <v>1</v>
      </c>
      <c r="T375" s="451"/>
      <c r="U375" s="451" t="s">
        <v>876</v>
      </c>
      <c r="V375" s="58"/>
      <c r="W375" s="58"/>
      <c r="X375" s="59"/>
      <c r="Y375" s="60"/>
      <c r="Z375" s="61"/>
      <c r="AA375" s="60"/>
    </row>
    <row r="376" spans="1:27" ht="12.75" customHeight="1" thickBot="1" x14ac:dyDescent="0.3">
      <c r="A376" s="126"/>
      <c r="B376" s="62">
        <v>513</v>
      </c>
      <c r="C376" s="74" t="s">
        <v>1344</v>
      </c>
      <c r="D376" s="74" t="s">
        <v>1021</v>
      </c>
      <c r="E376" s="443" t="s">
        <v>1063</v>
      </c>
      <c r="F376" s="443" t="s">
        <v>142</v>
      </c>
      <c r="G376" s="56" t="s">
        <v>1085</v>
      </c>
      <c r="H376" s="443"/>
      <c r="I376" s="57" t="s">
        <v>875</v>
      </c>
      <c r="J376" s="443">
        <v>1</v>
      </c>
      <c r="K376" s="443">
        <v>2</v>
      </c>
      <c r="L376" s="443">
        <v>4</v>
      </c>
      <c r="M376" s="443"/>
      <c r="N376" s="443"/>
      <c r="O376" s="235">
        <v>1</v>
      </c>
      <c r="P376" s="235">
        <v>1</v>
      </c>
      <c r="Q376" s="450">
        <v>1</v>
      </c>
      <c r="R376" s="450">
        <v>1</v>
      </c>
      <c r="S376" s="450">
        <v>1</v>
      </c>
      <c r="T376" s="451"/>
      <c r="U376" s="451" t="s">
        <v>876</v>
      </c>
      <c r="V376" s="58"/>
      <c r="W376" s="58"/>
      <c r="X376" s="59"/>
      <c r="Y376" s="60"/>
      <c r="Z376" s="61"/>
      <c r="AA376" s="60"/>
    </row>
    <row r="377" spans="1:27" ht="12.75" customHeight="1" thickBot="1" x14ac:dyDescent="0.3">
      <c r="A377" s="126"/>
      <c r="B377" s="62">
        <v>514</v>
      </c>
      <c r="C377" s="74" t="s">
        <v>1345</v>
      </c>
      <c r="D377" s="74" t="s">
        <v>1021</v>
      </c>
      <c r="E377" s="443" t="s">
        <v>1063</v>
      </c>
      <c r="F377" s="443" t="s">
        <v>142</v>
      </c>
      <c r="G377" s="56" t="s">
        <v>1085</v>
      </c>
      <c r="H377" s="443"/>
      <c r="I377" s="57" t="s">
        <v>875</v>
      </c>
      <c r="J377" s="443">
        <v>1</v>
      </c>
      <c r="K377" s="443">
        <v>2</v>
      </c>
      <c r="L377" s="443">
        <v>4</v>
      </c>
      <c r="M377" s="443"/>
      <c r="N377" s="443"/>
      <c r="O377" s="235">
        <v>1</v>
      </c>
      <c r="P377" s="124"/>
      <c r="Q377" s="450">
        <v>1</v>
      </c>
      <c r="R377" s="450"/>
      <c r="S377" s="450"/>
      <c r="T377" s="451"/>
      <c r="U377" s="451" t="s">
        <v>876</v>
      </c>
      <c r="V377" s="58"/>
      <c r="W377" s="58"/>
      <c r="X377" s="59"/>
      <c r="Y377" s="60"/>
      <c r="Z377" s="61"/>
      <c r="AA377" s="60"/>
    </row>
    <row r="378" spans="1:27" ht="12.75" customHeight="1" thickBot="1" x14ac:dyDescent="0.3">
      <c r="A378" s="126"/>
      <c r="B378" s="62">
        <v>515</v>
      </c>
      <c r="C378" s="74" t="s">
        <v>1346</v>
      </c>
      <c r="D378" s="74" t="s">
        <v>1021</v>
      </c>
      <c r="E378" s="443" t="s">
        <v>1063</v>
      </c>
      <c r="F378" s="443" t="s">
        <v>142</v>
      </c>
      <c r="G378" s="56" t="s">
        <v>1347</v>
      </c>
      <c r="H378" s="443"/>
      <c r="I378" s="57" t="s">
        <v>875</v>
      </c>
      <c r="J378" s="443">
        <v>1</v>
      </c>
      <c r="K378" s="443">
        <v>2</v>
      </c>
      <c r="L378" s="443">
        <v>4</v>
      </c>
      <c r="M378" s="443"/>
      <c r="N378" s="443"/>
      <c r="O378" s="235">
        <v>1</v>
      </c>
      <c r="P378" s="235">
        <v>1</v>
      </c>
      <c r="Q378" s="450">
        <v>1</v>
      </c>
      <c r="R378" s="450">
        <v>1</v>
      </c>
      <c r="S378" s="450"/>
      <c r="T378" s="451"/>
      <c r="U378" s="451" t="s">
        <v>876</v>
      </c>
      <c r="V378" s="58"/>
      <c r="W378" s="58"/>
      <c r="X378" s="59"/>
      <c r="Y378" s="60"/>
      <c r="Z378" s="61"/>
      <c r="AA378" s="60"/>
    </row>
    <row r="379" spans="1:27" ht="12.75" customHeight="1" thickBot="1" x14ac:dyDescent="0.3">
      <c r="A379" s="126"/>
      <c r="B379" s="62">
        <v>516</v>
      </c>
      <c r="C379" s="125" t="s">
        <v>1348</v>
      </c>
      <c r="D379" s="74" t="s">
        <v>1021</v>
      </c>
      <c r="E379" s="443" t="s">
        <v>1063</v>
      </c>
      <c r="F379" s="443" t="s">
        <v>142</v>
      </c>
      <c r="G379" s="56" t="s">
        <v>1085</v>
      </c>
      <c r="H379" s="443"/>
      <c r="I379" s="57" t="s">
        <v>875</v>
      </c>
      <c r="J379" s="443">
        <v>1</v>
      </c>
      <c r="K379" s="443">
        <v>2</v>
      </c>
      <c r="L379" s="443">
        <v>4</v>
      </c>
      <c r="M379" s="443"/>
      <c r="N379" s="443"/>
      <c r="O379" s="235">
        <v>1</v>
      </c>
      <c r="P379" s="235">
        <v>1</v>
      </c>
      <c r="Q379" s="450">
        <v>1</v>
      </c>
      <c r="R379" s="450">
        <v>1</v>
      </c>
      <c r="S379" s="450"/>
      <c r="T379" s="451"/>
      <c r="U379" s="451" t="s">
        <v>876</v>
      </c>
      <c r="V379" s="58"/>
      <c r="W379" s="58"/>
      <c r="X379" s="59"/>
      <c r="Y379" s="60"/>
      <c r="Z379" s="61"/>
      <c r="AA379" s="60"/>
    </row>
    <row r="380" spans="1:27" ht="12.75" customHeight="1" thickBot="1" x14ac:dyDescent="0.3">
      <c r="A380" s="126"/>
      <c r="B380" s="62">
        <v>517</v>
      </c>
      <c r="C380" s="125" t="s">
        <v>1349</v>
      </c>
      <c r="D380" s="74" t="s">
        <v>1021</v>
      </c>
      <c r="E380" s="443" t="s">
        <v>1063</v>
      </c>
      <c r="F380" s="443" t="s">
        <v>142</v>
      </c>
      <c r="G380" s="56" t="s">
        <v>1072</v>
      </c>
      <c r="H380" s="443" t="s">
        <v>1073</v>
      </c>
      <c r="I380" s="57" t="s">
        <v>875</v>
      </c>
      <c r="J380" s="443">
        <v>1</v>
      </c>
      <c r="K380" s="443">
        <v>3</v>
      </c>
      <c r="L380" s="443">
        <v>6</v>
      </c>
      <c r="M380" s="443"/>
      <c r="N380" s="443"/>
      <c r="O380" s="235">
        <v>1</v>
      </c>
      <c r="P380" s="235">
        <v>1</v>
      </c>
      <c r="Q380" s="450">
        <v>1</v>
      </c>
      <c r="R380" s="450">
        <v>1</v>
      </c>
      <c r="S380" s="450"/>
      <c r="T380" s="451"/>
      <c r="U380" s="451" t="s">
        <v>876</v>
      </c>
      <c r="V380" s="58"/>
      <c r="W380" s="58"/>
      <c r="X380" s="59"/>
      <c r="Y380" s="60"/>
      <c r="Z380" s="61"/>
      <c r="AA380" s="60"/>
    </row>
    <row r="381" spans="1:27" ht="13.8" thickBot="1" x14ac:dyDescent="0.3">
      <c r="A381" s="126"/>
      <c r="B381" s="62">
        <v>518</v>
      </c>
      <c r="C381" s="74" t="s">
        <v>1350</v>
      </c>
      <c r="D381" s="74" t="s">
        <v>1021</v>
      </c>
      <c r="E381" s="443" t="s">
        <v>1063</v>
      </c>
      <c r="F381" s="443" t="s">
        <v>142</v>
      </c>
      <c r="G381" s="56" t="s">
        <v>1088</v>
      </c>
      <c r="H381" s="443" t="s">
        <v>153</v>
      </c>
      <c r="I381" s="57" t="s">
        <v>875</v>
      </c>
      <c r="J381" s="443">
        <v>1</v>
      </c>
      <c r="K381" s="443">
        <v>3</v>
      </c>
      <c r="L381" s="443">
        <v>6</v>
      </c>
      <c r="M381" s="443"/>
      <c r="N381" s="443"/>
      <c r="O381" s="235">
        <v>1</v>
      </c>
      <c r="P381" s="235">
        <v>1</v>
      </c>
      <c r="Q381" s="450">
        <v>1</v>
      </c>
      <c r="R381" s="450">
        <v>1</v>
      </c>
      <c r="S381" s="450"/>
      <c r="T381" s="451"/>
      <c r="U381" s="451" t="s">
        <v>876</v>
      </c>
      <c r="V381" s="58"/>
      <c r="W381" s="58"/>
      <c r="X381" s="59"/>
      <c r="Y381" s="60"/>
      <c r="Z381" s="61"/>
      <c r="AA381" s="60"/>
    </row>
    <row r="382" spans="1:27" ht="13.8" thickBot="1" x14ac:dyDescent="0.3">
      <c r="A382" s="126"/>
      <c r="B382" s="62">
        <v>519</v>
      </c>
      <c r="C382" s="74" t="s">
        <v>1351</v>
      </c>
      <c r="D382" s="74" t="s">
        <v>1021</v>
      </c>
      <c r="E382" s="443" t="s">
        <v>1063</v>
      </c>
      <c r="F382" s="443" t="s">
        <v>142</v>
      </c>
      <c r="G382" s="56" t="s">
        <v>1072</v>
      </c>
      <c r="H382" s="443" t="s">
        <v>1073</v>
      </c>
      <c r="I382" s="57" t="s">
        <v>875</v>
      </c>
      <c r="J382" s="443">
        <v>1</v>
      </c>
      <c r="K382" s="443">
        <v>3</v>
      </c>
      <c r="L382" s="443">
        <v>6</v>
      </c>
      <c r="M382" s="443"/>
      <c r="N382" s="443"/>
      <c r="O382" s="235">
        <v>1</v>
      </c>
      <c r="P382" s="235">
        <v>1</v>
      </c>
      <c r="Q382" s="450">
        <v>1</v>
      </c>
      <c r="R382" s="450">
        <v>1</v>
      </c>
      <c r="S382" s="450">
        <v>1</v>
      </c>
      <c r="T382" s="451"/>
      <c r="U382" s="451" t="s">
        <v>876</v>
      </c>
      <c r="V382" s="58"/>
      <c r="W382" s="58"/>
      <c r="X382" s="59"/>
      <c r="Y382" s="60"/>
      <c r="Z382" s="61"/>
      <c r="AA382" s="60"/>
    </row>
    <row r="383" spans="1:27" ht="12.75" customHeight="1" thickBot="1" x14ac:dyDescent="0.3">
      <c r="A383" s="126"/>
      <c r="B383" s="62">
        <v>520</v>
      </c>
      <c r="C383" s="74" t="s">
        <v>1352</v>
      </c>
      <c r="D383" s="74" t="s">
        <v>1021</v>
      </c>
      <c r="E383" s="443" t="s">
        <v>1063</v>
      </c>
      <c r="F383" s="443" t="s">
        <v>142</v>
      </c>
      <c r="G383" s="56" t="s">
        <v>1072</v>
      </c>
      <c r="H383" s="443" t="s">
        <v>1073</v>
      </c>
      <c r="I383" s="57" t="s">
        <v>875</v>
      </c>
      <c r="J383" s="443">
        <v>1</v>
      </c>
      <c r="K383" s="443">
        <v>3</v>
      </c>
      <c r="L383" s="443">
        <v>6</v>
      </c>
      <c r="M383" s="443"/>
      <c r="N383" s="443"/>
      <c r="O383" s="235">
        <v>1</v>
      </c>
      <c r="P383" s="235">
        <v>1</v>
      </c>
      <c r="Q383" s="450">
        <v>1</v>
      </c>
      <c r="R383" s="450">
        <v>1</v>
      </c>
      <c r="S383" s="450">
        <v>1</v>
      </c>
      <c r="T383" s="451"/>
      <c r="U383" s="451" t="s">
        <v>876</v>
      </c>
      <c r="V383" s="58"/>
      <c r="W383" s="58"/>
      <c r="X383" s="59"/>
      <c r="Y383" s="60"/>
      <c r="Z383" s="61"/>
      <c r="AA383" s="60"/>
    </row>
    <row r="384" spans="1:27" ht="13.8" thickBot="1" x14ac:dyDescent="0.3">
      <c r="A384" s="82"/>
      <c r="B384" s="62">
        <v>521</v>
      </c>
      <c r="C384" s="74" t="s">
        <v>1353</v>
      </c>
      <c r="D384" s="74" t="s">
        <v>1021</v>
      </c>
      <c r="E384" s="443" t="s">
        <v>1063</v>
      </c>
      <c r="F384" s="443" t="s">
        <v>142</v>
      </c>
      <c r="G384" s="56" t="s">
        <v>1072</v>
      </c>
      <c r="H384" s="443" t="s">
        <v>1073</v>
      </c>
      <c r="I384" s="57" t="s">
        <v>875</v>
      </c>
      <c r="J384" s="443">
        <v>1</v>
      </c>
      <c r="K384" s="443">
        <v>3</v>
      </c>
      <c r="L384" s="443">
        <v>6</v>
      </c>
      <c r="M384" s="443"/>
      <c r="N384" s="443"/>
      <c r="O384" s="235">
        <v>1</v>
      </c>
      <c r="P384" s="124"/>
      <c r="Q384" s="450">
        <v>1</v>
      </c>
      <c r="R384" s="450"/>
      <c r="S384" s="450"/>
      <c r="T384" s="451"/>
      <c r="U384" s="451" t="s">
        <v>876</v>
      </c>
      <c r="V384" s="58"/>
      <c r="W384" s="58"/>
      <c r="X384" s="59"/>
      <c r="Y384" s="60"/>
      <c r="Z384" s="61"/>
      <c r="AA384" s="60"/>
    </row>
    <row r="385" spans="1:27" ht="13.8" thickBot="1" x14ac:dyDescent="0.3">
      <c r="A385" s="82"/>
      <c r="B385" s="140">
        <v>522</v>
      </c>
      <c r="C385" s="133" t="s">
        <v>1354</v>
      </c>
      <c r="D385" s="74" t="s">
        <v>1021</v>
      </c>
      <c r="E385" s="443" t="s">
        <v>1063</v>
      </c>
      <c r="F385" s="443" t="s">
        <v>142</v>
      </c>
      <c r="G385" s="56" t="s">
        <v>1088</v>
      </c>
      <c r="H385" s="443" t="s">
        <v>153</v>
      </c>
      <c r="I385" s="57" t="s">
        <v>875</v>
      </c>
      <c r="J385" s="443">
        <v>1</v>
      </c>
      <c r="K385" s="443">
        <v>3</v>
      </c>
      <c r="L385" s="443">
        <v>6</v>
      </c>
      <c r="M385" s="443"/>
      <c r="N385" s="443"/>
      <c r="O385" s="235">
        <v>1</v>
      </c>
      <c r="P385" s="235">
        <v>1</v>
      </c>
      <c r="Q385" s="450">
        <v>1</v>
      </c>
      <c r="R385" s="450">
        <v>1</v>
      </c>
      <c r="S385" s="450">
        <v>1</v>
      </c>
      <c r="T385" s="135"/>
      <c r="U385" s="135"/>
      <c r="V385" s="458"/>
      <c r="W385" s="458"/>
      <c r="X385" s="445"/>
      <c r="Y385" s="453"/>
      <c r="Z385" s="455"/>
      <c r="AA385" s="453"/>
    </row>
    <row r="386" spans="1:27" ht="12.75" customHeight="1" thickBot="1" x14ac:dyDescent="0.3">
      <c r="A386" s="82"/>
      <c r="B386" s="140">
        <v>523</v>
      </c>
      <c r="C386" s="74" t="s">
        <v>1355</v>
      </c>
      <c r="D386" s="74" t="s">
        <v>1021</v>
      </c>
      <c r="E386" s="443" t="s">
        <v>1063</v>
      </c>
      <c r="F386" s="443" t="s">
        <v>142</v>
      </c>
      <c r="G386" s="56" t="s">
        <v>1088</v>
      </c>
      <c r="H386" s="443" t="s">
        <v>153</v>
      </c>
      <c r="I386" s="57" t="s">
        <v>875</v>
      </c>
      <c r="J386" s="443">
        <v>1</v>
      </c>
      <c r="K386" s="443">
        <v>3</v>
      </c>
      <c r="L386" s="443">
        <v>6</v>
      </c>
      <c r="M386" s="443"/>
      <c r="N386" s="443"/>
      <c r="O386" s="235">
        <v>1</v>
      </c>
      <c r="P386" s="235">
        <v>1</v>
      </c>
      <c r="Q386" s="450">
        <v>1</v>
      </c>
      <c r="R386" s="450">
        <v>1</v>
      </c>
      <c r="S386" s="450">
        <v>1</v>
      </c>
      <c r="T386" s="135"/>
      <c r="U386" s="135"/>
      <c r="V386" s="458"/>
      <c r="W386" s="458"/>
      <c r="X386" s="445"/>
      <c r="Y386" s="453"/>
      <c r="Z386" s="455"/>
      <c r="AA386" s="453"/>
    </row>
    <row r="387" spans="1:27" ht="12.75" customHeight="1" thickBot="1" x14ac:dyDescent="0.3">
      <c r="A387" s="236"/>
      <c r="B387" s="62">
        <v>524</v>
      </c>
      <c r="C387" s="125" t="s">
        <v>1356</v>
      </c>
      <c r="D387" s="74" t="s">
        <v>1021</v>
      </c>
      <c r="E387" s="443" t="s">
        <v>1063</v>
      </c>
      <c r="F387" s="443" t="s">
        <v>142</v>
      </c>
      <c r="G387" s="56" t="s">
        <v>1085</v>
      </c>
      <c r="H387" s="443"/>
      <c r="I387" s="57" t="s">
        <v>875</v>
      </c>
      <c r="J387" s="443">
        <v>1</v>
      </c>
      <c r="K387" s="443">
        <v>2</v>
      </c>
      <c r="L387" s="443">
        <v>4</v>
      </c>
      <c r="M387" s="443"/>
      <c r="N387" s="443"/>
      <c r="O387" s="235">
        <v>1</v>
      </c>
      <c r="P387" s="235">
        <v>1</v>
      </c>
      <c r="Q387" s="450">
        <v>1</v>
      </c>
      <c r="R387" s="450">
        <v>1</v>
      </c>
      <c r="S387" s="450"/>
      <c r="T387" s="451"/>
      <c r="U387" s="451" t="s">
        <v>876</v>
      </c>
      <c r="V387" s="58"/>
      <c r="W387" s="58"/>
      <c r="X387" s="59"/>
      <c r="Y387" s="60"/>
      <c r="Z387" s="61"/>
      <c r="AA387" s="60"/>
    </row>
    <row r="388" spans="1:27" ht="12.75" customHeight="1" thickBot="1" x14ac:dyDescent="0.3">
      <c r="A388" s="126"/>
      <c r="B388" s="62">
        <v>525</v>
      </c>
      <c r="C388" s="125" t="s">
        <v>1357</v>
      </c>
      <c r="D388" s="74" t="s">
        <v>1021</v>
      </c>
      <c r="E388" s="443" t="s">
        <v>1063</v>
      </c>
      <c r="F388" s="443" t="s">
        <v>142</v>
      </c>
      <c r="G388" s="56" t="s">
        <v>1072</v>
      </c>
      <c r="H388" s="443" t="s">
        <v>1073</v>
      </c>
      <c r="I388" s="57" t="s">
        <v>875</v>
      </c>
      <c r="J388" s="443">
        <v>1</v>
      </c>
      <c r="K388" s="443">
        <v>3</v>
      </c>
      <c r="L388" s="443">
        <v>6</v>
      </c>
      <c r="M388" s="443"/>
      <c r="N388" s="443"/>
      <c r="O388" s="235">
        <v>1</v>
      </c>
      <c r="P388" s="235">
        <v>1</v>
      </c>
      <c r="Q388" s="450">
        <v>1</v>
      </c>
      <c r="R388" s="450">
        <v>1</v>
      </c>
      <c r="S388" s="450"/>
      <c r="T388" s="451"/>
      <c r="U388" s="451" t="s">
        <v>876</v>
      </c>
      <c r="V388" s="58"/>
      <c r="W388" s="58"/>
      <c r="X388" s="59"/>
      <c r="Y388" s="60"/>
      <c r="Z388" s="61"/>
      <c r="AA388" s="60"/>
    </row>
    <row r="389" spans="1:27" ht="12.75" customHeight="1" thickBot="1" x14ac:dyDescent="0.3">
      <c r="A389" s="126"/>
      <c r="B389" s="62">
        <v>526</v>
      </c>
      <c r="C389" s="74" t="s">
        <v>1358</v>
      </c>
      <c r="D389" s="74" t="s">
        <v>1021</v>
      </c>
      <c r="E389" s="443" t="s">
        <v>1063</v>
      </c>
      <c r="F389" s="443" t="s">
        <v>142</v>
      </c>
      <c r="G389" s="56" t="s">
        <v>1088</v>
      </c>
      <c r="H389" s="443" t="s">
        <v>153</v>
      </c>
      <c r="I389" s="57" t="s">
        <v>875</v>
      </c>
      <c r="J389" s="443">
        <v>1</v>
      </c>
      <c r="K389" s="443">
        <v>3</v>
      </c>
      <c r="L389" s="443">
        <v>6</v>
      </c>
      <c r="M389" s="443"/>
      <c r="N389" s="443"/>
      <c r="O389" s="235">
        <v>1</v>
      </c>
      <c r="P389" s="235">
        <v>1</v>
      </c>
      <c r="Q389" s="450">
        <v>1</v>
      </c>
      <c r="R389" s="450">
        <v>1</v>
      </c>
      <c r="S389" s="450"/>
      <c r="T389" s="451"/>
      <c r="U389" s="451" t="s">
        <v>876</v>
      </c>
      <c r="V389" s="58"/>
      <c r="W389" s="58"/>
      <c r="X389" s="59"/>
      <c r="Y389" s="60"/>
      <c r="Z389" s="61"/>
      <c r="AA389" s="60"/>
    </row>
    <row r="390" spans="1:27" ht="12.75" customHeight="1" thickBot="1" x14ac:dyDescent="0.3">
      <c r="A390" s="236"/>
      <c r="B390" s="62">
        <v>527</v>
      </c>
      <c r="C390" s="125" t="s">
        <v>1359</v>
      </c>
      <c r="D390" s="74" t="s">
        <v>1021</v>
      </c>
      <c r="E390" s="443" t="s">
        <v>1063</v>
      </c>
      <c r="F390" s="443" t="s">
        <v>142</v>
      </c>
      <c r="G390" s="56" t="s">
        <v>1085</v>
      </c>
      <c r="H390" s="443"/>
      <c r="I390" s="57" t="s">
        <v>875</v>
      </c>
      <c r="J390" s="443">
        <v>1</v>
      </c>
      <c r="K390" s="443">
        <v>2</v>
      </c>
      <c r="L390" s="443">
        <v>4</v>
      </c>
      <c r="M390" s="443"/>
      <c r="N390" s="443"/>
      <c r="O390" s="235">
        <v>1</v>
      </c>
      <c r="P390" s="235">
        <v>1</v>
      </c>
      <c r="Q390" s="450">
        <v>1</v>
      </c>
      <c r="R390" s="450">
        <v>1</v>
      </c>
      <c r="S390" s="450"/>
      <c r="T390" s="451"/>
      <c r="U390" s="451" t="s">
        <v>876</v>
      </c>
      <c r="V390" s="58"/>
      <c r="W390" s="58"/>
      <c r="X390" s="59"/>
      <c r="Y390" s="60"/>
      <c r="Z390" s="61"/>
      <c r="AA390" s="60"/>
    </row>
    <row r="391" spans="1:27" ht="12.75" customHeight="1" thickBot="1" x14ac:dyDescent="0.3">
      <c r="A391" s="126"/>
      <c r="B391" s="62">
        <v>528</v>
      </c>
      <c r="C391" s="125" t="s">
        <v>1360</v>
      </c>
      <c r="D391" s="74" t="s">
        <v>1021</v>
      </c>
      <c r="E391" s="443" t="s">
        <v>1063</v>
      </c>
      <c r="F391" s="443" t="s">
        <v>142</v>
      </c>
      <c r="G391" s="56" t="s">
        <v>1072</v>
      </c>
      <c r="H391" s="443" t="s">
        <v>1073</v>
      </c>
      <c r="I391" s="57" t="s">
        <v>875</v>
      </c>
      <c r="J391" s="443">
        <v>1</v>
      </c>
      <c r="K391" s="443">
        <v>3</v>
      </c>
      <c r="L391" s="443">
        <v>6</v>
      </c>
      <c r="M391" s="443"/>
      <c r="N391" s="443"/>
      <c r="O391" s="235">
        <v>1</v>
      </c>
      <c r="P391" s="235">
        <v>1</v>
      </c>
      <c r="Q391" s="450">
        <v>1</v>
      </c>
      <c r="R391" s="450">
        <v>1</v>
      </c>
      <c r="S391" s="450"/>
      <c r="T391" s="451"/>
      <c r="U391" s="451" t="s">
        <v>876</v>
      </c>
      <c r="V391" s="58"/>
      <c r="W391" s="58"/>
      <c r="X391" s="59"/>
      <c r="Y391" s="60"/>
      <c r="Z391" s="61"/>
      <c r="AA391" s="60"/>
    </row>
    <row r="392" spans="1:27" ht="12.75" customHeight="1" thickBot="1" x14ac:dyDescent="0.3">
      <c r="A392" s="126"/>
      <c r="B392" s="62">
        <v>529</v>
      </c>
      <c r="C392" s="74" t="s">
        <v>1361</v>
      </c>
      <c r="D392" s="74" t="s">
        <v>1021</v>
      </c>
      <c r="E392" s="443" t="s">
        <v>1063</v>
      </c>
      <c r="F392" s="443" t="s">
        <v>142</v>
      </c>
      <c r="G392" s="56" t="s">
        <v>1072</v>
      </c>
      <c r="H392" s="443" t="s">
        <v>153</v>
      </c>
      <c r="I392" s="57" t="s">
        <v>875</v>
      </c>
      <c r="J392" s="443">
        <v>1</v>
      </c>
      <c r="K392" s="443">
        <v>3</v>
      </c>
      <c r="L392" s="443">
        <v>6</v>
      </c>
      <c r="M392" s="443"/>
      <c r="N392" s="443"/>
      <c r="O392" s="235">
        <v>1</v>
      </c>
      <c r="P392" s="235">
        <v>1</v>
      </c>
      <c r="Q392" s="450">
        <v>1</v>
      </c>
      <c r="R392" s="450">
        <v>1</v>
      </c>
      <c r="S392" s="450"/>
      <c r="T392" s="451"/>
      <c r="U392" s="451" t="s">
        <v>876</v>
      </c>
      <c r="V392" s="58"/>
      <c r="W392" s="58"/>
      <c r="X392" s="59"/>
      <c r="Y392" s="60"/>
      <c r="Z392" s="61"/>
      <c r="AA392" s="60"/>
    </row>
    <row r="393" spans="1:27" ht="12.75" customHeight="1" thickBot="1" x14ac:dyDescent="0.3">
      <c r="A393" s="236"/>
      <c r="B393" s="62">
        <v>530</v>
      </c>
      <c r="C393" s="125" t="s">
        <v>1362</v>
      </c>
      <c r="D393" s="74" t="s">
        <v>1021</v>
      </c>
      <c r="E393" s="443" t="s">
        <v>1063</v>
      </c>
      <c r="F393" s="443" t="s">
        <v>142</v>
      </c>
      <c r="G393" s="56" t="s">
        <v>1085</v>
      </c>
      <c r="H393" s="443"/>
      <c r="I393" s="57" t="s">
        <v>875</v>
      </c>
      <c r="J393" s="443">
        <v>1</v>
      </c>
      <c r="K393" s="443">
        <v>2</v>
      </c>
      <c r="L393" s="443">
        <v>4</v>
      </c>
      <c r="M393" s="443"/>
      <c r="N393" s="443"/>
      <c r="O393" s="235">
        <v>1</v>
      </c>
      <c r="P393" s="235">
        <v>1</v>
      </c>
      <c r="Q393" s="450">
        <v>1</v>
      </c>
      <c r="R393" s="450">
        <v>1</v>
      </c>
      <c r="S393" s="450"/>
      <c r="T393" s="451"/>
      <c r="U393" s="451" t="s">
        <v>876</v>
      </c>
      <c r="V393" s="58"/>
      <c r="W393" s="58"/>
      <c r="X393" s="59"/>
      <c r="Y393" s="60"/>
      <c r="Z393" s="61"/>
      <c r="AA393" s="60"/>
    </row>
    <row r="394" spans="1:27" ht="12.75" customHeight="1" thickBot="1" x14ac:dyDescent="0.3">
      <c r="A394" s="126"/>
      <c r="B394" s="62">
        <v>531</v>
      </c>
      <c r="C394" s="125" t="s">
        <v>1363</v>
      </c>
      <c r="D394" s="74" t="s">
        <v>1021</v>
      </c>
      <c r="E394" s="443" t="s">
        <v>1063</v>
      </c>
      <c r="F394" s="443" t="s">
        <v>142</v>
      </c>
      <c r="G394" s="56" t="s">
        <v>1072</v>
      </c>
      <c r="H394" s="443" t="s">
        <v>1073</v>
      </c>
      <c r="I394" s="57" t="s">
        <v>875</v>
      </c>
      <c r="J394" s="443">
        <v>1</v>
      </c>
      <c r="K394" s="443">
        <v>3</v>
      </c>
      <c r="L394" s="443">
        <v>6</v>
      </c>
      <c r="M394" s="443"/>
      <c r="N394" s="443"/>
      <c r="O394" s="235">
        <v>1</v>
      </c>
      <c r="P394" s="235">
        <v>1</v>
      </c>
      <c r="Q394" s="450">
        <v>1</v>
      </c>
      <c r="R394" s="450">
        <v>1</v>
      </c>
      <c r="S394" s="450"/>
      <c r="T394" s="451"/>
      <c r="U394" s="451" t="s">
        <v>876</v>
      </c>
      <c r="V394" s="58"/>
      <c r="W394" s="58"/>
      <c r="X394" s="59"/>
      <c r="Y394" s="60"/>
      <c r="Z394" s="61"/>
      <c r="AA394" s="60"/>
    </row>
    <row r="395" spans="1:27" ht="12.75" customHeight="1" thickBot="1" x14ac:dyDescent="0.3">
      <c r="A395" s="126"/>
      <c r="B395" s="62">
        <v>532</v>
      </c>
      <c r="C395" s="74" t="s">
        <v>1364</v>
      </c>
      <c r="D395" s="74" t="s">
        <v>1021</v>
      </c>
      <c r="E395" s="443" t="s">
        <v>1063</v>
      </c>
      <c r="F395" s="443" t="s">
        <v>142</v>
      </c>
      <c r="G395" s="56" t="s">
        <v>1088</v>
      </c>
      <c r="H395" s="443" t="s">
        <v>153</v>
      </c>
      <c r="I395" s="57" t="s">
        <v>875</v>
      </c>
      <c r="J395" s="443">
        <v>1</v>
      </c>
      <c r="K395" s="443">
        <v>3</v>
      </c>
      <c r="L395" s="443">
        <v>6</v>
      </c>
      <c r="M395" s="443"/>
      <c r="N395" s="443"/>
      <c r="O395" s="235">
        <v>1</v>
      </c>
      <c r="P395" s="235">
        <v>1</v>
      </c>
      <c r="Q395" s="450">
        <v>1</v>
      </c>
      <c r="R395" s="450">
        <v>1</v>
      </c>
      <c r="S395" s="450"/>
      <c r="T395" s="451"/>
      <c r="U395" s="451" t="s">
        <v>876</v>
      </c>
      <c r="V395" s="58"/>
      <c r="W395" s="58"/>
      <c r="X395" s="59"/>
      <c r="Y395" s="60"/>
      <c r="Z395" s="61"/>
      <c r="AA395" s="60"/>
    </row>
    <row r="396" spans="1:27" ht="12.75" customHeight="1" thickBot="1" x14ac:dyDescent="0.3">
      <c r="A396" s="236"/>
      <c r="B396" s="62">
        <v>533</v>
      </c>
      <c r="C396" s="125" t="s">
        <v>1365</v>
      </c>
      <c r="D396" s="74" t="s">
        <v>1021</v>
      </c>
      <c r="E396" s="443" t="s">
        <v>1063</v>
      </c>
      <c r="F396" s="443" t="s">
        <v>142</v>
      </c>
      <c r="G396" s="56" t="s">
        <v>1085</v>
      </c>
      <c r="H396" s="443"/>
      <c r="I396" s="57" t="s">
        <v>875</v>
      </c>
      <c r="J396" s="443">
        <v>1</v>
      </c>
      <c r="K396" s="443">
        <v>2</v>
      </c>
      <c r="L396" s="443">
        <v>4</v>
      </c>
      <c r="M396" s="443"/>
      <c r="N396" s="443"/>
      <c r="O396" s="235">
        <v>1</v>
      </c>
      <c r="P396" s="235">
        <v>1</v>
      </c>
      <c r="Q396" s="450">
        <v>1</v>
      </c>
      <c r="R396" s="450">
        <v>1</v>
      </c>
      <c r="S396" s="450"/>
      <c r="T396" s="451"/>
      <c r="U396" s="451" t="s">
        <v>876</v>
      </c>
      <c r="V396" s="58"/>
      <c r="W396" s="58"/>
      <c r="X396" s="59"/>
      <c r="Y396" s="60"/>
      <c r="Z396" s="61"/>
      <c r="AA396" s="60"/>
    </row>
    <row r="397" spans="1:27" ht="12.75" customHeight="1" thickBot="1" x14ac:dyDescent="0.3">
      <c r="A397" s="126"/>
      <c r="B397" s="62">
        <v>534</v>
      </c>
      <c r="C397" s="125" t="s">
        <v>1366</v>
      </c>
      <c r="D397" s="74" t="s">
        <v>1021</v>
      </c>
      <c r="E397" s="443" t="s">
        <v>1063</v>
      </c>
      <c r="F397" s="443" t="s">
        <v>142</v>
      </c>
      <c r="G397" s="56" t="s">
        <v>1072</v>
      </c>
      <c r="H397" s="443" t="s">
        <v>1073</v>
      </c>
      <c r="I397" s="57" t="s">
        <v>875</v>
      </c>
      <c r="J397" s="443">
        <v>1</v>
      </c>
      <c r="K397" s="443">
        <v>3</v>
      </c>
      <c r="L397" s="443">
        <v>6</v>
      </c>
      <c r="M397" s="443"/>
      <c r="N397" s="443"/>
      <c r="O397" s="235">
        <v>1</v>
      </c>
      <c r="P397" s="235">
        <v>1</v>
      </c>
      <c r="Q397" s="450">
        <v>1</v>
      </c>
      <c r="R397" s="450">
        <v>1</v>
      </c>
      <c r="S397" s="450"/>
      <c r="T397" s="451"/>
      <c r="U397" s="451" t="s">
        <v>876</v>
      </c>
      <c r="V397" s="58"/>
      <c r="W397" s="58"/>
      <c r="X397" s="59"/>
      <c r="Y397" s="60"/>
      <c r="Z397" s="61"/>
      <c r="AA397" s="60"/>
    </row>
    <row r="398" spans="1:27" ht="12.75" customHeight="1" thickBot="1" x14ac:dyDescent="0.3">
      <c r="A398" s="126"/>
      <c r="B398" s="62">
        <v>535</v>
      </c>
      <c r="C398" s="74" t="s">
        <v>1367</v>
      </c>
      <c r="D398" s="74" t="s">
        <v>1021</v>
      </c>
      <c r="E398" s="443" t="s">
        <v>1063</v>
      </c>
      <c r="F398" s="443" t="s">
        <v>142</v>
      </c>
      <c r="G398" s="56" t="s">
        <v>1088</v>
      </c>
      <c r="H398" s="443" t="s">
        <v>153</v>
      </c>
      <c r="I398" s="57" t="s">
        <v>875</v>
      </c>
      <c r="J398" s="443">
        <v>1</v>
      </c>
      <c r="K398" s="443">
        <v>3</v>
      </c>
      <c r="L398" s="443">
        <v>6</v>
      </c>
      <c r="M398" s="443"/>
      <c r="N398" s="443"/>
      <c r="O398" s="235">
        <v>1</v>
      </c>
      <c r="P398" s="235">
        <v>1</v>
      </c>
      <c r="Q398" s="450">
        <v>1</v>
      </c>
      <c r="R398" s="450">
        <v>1</v>
      </c>
      <c r="S398" s="450"/>
      <c r="T398" s="451"/>
      <c r="U398" s="451" t="s">
        <v>876</v>
      </c>
      <c r="V398" s="58"/>
      <c r="W398" s="58"/>
      <c r="X398" s="59"/>
      <c r="Y398" s="60"/>
      <c r="Z398" s="61"/>
      <c r="AA398" s="60"/>
    </row>
    <row r="399" spans="1:27" ht="12.75" customHeight="1" thickBot="1" x14ac:dyDescent="0.3">
      <c r="A399" s="236"/>
      <c r="B399" s="62">
        <v>536</v>
      </c>
      <c r="C399" s="125" t="s">
        <v>1368</v>
      </c>
      <c r="D399" s="74" t="s">
        <v>1021</v>
      </c>
      <c r="E399" s="443" t="s">
        <v>1063</v>
      </c>
      <c r="F399" s="443" t="s">
        <v>142</v>
      </c>
      <c r="G399" s="56" t="s">
        <v>1085</v>
      </c>
      <c r="H399" s="443"/>
      <c r="I399" s="57" t="s">
        <v>875</v>
      </c>
      <c r="J399" s="443">
        <v>1</v>
      </c>
      <c r="K399" s="443">
        <v>2</v>
      </c>
      <c r="L399" s="443">
        <v>4</v>
      </c>
      <c r="M399" s="443"/>
      <c r="N399" s="443"/>
      <c r="O399" s="235">
        <v>1</v>
      </c>
      <c r="P399" s="235">
        <v>1</v>
      </c>
      <c r="Q399" s="450">
        <v>1</v>
      </c>
      <c r="R399" s="450">
        <v>1</v>
      </c>
      <c r="S399" s="450"/>
      <c r="T399" s="451"/>
      <c r="U399" s="451" t="s">
        <v>876</v>
      </c>
      <c r="V399" s="58"/>
      <c r="W399" s="58"/>
      <c r="X399" s="59"/>
      <c r="Y399" s="60"/>
      <c r="Z399" s="61"/>
      <c r="AA399" s="60"/>
    </row>
    <row r="400" spans="1:27" ht="12.75" customHeight="1" thickBot="1" x14ac:dyDescent="0.3">
      <c r="A400" s="126"/>
      <c r="B400" s="62">
        <v>537</v>
      </c>
      <c r="C400" s="125" t="s">
        <v>1369</v>
      </c>
      <c r="D400" s="74" t="s">
        <v>1021</v>
      </c>
      <c r="E400" s="443" t="s">
        <v>1063</v>
      </c>
      <c r="F400" s="443" t="s">
        <v>142</v>
      </c>
      <c r="G400" s="56" t="s">
        <v>1072</v>
      </c>
      <c r="H400" s="443" t="s">
        <v>1073</v>
      </c>
      <c r="I400" s="57" t="s">
        <v>875</v>
      </c>
      <c r="J400" s="443">
        <v>1</v>
      </c>
      <c r="K400" s="443">
        <v>3</v>
      </c>
      <c r="L400" s="443">
        <v>6</v>
      </c>
      <c r="M400" s="443"/>
      <c r="N400" s="443"/>
      <c r="O400" s="235">
        <v>1</v>
      </c>
      <c r="P400" s="235">
        <v>1</v>
      </c>
      <c r="Q400" s="450">
        <v>1</v>
      </c>
      <c r="R400" s="450">
        <v>1</v>
      </c>
      <c r="S400" s="450"/>
      <c r="T400" s="451"/>
      <c r="U400" s="451" t="s">
        <v>876</v>
      </c>
      <c r="V400" s="58"/>
      <c r="W400" s="58"/>
      <c r="X400" s="59"/>
      <c r="Y400" s="60"/>
      <c r="Z400" s="61"/>
      <c r="AA400" s="60"/>
    </row>
    <row r="401" spans="1:29" ht="12.75" customHeight="1" thickBot="1" x14ac:dyDescent="0.3">
      <c r="A401" s="126"/>
      <c r="B401" s="62">
        <v>538</v>
      </c>
      <c r="C401" s="74" t="s">
        <v>1370</v>
      </c>
      <c r="D401" s="74" t="s">
        <v>1021</v>
      </c>
      <c r="E401" s="443" t="s">
        <v>1063</v>
      </c>
      <c r="F401" s="443" t="s">
        <v>142</v>
      </c>
      <c r="G401" s="56" t="s">
        <v>1088</v>
      </c>
      <c r="H401" s="443" t="s">
        <v>153</v>
      </c>
      <c r="I401" s="57" t="s">
        <v>875</v>
      </c>
      <c r="J401" s="443">
        <v>1</v>
      </c>
      <c r="K401" s="443">
        <v>3</v>
      </c>
      <c r="L401" s="443">
        <v>6</v>
      </c>
      <c r="M401" s="443"/>
      <c r="N401" s="443"/>
      <c r="O401" s="235">
        <v>1</v>
      </c>
      <c r="P401" s="235">
        <v>1</v>
      </c>
      <c r="Q401" s="450">
        <v>1</v>
      </c>
      <c r="R401" s="450">
        <v>1</v>
      </c>
      <c r="S401" s="450"/>
      <c r="T401" s="451"/>
      <c r="U401" s="451" t="s">
        <v>876</v>
      </c>
      <c r="V401" s="58"/>
      <c r="W401" s="58"/>
      <c r="X401" s="59"/>
      <c r="Y401" s="60"/>
      <c r="Z401" s="61"/>
      <c r="AA401" s="60"/>
    </row>
    <row r="402" spans="1:29" ht="12.75" customHeight="1" thickBot="1" x14ac:dyDescent="0.3">
      <c r="A402" s="236"/>
      <c r="B402" s="62">
        <v>539</v>
      </c>
      <c r="C402" s="125" t="s">
        <v>1371</v>
      </c>
      <c r="D402" s="74" t="s">
        <v>1021</v>
      </c>
      <c r="E402" s="443" t="s">
        <v>1063</v>
      </c>
      <c r="F402" s="443" t="s">
        <v>142</v>
      </c>
      <c r="G402" s="56" t="s">
        <v>1085</v>
      </c>
      <c r="H402" s="443"/>
      <c r="I402" s="57" t="s">
        <v>875</v>
      </c>
      <c r="J402" s="443">
        <v>1</v>
      </c>
      <c r="K402" s="443">
        <v>2</v>
      </c>
      <c r="L402" s="443">
        <v>4</v>
      </c>
      <c r="M402" s="443"/>
      <c r="N402" s="443"/>
      <c r="O402" s="235">
        <v>1</v>
      </c>
      <c r="P402" s="235">
        <v>1</v>
      </c>
      <c r="Q402" s="450">
        <v>1</v>
      </c>
      <c r="R402" s="450">
        <v>1</v>
      </c>
      <c r="S402" s="450"/>
      <c r="T402" s="451"/>
      <c r="U402" s="451" t="s">
        <v>876</v>
      </c>
      <c r="V402" s="58"/>
      <c r="W402" s="58"/>
      <c r="X402" s="59"/>
      <c r="Y402" s="60"/>
      <c r="Z402" s="61"/>
      <c r="AA402" s="60"/>
    </row>
    <row r="403" spans="1:29" ht="12.75" customHeight="1" thickBot="1" x14ac:dyDescent="0.3">
      <c r="A403" s="126"/>
      <c r="B403" s="62">
        <v>540</v>
      </c>
      <c r="C403" s="125" t="s">
        <v>1372</v>
      </c>
      <c r="D403" s="74" t="s">
        <v>1021</v>
      </c>
      <c r="E403" s="443" t="s">
        <v>1063</v>
      </c>
      <c r="F403" s="443" t="s">
        <v>142</v>
      </c>
      <c r="G403" s="56" t="s">
        <v>1072</v>
      </c>
      <c r="H403" s="443" t="s">
        <v>1073</v>
      </c>
      <c r="I403" s="57" t="s">
        <v>875</v>
      </c>
      <c r="J403" s="443">
        <v>1</v>
      </c>
      <c r="K403" s="443">
        <v>3</v>
      </c>
      <c r="L403" s="443">
        <v>6</v>
      </c>
      <c r="M403" s="443"/>
      <c r="N403" s="443"/>
      <c r="O403" s="235">
        <v>1</v>
      </c>
      <c r="P403" s="235">
        <v>1</v>
      </c>
      <c r="Q403" s="450">
        <v>1</v>
      </c>
      <c r="R403" s="450">
        <v>1</v>
      </c>
      <c r="S403" s="450"/>
      <c r="T403" s="451"/>
      <c r="U403" s="451" t="s">
        <v>876</v>
      </c>
      <c r="V403" s="58"/>
      <c r="W403" s="58"/>
      <c r="X403" s="59"/>
      <c r="Y403" s="60"/>
      <c r="Z403" s="61"/>
      <c r="AA403" s="60"/>
    </row>
    <row r="404" spans="1:29" ht="12.75" customHeight="1" thickBot="1" x14ac:dyDescent="0.3">
      <c r="A404" s="126"/>
      <c r="B404" s="62">
        <v>541</v>
      </c>
      <c r="C404" s="74" t="s">
        <v>1373</v>
      </c>
      <c r="D404" s="74" t="s">
        <v>1021</v>
      </c>
      <c r="E404" s="443" t="s">
        <v>1063</v>
      </c>
      <c r="F404" s="443" t="s">
        <v>142</v>
      </c>
      <c r="G404" s="56" t="s">
        <v>1088</v>
      </c>
      <c r="H404" s="443" t="s">
        <v>153</v>
      </c>
      <c r="I404" s="57" t="s">
        <v>875</v>
      </c>
      <c r="J404" s="443">
        <v>1</v>
      </c>
      <c r="K404" s="443">
        <v>3</v>
      </c>
      <c r="L404" s="443">
        <v>6</v>
      </c>
      <c r="M404" s="443"/>
      <c r="N404" s="443"/>
      <c r="O404" s="235">
        <v>1</v>
      </c>
      <c r="P404" s="235">
        <v>1</v>
      </c>
      <c r="Q404" s="450">
        <v>1</v>
      </c>
      <c r="R404" s="450">
        <v>1</v>
      </c>
      <c r="S404" s="450"/>
      <c r="T404" s="451"/>
      <c r="U404" s="451" t="s">
        <v>876</v>
      </c>
      <c r="V404" s="58"/>
      <c r="W404" s="58"/>
      <c r="X404" s="59"/>
      <c r="Y404" s="60"/>
      <c r="Z404" s="61"/>
      <c r="AA404" s="60"/>
    </row>
    <row r="405" spans="1:29" ht="12.75" customHeight="1" thickBot="1" x14ac:dyDescent="0.3">
      <c r="A405" s="236"/>
      <c r="B405" s="62">
        <v>542</v>
      </c>
      <c r="C405" s="125" t="s">
        <v>1374</v>
      </c>
      <c r="D405" s="74" t="s">
        <v>1021</v>
      </c>
      <c r="E405" s="443" t="s">
        <v>1063</v>
      </c>
      <c r="F405" s="443" t="s">
        <v>142</v>
      </c>
      <c r="G405" s="56" t="s">
        <v>1085</v>
      </c>
      <c r="H405" s="443"/>
      <c r="I405" s="57" t="s">
        <v>875</v>
      </c>
      <c r="J405" s="443">
        <v>1</v>
      </c>
      <c r="K405" s="443">
        <v>2</v>
      </c>
      <c r="L405" s="443">
        <v>4</v>
      </c>
      <c r="M405" s="443"/>
      <c r="N405" s="443"/>
      <c r="O405" s="235">
        <v>1</v>
      </c>
      <c r="P405" s="235">
        <v>1</v>
      </c>
      <c r="Q405" s="450">
        <v>1</v>
      </c>
      <c r="R405" s="450">
        <v>1</v>
      </c>
      <c r="S405" s="450"/>
      <c r="T405" s="451"/>
      <c r="U405" s="451" t="s">
        <v>876</v>
      </c>
      <c r="V405" s="58"/>
      <c r="W405" s="58"/>
      <c r="X405" s="59"/>
      <c r="Y405" s="60"/>
      <c r="Z405" s="61"/>
      <c r="AA405" s="60"/>
    </row>
    <row r="406" spans="1:29" ht="12.75" customHeight="1" thickBot="1" x14ac:dyDescent="0.3">
      <c r="A406" s="126"/>
      <c r="B406" s="62">
        <v>543</v>
      </c>
      <c r="C406" s="125" t="s">
        <v>1375</v>
      </c>
      <c r="D406" s="74" t="s">
        <v>1021</v>
      </c>
      <c r="E406" s="443" t="s">
        <v>1063</v>
      </c>
      <c r="F406" s="443" t="s">
        <v>142</v>
      </c>
      <c r="G406" s="56" t="s">
        <v>1072</v>
      </c>
      <c r="H406" s="443" t="s">
        <v>1073</v>
      </c>
      <c r="I406" s="57" t="s">
        <v>875</v>
      </c>
      <c r="J406" s="443">
        <v>1</v>
      </c>
      <c r="K406" s="443">
        <v>3</v>
      </c>
      <c r="L406" s="443">
        <v>6</v>
      </c>
      <c r="M406" s="443"/>
      <c r="N406" s="443"/>
      <c r="O406" s="235">
        <v>1</v>
      </c>
      <c r="P406" s="235">
        <v>1</v>
      </c>
      <c r="Q406" s="450">
        <v>1</v>
      </c>
      <c r="R406" s="450">
        <v>1</v>
      </c>
      <c r="S406" s="450"/>
      <c r="T406" s="451"/>
      <c r="U406" s="451" t="s">
        <v>876</v>
      </c>
      <c r="V406" s="58"/>
      <c r="W406" s="58"/>
      <c r="X406" s="59"/>
      <c r="Y406" s="60"/>
      <c r="Z406" s="61"/>
      <c r="AA406" s="60"/>
    </row>
    <row r="407" spans="1:29" s="110" customFormat="1" ht="12.75" customHeight="1" x14ac:dyDescent="0.25">
      <c r="A407" s="126"/>
      <c r="B407" s="62">
        <v>544</v>
      </c>
      <c r="C407" s="74" t="s">
        <v>1376</v>
      </c>
      <c r="D407" s="74" t="s">
        <v>1021</v>
      </c>
      <c r="E407" s="443" t="s">
        <v>1063</v>
      </c>
      <c r="F407" s="443" t="s">
        <v>142</v>
      </c>
      <c r="G407" s="56" t="s">
        <v>1088</v>
      </c>
      <c r="H407" s="443" t="s">
        <v>153</v>
      </c>
      <c r="I407" s="57" t="s">
        <v>875</v>
      </c>
      <c r="J407" s="443">
        <v>1</v>
      </c>
      <c r="K407" s="443">
        <v>3</v>
      </c>
      <c r="L407" s="443">
        <v>6</v>
      </c>
      <c r="M407" s="443"/>
      <c r="N407" s="443"/>
      <c r="O407" s="235">
        <v>1</v>
      </c>
      <c r="P407" s="235">
        <v>1</v>
      </c>
      <c r="Q407" s="450">
        <v>1</v>
      </c>
      <c r="R407" s="450">
        <v>1</v>
      </c>
      <c r="S407" s="450"/>
      <c r="T407" s="451"/>
      <c r="U407" s="451" t="s">
        <v>876</v>
      </c>
      <c r="V407" s="58"/>
      <c r="W407" s="58"/>
      <c r="X407" s="59"/>
      <c r="Y407" s="60"/>
      <c r="Z407" s="61"/>
      <c r="AA407" s="60"/>
      <c r="AB407" s="35"/>
      <c r="AC407" s="35"/>
    </row>
    <row r="408" spans="1:29" ht="12.75" customHeight="1" x14ac:dyDescent="0.25">
      <c r="A408" s="126"/>
      <c r="B408" s="140">
        <v>545</v>
      </c>
      <c r="C408" s="133" t="s">
        <v>1377</v>
      </c>
      <c r="D408" s="74" t="s">
        <v>1021</v>
      </c>
      <c r="E408" s="443" t="s">
        <v>1063</v>
      </c>
      <c r="F408" s="443" t="s">
        <v>142</v>
      </c>
      <c r="G408" s="56" t="s">
        <v>1085</v>
      </c>
      <c r="H408" s="443"/>
      <c r="I408" s="57" t="s">
        <v>875</v>
      </c>
      <c r="J408" s="443">
        <v>1</v>
      </c>
      <c r="K408" s="443">
        <v>2</v>
      </c>
      <c r="L408" s="443">
        <v>4</v>
      </c>
      <c r="M408" s="443"/>
      <c r="N408" s="443"/>
      <c r="O408" s="142"/>
      <c r="P408" s="142"/>
      <c r="Q408" s="460"/>
      <c r="R408" s="460"/>
      <c r="S408" s="460"/>
      <c r="T408" s="135"/>
      <c r="U408" s="135"/>
      <c r="V408" s="458"/>
      <c r="W408" s="458"/>
      <c r="X408" s="445"/>
      <c r="Y408" s="453"/>
      <c r="Z408" s="455"/>
      <c r="AA408" s="453"/>
    </row>
    <row r="409" spans="1:29" ht="12.75" customHeight="1" x14ac:dyDescent="0.25">
      <c r="A409" s="126"/>
      <c r="B409" s="140">
        <v>546</v>
      </c>
      <c r="C409" s="133" t="s">
        <v>1378</v>
      </c>
      <c r="D409" s="74" t="s">
        <v>1021</v>
      </c>
      <c r="E409" s="443" t="s">
        <v>1063</v>
      </c>
      <c r="F409" s="443" t="s">
        <v>142</v>
      </c>
      <c r="G409" s="56" t="s">
        <v>1072</v>
      </c>
      <c r="H409" s="443" t="s">
        <v>1073</v>
      </c>
      <c r="I409" s="57" t="s">
        <v>875</v>
      </c>
      <c r="J409" s="443">
        <v>1</v>
      </c>
      <c r="K409" s="443">
        <v>3</v>
      </c>
      <c r="L409" s="443">
        <v>6</v>
      </c>
      <c r="M409" s="443"/>
      <c r="N409" s="443"/>
      <c r="O409" s="142"/>
      <c r="P409" s="142"/>
      <c r="Q409" s="460"/>
      <c r="R409" s="460"/>
      <c r="S409" s="460"/>
      <c r="T409" s="135"/>
      <c r="U409" s="135"/>
      <c r="V409" s="458"/>
      <c r="W409" s="458"/>
      <c r="X409" s="445"/>
      <c r="Y409" s="453"/>
      <c r="Z409" s="455"/>
      <c r="AA409" s="453"/>
    </row>
    <row r="410" spans="1:29" ht="12.75" customHeight="1" x14ac:dyDescent="0.25">
      <c r="A410" s="126"/>
      <c r="B410" s="140">
        <v>547</v>
      </c>
      <c r="C410" s="133" t="s">
        <v>1379</v>
      </c>
      <c r="D410" s="74" t="s">
        <v>1021</v>
      </c>
      <c r="E410" s="443" t="s">
        <v>1063</v>
      </c>
      <c r="F410" s="443" t="s">
        <v>142</v>
      </c>
      <c r="G410" s="56" t="s">
        <v>1088</v>
      </c>
      <c r="H410" s="443" t="s">
        <v>153</v>
      </c>
      <c r="I410" s="57" t="s">
        <v>875</v>
      </c>
      <c r="J410" s="443">
        <v>1</v>
      </c>
      <c r="K410" s="443">
        <v>3</v>
      </c>
      <c r="L410" s="443">
        <v>6</v>
      </c>
      <c r="M410" s="443"/>
      <c r="N410" s="443"/>
      <c r="O410" s="142"/>
      <c r="P410" s="142"/>
      <c r="Q410" s="460"/>
      <c r="R410" s="460"/>
      <c r="S410" s="460"/>
      <c r="T410" s="135"/>
      <c r="U410" s="135"/>
      <c r="V410" s="458"/>
      <c r="W410" s="458"/>
      <c r="X410" s="445"/>
      <c r="Y410" s="453"/>
      <c r="Z410" s="455"/>
      <c r="AA410" s="453"/>
    </row>
    <row r="411" spans="1:29" ht="12.75" customHeight="1" x14ac:dyDescent="0.25">
      <c r="A411" s="126"/>
      <c r="B411" s="140">
        <v>548</v>
      </c>
      <c r="C411" s="133" t="s">
        <v>1380</v>
      </c>
      <c r="D411" s="74" t="s">
        <v>1021</v>
      </c>
      <c r="E411" s="443" t="s">
        <v>1063</v>
      </c>
      <c r="F411" s="443" t="s">
        <v>142</v>
      </c>
      <c r="G411" s="56" t="s">
        <v>1085</v>
      </c>
      <c r="H411" s="443"/>
      <c r="I411" s="57" t="s">
        <v>875</v>
      </c>
      <c r="J411" s="443">
        <v>1</v>
      </c>
      <c r="K411" s="443">
        <v>2</v>
      </c>
      <c r="L411" s="443">
        <v>4</v>
      </c>
      <c r="M411" s="443"/>
      <c r="N411" s="443"/>
      <c r="O411" s="142"/>
      <c r="P411" s="142"/>
      <c r="Q411" s="460"/>
      <c r="R411" s="460"/>
      <c r="S411" s="460"/>
      <c r="T411" s="135"/>
      <c r="U411" s="135"/>
      <c r="V411" s="458"/>
      <c r="W411" s="458"/>
      <c r="X411" s="445"/>
      <c r="Y411" s="453"/>
      <c r="Z411" s="455"/>
      <c r="AA411" s="453"/>
    </row>
    <row r="412" spans="1:29" ht="12.75" customHeight="1" x14ac:dyDescent="0.25">
      <c r="A412" s="126"/>
      <c r="B412" s="140">
        <v>549</v>
      </c>
      <c r="C412" s="133" t="s">
        <v>1381</v>
      </c>
      <c r="D412" s="74" t="s">
        <v>1021</v>
      </c>
      <c r="E412" s="443" t="s">
        <v>1063</v>
      </c>
      <c r="F412" s="443" t="s">
        <v>142</v>
      </c>
      <c r="G412" s="56" t="s">
        <v>1072</v>
      </c>
      <c r="H412" s="443" t="s">
        <v>1073</v>
      </c>
      <c r="I412" s="57" t="s">
        <v>875</v>
      </c>
      <c r="J412" s="443">
        <v>1</v>
      </c>
      <c r="K412" s="443">
        <v>3</v>
      </c>
      <c r="L412" s="443">
        <v>6</v>
      </c>
      <c r="M412" s="66"/>
      <c r="N412" s="66"/>
      <c r="O412" s="142"/>
      <c r="P412" s="142"/>
      <c r="Q412" s="460"/>
      <c r="R412" s="460"/>
      <c r="S412" s="460"/>
      <c r="T412" s="135"/>
      <c r="U412" s="135"/>
      <c r="V412" s="458"/>
      <c r="W412" s="458"/>
      <c r="X412" s="445"/>
      <c r="Y412" s="453"/>
      <c r="Z412" s="455"/>
      <c r="AA412" s="453"/>
    </row>
    <row r="413" spans="1:29" x14ac:dyDescent="0.25">
      <c r="A413" s="126"/>
      <c r="B413" s="140">
        <v>550</v>
      </c>
      <c r="C413" s="133" t="s">
        <v>1382</v>
      </c>
      <c r="D413" s="74" t="s">
        <v>1021</v>
      </c>
      <c r="E413" s="443" t="s">
        <v>1063</v>
      </c>
      <c r="F413" s="443" t="s">
        <v>142</v>
      </c>
      <c r="G413" s="56" t="s">
        <v>1088</v>
      </c>
      <c r="H413" s="443" t="s">
        <v>153</v>
      </c>
      <c r="I413" s="57" t="s">
        <v>875</v>
      </c>
      <c r="J413" s="443">
        <v>1</v>
      </c>
      <c r="K413" s="443">
        <v>3</v>
      </c>
      <c r="L413" s="443">
        <v>6</v>
      </c>
      <c r="M413" s="66"/>
      <c r="N413" s="66"/>
      <c r="O413" s="142"/>
      <c r="P413" s="142"/>
      <c r="Q413" s="460"/>
      <c r="R413" s="460"/>
      <c r="S413" s="460"/>
      <c r="T413" s="135"/>
      <c r="U413" s="135"/>
      <c r="V413" s="458"/>
      <c r="W413" s="458"/>
      <c r="X413" s="445"/>
      <c r="Y413" s="453"/>
      <c r="Z413" s="455"/>
      <c r="AA413" s="453"/>
    </row>
    <row r="414" spans="1:29" s="250" customFormat="1" x14ac:dyDescent="0.25">
      <c r="A414" s="237"/>
      <c r="B414" s="251">
        <v>551</v>
      </c>
      <c r="C414" s="238" t="s">
        <v>1383</v>
      </c>
      <c r="D414" s="238" t="s">
        <v>1021</v>
      </c>
      <c r="E414" s="239" t="s">
        <v>1063</v>
      </c>
      <c r="F414" s="239" t="s">
        <v>142</v>
      </c>
      <c r="G414" s="240"/>
      <c r="H414" s="239"/>
      <c r="I414" s="241"/>
      <c r="J414" s="239"/>
      <c r="K414" s="239"/>
      <c r="L414" s="239"/>
      <c r="M414" s="242"/>
      <c r="N414" s="242"/>
      <c r="O414" s="243">
        <v>1</v>
      </c>
      <c r="P414" s="243">
        <v>1</v>
      </c>
      <c r="Q414" s="244"/>
      <c r="R414" s="244"/>
      <c r="S414" s="244"/>
      <c r="T414" s="245"/>
      <c r="U414" s="245"/>
      <c r="V414" s="246"/>
      <c r="W414" s="246"/>
      <c r="X414" s="247"/>
      <c r="Y414" s="248"/>
      <c r="Z414" s="249"/>
      <c r="AA414" s="248"/>
    </row>
    <row r="415" spans="1:29" s="250" customFormat="1" x14ac:dyDescent="0.25">
      <c r="A415" s="237"/>
      <c r="B415" s="251">
        <v>552</v>
      </c>
      <c r="C415" s="238" t="s">
        <v>1384</v>
      </c>
      <c r="D415" s="238" t="s">
        <v>1021</v>
      </c>
      <c r="E415" s="239" t="s">
        <v>1063</v>
      </c>
      <c r="F415" s="239" t="s">
        <v>142</v>
      </c>
      <c r="G415" s="240" t="s">
        <v>1078</v>
      </c>
      <c r="H415" s="239" t="s">
        <v>880</v>
      </c>
      <c r="I415" s="241" t="s">
        <v>875</v>
      </c>
      <c r="J415" s="239">
        <v>1</v>
      </c>
      <c r="K415" s="239">
        <v>2</v>
      </c>
      <c r="L415" s="239">
        <v>4</v>
      </c>
      <c r="M415" s="242"/>
      <c r="N415" s="242"/>
      <c r="O415" s="243">
        <v>1</v>
      </c>
      <c r="P415" s="243">
        <v>1</v>
      </c>
      <c r="Q415" s="244"/>
      <c r="R415" s="244"/>
      <c r="S415" s="244"/>
      <c r="T415" s="245"/>
      <c r="U415" s="245"/>
      <c r="V415" s="246"/>
      <c r="W415" s="246"/>
      <c r="X415" s="247"/>
      <c r="Y415" s="248"/>
      <c r="Z415" s="249"/>
      <c r="AA415" s="248"/>
    </row>
    <row r="416" spans="1:29" s="250" customFormat="1" x14ac:dyDescent="0.25">
      <c r="A416" s="237"/>
      <c r="B416" s="251">
        <v>553</v>
      </c>
      <c r="C416" s="238" t="s">
        <v>1385</v>
      </c>
      <c r="D416" s="238" t="s">
        <v>1021</v>
      </c>
      <c r="E416" s="239" t="s">
        <v>1063</v>
      </c>
      <c r="F416" s="239" t="s">
        <v>142</v>
      </c>
      <c r="G416" s="240" t="s">
        <v>1078</v>
      </c>
      <c r="H416" s="239" t="s">
        <v>900</v>
      </c>
      <c r="I416" s="241" t="s">
        <v>875</v>
      </c>
      <c r="J416" s="239">
        <v>1</v>
      </c>
      <c r="K416" s="239">
        <v>2</v>
      </c>
      <c r="L416" s="239">
        <v>4</v>
      </c>
      <c r="M416" s="242"/>
      <c r="N416" s="242"/>
      <c r="O416" s="243">
        <v>1</v>
      </c>
      <c r="P416" s="243">
        <v>1</v>
      </c>
      <c r="Q416" s="244"/>
      <c r="R416" s="244"/>
      <c r="S416" s="244"/>
      <c r="T416" s="245"/>
      <c r="U416" s="245"/>
      <c r="V416" s="246"/>
      <c r="W416" s="246"/>
      <c r="X416" s="247"/>
      <c r="Y416" s="248"/>
      <c r="Z416" s="249"/>
      <c r="AA416" s="248"/>
    </row>
    <row r="417" spans="1:27" s="250" customFormat="1" x14ac:dyDescent="0.25">
      <c r="A417" s="237"/>
      <c r="B417" s="251">
        <v>554</v>
      </c>
      <c r="C417" s="238" t="s">
        <v>4480</v>
      </c>
      <c r="D417" s="238" t="s">
        <v>1021</v>
      </c>
      <c r="E417" s="239" t="s">
        <v>1063</v>
      </c>
      <c r="F417" s="239" t="s">
        <v>142</v>
      </c>
      <c r="G417" s="240" t="s">
        <v>1078</v>
      </c>
      <c r="H417" s="242" t="s">
        <v>1305</v>
      </c>
      <c r="I417" s="252" t="s">
        <v>875</v>
      </c>
      <c r="J417" s="242">
        <v>1</v>
      </c>
      <c r="K417" s="242">
        <v>2</v>
      </c>
      <c r="L417" s="242">
        <v>4</v>
      </c>
      <c r="M417" s="242"/>
      <c r="N417" s="242"/>
      <c r="O417" s="243"/>
      <c r="P417" s="243"/>
      <c r="Q417" s="244"/>
      <c r="R417" s="244"/>
      <c r="S417" s="244"/>
      <c r="T417" s="245"/>
      <c r="U417" s="245"/>
      <c r="V417" s="246"/>
      <c r="W417" s="246"/>
      <c r="X417" s="247"/>
      <c r="Y417" s="248"/>
      <c r="Z417" s="249"/>
      <c r="AA417" s="248"/>
    </row>
    <row r="418" spans="1:27" s="250" customFormat="1" x14ac:dyDescent="0.25">
      <c r="A418" s="237"/>
      <c r="B418" s="251">
        <v>555</v>
      </c>
      <c r="C418" s="238" t="s">
        <v>4481</v>
      </c>
      <c r="D418" s="238" t="s">
        <v>1021</v>
      </c>
      <c r="E418" s="239" t="s">
        <v>1063</v>
      </c>
      <c r="F418" s="239" t="s">
        <v>142</v>
      </c>
      <c r="G418" s="240" t="s">
        <v>1078</v>
      </c>
      <c r="H418" s="242" t="s">
        <v>1305</v>
      </c>
      <c r="I418" s="252" t="s">
        <v>875</v>
      </c>
      <c r="J418" s="242">
        <v>1</v>
      </c>
      <c r="K418" s="242">
        <v>2</v>
      </c>
      <c r="L418" s="242">
        <v>4</v>
      </c>
      <c r="M418" s="242"/>
      <c r="N418" s="242"/>
      <c r="O418" s="243"/>
      <c r="P418" s="243"/>
      <c r="Q418" s="244"/>
      <c r="R418" s="244"/>
      <c r="S418" s="244"/>
      <c r="T418" s="245"/>
      <c r="U418" s="245"/>
      <c r="V418" s="246"/>
      <c r="W418" s="246"/>
      <c r="X418" s="247"/>
      <c r="Y418" s="248"/>
      <c r="Z418" s="249"/>
      <c r="AA418" s="248"/>
    </row>
    <row r="419" spans="1:27" s="250" customFormat="1" x14ac:dyDescent="0.25">
      <c r="A419" s="237"/>
      <c r="B419" s="251">
        <v>556</v>
      </c>
      <c r="C419" s="238" t="s">
        <v>4482</v>
      </c>
      <c r="D419" s="238" t="s">
        <v>1021</v>
      </c>
      <c r="E419" s="239" t="s">
        <v>1063</v>
      </c>
      <c r="F419" s="239" t="s">
        <v>142</v>
      </c>
      <c r="G419" s="240" t="s">
        <v>1078</v>
      </c>
      <c r="H419" s="242" t="s">
        <v>1305</v>
      </c>
      <c r="I419" s="252" t="s">
        <v>875</v>
      </c>
      <c r="J419" s="242">
        <v>1</v>
      </c>
      <c r="K419" s="242">
        <v>2</v>
      </c>
      <c r="L419" s="242">
        <v>4</v>
      </c>
      <c r="M419" s="242"/>
      <c r="N419" s="242"/>
      <c r="O419" s="243"/>
      <c r="P419" s="243"/>
      <c r="Q419" s="244"/>
      <c r="R419" s="244"/>
      <c r="S419" s="244"/>
      <c r="T419" s="245"/>
      <c r="U419" s="245"/>
      <c r="V419" s="246"/>
      <c r="W419" s="246"/>
      <c r="X419" s="247"/>
      <c r="Y419" s="248"/>
      <c r="Z419" s="249"/>
      <c r="AA419" s="248"/>
    </row>
    <row r="420" spans="1:27" s="250" customFormat="1" x14ac:dyDescent="0.25">
      <c r="A420" s="237"/>
      <c r="B420" s="251">
        <v>557</v>
      </c>
      <c r="C420" s="253" t="s">
        <v>1386</v>
      </c>
      <c r="D420" s="238" t="s">
        <v>1021</v>
      </c>
      <c r="E420" s="239" t="s">
        <v>1063</v>
      </c>
      <c r="F420" s="239" t="s">
        <v>142</v>
      </c>
      <c r="G420" s="240" t="s">
        <v>1078</v>
      </c>
      <c r="H420" s="239" t="s">
        <v>170</v>
      </c>
      <c r="I420" s="241" t="s">
        <v>875</v>
      </c>
      <c r="J420" s="239">
        <v>1</v>
      </c>
      <c r="K420" s="239">
        <v>1</v>
      </c>
      <c r="L420" s="239">
        <v>2</v>
      </c>
      <c r="M420" s="242"/>
      <c r="N420" s="242"/>
      <c r="O420" s="243">
        <v>1</v>
      </c>
      <c r="P420" s="243">
        <v>1</v>
      </c>
      <c r="Q420" s="244"/>
      <c r="R420" s="244"/>
      <c r="S420" s="244"/>
      <c r="T420" s="245"/>
      <c r="U420" s="245"/>
      <c r="V420" s="246"/>
      <c r="W420" s="246"/>
      <c r="X420" s="247"/>
      <c r="Y420" s="248"/>
      <c r="Z420" s="249"/>
      <c r="AA420" s="248"/>
    </row>
    <row r="421" spans="1:27" s="250" customFormat="1" x14ac:dyDescent="0.25">
      <c r="A421" s="237"/>
      <c r="B421" s="251">
        <v>558</v>
      </c>
      <c r="C421" s="253" t="s">
        <v>1387</v>
      </c>
      <c r="D421" s="238" t="s">
        <v>1021</v>
      </c>
      <c r="E421" s="239" t="s">
        <v>1063</v>
      </c>
      <c r="F421" s="239" t="s">
        <v>142</v>
      </c>
      <c r="G421" s="240" t="s">
        <v>1078</v>
      </c>
      <c r="H421" s="239" t="s">
        <v>170</v>
      </c>
      <c r="I421" s="241" t="s">
        <v>875</v>
      </c>
      <c r="J421" s="239">
        <v>1</v>
      </c>
      <c r="K421" s="239">
        <v>1</v>
      </c>
      <c r="L421" s="239">
        <v>2</v>
      </c>
      <c r="M421" s="242"/>
      <c r="N421" s="242"/>
      <c r="O421" s="243">
        <v>1</v>
      </c>
      <c r="P421" s="243">
        <v>1</v>
      </c>
      <c r="Q421" s="244"/>
      <c r="R421" s="244"/>
      <c r="S421" s="244"/>
      <c r="T421" s="245"/>
      <c r="U421" s="245"/>
      <c r="V421" s="246"/>
      <c r="W421" s="246"/>
      <c r="X421" s="247"/>
      <c r="Y421" s="248"/>
      <c r="Z421" s="249"/>
      <c r="AA421" s="248"/>
    </row>
    <row r="422" spans="1:27" s="250" customFormat="1" x14ac:dyDescent="0.25">
      <c r="A422" s="237"/>
      <c r="B422" s="251">
        <v>559</v>
      </c>
      <c r="C422" s="253" t="s">
        <v>1388</v>
      </c>
      <c r="D422" s="238" t="s">
        <v>1021</v>
      </c>
      <c r="E422" s="239" t="s">
        <v>1063</v>
      </c>
      <c r="F422" s="239" t="s">
        <v>142</v>
      </c>
      <c r="G422" s="240" t="s">
        <v>1078</v>
      </c>
      <c r="H422" s="239" t="s">
        <v>170</v>
      </c>
      <c r="I422" s="241" t="s">
        <v>875</v>
      </c>
      <c r="J422" s="239">
        <v>1</v>
      </c>
      <c r="K422" s="239">
        <v>1</v>
      </c>
      <c r="L422" s="239">
        <v>2</v>
      </c>
      <c r="M422" s="242"/>
      <c r="N422" s="242"/>
      <c r="O422" s="243">
        <v>1</v>
      </c>
      <c r="P422" s="243">
        <v>1</v>
      </c>
      <c r="Q422" s="244"/>
      <c r="R422" s="244"/>
      <c r="S422" s="244"/>
      <c r="T422" s="245"/>
      <c r="U422" s="245"/>
      <c r="V422" s="246"/>
      <c r="W422" s="246"/>
      <c r="X422" s="247"/>
      <c r="Y422" s="248"/>
      <c r="Z422" s="249"/>
      <c r="AA422" s="248"/>
    </row>
    <row r="423" spans="1:27" s="250" customFormat="1" x14ac:dyDescent="0.25">
      <c r="A423" s="237"/>
      <c r="B423" s="251">
        <v>560</v>
      </c>
      <c r="C423" s="253" t="s">
        <v>1389</v>
      </c>
      <c r="D423" s="238" t="s">
        <v>1021</v>
      </c>
      <c r="E423" s="239" t="s">
        <v>1063</v>
      </c>
      <c r="F423" s="239" t="s">
        <v>142</v>
      </c>
      <c r="G423" s="240" t="s">
        <v>1390</v>
      </c>
      <c r="H423" s="239" t="s">
        <v>1131</v>
      </c>
      <c r="I423" s="241" t="s">
        <v>875</v>
      </c>
      <c r="J423" s="239">
        <v>1</v>
      </c>
      <c r="K423" s="239">
        <v>1</v>
      </c>
      <c r="L423" s="239">
        <v>2</v>
      </c>
      <c r="M423" s="242"/>
      <c r="N423" s="242"/>
      <c r="O423" s="243">
        <v>1</v>
      </c>
      <c r="P423" s="243">
        <v>1</v>
      </c>
      <c r="Q423" s="244"/>
      <c r="R423" s="244"/>
      <c r="S423" s="244"/>
      <c r="T423" s="245"/>
      <c r="U423" s="245"/>
      <c r="V423" s="246"/>
      <c r="W423" s="246"/>
      <c r="X423" s="247"/>
      <c r="Y423" s="248"/>
      <c r="Z423" s="249"/>
      <c r="AA423" s="248"/>
    </row>
    <row r="424" spans="1:27" s="250" customFormat="1" x14ac:dyDescent="0.25">
      <c r="A424" s="237"/>
      <c r="B424" s="251">
        <v>561</v>
      </c>
      <c r="C424" s="253" t="s">
        <v>1391</v>
      </c>
      <c r="D424" s="238" t="s">
        <v>1021</v>
      </c>
      <c r="E424" s="239" t="s">
        <v>1063</v>
      </c>
      <c r="F424" s="239" t="s">
        <v>142</v>
      </c>
      <c r="G424" s="240" t="s">
        <v>1078</v>
      </c>
      <c r="H424" s="239" t="s">
        <v>1131</v>
      </c>
      <c r="I424" s="241" t="s">
        <v>875</v>
      </c>
      <c r="J424" s="239">
        <v>1</v>
      </c>
      <c r="K424" s="239">
        <v>1</v>
      </c>
      <c r="L424" s="239">
        <v>2</v>
      </c>
      <c r="M424" s="242"/>
      <c r="N424" s="242"/>
      <c r="O424" s="243">
        <v>1</v>
      </c>
      <c r="P424" s="243">
        <v>1</v>
      </c>
      <c r="Q424" s="244"/>
      <c r="R424" s="244"/>
      <c r="S424" s="244"/>
      <c r="T424" s="245"/>
      <c r="U424" s="245"/>
      <c r="V424" s="246"/>
      <c r="W424" s="246"/>
      <c r="X424" s="247"/>
      <c r="Y424" s="248"/>
      <c r="Z424" s="249"/>
      <c r="AA424" s="248"/>
    </row>
    <row r="425" spans="1:27" s="250" customFormat="1" x14ac:dyDescent="0.25">
      <c r="A425" s="237"/>
      <c r="B425" s="251">
        <v>562</v>
      </c>
      <c r="C425" s="253" t="s">
        <v>1392</v>
      </c>
      <c r="D425" s="238" t="s">
        <v>1021</v>
      </c>
      <c r="E425" s="239" t="s">
        <v>1063</v>
      </c>
      <c r="F425" s="239" t="s">
        <v>142</v>
      </c>
      <c r="G425" s="240" t="s">
        <v>1078</v>
      </c>
      <c r="H425" s="239" t="s">
        <v>170</v>
      </c>
      <c r="I425" s="241" t="s">
        <v>875</v>
      </c>
      <c r="J425" s="239">
        <v>1</v>
      </c>
      <c r="K425" s="239">
        <v>1</v>
      </c>
      <c r="L425" s="239">
        <v>2</v>
      </c>
      <c r="M425" s="242"/>
      <c r="N425" s="242"/>
      <c r="O425" s="243">
        <v>1</v>
      </c>
      <c r="P425" s="243">
        <v>1</v>
      </c>
      <c r="Q425" s="244"/>
      <c r="R425" s="244"/>
      <c r="S425" s="244"/>
      <c r="T425" s="245"/>
      <c r="U425" s="245"/>
      <c r="V425" s="246"/>
      <c r="W425" s="246"/>
      <c r="X425" s="247"/>
      <c r="Y425" s="248"/>
      <c r="Z425" s="249"/>
      <c r="AA425" s="248"/>
    </row>
    <row r="426" spans="1:27" s="250" customFormat="1" x14ac:dyDescent="0.25">
      <c r="A426" s="237"/>
      <c r="B426" s="251">
        <v>563</v>
      </c>
      <c r="C426" s="253" t="s">
        <v>1393</v>
      </c>
      <c r="D426" s="238" t="s">
        <v>1021</v>
      </c>
      <c r="E426" s="239" t="s">
        <v>1063</v>
      </c>
      <c r="F426" s="239" t="s">
        <v>142</v>
      </c>
      <c r="G426" s="240" t="s">
        <v>1078</v>
      </c>
      <c r="H426" s="254">
        <v>1E-3</v>
      </c>
      <c r="I426" s="241" t="s">
        <v>875</v>
      </c>
      <c r="J426" s="239">
        <v>1</v>
      </c>
      <c r="K426" s="239">
        <v>1</v>
      </c>
      <c r="L426" s="239">
        <v>2</v>
      </c>
      <c r="M426" s="242"/>
      <c r="N426" s="242"/>
      <c r="O426" s="243">
        <v>1</v>
      </c>
      <c r="P426" s="243">
        <v>1</v>
      </c>
      <c r="Q426" s="244"/>
      <c r="R426" s="244"/>
      <c r="S426" s="244"/>
      <c r="T426" s="245"/>
      <c r="U426" s="245"/>
      <c r="V426" s="246"/>
      <c r="W426" s="246"/>
      <c r="X426" s="247"/>
      <c r="Y426" s="248"/>
      <c r="Z426" s="249"/>
      <c r="AA426" s="248"/>
    </row>
    <row r="427" spans="1:27" s="250" customFormat="1" x14ac:dyDescent="0.25">
      <c r="A427" s="237"/>
      <c r="B427" s="251">
        <v>564</v>
      </c>
      <c r="C427" s="253" t="s">
        <v>1394</v>
      </c>
      <c r="D427" s="238" t="s">
        <v>1021</v>
      </c>
      <c r="E427" s="239" t="s">
        <v>1063</v>
      </c>
      <c r="F427" s="239" t="s">
        <v>142</v>
      </c>
      <c r="G427" s="240" t="s">
        <v>1390</v>
      </c>
      <c r="H427" s="239" t="s">
        <v>147</v>
      </c>
      <c r="I427" s="241" t="s">
        <v>875</v>
      </c>
      <c r="J427" s="239">
        <v>1</v>
      </c>
      <c r="K427" s="239">
        <v>1</v>
      </c>
      <c r="L427" s="239">
        <v>2</v>
      </c>
      <c r="M427" s="242"/>
      <c r="N427" s="242"/>
      <c r="O427" s="243">
        <v>1</v>
      </c>
      <c r="P427" s="243">
        <v>1</v>
      </c>
      <c r="Q427" s="244"/>
      <c r="R427" s="244"/>
      <c r="S427" s="244"/>
      <c r="T427" s="245"/>
      <c r="U427" s="245"/>
      <c r="V427" s="246"/>
      <c r="W427" s="246"/>
      <c r="X427" s="247"/>
      <c r="Y427" s="248"/>
      <c r="Z427" s="249"/>
      <c r="AA427" s="248"/>
    </row>
    <row r="428" spans="1:27" s="250" customFormat="1" x14ac:dyDescent="0.25">
      <c r="A428" s="237"/>
      <c r="B428" s="251">
        <v>565</v>
      </c>
      <c r="C428" s="255" t="s">
        <v>1395</v>
      </c>
      <c r="D428" s="238" t="s">
        <v>1021</v>
      </c>
      <c r="E428" s="239" t="s">
        <v>1063</v>
      </c>
      <c r="F428" s="239" t="s">
        <v>142</v>
      </c>
      <c r="G428" s="240" t="s">
        <v>1390</v>
      </c>
      <c r="H428" s="256" t="s">
        <v>93</v>
      </c>
      <c r="I428" s="241" t="s">
        <v>875</v>
      </c>
      <c r="J428" s="239">
        <v>1</v>
      </c>
      <c r="K428" s="239">
        <v>1</v>
      </c>
      <c r="L428" s="239">
        <f>K428*2</f>
        <v>2</v>
      </c>
      <c r="M428" s="242"/>
      <c r="N428" s="242"/>
      <c r="O428" s="243">
        <v>1</v>
      </c>
      <c r="P428" s="243">
        <v>1</v>
      </c>
      <c r="Q428" s="244"/>
      <c r="R428" s="244"/>
      <c r="S428" s="244"/>
      <c r="T428" s="245"/>
      <c r="U428" s="245"/>
      <c r="V428" s="246"/>
      <c r="W428" s="246"/>
      <c r="X428" s="247"/>
      <c r="Y428" s="248"/>
      <c r="Z428" s="249"/>
      <c r="AA428" s="248"/>
    </row>
    <row r="429" spans="1:27" s="250" customFormat="1" x14ac:dyDescent="0.25">
      <c r="A429" s="237"/>
      <c r="B429" s="251">
        <v>566</v>
      </c>
      <c r="C429" s="255" t="s">
        <v>1396</v>
      </c>
      <c r="D429" s="238" t="s">
        <v>1021</v>
      </c>
      <c r="E429" s="239" t="s">
        <v>1063</v>
      </c>
      <c r="F429" s="239" t="s">
        <v>142</v>
      </c>
      <c r="G429" s="240" t="s">
        <v>1390</v>
      </c>
      <c r="H429" s="257" t="s">
        <v>93</v>
      </c>
      <c r="I429" s="241" t="s">
        <v>875</v>
      </c>
      <c r="J429" s="239">
        <v>1</v>
      </c>
      <c r="K429" s="239">
        <v>1</v>
      </c>
      <c r="L429" s="239">
        <f>K429*2</f>
        <v>2</v>
      </c>
      <c r="M429" s="242"/>
      <c r="N429" s="242"/>
      <c r="O429" s="243">
        <v>1</v>
      </c>
      <c r="P429" s="243">
        <v>1</v>
      </c>
      <c r="Q429" s="244"/>
      <c r="R429" s="244"/>
      <c r="S429" s="244"/>
      <c r="T429" s="245"/>
      <c r="U429" s="245"/>
      <c r="V429" s="246"/>
      <c r="W429" s="246"/>
      <c r="X429" s="247"/>
      <c r="Y429" s="248"/>
      <c r="Z429" s="249"/>
      <c r="AA429" s="248"/>
    </row>
    <row r="430" spans="1:27" x14ac:dyDescent="0.25">
      <c r="A430" s="126"/>
      <c r="B430" s="140">
        <v>567</v>
      </c>
      <c r="C430" s="74" t="s">
        <v>1397</v>
      </c>
      <c r="D430" s="74" t="s">
        <v>1021</v>
      </c>
      <c r="E430" s="443" t="s">
        <v>1063</v>
      </c>
      <c r="F430" s="443" t="s">
        <v>142</v>
      </c>
      <c r="G430" s="56" t="s">
        <v>1085</v>
      </c>
      <c r="H430" s="443"/>
      <c r="I430" s="57" t="s">
        <v>875</v>
      </c>
      <c r="J430" s="443">
        <v>1</v>
      </c>
      <c r="K430" s="443">
        <v>2</v>
      </c>
      <c r="L430" s="443">
        <v>4</v>
      </c>
      <c r="M430" s="66"/>
      <c r="N430" s="66"/>
      <c r="O430" s="142">
        <v>1</v>
      </c>
      <c r="P430" s="142">
        <v>1</v>
      </c>
      <c r="Q430" s="460"/>
      <c r="R430" s="460"/>
      <c r="S430" s="460"/>
      <c r="T430" s="135"/>
      <c r="U430" s="135"/>
      <c r="V430" s="458"/>
      <c r="W430" s="458"/>
      <c r="X430" s="445"/>
      <c r="Y430" s="453"/>
      <c r="Z430" s="455"/>
      <c r="AA430" s="453"/>
    </row>
    <row r="431" spans="1:27" x14ac:dyDescent="0.25">
      <c r="A431" s="126"/>
      <c r="B431" s="140">
        <v>568</v>
      </c>
      <c r="C431" s="74" t="s">
        <v>1398</v>
      </c>
      <c r="D431" s="74" t="s">
        <v>1021</v>
      </c>
      <c r="E431" s="443" t="s">
        <v>1063</v>
      </c>
      <c r="F431" s="443" t="s">
        <v>142</v>
      </c>
      <c r="G431" s="56" t="s">
        <v>1072</v>
      </c>
      <c r="H431" s="443" t="s">
        <v>1073</v>
      </c>
      <c r="I431" s="57" t="s">
        <v>875</v>
      </c>
      <c r="J431" s="443">
        <v>1</v>
      </c>
      <c r="K431" s="443">
        <v>3</v>
      </c>
      <c r="L431" s="66">
        <v>6</v>
      </c>
      <c r="M431" s="66"/>
      <c r="N431" s="66"/>
      <c r="O431" s="142">
        <v>1</v>
      </c>
      <c r="P431" s="142">
        <v>1</v>
      </c>
      <c r="Q431" s="460"/>
      <c r="R431" s="460"/>
      <c r="S431" s="460"/>
      <c r="T431" s="135"/>
      <c r="U431" s="135"/>
      <c r="V431" s="458"/>
      <c r="W431" s="458"/>
      <c r="X431" s="445"/>
      <c r="Y431" s="453"/>
      <c r="Z431" s="455"/>
      <c r="AA431" s="453"/>
    </row>
    <row r="432" spans="1:27" ht="17.399999999999999" customHeight="1" x14ac:dyDescent="0.25">
      <c r="A432" s="126"/>
      <c r="B432" s="140">
        <v>569</v>
      </c>
      <c r="C432" s="133" t="s">
        <v>4483</v>
      </c>
      <c r="D432" s="74" t="s">
        <v>1021</v>
      </c>
      <c r="E432" s="443" t="s">
        <v>1063</v>
      </c>
      <c r="F432" s="443" t="s">
        <v>142</v>
      </c>
      <c r="G432" s="56" t="s">
        <v>1390</v>
      </c>
      <c r="H432" s="443" t="s">
        <v>886</v>
      </c>
      <c r="I432" s="57" t="s">
        <v>875</v>
      </c>
      <c r="J432" s="443">
        <v>1</v>
      </c>
      <c r="K432" s="443">
        <v>2</v>
      </c>
      <c r="L432" s="443">
        <v>4</v>
      </c>
      <c r="M432" s="242"/>
      <c r="N432" s="242"/>
      <c r="O432" s="243">
        <v>1</v>
      </c>
      <c r="P432" s="243">
        <v>1</v>
      </c>
      <c r="Q432" s="450">
        <v>1</v>
      </c>
      <c r="R432" s="450">
        <v>1</v>
      </c>
      <c r="S432" s="244"/>
      <c r="T432" s="245"/>
      <c r="U432" s="245"/>
      <c r="V432" s="246"/>
      <c r="W432" s="246"/>
      <c r="X432" s="247"/>
      <c r="Y432" s="248"/>
      <c r="Z432" s="249"/>
      <c r="AA432" s="248"/>
    </row>
    <row r="433" spans="1:27" ht="15.6" customHeight="1" x14ac:dyDescent="0.25">
      <c r="A433" s="82"/>
      <c r="B433" s="140">
        <v>570</v>
      </c>
      <c r="C433" s="133" t="s">
        <v>4484</v>
      </c>
      <c r="D433" s="74" t="s">
        <v>1021</v>
      </c>
      <c r="E433" s="443" t="s">
        <v>1063</v>
      </c>
      <c r="F433" s="443" t="s">
        <v>142</v>
      </c>
      <c r="G433" s="56" t="s">
        <v>1390</v>
      </c>
      <c r="H433" s="443" t="s">
        <v>886</v>
      </c>
      <c r="I433" s="57" t="s">
        <v>875</v>
      </c>
      <c r="J433" s="443">
        <v>1</v>
      </c>
      <c r="K433" s="443">
        <v>2</v>
      </c>
      <c r="L433" s="443">
        <v>4</v>
      </c>
      <c r="M433" s="242"/>
      <c r="N433" s="242"/>
      <c r="O433" s="243">
        <v>1</v>
      </c>
      <c r="P433" s="243">
        <v>1</v>
      </c>
      <c r="Q433" s="450">
        <v>1</v>
      </c>
      <c r="R433" s="450">
        <v>1</v>
      </c>
      <c r="S433" s="244"/>
      <c r="T433" s="245"/>
      <c r="U433" s="245"/>
      <c r="V433" s="246"/>
      <c r="W433" s="246"/>
      <c r="X433" s="247"/>
      <c r="Y433" s="248"/>
      <c r="Z433" s="249"/>
      <c r="AA433" s="248"/>
    </row>
    <row r="434" spans="1:27" ht="25.5" customHeight="1" thickBot="1" x14ac:dyDescent="0.3">
      <c r="A434" s="82"/>
      <c r="B434" s="140"/>
      <c r="C434" s="133"/>
      <c r="D434" s="189"/>
      <c r="E434" s="190"/>
      <c r="F434" s="190"/>
      <c r="G434" s="191"/>
      <c r="H434" s="190"/>
      <c r="I434" s="192"/>
      <c r="J434" s="190"/>
      <c r="K434" s="190"/>
      <c r="L434" s="190"/>
      <c r="M434" s="190"/>
      <c r="N434" s="190"/>
      <c r="O434" s="193"/>
      <c r="P434" s="193"/>
      <c r="Q434" s="194"/>
      <c r="R434" s="194"/>
      <c r="S434" s="194"/>
      <c r="T434" s="135"/>
      <c r="U434" s="135"/>
      <c r="V434" s="458"/>
      <c r="W434" s="458"/>
      <c r="X434" s="445"/>
      <c r="Y434" s="453"/>
      <c r="Z434" s="455"/>
      <c r="AA434" s="453"/>
    </row>
    <row r="435" spans="1:27" ht="12.75" customHeight="1" thickBot="1" x14ac:dyDescent="0.3">
      <c r="A435" s="258" t="s">
        <v>1399</v>
      </c>
      <c r="B435" s="84">
        <v>600</v>
      </c>
      <c r="C435" s="85" t="s">
        <v>1400</v>
      </c>
      <c r="D435" s="85" t="s">
        <v>1021</v>
      </c>
      <c r="E435" s="442" t="s">
        <v>1063</v>
      </c>
      <c r="F435" s="442" t="s">
        <v>142</v>
      </c>
      <c r="G435" s="86" t="s">
        <v>1401</v>
      </c>
      <c r="H435" s="442" t="s">
        <v>93</v>
      </c>
      <c r="I435" s="87" t="s">
        <v>875</v>
      </c>
      <c r="J435" s="442">
        <v>1</v>
      </c>
      <c r="K435" s="442">
        <v>1</v>
      </c>
      <c r="L435" s="442">
        <v>2</v>
      </c>
      <c r="M435" s="442"/>
      <c r="N435" s="442"/>
      <c r="O435" s="235">
        <v>1</v>
      </c>
      <c r="P435" s="235">
        <v>1</v>
      </c>
      <c r="Q435" s="449">
        <v>1</v>
      </c>
      <c r="R435" s="449">
        <v>1</v>
      </c>
      <c r="S435" s="449"/>
      <c r="T435" s="461"/>
      <c r="U435" s="461" t="s">
        <v>876</v>
      </c>
      <c r="V435" s="88"/>
      <c r="W435" s="88"/>
      <c r="X435" s="89"/>
      <c r="Y435" s="90"/>
      <c r="Z435" s="91"/>
      <c r="AA435" s="90"/>
    </row>
    <row r="436" spans="1:27" ht="12.75" customHeight="1" thickBot="1" x14ac:dyDescent="0.3">
      <c r="A436" s="82"/>
      <c r="B436" s="62">
        <v>601</v>
      </c>
      <c r="C436" s="74" t="s">
        <v>1402</v>
      </c>
      <c r="D436" s="74" t="s">
        <v>1021</v>
      </c>
      <c r="E436" s="443" t="s">
        <v>1063</v>
      </c>
      <c r="F436" s="443" t="s">
        <v>142</v>
      </c>
      <c r="G436" s="56" t="s">
        <v>1401</v>
      </c>
      <c r="H436" s="443" t="s">
        <v>880</v>
      </c>
      <c r="I436" s="57" t="s">
        <v>875</v>
      </c>
      <c r="J436" s="443">
        <v>1</v>
      </c>
      <c r="K436" s="443">
        <v>1</v>
      </c>
      <c r="L436" s="443">
        <v>2</v>
      </c>
      <c r="M436" s="443"/>
      <c r="N436" s="443"/>
      <c r="O436" s="235">
        <v>1</v>
      </c>
      <c r="P436" s="235">
        <v>1</v>
      </c>
      <c r="Q436" s="450">
        <v>1</v>
      </c>
      <c r="R436" s="450">
        <v>1</v>
      </c>
      <c r="S436" s="450"/>
      <c r="T436" s="451"/>
      <c r="U436" s="451" t="s">
        <v>876</v>
      </c>
      <c r="V436" s="58"/>
      <c r="W436" s="58"/>
      <c r="X436" s="59"/>
      <c r="Y436" s="60"/>
      <c r="Z436" s="61"/>
      <c r="AA436" s="60"/>
    </row>
    <row r="437" spans="1:27" ht="12.75" customHeight="1" thickBot="1" x14ac:dyDescent="0.3">
      <c r="A437" s="82"/>
      <c r="B437" s="62">
        <v>602</v>
      </c>
      <c r="C437" s="74" t="s">
        <v>1403</v>
      </c>
      <c r="D437" s="74" t="s">
        <v>1021</v>
      </c>
      <c r="E437" s="443" t="s">
        <v>1063</v>
      </c>
      <c r="F437" s="443" t="s">
        <v>142</v>
      </c>
      <c r="G437" s="56" t="s">
        <v>1401</v>
      </c>
      <c r="H437" s="443" t="s">
        <v>900</v>
      </c>
      <c r="I437" s="57" t="s">
        <v>875</v>
      </c>
      <c r="J437" s="443">
        <v>1</v>
      </c>
      <c r="K437" s="443">
        <v>2</v>
      </c>
      <c r="L437" s="443">
        <v>4</v>
      </c>
      <c r="M437" s="443"/>
      <c r="N437" s="443"/>
      <c r="O437" s="235">
        <v>1</v>
      </c>
      <c r="P437" s="235">
        <v>1</v>
      </c>
      <c r="Q437" s="450">
        <v>1</v>
      </c>
      <c r="R437" s="450">
        <v>1</v>
      </c>
      <c r="S437" s="450"/>
      <c r="T437" s="451"/>
      <c r="U437" s="451" t="s">
        <v>876</v>
      </c>
      <c r="V437" s="58"/>
      <c r="W437" s="58"/>
      <c r="X437" s="59"/>
      <c r="Y437" s="60"/>
      <c r="Z437" s="61"/>
      <c r="AA437" s="60"/>
    </row>
    <row r="438" spans="1:27" ht="12.75" customHeight="1" thickBot="1" x14ac:dyDescent="0.3">
      <c r="A438" s="113"/>
      <c r="B438" s="62">
        <v>603</v>
      </c>
      <c r="C438" s="74" t="s">
        <v>1404</v>
      </c>
      <c r="D438" s="74" t="s">
        <v>1021</v>
      </c>
      <c r="E438" s="443" t="s">
        <v>1063</v>
      </c>
      <c r="F438" s="443" t="s">
        <v>142</v>
      </c>
      <c r="G438" s="56" t="s">
        <v>1401</v>
      </c>
      <c r="H438" s="443" t="s">
        <v>1405</v>
      </c>
      <c r="I438" s="57" t="s">
        <v>875</v>
      </c>
      <c r="J438" s="443">
        <v>1</v>
      </c>
      <c r="K438" s="443">
        <v>1</v>
      </c>
      <c r="L438" s="443">
        <v>2</v>
      </c>
      <c r="M438" s="443"/>
      <c r="N438" s="443"/>
      <c r="O438" s="235">
        <v>1</v>
      </c>
      <c r="P438" s="235">
        <v>1</v>
      </c>
      <c r="Q438" s="450">
        <v>1</v>
      </c>
      <c r="R438" s="450">
        <v>1</v>
      </c>
      <c r="S438" s="450"/>
      <c r="T438" s="451"/>
      <c r="U438" s="451" t="s">
        <v>876</v>
      </c>
      <c r="V438" s="58"/>
      <c r="W438" s="58"/>
      <c r="X438" s="59"/>
      <c r="Y438" s="60"/>
      <c r="Z438" s="61"/>
      <c r="AA438" s="60"/>
    </row>
    <row r="439" spans="1:27" ht="12.75" customHeight="1" thickBot="1" x14ac:dyDescent="0.3">
      <c r="A439" s="54"/>
      <c r="B439" s="62">
        <v>604</v>
      </c>
      <c r="C439" s="74" t="s">
        <v>1406</v>
      </c>
      <c r="D439" s="74" t="s">
        <v>1021</v>
      </c>
      <c r="E439" s="443" t="s">
        <v>1063</v>
      </c>
      <c r="F439" s="443" t="s">
        <v>142</v>
      </c>
      <c r="G439" s="56" t="s">
        <v>1401</v>
      </c>
      <c r="H439" s="443" t="s">
        <v>1405</v>
      </c>
      <c r="I439" s="57" t="s">
        <v>875</v>
      </c>
      <c r="J439" s="443">
        <v>1</v>
      </c>
      <c r="K439" s="443">
        <v>1</v>
      </c>
      <c r="L439" s="443">
        <v>2</v>
      </c>
      <c r="M439" s="443"/>
      <c r="N439" s="443"/>
      <c r="O439" s="235">
        <v>1</v>
      </c>
      <c r="P439" s="235">
        <v>1</v>
      </c>
      <c r="Q439" s="450">
        <v>1</v>
      </c>
      <c r="R439" s="450">
        <v>1</v>
      </c>
      <c r="S439" s="450"/>
      <c r="T439" s="451"/>
      <c r="U439" s="451" t="s">
        <v>876</v>
      </c>
      <c r="V439" s="58"/>
      <c r="W439" s="58"/>
      <c r="X439" s="59"/>
      <c r="Y439" s="60"/>
      <c r="Z439" s="61"/>
      <c r="AA439" s="60"/>
    </row>
    <row r="440" spans="1:27" ht="12.75" customHeight="1" thickBot="1" x14ac:dyDescent="0.3">
      <c r="A440" s="54"/>
      <c r="B440" s="62">
        <v>605</v>
      </c>
      <c r="C440" s="74" t="s">
        <v>1407</v>
      </c>
      <c r="D440" s="74" t="s">
        <v>1021</v>
      </c>
      <c r="E440" s="443" t="s">
        <v>1063</v>
      </c>
      <c r="F440" s="443" t="s">
        <v>142</v>
      </c>
      <c r="G440" s="56" t="s">
        <v>1401</v>
      </c>
      <c r="H440" s="443" t="s">
        <v>1405</v>
      </c>
      <c r="I440" s="57" t="s">
        <v>875</v>
      </c>
      <c r="J440" s="443">
        <v>1</v>
      </c>
      <c r="K440" s="443">
        <v>1</v>
      </c>
      <c r="L440" s="443">
        <v>2</v>
      </c>
      <c r="M440" s="443"/>
      <c r="N440" s="443"/>
      <c r="O440" s="235">
        <v>1</v>
      </c>
      <c r="P440" s="235">
        <v>1</v>
      </c>
      <c r="Q440" s="450">
        <v>1</v>
      </c>
      <c r="R440" s="450">
        <v>1</v>
      </c>
      <c r="S440" s="450"/>
      <c r="T440" s="451"/>
      <c r="U440" s="451" t="s">
        <v>876</v>
      </c>
      <c r="V440" s="58"/>
      <c r="W440" s="58"/>
      <c r="X440" s="59"/>
      <c r="Y440" s="60"/>
      <c r="Z440" s="61"/>
      <c r="AA440" s="60"/>
    </row>
    <row r="441" spans="1:27" ht="13.5" customHeight="1" thickBot="1" x14ac:dyDescent="0.3">
      <c r="A441" s="54"/>
      <c r="B441" s="62">
        <v>606</v>
      </c>
      <c r="C441" s="74" t="s">
        <v>1408</v>
      </c>
      <c r="D441" s="74" t="s">
        <v>1021</v>
      </c>
      <c r="E441" s="443" t="s">
        <v>1063</v>
      </c>
      <c r="F441" s="443" t="s">
        <v>142</v>
      </c>
      <c r="G441" s="56" t="s">
        <v>1401</v>
      </c>
      <c r="H441" s="443" t="s">
        <v>93</v>
      </c>
      <c r="I441" s="57" t="s">
        <v>875</v>
      </c>
      <c r="J441" s="443">
        <v>1</v>
      </c>
      <c r="K441" s="443">
        <v>1</v>
      </c>
      <c r="L441" s="443">
        <v>2</v>
      </c>
      <c r="M441" s="443"/>
      <c r="N441" s="443"/>
      <c r="O441" s="235">
        <v>1</v>
      </c>
      <c r="P441" s="235">
        <v>1</v>
      </c>
      <c r="Q441" s="450">
        <v>1</v>
      </c>
      <c r="R441" s="450">
        <v>1</v>
      </c>
      <c r="S441" s="450">
        <v>1</v>
      </c>
      <c r="T441" s="451"/>
      <c r="U441" s="451" t="s">
        <v>876</v>
      </c>
      <c r="V441" s="58"/>
      <c r="W441" s="58"/>
      <c r="X441" s="59"/>
      <c r="Y441" s="60"/>
      <c r="Z441" s="61"/>
      <c r="AA441" s="60"/>
    </row>
    <row r="442" spans="1:27" s="110" customFormat="1" ht="13.5" customHeight="1" thickBot="1" x14ac:dyDescent="0.3">
      <c r="A442" s="54"/>
      <c r="B442" s="62">
        <v>607</v>
      </c>
      <c r="C442" s="74" t="s">
        <v>1409</v>
      </c>
      <c r="D442" s="74" t="s">
        <v>1021</v>
      </c>
      <c r="E442" s="443" t="s">
        <v>1063</v>
      </c>
      <c r="F442" s="443" t="s">
        <v>142</v>
      </c>
      <c r="G442" s="56" t="s">
        <v>1401</v>
      </c>
      <c r="H442" s="443" t="s">
        <v>170</v>
      </c>
      <c r="I442" s="57" t="s">
        <v>875</v>
      </c>
      <c r="J442" s="443">
        <v>1</v>
      </c>
      <c r="K442" s="443">
        <v>1</v>
      </c>
      <c r="L442" s="443">
        <v>2</v>
      </c>
      <c r="M442" s="443"/>
      <c r="N442" s="443"/>
      <c r="O442" s="235">
        <v>1</v>
      </c>
      <c r="P442" s="235">
        <v>1</v>
      </c>
      <c r="Q442" s="450">
        <v>1</v>
      </c>
      <c r="R442" s="450">
        <v>1</v>
      </c>
      <c r="S442" s="450"/>
      <c r="T442" s="451"/>
      <c r="U442" s="451" t="s">
        <v>876</v>
      </c>
      <c r="V442" s="58"/>
      <c r="W442" s="58"/>
      <c r="X442" s="59"/>
      <c r="Y442" s="60"/>
      <c r="Z442" s="61"/>
      <c r="AA442" s="60"/>
    </row>
    <row r="443" spans="1:27" s="110" customFormat="1" ht="13.5" customHeight="1" thickBot="1" x14ac:dyDescent="0.3">
      <c r="A443" s="109" t="s">
        <v>1410</v>
      </c>
      <c r="B443" s="62">
        <v>608</v>
      </c>
      <c r="C443" s="74" t="s">
        <v>1411</v>
      </c>
      <c r="D443" s="74" t="s">
        <v>1021</v>
      </c>
      <c r="E443" s="443" t="s">
        <v>1063</v>
      </c>
      <c r="F443" s="443" t="s">
        <v>142</v>
      </c>
      <c r="G443" s="56" t="s">
        <v>1401</v>
      </c>
      <c r="H443" s="443" t="s">
        <v>1412</v>
      </c>
      <c r="I443" s="57" t="s">
        <v>875</v>
      </c>
      <c r="J443" s="443">
        <v>1</v>
      </c>
      <c r="K443" s="443">
        <v>2</v>
      </c>
      <c r="L443" s="443">
        <v>4</v>
      </c>
      <c r="M443" s="443"/>
      <c r="N443" s="443"/>
      <c r="O443" s="235">
        <v>1</v>
      </c>
      <c r="P443" s="235">
        <v>1</v>
      </c>
      <c r="Q443" s="450">
        <v>1</v>
      </c>
      <c r="R443" s="450">
        <v>1</v>
      </c>
      <c r="S443" s="450"/>
      <c r="T443" s="451"/>
      <c r="U443" s="451" t="s">
        <v>876</v>
      </c>
      <c r="V443" s="139"/>
      <c r="W443" s="139"/>
      <c r="X443" s="63"/>
      <c r="Y443" s="70"/>
      <c r="Z443" s="67"/>
      <c r="AA443" s="70"/>
    </row>
    <row r="444" spans="1:27" s="110" customFormat="1" ht="13.8" thickBot="1" x14ac:dyDescent="0.3">
      <c r="A444" s="109"/>
      <c r="B444" s="62">
        <v>609</v>
      </c>
      <c r="C444" s="74" t="s">
        <v>1413</v>
      </c>
      <c r="D444" s="74" t="s">
        <v>1021</v>
      </c>
      <c r="E444" s="443" t="s">
        <v>1063</v>
      </c>
      <c r="F444" s="443" t="s">
        <v>142</v>
      </c>
      <c r="G444" s="56" t="s">
        <v>1401</v>
      </c>
      <c r="H444" s="443" t="s">
        <v>1412</v>
      </c>
      <c r="I444" s="57" t="s">
        <v>875</v>
      </c>
      <c r="J444" s="443">
        <v>1</v>
      </c>
      <c r="K444" s="443">
        <v>2</v>
      </c>
      <c r="L444" s="443">
        <v>4</v>
      </c>
      <c r="M444" s="443"/>
      <c r="N444" s="443"/>
      <c r="O444" s="235">
        <v>1</v>
      </c>
      <c r="P444" s="235">
        <v>1</v>
      </c>
      <c r="Q444" s="450">
        <v>1</v>
      </c>
      <c r="R444" s="450">
        <v>1</v>
      </c>
      <c r="S444" s="450"/>
      <c r="T444" s="451"/>
      <c r="U444" s="451" t="s">
        <v>876</v>
      </c>
      <c r="V444" s="139"/>
      <c r="W444" s="139"/>
      <c r="X444" s="63"/>
      <c r="Y444" s="70"/>
      <c r="Z444" s="67"/>
      <c r="AA444" s="70"/>
    </row>
    <row r="445" spans="1:27" s="110" customFormat="1" ht="27" thickBot="1" x14ac:dyDescent="0.3">
      <c r="A445" s="109"/>
      <c r="B445" s="62">
        <v>610</v>
      </c>
      <c r="C445" s="74" t="s">
        <v>1414</v>
      </c>
      <c r="D445" s="74" t="s">
        <v>1021</v>
      </c>
      <c r="E445" s="443" t="s">
        <v>1063</v>
      </c>
      <c r="F445" s="443" t="s">
        <v>142</v>
      </c>
      <c r="G445" s="56" t="s">
        <v>1401</v>
      </c>
      <c r="H445" s="443" t="s">
        <v>1415</v>
      </c>
      <c r="I445" s="57" t="s">
        <v>875</v>
      </c>
      <c r="J445" s="443">
        <v>1</v>
      </c>
      <c r="K445" s="443">
        <v>2</v>
      </c>
      <c r="L445" s="443">
        <v>4</v>
      </c>
      <c r="M445" s="443"/>
      <c r="N445" s="443"/>
      <c r="O445" s="235">
        <v>1</v>
      </c>
      <c r="P445" s="235">
        <v>1</v>
      </c>
      <c r="Q445" s="450">
        <v>1</v>
      </c>
      <c r="R445" s="450">
        <v>1</v>
      </c>
      <c r="S445" s="450"/>
      <c r="T445" s="451"/>
      <c r="U445" s="451" t="s">
        <v>876</v>
      </c>
      <c r="V445" s="139"/>
      <c r="W445" s="139"/>
      <c r="X445" s="63"/>
      <c r="Y445" s="70"/>
      <c r="Z445" s="67"/>
      <c r="AA445" s="70"/>
    </row>
    <row r="446" spans="1:27" ht="13.5" customHeight="1" thickBot="1" x14ac:dyDescent="0.3">
      <c r="A446" s="109"/>
      <c r="B446" s="62">
        <v>611</v>
      </c>
      <c r="C446" s="74" t="s">
        <v>1416</v>
      </c>
      <c r="D446" s="74" t="s">
        <v>1021</v>
      </c>
      <c r="E446" s="443" t="s">
        <v>1063</v>
      </c>
      <c r="F446" s="443" t="s">
        <v>142</v>
      </c>
      <c r="G446" s="56" t="s">
        <v>1401</v>
      </c>
      <c r="H446" s="443" t="s">
        <v>1415</v>
      </c>
      <c r="I446" s="57" t="s">
        <v>875</v>
      </c>
      <c r="J446" s="443">
        <v>1</v>
      </c>
      <c r="K446" s="443">
        <v>2</v>
      </c>
      <c r="L446" s="443">
        <v>4</v>
      </c>
      <c r="M446" s="443"/>
      <c r="N446" s="443"/>
      <c r="O446" s="235">
        <v>1</v>
      </c>
      <c r="P446" s="235">
        <v>1</v>
      </c>
      <c r="Q446" s="450">
        <v>1</v>
      </c>
      <c r="R446" s="450">
        <v>1</v>
      </c>
      <c r="S446" s="450"/>
      <c r="T446" s="451"/>
      <c r="U446" s="451" t="s">
        <v>876</v>
      </c>
      <c r="V446" s="139"/>
      <c r="W446" s="139"/>
      <c r="X446" s="63"/>
      <c r="Y446" s="70"/>
      <c r="Z446" s="67"/>
      <c r="AA446" s="70"/>
    </row>
    <row r="447" spans="1:27" ht="13.5" customHeight="1" thickBot="1" x14ac:dyDescent="0.3">
      <c r="A447" s="54"/>
      <c r="B447" s="62">
        <v>612</v>
      </c>
      <c r="C447" s="74" t="s">
        <v>1417</v>
      </c>
      <c r="D447" s="74" t="s">
        <v>1021</v>
      </c>
      <c r="E447" s="443" t="s">
        <v>1063</v>
      </c>
      <c r="F447" s="443" t="s">
        <v>142</v>
      </c>
      <c r="G447" s="56" t="s">
        <v>1401</v>
      </c>
      <c r="H447" s="443" t="s">
        <v>170</v>
      </c>
      <c r="I447" s="57" t="s">
        <v>875</v>
      </c>
      <c r="J447" s="443">
        <v>1</v>
      </c>
      <c r="K447" s="443">
        <v>1</v>
      </c>
      <c r="L447" s="443">
        <v>2</v>
      </c>
      <c r="M447" s="443"/>
      <c r="N447" s="443"/>
      <c r="O447" s="235">
        <v>1</v>
      </c>
      <c r="P447" s="235">
        <v>1</v>
      </c>
      <c r="Q447" s="450">
        <v>1</v>
      </c>
      <c r="R447" s="450">
        <v>1</v>
      </c>
      <c r="S447" s="450"/>
      <c r="T447" s="451"/>
      <c r="U447" s="451" t="s">
        <v>876</v>
      </c>
      <c r="V447" s="58"/>
      <c r="W447" s="58"/>
      <c r="X447" s="59"/>
      <c r="Y447" s="60"/>
      <c r="Z447" s="61"/>
      <c r="AA447" s="60"/>
    </row>
    <row r="448" spans="1:27" ht="13.5" customHeight="1" thickBot="1" x14ac:dyDescent="0.3">
      <c r="A448" s="54"/>
      <c r="B448" s="62">
        <v>613</v>
      </c>
      <c r="C448" s="74" t="s">
        <v>1418</v>
      </c>
      <c r="D448" s="74" t="s">
        <v>1021</v>
      </c>
      <c r="E448" s="443" t="s">
        <v>1063</v>
      </c>
      <c r="F448" s="443" t="s">
        <v>142</v>
      </c>
      <c r="G448" s="56" t="s">
        <v>1401</v>
      </c>
      <c r="H448" s="443" t="s">
        <v>170</v>
      </c>
      <c r="I448" s="57" t="s">
        <v>875</v>
      </c>
      <c r="J448" s="443">
        <v>1</v>
      </c>
      <c r="K448" s="443">
        <v>1</v>
      </c>
      <c r="L448" s="443">
        <v>2</v>
      </c>
      <c r="M448" s="443"/>
      <c r="N448" s="443"/>
      <c r="O448" s="235">
        <v>1</v>
      </c>
      <c r="P448" s="235">
        <v>1</v>
      </c>
      <c r="Q448" s="450">
        <v>1</v>
      </c>
      <c r="R448" s="450">
        <v>1</v>
      </c>
      <c r="S448" s="450"/>
      <c r="T448" s="451"/>
      <c r="U448" s="451" t="s">
        <v>876</v>
      </c>
      <c r="V448" s="58"/>
      <c r="W448" s="58"/>
      <c r="X448" s="59"/>
      <c r="Y448" s="60"/>
      <c r="Z448" s="61"/>
      <c r="AA448" s="60"/>
    </row>
    <row r="449" spans="1:27" ht="13.5" customHeight="1" thickBot="1" x14ac:dyDescent="0.3">
      <c r="A449" s="54"/>
      <c r="B449" s="62">
        <v>614</v>
      </c>
      <c r="C449" s="74" t="s">
        <v>1419</v>
      </c>
      <c r="D449" s="74" t="s">
        <v>1021</v>
      </c>
      <c r="E449" s="443" t="s">
        <v>1063</v>
      </c>
      <c r="F449" s="443" t="s">
        <v>142</v>
      </c>
      <c r="G449" s="56" t="s">
        <v>1401</v>
      </c>
      <c r="H449" s="443" t="s">
        <v>1131</v>
      </c>
      <c r="I449" s="57" t="s">
        <v>875</v>
      </c>
      <c r="J449" s="443">
        <v>1</v>
      </c>
      <c r="K449" s="443">
        <v>1</v>
      </c>
      <c r="L449" s="443">
        <v>2</v>
      </c>
      <c r="M449" s="443"/>
      <c r="N449" s="443"/>
      <c r="O449" s="235">
        <v>1</v>
      </c>
      <c r="P449" s="235">
        <v>1</v>
      </c>
      <c r="Q449" s="450">
        <v>1</v>
      </c>
      <c r="R449" s="450">
        <v>1</v>
      </c>
      <c r="S449" s="450"/>
      <c r="T449" s="451"/>
      <c r="U449" s="451" t="s">
        <v>876</v>
      </c>
      <c r="V449" s="58"/>
      <c r="W449" s="58"/>
      <c r="X449" s="59"/>
      <c r="Y449" s="60"/>
      <c r="Z449" s="61"/>
      <c r="AA449" s="60"/>
    </row>
    <row r="450" spans="1:27" ht="13.5" customHeight="1" thickBot="1" x14ac:dyDescent="0.3">
      <c r="A450" s="54"/>
      <c r="B450" s="62">
        <v>615</v>
      </c>
      <c r="C450" s="74" t="s">
        <v>1420</v>
      </c>
      <c r="D450" s="74" t="s">
        <v>1021</v>
      </c>
      <c r="E450" s="443" t="s">
        <v>1063</v>
      </c>
      <c r="F450" s="443" t="s">
        <v>142</v>
      </c>
      <c r="G450" s="56" t="s">
        <v>1401</v>
      </c>
      <c r="H450" s="443" t="s">
        <v>1131</v>
      </c>
      <c r="I450" s="57" t="s">
        <v>875</v>
      </c>
      <c r="J450" s="443">
        <v>1</v>
      </c>
      <c r="K450" s="443">
        <v>1</v>
      </c>
      <c r="L450" s="443">
        <v>2</v>
      </c>
      <c r="M450" s="443"/>
      <c r="N450" s="443"/>
      <c r="O450" s="235">
        <v>1</v>
      </c>
      <c r="P450" s="235">
        <v>1</v>
      </c>
      <c r="Q450" s="450">
        <v>1</v>
      </c>
      <c r="R450" s="450">
        <v>1</v>
      </c>
      <c r="S450" s="450"/>
      <c r="T450" s="451"/>
      <c r="U450" s="451" t="s">
        <v>876</v>
      </c>
      <c r="V450" s="58"/>
      <c r="W450" s="58"/>
      <c r="X450" s="59"/>
      <c r="Y450" s="60"/>
      <c r="Z450" s="61"/>
      <c r="AA450" s="60"/>
    </row>
    <row r="451" spans="1:27" ht="13.5" customHeight="1" thickBot="1" x14ac:dyDescent="0.3">
      <c r="A451" s="54"/>
      <c r="B451" s="62">
        <v>616</v>
      </c>
      <c r="C451" s="74" t="s">
        <v>1421</v>
      </c>
      <c r="D451" s="74" t="s">
        <v>1021</v>
      </c>
      <c r="E451" s="443" t="s">
        <v>1063</v>
      </c>
      <c r="F451" s="443" t="s">
        <v>142</v>
      </c>
      <c r="G451" s="56" t="s">
        <v>1401</v>
      </c>
      <c r="H451" s="443" t="s">
        <v>170</v>
      </c>
      <c r="I451" s="57" t="s">
        <v>875</v>
      </c>
      <c r="J451" s="443">
        <v>1</v>
      </c>
      <c r="K451" s="443">
        <v>1</v>
      </c>
      <c r="L451" s="443">
        <v>2</v>
      </c>
      <c r="M451" s="443"/>
      <c r="N451" s="443"/>
      <c r="O451" s="235">
        <v>1</v>
      </c>
      <c r="P451" s="235">
        <v>1</v>
      </c>
      <c r="Q451" s="450">
        <v>1</v>
      </c>
      <c r="R451" s="450">
        <v>1</v>
      </c>
      <c r="S451" s="450"/>
      <c r="T451" s="451"/>
      <c r="U451" s="451" t="s">
        <v>876</v>
      </c>
      <c r="V451" s="58"/>
      <c r="W451" s="58"/>
      <c r="X451" s="59"/>
      <c r="Y451" s="60"/>
      <c r="Z451" s="61"/>
      <c r="AA451" s="60"/>
    </row>
    <row r="452" spans="1:27" ht="13.5" customHeight="1" thickBot="1" x14ac:dyDescent="0.3">
      <c r="A452" s="54"/>
      <c r="B452" s="62">
        <v>617</v>
      </c>
      <c r="C452" s="74" t="s">
        <v>1422</v>
      </c>
      <c r="D452" s="74" t="s">
        <v>1021</v>
      </c>
      <c r="E452" s="443" t="s">
        <v>1063</v>
      </c>
      <c r="F452" s="443" t="s">
        <v>142</v>
      </c>
      <c r="G452" s="56" t="s">
        <v>1401</v>
      </c>
      <c r="H452" s="443" t="s">
        <v>1073</v>
      </c>
      <c r="I452" s="57" t="s">
        <v>875</v>
      </c>
      <c r="J452" s="443">
        <v>1</v>
      </c>
      <c r="K452" s="443">
        <v>1</v>
      </c>
      <c r="L452" s="443">
        <v>2</v>
      </c>
      <c r="M452" s="443"/>
      <c r="N452" s="443"/>
      <c r="O452" s="235">
        <v>1</v>
      </c>
      <c r="P452" s="235">
        <v>1</v>
      </c>
      <c r="Q452" s="450">
        <v>1</v>
      </c>
      <c r="R452" s="450">
        <v>1</v>
      </c>
      <c r="S452" s="450"/>
      <c r="T452" s="451"/>
      <c r="U452" s="451" t="s">
        <v>876</v>
      </c>
      <c r="V452" s="58"/>
      <c r="W452" s="58"/>
      <c r="X452" s="59"/>
      <c r="Y452" s="60"/>
      <c r="Z452" s="61"/>
      <c r="AA452" s="60"/>
    </row>
    <row r="453" spans="1:27" ht="13.5" customHeight="1" thickBot="1" x14ac:dyDescent="0.3">
      <c r="A453" s="54"/>
      <c r="B453" s="62">
        <v>618</v>
      </c>
      <c r="C453" s="74" t="s">
        <v>1423</v>
      </c>
      <c r="D453" s="74" t="s">
        <v>1021</v>
      </c>
      <c r="E453" s="443" t="s">
        <v>1063</v>
      </c>
      <c r="F453" s="443" t="s">
        <v>142</v>
      </c>
      <c r="G453" s="56" t="s">
        <v>1401</v>
      </c>
      <c r="H453" s="443" t="s">
        <v>1073</v>
      </c>
      <c r="I453" s="57" t="s">
        <v>875</v>
      </c>
      <c r="J453" s="443">
        <v>1</v>
      </c>
      <c r="K453" s="443">
        <v>1</v>
      </c>
      <c r="L453" s="443">
        <v>2</v>
      </c>
      <c r="M453" s="443"/>
      <c r="N453" s="443"/>
      <c r="O453" s="235">
        <v>1</v>
      </c>
      <c r="P453" s="235">
        <v>1</v>
      </c>
      <c r="Q453" s="450">
        <v>1</v>
      </c>
      <c r="R453" s="450">
        <v>1</v>
      </c>
      <c r="S453" s="450"/>
      <c r="T453" s="451"/>
      <c r="U453" s="451" t="s">
        <v>876</v>
      </c>
      <c r="V453" s="58"/>
      <c r="W453" s="58"/>
      <c r="X453" s="59"/>
      <c r="Y453" s="60"/>
      <c r="Z453" s="61"/>
      <c r="AA453" s="60"/>
    </row>
    <row r="454" spans="1:27" ht="13.5" customHeight="1" thickBot="1" x14ac:dyDescent="0.3">
      <c r="A454" s="54"/>
      <c r="B454" s="62">
        <v>619</v>
      </c>
      <c r="C454" s="74" t="s">
        <v>1424</v>
      </c>
      <c r="D454" s="74" t="s">
        <v>1021</v>
      </c>
      <c r="E454" s="443" t="s">
        <v>1063</v>
      </c>
      <c r="F454" s="443" t="s">
        <v>142</v>
      </c>
      <c r="G454" s="56" t="s">
        <v>1401</v>
      </c>
      <c r="H454" s="443" t="s">
        <v>1073</v>
      </c>
      <c r="I454" s="57" t="s">
        <v>875</v>
      </c>
      <c r="J454" s="443">
        <v>1</v>
      </c>
      <c r="K454" s="443">
        <v>1</v>
      </c>
      <c r="L454" s="443">
        <v>2</v>
      </c>
      <c r="M454" s="443"/>
      <c r="N454" s="443"/>
      <c r="O454" s="235">
        <v>1</v>
      </c>
      <c r="P454" s="235">
        <v>1</v>
      </c>
      <c r="Q454" s="450">
        <v>1</v>
      </c>
      <c r="R454" s="450">
        <v>1</v>
      </c>
      <c r="S454" s="450"/>
      <c r="T454" s="451"/>
      <c r="U454" s="451" t="s">
        <v>876</v>
      </c>
      <c r="V454" s="58"/>
      <c r="W454" s="58"/>
      <c r="X454" s="59"/>
      <c r="Y454" s="60"/>
      <c r="Z454" s="61"/>
      <c r="AA454" s="60"/>
    </row>
    <row r="455" spans="1:27" ht="13.5" customHeight="1" thickBot="1" x14ac:dyDescent="0.3">
      <c r="A455" s="54"/>
      <c r="B455" s="62">
        <v>620</v>
      </c>
      <c r="C455" s="74" t="s">
        <v>1425</v>
      </c>
      <c r="D455" s="74" t="s">
        <v>1021</v>
      </c>
      <c r="E455" s="443" t="s">
        <v>1063</v>
      </c>
      <c r="F455" s="443" t="s">
        <v>142</v>
      </c>
      <c r="G455" s="56" t="s">
        <v>1401</v>
      </c>
      <c r="H455" s="443" t="s">
        <v>1426</v>
      </c>
      <c r="I455" s="57" t="s">
        <v>875</v>
      </c>
      <c r="J455" s="443">
        <v>1</v>
      </c>
      <c r="K455" s="443">
        <v>1</v>
      </c>
      <c r="L455" s="443">
        <v>2</v>
      </c>
      <c r="M455" s="443"/>
      <c r="N455" s="443"/>
      <c r="O455" s="235">
        <v>1</v>
      </c>
      <c r="P455" s="235">
        <v>1</v>
      </c>
      <c r="Q455" s="450">
        <v>1</v>
      </c>
      <c r="R455" s="450">
        <v>1</v>
      </c>
      <c r="S455" s="450"/>
      <c r="T455" s="451"/>
      <c r="U455" s="451" t="s">
        <v>876</v>
      </c>
      <c r="V455" s="58"/>
      <c r="W455" s="58"/>
      <c r="X455" s="59"/>
      <c r="Y455" s="60"/>
      <c r="Z455" s="61"/>
      <c r="AA455" s="60"/>
    </row>
    <row r="456" spans="1:27" ht="13.5" customHeight="1" thickBot="1" x14ac:dyDescent="0.3">
      <c r="A456" s="54"/>
      <c r="B456" s="62">
        <v>621</v>
      </c>
      <c r="C456" s="74" t="s">
        <v>1427</v>
      </c>
      <c r="D456" s="74" t="s">
        <v>1021</v>
      </c>
      <c r="E456" s="443" t="s">
        <v>1063</v>
      </c>
      <c r="F456" s="443" t="s">
        <v>142</v>
      </c>
      <c r="G456" s="56" t="s">
        <v>1401</v>
      </c>
      <c r="H456" s="443" t="s">
        <v>1426</v>
      </c>
      <c r="I456" s="57" t="s">
        <v>875</v>
      </c>
      <c r="J456" s="443">
        <v>1</v>
      </c>
      <c r="K456" s="443">
        <v>1</v>
      </c>
      <c r="L456" s="443">
        <v>2</v>
      </c>
      <c r="M456" s="443"/>
      <c r="N456" s="443"/>
      <c r="O456" s="235">
        <v>1</v>
      </c>
      <c r="P456" s="235">
        <v>1</v>
      </c>
      <c r="Q456" s="450">
        <v>1</v>
      </c>
      <c r="R456" s="450">
        <v>1</v>
      </c>
      <c r="S456" s="450"/>
      <c r="T456" s="451"/>
      <c r="U456" s="451" t="s">
        <v>876</v>
      </c>
      <c r="V456" s="58"/>
      <c r="W456" s="58"/>
      <c r="X456" s="59"/>
      <c r="Y456" s="60"/>
      <c r="Z456" s="61"/>
      <c r="AA456" s="60"/>
    </row>
    <row r="457" spans="1:27" ht="13.5" customHeight="1" thickBot="1" x14ac:dyDescent="0.3">
      <c r="A457" s="54"/>
      <c r="B457" s="62">
        <v>622</v>
      </c>
      <c r="C457" s="74" t="s">
        <v>1428</v>
      </c>
      <c r="D457" s="74" t="s">
        <v>1021</v>
      </c>
      <c r="E457" s="443" t="s">
        <v>1063</v>
      </c>
      <c r="F457" s="443" t="s">
        <v>142</v>
      </c>
      <c r="G457" s="56" t="s">
        <v>1401</v>
      </c>
      <c r="H457" s="443" t="s">
        <v>1426</v>
      </c>
      <c r="I457" s="57" t="s">
        <v>875</v>
      </c>
      <c r="J457" s="443">
        <v>1</v>
      </c>
      <c r="K457" s="443">
        <v>1</v>
      </c>
      <c r="L457" s="443">
        <v>2</v>
      </c>
      <c r="M457" s="443"/>
      <c r="N457" s="443"/>
      <c r="O457" s="235">
        <v>1</v>
      </c>
      <c r="P457" s="235">
        <v>1</v>
      </c>
      <c r="Q457" s="450">
        <v>1</v>
      </c>
      <c r="R457" s="450">
        <v>1</v>
      </c>
      <c r="S457" s="450"/>
      <c r="T457" s="451"/>
      <c r="U457" s="451" t="s">
        <v>876</v>
      </c>
      <c r="V457" s="58"/>
      <c r="W457" s="58"/>
      <c r="X457" s="59"/>
      <c r="Y457" s="60"/>
      <c r="Z457" s="61"/>
      <c r="AA457" s="60"/>
    </row>
    <row r="458" spans="1:27" ht="13.5" customHeight="1" thickBot="1" x14ac:dyDescent="0.3">
      <c r="A458" s="54"/>
      <c r="B458" s="62">
        <v>623</v>
      </c>
      <c r="C458" s="74" t="s">
        <v>1429</v>
      </c>
      <c r="D458" s="74" t="s">
        <v>1021</v>
      </c>
      <c r="E458" s="443" t="s">
        <v>1063</v>
      </c>
      <c r="F458" s="443" t="s">
        <v>142</v>
      </c>
      <c r="G458" s="56" t="s">
        <v>1401</v>
      </c>
      <c r="H458" s="443" t="s">
        <v>1073</v>
      </c>
      <c r="I458" s="57" t="s">
        <v>875</v>
      </c>
      <c r="J458" s="443">
        <v>1</v>
      </c>
      <c r="K458" s="443">
        <v>1</v>
      </c>
      <c r="L458" s="443">
        <v>2</v>
      </c>
      <c r="M458" s="443"/>
      <c r="N458" s="443"/>
      <c r="O458" s="235">
        <v>1</v>
      </c>
      <c r="P458" s="235">
        <v>1</v>
      </c>
      <c r="Q458" s="450">
        <v>1</v>
      </c>
      <c r="R458" s="450">
        <v>1</v>
      </c>
      <c r="S458" s="450"/>
      <c r="T458" s="451"/>
      <c r="U458" s="451" t="s">
        <v>876</v>
      </c>
      <c r="V458" s="58"/>
      <c r="W458" s="58"/>
      <c r="X458" s="59"/>
      <c r="Y458" s="60"/>
      <c r="Z458" s="61"/>
      <c r="AA458" s="60"/>
    </row>
    <row r="459" spans="1:27" ht="15" customHeight="1" thickBot="1" x14ac:dyDescent="0.3">
      <c r="A459" s="54"/>
      <c r="B459" s="62">
        <v>624</v>
      </c>
      <c r="C459" s="74" t="s">
        <v>1430</v>
      </c>
      <c r="D459" s="74" t="s">
        <v>1021</v>
      </c>
      <c r="E459" s="443" t="s">
        <v>1063</v>
      </c>
      <c r="F459" s="443" t="s">
        <v>142</v>
      </c>
      <c r="G459" s="56" t="s">
        <v>1401</v>
      </c>
      <c r="H459" s="443" t="s">
        <v>1073</v>
      </c>
      <c r="I459" s="57" t="s">
        <v>875</v>
      </c>
      <c r="J459" s="443">
        <v>1</v>
      </c>
      <c r="K459" s="443">
        <v>1</v>
      </c>
      <c r="L459" s="443">
        <v>2</v>
      </c>
      <c r="M459" s="443"/>
      <c r="N459" s="443"/>
      <c r="O459" s="235">
        <v>1</v>
      </c>
      <c r="P459" s="235">
        <v>1</v>
      </c>
      <c r="Q459" s="450">
        <v>1</v>
      </c>
      <c r="R459" s="450">
        <v>1</v>
      </c>
      <c r="S459" s="450"/>
      <c r="T459" s="451"/>
      <c r="U459" s="451" t="s">
        <v>876</v>
      </c>
      <c r="V459" s="58"/>
      <c r="W459" s="58"/>
      <c r="X459" s="59"/>
      <c r="Y459" s="60"/>
      <c r="Z459" s="61"/>
      <c r="AA459" s="60"/>
    </row>
    <row r="460" spans="1:27" ht="17.25" customHeight="1" thickBot="1" x14ac:dyDescent="0.3">
      <c r="A460" s="54"/>
      <c r="B460" s="62">
        <v>625</v>
      </c>
      <c r="C460" s="74" t="s">
        <v>1431</v>
      </c>
      <c r="D460" s="74" t="s">
        <v>1021</v>
      </c>
      <c r="E460" s="443" t="s">
        <v>1063</v>
      </c>
      <c r="F460" s="443" t="s">
        <v>142</v>
      </c>
      <c r="G460" s="56" t="s">
        <v>1401</v>
      </c>
      <c r="H460" s="443" t="s">
        <v>1073</v>
      </c>
      <c r="I460" s="57" t="s">
        <v>875</v>
      </c>
      <c r="J460" s="443">
        <v>1</v>
      </c>
      <c r="K460" s="443">
        <v>1</v>
      </c>
      <c r="L460" s="443">
        <v>2</v>
      </c>
      <c r="M460" s="443"/>
      <c r="N460" s="443"/>
      <c r="O460" s="235">
        <v>1</v>
      </c>
      <c r="P460" s="235">
        <v>1</v>
      </c>
      <c r="Q460" s="450">
        <v>1</v>
      </c>
      <c r="R460" s="450">
        <v>1</v>
      </c>
      <c r="S460" s="450"/>
      <c r="T460" s="451"/>
      <c r="U460" s="451" t="s">
        <v>876</v>
      </c>
      <c r="V460" s="58"/>
      <c r="W460" s="58"/>
      <c r="X460" s="59"/>
      <c r="Y460" s="60"/>
      <c r="Z460" s="61"/>
      <c r="AA460" s="60"/>
    </row>
    <row r="461" spans="1:27" ht="13.5" customHeight="1" thickBot="1" x14ac:dyDescent="0.3">
      <c r="A461" s="54"/>
      <c r="B461" s="62">
        <v>626</v>
      </c>
      <c r="C461" s="74" t="s">
        <v>1432</v>
      </c>
      <c r="D461" s="74" t="s">
        <v>1021</v>
      </c>
      <c r="E461" s="443" t="s">
        <v>1063</v>
      </c>
      <c r="F461" s="443" t="s">
        <v>142</v>
      </c>
      <c r="G461" s="56" t="s">
        <v>1401</v>
      </c>
      <c r="H461" s="443" t="s">
        <v>1073</v>
      </c>
      <c r="I461" s="57" t="s">
        <v>875</v>
      </c>
      <c r="J461" s="443">
        <v>1</v>
      </c>
      <c r="K461" s="443">
        <v>1</v>
      </c>
      <c r="L461" s="443">
        <v>2</v>
      </c>
      <c r="M461" s="443"/>
      <c r="N461" s="443"/>
      <c r="O461" s="235">
        <v>1</v>
      </c>
      <c r="P461" s="235">
        <v>1</v>
      </c>
      <c r="Q461" s="450">
        <v>1</v>
      </c>
      <c r="R461" s="450">
        <v>1</v>
      </c>
      <c r="S461" s="450"/>
      <c r="T461" s="451"/>
      <c r="U461" s="451" t="s">
        <v>876</v>
      </c>
      <c r="V461" s="58"/>
      <c r="W461" s="58"/>
      <c r="X461" s="59"/>
      <c r="Y461" s="60"/>
      <c r="Z461" s="61"/>
      <c r="AA461" s="60"/>
    </row>
    <row r="462" spans="1:27" ht="13.5" customHeight="1" thickBot="1" x14ac:dyDescent="0.3">
      <c r="A462" s="54"/>
      <c r="B462" s="62">
        <v>627</v>
      </c>
      <c r="C462" s="74" t="s">
        <v>1433</v>
      </c>
      <c r="D462" s="74" t="s">
        <v>1021</v>
      </c>
      <c r="E462" s="443" t="s">
        <v>1063</v>
      </c>
      <c r="F462" s="443" t="s">
        <v>142</v>
      </c>
      <c r="G462" s="56" t="s">
        <v>1401</v>
      </c>
      <c r="H462" s="443" t="s">
        <v>1073</v>
      </c>
      <c r="I462" s="57" t="s">
        <v>875</v>
      </c>
      <c r="J462" s="443">
        <v>1</v>
      </c>
      <c r="K462" s="443">
        <v>1</v>
      </c>
      <c r="L462" s="443">
        <v>2</v>
      </c>
      <c r="M462" s="443"/>
      <c r="N462" s="443"/>
      <c r="O462" s="235">
        <v>1</v>
      </c>
      <c r="P462" s="235">
        <v>1</v>
      </c>
      <c r="Q462" s="450">
        <v>1</v>
      </c>
      <c r="R462" s="450">
        <v>1</v>
      </c>
      <c r="S462" s="450"/>
      <c r="T462" s="451"/>
      <c r="U462" s="451" t="s">
        <v>876</v>
      </c>
      <c r="V462" s="58"/>
      <c r="W462" s="58"/>
      <c r="X462" s="59"/>
      <c r="Y462" s="60"/>
      <c r="Z462" s="61"/>
      <c r="AA462" s="60"/>
    </row>
    <row r="463" spans="1:27" ht="13.5" customHeight="1" thickBot="1" x14ac:dyDescent="0.3">
      <c r="A463" s="54"/>
      <c r="B463" s="62">
        <v>628</v>
      </c>
      <c r="C463" s="74" t="s">
        <v>1434</v>
      </c>
      <c r="D463" s="74" t="s">
        <v>1021</v>
      </c>
      <c r="E463" s="443" t="s">
        <v>1063</v>
      </c>
      <c r="F463" s="443" t="s">
        <v>142</v>
      </c>
      <c r="G463" s="56" t="s">
        <v>1401</v>
      </c>
      <c r="H463" s="443" t="s">
        <v>1073</v>
      </c>
      <c r="I463" s="57" t="s">
        <v>875</v>
      </c>
      <c r="J463" s="443">
        <v>1</v>
      </c>
      <c r="K463" s="443">
        <v>1</v>
      </c>
      <c r="L463" s="443">
        <v>2</v>
      </c>
      <c r="M463" s="443"/>
      <c r="N463" s="443"/>
      <c r="O463" s="235">
        <v>1</v>
      </c>
      <c r="P463" s="235">
        <v>1</v>
      </c>
      <c r="Q463" s="450">
        <v>1</v>
      </c>
      <c r="R463" s="450">
        <v>1</v>
      </c>
      <c r="S463" s="450"/>
      <c r="T463" s="451"/>
      <c r="U463" s="451" t="s">
        <v>876</v>
      </c>
      <c r="V463" s="58"/>
      <c r="W463" s="58"/>
      <c r="X463" s="59"/>
      <c r="Y463" s="60"/>
      <c r="Z463" s="61"/>
      <c r="AA463" s="60"/>
    </row>
    <row r="464" spans="1:27" ht="13.5" customHeight="1" thickBot="1" x14ac:dyDescent="0.3">
      <c r="A464" s="54"/>
      <c r="B464" s="62">
        <v>629</v>
      </c>
      <c r="C464" s="74" t="s">
        <v>1435</v>
      </c>
      <c r="D464" s="74" t="s">
        <v>1021</v>
      </c>
      <c r="E464" s="443" t="s">
        <v>1063</v>
      </c>
      <c r="F464" s="443" t="s">
        <v>142</v>
      </c>
      <c r="G464" s="56" t="s">
        <v>1401</v>
      </c>
      <c r="H464" s="443" t="s">
        <v>93</v>
      </c>
      <c r="I464" s="57" t="s">
        <v>875</v>
      </c>
      <c r="J464" s="443">
        <v>1</v>
      </c>
      <c r="K464" s="443">
        <v>1</v>
      </c>
      <c r="L464" s="443">
        <v>2</v>
      </c>
      <c r="M464" s="443"/>
      <c r="N464" s="443"/>
      <c r="O464" s="235">
        <v>1</v>
      </c>
      <c r="P464" s="235">
        <v>1</v>
      </c>
      <c r="Q464" s="450">
        <v>1</v>
      </c>
      <c r="R464" s="450">
        <v>1</v>
      </c>
      <c r="S464" s="450"/>
      <c r="T464" s="451"/>
      <c r="U464" s="451" t="s">
        <v>876</v>
      </c>
      <c r="V464" s="58"/>
      <c r="W464" s="58"/>
      <c r="X464" s="59"/>
      <c r="Y464" s="60"/>
      <c r="Z464" s="61"/>
      <c r="AA464" s="60"/>
    </row>
    <row r="465" spans="1:27" ht="13.5" customHeight="1" thickBot="1" x14ac:dyDescent="0.3">
      <c r="A465" s="54"/>
      <c r="B465" s="62">
        <v>630</v>
      </c>
      <c r="C465" s="74" t="s">
        <v>1436</v>
      </c>
      <c r="D465" s="74" t="s">
        <v>1021</v>
      </c>
      <c r="E465" s="443" t="s">
        <v>1063</v>
      </c>
      <c r="F465" s="443" t="s">
        <v>142</v>
      </c>
      <c r="G465" s="56" t="s">
        <v>1401</v>
      </c>
      <c r="H465" s="443" t="s">
        <v>147</v>
      </c>
      <c r="I465" s="57" t="s">
        <v>875</v>
      </c>
      <c r="J465" s="443">
        <v>1</v>
      </c>
      <c r="K465" s="443">
        <v>1</v>
      </c>
      <c r="L465" s="443">
        <v>2</v>
      </c>
      <c r="M465" s="443"/>
      <c r="N465" s="443"/>
      <c r="O465" s="235">
        <v>1</v>
      </c>
      <c r="P465" s="235">
        <v>1</v>
      </c>
      <c r="Q465" s="450">
        <v>1</v>
      </c>
      <c r="R465" s="450">
        <v>1</v>
      </c>
      <c r="S465" s="450"/>
      <c r="T465" s="451"/>
      <c r="U465" s="451" t="s">
        <v>876</v>
      </c>
      <c r="V465" s="58"/>
      <c r="W465" s="58"/>
      <c r="X465" s="59"/>
      <c r="Y465" s="60"/>
      <c r="Z465" s="61"/>
      <c r="AA465" s="60"/>
    </row>
    <row r="466" spans="1:27" ht="13.5" customHeight="1" thickBot="1" x14ac:dyDescent="0.3">
      <c r="A466" s="54"/>
      <c r="B466" s="62">
        <v>631</v>
      </c>
      <c r="C466" s="74" t="s">
        <v>1437</v>
      </c>
      <c r="D466" s="74" t="s">
        <v>1021</v>
      </c>
      <c r="E466" s="443" t="s">
        <v>1063</v>
      </c>
      <c r="F466" s="443" t="s">
        <v>142</v>
      </c>
      <c r="G466" s="56" t="s">
        <v>1401</v>
      </c>
      <c r="H466" s="443" t="s">
        <v>1073</v>
      </c>
      <c r="I466" s="57" t="s">
        <v>875</v>
      </c>
      <c r="J466" s="443">
        <v>1</v>
      </c>
      <c r="K466" s="443">
        <v>1</v>
      </c>
      <c r="L466" s="443">
        <v>2</v>
      </c>
      <c r="M466" s="443"/>
      <c r="N466" s="443"/>
      <c r="O466" s="235">
        <v>1</v>
      </c>
      <c r="P466" s="235">
        <v>1</v>
      </c>
      <c r="Q466" s="450">
        <v>1</v>
      </c>
      <c r="R466" s="450">
        <v>1</v>
      </c>
      <c r="S466" s="450"/>
      <c r="T466" s="451"/>
      <c r="U466" s="451" t="s">
        <v>876</v>
      </c>
      <c r="V466" s="58"/>
      <c r="W466" s="58"/>
      <c r="X466" s="59"/>
      <c r="Y466" s="60"/>
      <c r="Z466" s="61"/>
      <c r="AA466" s="60"/>
    </row>
    <row r="467" spans="1:27" s="110" customFormat="1" ht="13.5" customHeight="1" x14ac:dyDescent="0.25">
      <c r="A467" s="54"/>
      <c r="B467" s="62">
        <v>632</v>
      </c>
      <c r="C467" s="74" t="s">
        <v>1438</v>
      </c>
      <c r="D467" s="74" t="s">
        <v>1021</v>
      </c>
      <c r="E467" s="443" t="s">
        <v>1063</v>
      </c>
      <c r="F467" s="443" t="s">
        <v>142</v>
      </c>
      <c r="G467" s="56" t="s">
        <v>1401</v>
      </c>
      <c r="H467" s="443" t="s">
        <v>1073</v>
      </c>
      <c r="I467" s="57" t="s">
        <v>875</v>
      </c>
      <c r="J467" s="443">
        <v>1</v>
      </c>
      <c r="K467" s="443">
        <v>1</v>
      </c>
      <c r="L467" s="443">
        <v>2</v>
      </c>
      <c r="M467" s="443"/>
      <c r="N467" s="443"/>
      <c r="O467" s="235">
        <v>1</v>
      </c>
      <c r="P467" s="235">
        <v>1</v>
      </c>
      <c r="Q467" s="450">
        <v>1</v>
      </c>
      <c r="R467" s="450">
        <v>1</v>
      </c>
      <c r="S467" s="450"/>
      <c r="T467" s="451"/>
      <c r="U467" s="451" t="s">
        <v>876</v>
      </c>
      <c r="V467" s="58"/>
      <c r="W467" s="58"/>
      <c r="X467" s="59"/>
      <c r="Y467" s="60"/>
      <c r="Z467" s="61"/>
      <c r="AA467" s="60"/>
    </row>
    <row r="468" spans="1:27" ht="13.5" customHeight="1" x14ac:dyDescent="0.25">
      <c r="A468" s="54"/>
      <c r="B468" s="62">
        <v>633</v>
      </c>
      <c r="C468" s="74" t="s">
        <v>1439</v>
      </c>
      <c r="D468" s="74" t="s">
        <v>1021</v>
      </c>
      <c r="E468" s="443" t="s">
        <v>1063</v>
      </c>
      <c r="F468" s="443" t="s">
        <v>142</v>
      </c>
      <c r="G468" s="56" t="s">
        <v>1401</v>
      </c>
      <c r="H468" s="443" t="s">
        <v>93</v>
      </c>
      <c r="I468" s="57" t="s">
        <v>875</v>
      </c>
      <c r="J468" s="443">
        <v>1</v>
      </c>
      <c r="K468" s="443">
        <v>1</v>
      </c>
      <c r="L468" s="443">
        <v>2</v>
      </c>
      <c r="M468" s="443"/>
      <c r="N468" s="443"/>
      <c r="O468" s="142"/>
      <c r="P468" s="142"/>
      <c r="Q468" s="450"/>
      <c r="R468" s="450"/>
      <c r="S468" s="450"/>
      <c r="T468" s="451"/>
      <c r="U468" s="451"/>
      <c r="V468" s="58"/>
      <c r="W468" s="58"/>
      <c r="X468" s="59"/>
      <c r="Y468" s="60"/>
      <c r="Z468" s="61"/>
      <c r="AA468" s="60"/>
    </row>
    <row r="469" spans="1:27" ht="13.5" customHeight="1" x14ac:dyDescent="0.25">
      <c r="A469" s="54"/>
      <c r="B469" s="62">
        <v>634</v>
      </c>
      <c r="C469" s="74" t="s">
        <v>1440</v>
      </c>
      <c r="D469" s="74" t="s">
        <v>1021</v>
      </c>
      <c r="E469" s="443" t="s">
        <v>1063</v>
      </c>
      <c r="F469" s="443" t="s">
        <v>142</v>
      </c>
      <c r="G469" s="56" t="s">
        <v>1401</v>
      </c>
      <c r="H469" s="443" t="s">
        <v>93</v>
      </c>
      <c r="I469" s="57" t="s">
        <v>875</v>
      </c>
      <c r="J469" s="443">
        <v>1</v>
      </c>
      <c r="K469" s="443">
        <v>1</v>
      </c>
      <c r="L469" s="443">
        <v>2</v>
      </c>
      <c r="M469" s="443"/>
      <c r="N469" s="443"/>
      <c r="O469" s="142"/>
      <c r="P469" s="142"/>
      <c r="Q469" s="450"/>
      <c r="R469" s="450"/>
      <c r="S469" s="450"/>
      <c r="T469" s="451"/>
      <c r="U469" s="451"/>
      <c r="V469" s="58"/>
      <c r="W469" s="58"/>
      <c r="X469" s="59"/>
      <c r="Y469" s="60"/>
      <c r="Z469" s="61"/>
      <c r="AA469" s="60"/>
    </row>
    <row r="470" spans="1:27" ht="13.5" customHeight="1" x14ac:dyDescent="0.25">
      <c r="A470" s="54"/>
      <c r="B470" s="62">
        <v>635</v>
      </c>
      <c r="C470" s="74" t="s">
        <v>1441</v>
      </c>
      <c r="D470" s="74" t="s">
        <v>1021</v>
      </c>
      <c r="E470" s="443" t="s">
        <v>1063</v>
      </c>
      <c r="F470" s="443" t="s">
        <v>142</v>
      </c>
      <c r="G470" s="56" t="s">
        <v>1401</v>
      </c>
      <c r="H470" s="443" t="s">
        <v>1405</v>
      </c>
      <c r="I470" s="57" t="s">
        <v>875</v>
      </c>
      <c r="J470" s="443">
        <v>1</v>
      </c>
      <c r="K470" s="443">
        <v>1</v>
      </c>
      <c r="L470" s="443">
        <v>2</v>
      </c>
      <c r="M470" s="443"/>
      <c r="N470" s="443"/>
      <c r="O470" s="142">
        <v>1</v>
      </c>
      <c r="P470" s="142">
        <v>1</v>
      </c>
      <c r="Q470" s="450">
        <v>1</v>
      </c>
      <c r="R470" s="450">
        <v>1</v>
      </c>
      <c r="S470" s="450"/>
      <c r="T470" s="451"/>
      <c r="U470" s="451"/>
      <c r="V470" s="58"/>
      <c r="W470" s="58"/>
      <c r="X470" s="59"/>
      <c r="Y470" s="60"/>
      <c r="Z470" s="61"/>
      <c r="AA470" s="60"/>
    </row>
    <row r="471" spans="1:27" ht="13.5" customHeight="1" x14ac:dyDescent="0.25">
      <c r="A471" s="54"/>
      <c r="B471" s="62">
        <v>636</v>
      </c>
      <c r="C471" s="74" t="s">
        <v>1442</v>
      </c>
      <c r="D471" s="74" t="s">
        <v>1021</v>
      </c>
      <c r="E471" s="443" t="s">
        <v>1063</v>
      </c>
      <c r="F471" s="443" t="s">
        <v>142</v>
      </c>
      <c r="G471" s="56" t="s">
        <v>1401</v>
      </c>
      <c r="H471" s="443" t="s">
        <v>1426</v>
      </c>
      <c r="I471" s="57" t="s">
        <v>875</v>
      </c>
      <c r="J471" s="443">
        <v>1</v>
      </c>
      <c r="K471" s="443">
        <v>1</v>
      </c>
      <c r="L471" s="443">
        <v>2</v>
      </c>
      <c r="M471" s="443"/>
      <c r="N471" s="443"/>
      <c r="O471" s="142">
        <v>1</v>
      </c>
      <c r="P471" s="142">
        <v>1</v>
      </c>
      <c r="Q471" s="450">
        <v>1</v>
      </c>
      <c r="R471" s="450">
        <v>1</v>
      </c>
      <c r="S471" s="450"/>
      <c r="T471" s="451"/>
      <c r="U471" s="451"/>
      <c r="V471" s="58"/>
      <c r="W471" s="58"/>
      <c r="X471" s="59"/>
      <c r="Y471" s="60"/>
      <c r="Z471" s="61"/>
      <c r="AA471" s="60"/>
    </row>
    <row r="472" spans="1:27" ht="13.5" customHeight="1" x14ac:dyDescent="0.25">
      <c r="A472" s="54"/>
      <c r="B472" s="479">
        <v>637</v>
      </c>
      <c r="C472" s="480" t="s">
        <v>4485</v>
      </c>
      <c r="D472" s="480" t="s">
        <v>1021</v>
      </c>
      <c r="E472" s="471" t="s">
        <v>1063</v>
      </c>
      <c r="F472" s="471" t="s">
        <v>142</v>
      </c>
      <c r="G472" s="481" t="s">
        <v>1401</v>
      </c>
      <c r="H472" s="471" t="s">
        <v>1073</v>
      </c>
      <c r="I472" s="474" t="s">
        <v>875</v>
      </c>
      <c r="J472" s="471">
        <v>1</v>
      </c>
      <c r="K472" s="471">
        <v>1</v>
      </c>
      <c r="L472" s="471">
        <v>2</v>
      </c>
      <c r="M472" s="471"/>
      <c r="N472" s="471"/>
      <c r="O472" s="475"/>
      <c r="P472" s="475"/>
      <c r="Q472" s="482">
        <v>1</v>
      </c>
      <c r="R472" s="482">
        <v>1</v>
      </c>
      <c r="S472" s="450"/>
      <c r="T472" s="451"/>
      <c r="U472" s="451"/>
      <c r="V472" s="58"/>
      <c r="W472" s="58"/>
      <c r="X472" s="59"/>
      <c r="Y472" s="60"/>
      <c r="Z472" s="61"/>
      <c r="AA472" s="60"/>
    </row>
    <row r="473" spans="1:27" ht="13.5" customHeight="1" x14ac:dyDescent="0.25">
      <c r="A473" s="54"/>
      <c r="B473" s="479">
        <v>638</v>
      </c>
      <c r="C473" s="480" t="s">
        <v>4486</v>
      </c>
      <c r="D473" s="480" t="s">
        <v>1021</v>
      </c>
      <c r="E473" s="471" t="s">
        <v>1063</v>
      </c>
      <c r="F473" s="471" t="s">
        <v>142</v>
      </c>
      <c r="G473" s="481" t="s">
        <v>1401</v>
      </c>
      <c r="H473" s="471" t="s">
        <v>1073</v>
      </c>
      <c r="I473" s="474" t="s">
        <v>875</v>
      </c>
      <c r="J473" s="471">
        <v>1</v>
      </c>
      <c r="K473" s="471">
        <v>1</v>
      </c>
      <c r="L473" s="471">
        <v>2</v>
      </c>
      <c r="M473" s="471"/>
      <c r="N473" s="471"/>
      <c r="O473" s="475"/>
      <c r="P473" s="475"/>
      <c r="Q473" s="482">
        <v>1</v>
      </c>
      <c r="R473" s="482">
        <v>1</v>
      </c>
      <c r="S473" s="450"/>
      <c r="T473" s="451"/>
      <c r="U473" s="451"/>
      <c r="V473" s="58"/>
      <c r="W473" s="58"/>
      <c r="X473" s="59"/>
      <c r="Y473" s="60"/>
      <c r="Z473" s="61"/>
      <c r="AA473" s="60"/>
    </row>
    <row r="474" spans="1:27" ht="25.5" customHeight="1" thickBot="1" x14ac:dyDescent="0.3">
      <c r="A474" s="109"/>
      <c r="B474" s="62"/>
      <c r="C474" s="74"/>
      <c r="D474" s="173"/>
      <c r="E474" s="174"/>
      <c r="F474" s="174"/>
      <c r="G474" s="175"/>
      <c r="H474" s="174"/>
      <c r="I474" s="176"/>
      <c r="J474" s="174"/>
      <c r="K474" s="174"/>
      <c r="L474" s="174"/>
      <c r="M474" s="174"/>
      <c r="N474" s="174"/>
      <c r="O474" s="177"/>
      <c r="P474" s="177"/>
      <c r="Q474" s="138"/>
      <c r="R474" s="138"/>
      <c r="S474" s="138"/>
      <c r="T474" s="92"/>
      <c r="U474" s="92"/>
      <c r="V474" s="139"/>
      <c r="W474" s="139"/>
      <c r="X474" s="63"/>
      <c r="Y474" s="70"/>
      <c r="Z474" s="67"/>
      <c r="AA474" s="70"/>
    </row>
    <row r="475" spans="1:27" ht="25.5" customHeight="1" x14ac:dyDescent="0.25">
      <c r="A475" s="52" t="s">
        <v>1443</v>
      </c>
      <c r="B475" s="84"/>
      <c r="C475" s="85"/>
      <c r="D475" s="85"/>
      <c r="E475" s="442"/>
      <c r="F475" s="442"/>
      <c r="G475" s="86"/>
      <c r="H475" s="442"/>
      <c r="I475" s="87"/>
      <c r="J475" s="442"/>
      <c r="K475" s="442"/>
      <c r="L475" s="442"/>
      <c r="M475" s="442"/>
      <c r="N475" s="442"/>
      <c r="O475" s="122"/>
      <c r="P475" s="122"/>
      <c r="Q475" s="449"/>
      <c r="R475" s="449"/>
      <c r="S475" s="449"/>
      <c r="T475" s="461"/>
      <c r="U475" s="461"/>
      <c r="V475" s="88"/>
      <c r="W475" s="88"/>
      <c r="X475" s="89"/>
      <c r="Y475" s="90"/>
      <c r="Z475" s="91"/>
      <c r="AA475" s="90"/>
    </row>
    <row r="476" spans="1:27" ht="12.75" customHeight="1" x14ac:dyDescent="0.25">
      <c r="A476" s="54"/>
      <c r="B476" s="62"/>
      <c r="C476" s="74"/>
      <c r="D476" s="74"/>
      <c r="E476" s="443"/>
      <c r="F476" s="443"/>
      <c r="G476" s="56"/>
      <c r="H476" s="443"/>
      <c r="I476" s="57"/>
      <c r="J476" s="443"/>
      <c r="K476" s="443"/>
      <c r="L476" s="443"/>
      <c r="M476" s="443"/>
      <c r="N476" s="443"/>
      <c r="O476" s="124"/>
      <c r="P476" s="124"/>
      <c r="Q476" s="450"/>
      <c r="R476" s="450"/>
      <c r="S476" s="450"/>
      <c r="T476" s="451"/>
      <c r="U476" s="451"/>
      <c r="V476" s="58"/>
      <c r="W476" s="58"/>
      <c r="X476" s="59"/>
      <c r="Y476" s="60"/>
      <c r="Z476" s="61"/>
      <c r="AA476" s="60"/>
    </row>
    <row r="477" spans="1:27" ht="12.75" customHeight="1" x14ac:dyDescent="0.25">
      <c r="A477" s="54"/>
      <c r="B477" s="62">
        <v>702</v>
      </c>
      <c r="C477" s="74" t="s">
        <v>1053</v>
      </c>
      <c r="D477" s="74" t="s">
        <v>1021</v>
      </c>
      <c r="E477" s="443" t="s">
        <v>1444</v>
      </c>
      <c r="F477" s="443">
        <v>3</v>
      </c>
      <c r="G477" s="56" t="s">
        <v>1005</v>
      </c>
      <c r="H477" s="443"/>
      <c r="I477" s="57" t="s">
        <v>75</v>
      </c>
      <c r="J477" s="443">
        <v>1</v>
      </c>
      <c r="K477" s="443">
        <v>3</v>
      </c>
      <c r="L477" s="443">
        <v>6</v>
      </c>
      <c r="M477" s="443"/>
      <c r="N477" s="443"/>
      <c r="O477" s="124"/>
      <c r="P477" s="124"/>
      <c r="Q477" s="450"/>
      <c r="R477" s="450"/>
      <c r="S477" s="450"/>
      <c r="T477" s="451">
        <v>1</v>
      </c>
      <c r="U477" s="451" t="s">
        <v>876</v>
      </c>
      <c r="V477" s="58"/>
      <c r="W477" s="58"/>
      <c r="X477" s="59"/>
      <c r="Y477" s="60"/>
      <c r="Z477" s="61"/>
      <c r="AA477" s="60"/>
    </row>
    <row r="478" spans="1:27" ht="12.75" customHeight="1" x14ac:dyDescent="0.25">
      <c r="A478" s="54"/>
      <c r="B478" s="62">
        <v>703</v>
      </c>
      <c r="C478" s="74" t="s">
        <v>1054</v>
      </c>
      <c r="D478" s="74" t="s">
        <v>1021</v>
      </c>
      <c r="E478" s="443" t="s">
        <v>1444</v>
      </c>
      <c r="F478" s="443">
        <v>4</v>
      </c>
      <c r="G478" s="56" t="s">
        <v>1005</v>
      </c>
      <c r="H478" s="443"/>
      <c r="I478" s="57" t="s">
        <v>1006</v>
      </c>
      <c r="J478" s="443">
        <v>1</v>
      </c>
      <c r="K478" s="443">
        <v>3</v>
      </c>
      <c r="L478" s="443">
        <v>6</v>
      </c>
      <c r="M478" s="443"/>
      <c r="N478" s="443"/>
      <c r="O478" s="124"/>
      <c r="P478" s="124"/>
      <c r="Q478" s="450"/>
      <c r="R478" s="450"/>
      <c r="S478" s="450"/>
      <c r="T478" s="451">
        <v>1</v>
      </c>
      <c r="U478" s="451" t="s">
        <v>876</v>
      </c>
      <c r="V478" s="58"/>
      <c r="W478" s="58"/>
      <c r="X478" s="59"/>
      <c r="Y478" s="60"/>
      <c r="Z478" s="61"/>
      <c r="AA478" s="60"/>
    </row>
    <row r="479" spans="1:27" ht="12.75" customHeight="1" x14ac:dyDescent="0.25">
      <c r="A479" s="54"/>
      <c r="B479" s="62">
        <v>704</v>
      </c>
      <c r="C479" s="74" t="s">
        <v>1058</v>
      </c>
      <c r="D479" s="74" t="s">
        <v>1021</v>
      </c>
      <c r="E479" s="443" t="s">
        <v>1444</v>
      </c>
      <c r="F479" s="443">
        <v>5</v>
      </c>
      <c r="G479" s="56" t="s">
        <v>1005</v>
      </c>
      <c r="H479" s="443"/>
      <c r="I479" s="57" t="s">
        <v>75</v>
      </c>
      <c r="J479" s="443">
        <v>1</v>
      </c>
      <c r="K479" s="443">
        <v>3</v>
      </c>
      <c r="L479" s="443">
        <v>6</v>
      </c>
      <c r="M479" s="443"/>
      <c r="N479" s="443"/>
      <c r="O479" s="124"/>
      <c r="P479" s="124"/>
      <c r="Q479" s="450"/>
      <c r="R479" s="450"/>
      <c r="S479" s="450"/>
      <c r="T479" s="451">
        <v>1</v>
      </c>
      <c r="U479" s="451" t="s">
        <v>876</v>
      </c>
      <c r="V479" s="58"/>
      <c r="W479" s="58"/>
      <c r="X479" s="59"/>
      <c r="Y479" s="60"/>
      <c r="Z479" s="61"/>
      <c r="AA479" s="60"/>
    </row>
    <row r="480" spans="1:27" ht="12.75" customHeight="1" x14ac:dyDescent="0.25">
      <c r="A480" s="54"/>
      <c r="B480" s="62">
        <v>705</v>
      </c>
      <c r="C480" s="74" t="s">
        <v>1059</v>
      </c>
      <c r="D480" s="74" t="s">
        <v>1021</v>
      </c>
      <c r="E480" s="443" t="s">
        <v>1444</v>
      </c>
      <c r="F480" s="443">
        <v>6</v>
      </c>
      <c r="G480" s="56" t="s">
        <v>1005</v>
      </c>
      <c r="H480" s="443"/>
      <c r="I480" s="57" t="s">
        <v>1006</v>
      </c>
      <c r="J480" s="443">
        <v>1</v>
      </c>
      <c r="K480" s="443">
        <v>3</v>
      </c>
      <c r="L480" s="443">
        <v>6</v>
      </c>
      <c r="M480" s="443"/>
      <c r="N480" s="443"/>
      <c r="O480" s="124"/>
      <c r="P480" s="124"/>
      <c r="Q480" s="450"/>
      <c r="R480" s="450"/>
      <c r="S480" s="450"/>
      <c r="T480" s="451">
        <v>1</v>
      </c>
      <c r="U480" s="451" t="s">
        <v>876</v>
      </c>
      <c r="V480" s="58"/>
      <c r="W480" s="58"/>
      <c r="X480" s="59"/>
      <c r="Y480" s="60"/>
      <c r="Z480" s="61"/>
      <c r="AA480" s="60"/>
    </row>
    <row r="481" spans="1:27" ht="12.75" customHeight="1" x14ac:dyDescent="0.25">
      <c r="A481" s="54"/>
      <c r="B481" s="62">
        <v>706</v>
      </c>
      <c r="C481" s="74" t="s">
        <v>1445</v>
      </c>
      <c r="D481" s="74" t="s">
        <v>1021</v>
      </c>
      <c r="E481" s="443" t="s">
        <v>1444</v>
      </c>
      <c r="F481" s="443">
        <v>7</v>
      </c>
      <c r="G481" s="56" t="s">
        <v>1005</v>
      </c>
      <c r="H481" s="443"/>
      <c r="I481" s="57" t="s">
        <v>875</v>
      </c>
      <c r="J481" s="443">
        <v>1</v>
      </c>
      <c r="K481" s="443">
        <v>2</v>
      </c>
      <c r="L481" s="443">
        <v>4</v>
      </c>
      <c r="M481" s="443"/>
      <c r="N481" s="443"/>
      <c r="O481" s="124"/>
      <c r="P481" s="124"/>
      <c r="Q481" s="450"/>
      <c r="R481" s="450"/>
      <c r="S481" s="450"/>
      <c r="T481" s="451">
        <v>1</v>
      </c>
      <c r="U481" s="451" t="s">
        <v>876</v>
      </c>
      <c r="V481" s="58"/>
      <c r="W481" s="58"/>
      <c r="X481" s="59"/>
      <c r="Y481" s="60"/>
      <c r="Z481" s="61"/>
      <c r="AA481" s="60"/>
    </row>
    <row r="482" spans="1:27" ht="12.75" customHeight="1" x14ac:dyDescent="0.25">
      <c r="A482" s="54"/>
      <c r="B482" s="62">
        <v>707</v>
      </c>
      <c r="C482" s="74" t="s">
        <v>1446</v>
      </c>
      <c r="D482" s="74" t="s">
        <v>1021</v>
      </c>
      <c r="E482" s="443" t="s">
        <v>1444</v>
      </c>
      <c r="F482" s="443">
        <v>8</v>
      </c>
      <c r="G482" s="56" t="s">
        <v>1005</v>
      </c>
      <c r="H482" s="443"/>
      <c r="I482" s="57" t="s">
        <v>875</v>
      </c>
      <c r="J482" s="443">
        <v>1</v>
      </c>
      <c r="K482" s="443">
        <v>2</v>
      </c>
      <c r="L482" s="443">
        <v>4</v>
      </c>
      <c r="M482" s="443"/>
      <c r="N482" s="443"/>
      <c r="O482" s="124"/>
      <c r="P482" s="124"/>
      <c r="Q482" s="450"/>
      <c r="R482" s="450"/>
      <c r="S482" s="450"/>
      <c r="T482" s="451">
        <v>1</v>
      </c>
      <c r="U482" s="451" t="s">
        <v>876</v>
      </c>
      <c r="V482" s="58"/>
      <c r="W482" s="58"/>
      <c r="X482" s="59"/>
      <c r="Y482" s="60"/>
      <c r="Z482" s="61"/>
      <c r="AA482" s="60"/>
    </row>
    <row r="483" spans="1:27" ht="13.5" customHeight="1" x14ac:dyDescent="0.25">
      <c r="A483" s="54"/>
      <c r="B483" s="62">
        <v>708</v>
      </c>
      <c r="C483" s="74" t="s">
        <v>1447</v>
      </c>
      <c r="D483" s="74" t="s">
        <v>1021</v>
      </c>
      <c r="E483" s="443" t="s">
        <v>1444</v>
      </c>
      <c r="F483" s="443">
        <v>9</v>
      </c>
      <c r="G483" s="56" t="s">
        <v>1005</v>
      </c>
      <c r="H483" s="443"/>
      <c r="I483" s="57" t="s">
        <v>875</v>
      </c>
      <c r="J483" s="443">
        <v>1</v>
      </c>
      <c r="K483" s="443">
        <v>2</v>
      </c>
      <c r="L483" s="443">
        <v>4</v>
      </c>
      <c r="M483" s="443"/>
      <c r="N483" s="443"/>
      <c r="O483" s="124"/>
      <c r="P483" s="124"/>
      <c r="Q483" s="450"/>
      <c r="R483" s="450"/>
      <c r="S483" s="450"/>
      <c r="T483" s="451">
        <v>1</v>
      </c>
      <c r="U483" s="451" t="s">
        <v>876</v>
      </c>
      <c r="V483" s="58"/>
      <c r="W483" s="58"/>
      <c r="X483" s="59"/>
      <c r="Y483" s="60"/>
      <c r="Z483" s="61"/>
      <c r="AA483" s="60"/>
    </row>
    <row r="484" spans="1:27" ht="13.5" customHeight="1" thickBot="1" x14ac:dyDescent="0.3">
      <c r="A484" s="94"/>
      <c r="B484" s="83">
        <v>709</v>
      </c>
      <c r="C484" s="95" t="s">
        <v>1448</v>
      </c>
      <c r="D484" s="95" t="s">
        <v>1021</v>
      </c>
      <c r="E484" s="96" t="s">
        <v>1444</v>
      </c>
      <c r="F484" s="96">
        <v>10</v>
      </c>
      <c r="G484" s="97" t="s">
        <v>1005</v>
      </c>
      <c r="H484" s="96"/>
      <c r="I484" s="98" t="s">
        <v>875</v>
      </c>
      <c r="J484" s="96">
        <v>1</v>
      </c>
      <c r="K484" s="96">
        <v>2</v>
      </c>
      <c r="L484" s="96">
        <v>4</v>
      </c>
      <c r="M484" s="96"/>
      <c r="N484" s="96"/>
      <c r="O484" s="200"/>
      <c r="P484" s="200"/>
      <c r="Q484" s="100"/>
      <c r="R484" s="100"/>
      <c r="S484" s="100"/>
      <c r="T484" s="101">
        <v>1</v>
      </c>
      <c r="U484" s="80" t="s">
        <v>876</v>
      </c>
      <c r="V484" s="102"/>
      <c r="W484" s="102"/>
      <c r="X484" s="103"/>
      <c r="Y484" s="104"/>
      <c r="Z484" s="105"/>
      <c r="AA484" s="104"/>
    </row>
    <row r="485" spans="1:27" ht="12.75" customHeight="1" thickBot="1" x14ac:dyDescent="0.3">
      <c r="A485" s="259" t="s">
        <v>1449</v>
      </c>
      <c r="B485" s="84">
        <v>800</v>
      </c>
      <c r="C485" s="85" t="s">
        <v>1450</v>
      </c>
      <c r="D485" s="85" t="s">
        <v>1021</v>
      </c>
      <c r="E485" s="442"/>
      <c r="F485" s="442"/>
      <c r="G485" s="86" t="s">
        <v>1246</v>
      </c>
      <c r="H485" s="442"/>
      <c r="I485" s="87" t="s">
        <v>875</v>
      </c>
      <c r="J485" s="442">
        <v>1</v>
      </c>
      <c r="K485" s="442">
        <v>1</v>
      </c>
      <c r="L485" s="442">
        <v>2</v>
      </c>
      <c r="M485" s="442"/>
      <c r="N485" s="442"/>
      <c r="O485" s="122"/>
      <c r="P485" s="122"/>
      <c r="Q485" s="449"/>
      <c r="R485" s="449"/>
      <c r="S485" s="449"/>
      <c r="T485" s="461"/>
      <c r="U485" s="461" t="s">
        <v>876</v>
      </c>
      <c r="V485" s="88">
        <v>1</v>
      </c>
      <c r="W485" s="88">
        <v>1</v>
      </c>
      <c r="X485" s="89"/>
      <c r="Y485" s="90"/>
      <c r="Z485" s="91"/>
      <c r="AA485" s="90"/>
    </row>
    <row r="486" spans="1:27" ht="12.75" customHeight="1" thickBot="1" x14ac:dyDescent="0.3">
      <c r="A486" s="230"/>
      <c r="B486" s="62"/>
      <c r="C486" s="133" t="s">
        <v>1451</v>
      </c>
      <c r="D486" s="74" t="s">
        <v>1021</v>
      </c>
      <c r="E486" s="66"/>
      <c r="F486" s="66"/>
      <c r="G486" s="439"/>
      <c r="H486" s="66"/>
      <c r="I486" s="57" t="s">
        <v>875</v>
      </c>
      <c r="J486" s="66">
        <v>1</v>
      </c>
      <c r="K486" s="66">
        <v>1</v>
      </c>
      <c r="L486" s="66">
        <v>2</v>
      </c>
      <c r="M486" s="66"/>
      <c r="N486" s="66"/>
      <c r="O486" s="142"/>
      <c r="P486" s="142"/>
      <c r="Q486" s="460"/>
      <c r="R486" s="460"/>
      <c r="S486" s="460"/>
      <c r="T486" s="135"/>
      <c r="U486" s="461" t="s">
        <v>876</v>
      </c>
      <c r="V486" s="458">
        <v>1</v>
      </c>
      <c r="W486" s="458">
        <v>1</v>
      </c>
      <c r="X486" s="445"/>
      <c r="Y486" s="453"/>
      <c r="Z486" s="455"/>
      <c r="AA486" s="453"/>
    </row>
    <row r="487" spans="1:27" ht="12.75" customHeight="1" x14ac:dyDescent="0.25">
      <c r="A487" s="230"/>
      <c r="B487" s="62"/>
      <c r="C487" s="133" t="s">
        <v>1452</v>
      </c>
      <c r="D487" s="74" t="s">
        <v>1021</v>
      </c>
      <c r="E487" s="66"/>
      <c r="F487" s="66"/>
      <c r="G487" s="439"/>
      <c r="H487" s="66"/>
      <c r="I487" s="57" t="s">
        <v>875</v>
      </c>
      <c r="J487" s="66">
        <v>1</v>
      </c>
      <c r="K487" s="66">
        <v>1</v>
      </c>
      <c r="L487" s="66">
        <v>2</v>
      </c>
      <c r="M487" s="66"/>
      <c r="N487" s="66"/>
      <c r="O487" s="142"/>
      <c r="P487" s="142"/>
      <c r="Q487" s="460"/>
      <c r="R487" s="460"/>
      <c r="S487" s="460"/>
      <c r="T487" s="135"/>
      <c r="U487" s="461" t="s">
        <v>876</v>
      </c>
      <c r="V487" s="458">
        <v>1</v>
      </c>
      <c r="W487" s="458">
        <v>1</v>
      </c>
      <c r="X487" s="445"/>
      <c r="Y487" s="453"/>
      <c r="Z487" s="455"/>
      <c r="AA487" s="453"/>
    </row>
    <row r="488" spans="1:27" ht="12.75" customHeight="1" x14ac:dyDescent="0.25">
      <c r="A488" s="230"/>
      <c r="B488" s="62"/>
      <c r="C488" s="74" t="s">
        <v>1453</v>
      </c>
      <c r="D488" s="74" t="s">
        <v>1021</v>
      </c>
      <c r="E488" s="443"/>
      <c r="F488" s="443"/>
      <c r="G488" s="56"/>
      <c r="H488" s="443"/>
      <c r="I488" s="57" t="s">
        <v>875</v>
      </c>
      <c r="J488" s="443">
        <v>1</v>
      </c>
      <c r="K488" s="443">
        <v>3</v>
      </c>
      <c r="L488" s="443">
        <v>6</v>
      </c>
      <c r="M488" s="443"/>
      <c r="N488" s="443"/>
      <c r="O488" s="124"/>
      <c r="P488" s="124"/>
      <c r="Q488" s="450"/>
      <c r="R488" s="450"/>
      <c r="S488" s="450"/>
      <c r="T488" s="451"/>
      <c r="U488" s="451" t="s">
        <v>876</v>
      </c>
      <c r="V488" s="58">
        <v>1</v>
      </c>
      <c r="W488" s="58">
        <v>1</v>
      </c>
      <c r="X488" s="59"/>
      <c r="Y488" s="60"/>
      <c r="Z488" s="61"/>
      <c r="AA488" s="60"/>
    </row>
    <row r="489" spans="1:27" ht="13.5" customHeight="1" x14ac:dyDescent="0.25">
      <c r="A489" s="230"/>
      <c r="B489" s="62"/>
      <c r="C489" s="74" t="s">
        <v>1454</v>
      </c>
      <c r="D489" s="74" t="s">
        <v>1021</v>
      </c>
      <c r="E489" s="443"/>
      <c r="F489" s="443"/>
      <c r="G489" s="56"/>
      <c r="H489" s="443"/>
      <c r="I489" s="57" t="s">
        <v>875</v>
      </c>
      <c r="J489" s="443">
        <v>1</v>
      </c>
      <c r="K489" s="443">
        <v>1</v>
      </c>
      <c r="L489" s="443">
        <v>2</v>
      </c>
      <c r="M489" s="443"/>
      <c r="N489" s="443"/>
      <c r="O489" s="124"/>
      <c r="P489" s="124"/>
      <c r="Q489" s="450"/>
      <c r="R489" s="450"/>
      <c r="S489" s="450"/>
      <c r="T489" s="451"/>
      <c r="U489" s="451" t="s">
        <v>876</v>
      </c>
      <c r="V489" s="58">
        <v>1</v>
      </c>
      <c r="W489" s="58">
        <v>1</v>
      </c>
      <c r="X489" s="59"/>
      <c r="Y489" s="60"/>
      <c r="Z489" s="61"/>
      <c r="AA489" s="60"/>
    </row>
    <row r="490" spans="1:27" ht="13.5" customHeight="1" x14ac:dyDescent="0.25">
      <c r="A490" s="230"/>
      <c r="B490" s="76"/>
      <c r="C490" s="77" t="s">
        <v>4487</v>
      </c>
      <c r="D490" s="74" t="s">
        <v>1021</v>
      </c>
      <c r="E490" s="443"/>
      <c r="F490" s="443"/>
      <c r="G490" s="56"/>
      <c r="H490" s="443"/>
      <c r="I490" s="57" t="s">
        <v>875</v>
      </c>
      <c r="J490" s="443">
        <v>1</v>
      </c>
      <c r="K490" s="443">
        <v>1</v>
      </c>
      <c r="L490" s="443">
        <v>2</v>
      </c>
      <c r="M490" s="443"/>
      <c r="N490" s="443"/>
      <c r="O490" s="124"/>
      <c r="P490" s="124"/>
      <c r="Q490" s="450"/>
      <c r="R490" s="450"/>
      <c r="S490" s="450"/>
      <c r="T490" s="451"/>
      <c r="U490" s="451" t="s">
        <v>876</v>
      </c>
      <c r="V490" s="58">
        <v>1</v>
      </c>
      <c r="W490" s="58">
        <v>1</v>
      </c>
      <c r="X490" s="463"/>
      <c r="Y490" s="464"/>
      <c r="Z490" s="465"/>
      <c r="AA490" s="464"/>
    </row>
    <row r="491" spans="1:27" ht="12.75" customHeight="1" thickBot="1" x14ac:dyDescent="0.3">
      <c r="A491" s="260"/>
      <c r="B491" s="83"/>
      <c r="C491" s="95" t="s">
        <v>1455</v>
      </c>
      <c r="D491" s="95" t="s">
        <v>1021</v>
      </c>
      <c r="E491" s="96"/>
      <c r="F491" s="96"/>
      <c r="G491" s="97"/>
      <c r="H491" s="96"/>
      <c r="I491" s="98" t="s">
        <v>875</v>
      </c>
      <c r="J491" s="96">
        <v>1</v>
      </c>
      <c r="K491" s="96">
        <v>1</v>
      </c>
      <c r="L491" s="96">
        <v>2</v>
      </c>
      <c r="M491" s="96"/>
      <c r="N491" s="96"/>
      <c r="O491" s="200"/>
      <c r="P491" s="200"/>
      <c r="Q491" s="100"/>
      <c r="R491" s="100"/>
      <c r="S491" s="100"/>
      <c r="T491" s="101"/>
      <c r="U491" s="101" t="s">
        <v>876</v>
      </c>
      <c r="V491" s="102">
        <v>1</v>
      </c>
      <c r="W491" s="102">
        <v>1</v>
      </c>
      <c r="X491" s="103"/>
      <c r="Y491" s="104"/>
      <c r="Z491" s="105"/>
      <c r="AA491" s="104"/>
    </row>
    <row r="492" spans="1:27" ht="12.75" customHeight="1" x14ac:dyDescent="0.25">
      <c r="A492" s="230"/>
      <c r="B492" s="62"/>
      <c r="C492" s="74" t="s">
        <v>1456</v>
      </c>
      <c r="D492" s="74" t="s">
        <v>1021</v>
      </c>
      <c r="E492" s="443"/>
      <c r="F492" s="443"/>
      <c r="G492" s="56"/>
      <c r="H492" s="443"/>
      <c r="I492" s="57" t="s">
        <v>875</v>
      </c>
      <c r="J492" s="443">
        <v>1</v>
      </c>
      <c r="K492" s="443">
        <v>3</v>
      </c>
      <c r="L492" s="443">
        <v>6</v>
      </c>
      <c r="M492" s="443"/>
      <c r="N492" s="443"/>
      <c r="O492" s="124"/>
      <c r="P492" s="124"/>
      <c r="Q492" s="450"/>
      <c r="R492" s="450"/>
      <c r="S492" s="450"/>
      <c r="T492" s="451"/>
      <c r="U492" s="451" t="s">
        <v>876</v>
      </c>
      <c r="V492" s="58">
        <v>1</v>
      </c>
      <c r="W492" s="58">
        <v>1</v>
      </c>
      <c r="X492" s="59"/>
      <c r="Y492" s="60"/>
      <c r="Z492" s="61"/>
      <c r="AA492" s="60"/>
    </row>
    <row r="493" spans="1:27" ht="13.5" customHeight="1" x14ac:dyDescent="0.25">
      <c r="A493" s="230"/>
      <c r="B493" s="62"/>
      <c r="C493" s="74" t="s">
        <v>1457</v>
      </c>
      <c r="D493" s="74" t="s">
        <v>1021</v>
      </c>
      <c r="E493" s="443"/>
      <c r="F493" s="443"/>
      <c r="G493" s="56"/>
      <c r="H493" s="443"/>
      <c r="I493" s="57" t="s">
        <v>875</v>
      </c>
      <c r="J493" s="443">
        <v>1</v>
      </c>
      <c r="K493" s="443">
        <v>1</v>
      </c>
      <c r="L493" s="443">
        <v>2</v>
      </c>
      <c r="M493" s="443"/>
      <c r="N493" s="443"/>
      <c r="O493" s="124"/>
      <c r="P493" s="124"/>
      <c r="Q493" s="450"/>
      <c r="R493" s="450"/>
      <c r="S493" s="450"/>
      <c r="T493" s="451"/>
      <c r="U493" s="451" t="s">
        <v>876</v>
      </c>
      <c r="V493" s="58">
        <v>1</v>
      </c>
      <c r="W493" s="58">
        <v>1</v>
      </c>
      <c r="X493" s="59"/>
      <c r="Y493" s="60"/>
      <c r="Z493" s="61"/>
      <c r="AA493" s="60"/>
    </row>
    <row r="494" spans="1:27" ht="13.5" customHeight="1" x14ac:dyDescent="0.25">
      <c r="A494" s="230"/>
      <c r="B494" s="76"/>
      <c r="C494" s="77" t="s">
        <v>4488</v>
      </c>
      <c r="D494" s="74" t="s">
        <v>1021</v>
      </c>
      <c r="E494" s="443"/>
      <c r="F494" s="443"/>
      <c r="G494" s="56"/>
      <c r="H494" s="443"/>
      <c r="I494" s="57" t="s">
        <v>875</v>
      </c>
      <c r="J494" s="443">
        <v>1</v>
      </c>
      <c r="K494" s="443">
        <v>1</v>
      </c>
      <c r="L494" s="443">
        <v>2</v>
      </c>
      <c r="M494" s="443"/>
      <c r="N494" s="443"/>
      <c r="O494" s="124"/>
      <c r="P494" s="124"/>
      <c r="Q494" s="450"/>
      <c r="R494" s="450"/>
      <c r="S494" s="450"/>
      <c r="T494" s="451"/>
      <c r="U494" s="451" t="s">
        <v>876</v>
      </c>
      <c r="V494" s="58">
        <v>1</v>
      </c>
      <c r="W494" s="58">
        <v>1</v>
      </c>
      <c r="X494" s="463"/>
      <c r="Y494" s="464"/>
      <c r="Z494" s="465"/>
      <c r="AA494" s="464"/>
    </row>
    <row r="495" spans="1:27" ht="25.5" customHeight="1" thickBot="1" x14ac:dyDescent="0.3">
      <c r="A495" s="260"/>
      <c r="B495" s="83"/>
      <c r="C495" s="95" t="s">
        <v>1458</v>
      </c>
      <c r="D495" s="95" t="s">
        <v>1021</v>
      </c>
      <c r="E495" s="96"/>
      <c r="F495" s="96"/>
      <c r="G495" s="97"/>
      <c r="H495" s="96"/>
      <c r="I495" s="98" t="s">
        <v>875</v>
      </c>
      <c r="J495" s="96">
        <v>1</v>
      </c>
      <c r="K495" s="96">
        <v>1</v>
      </c>
      <c r="L495" s="96">
        <v>2</v>
      </c>
      <c r="M495" s="96"/>
      <c r="N495" s="96"/>
      <c r="O495" s="200"/>
      <c r="P495" s="200"/>
      <c r="Q495" s="100"/>
      <c r="R495" s="100"/>
      <c r="S495" s="100"/>
      <c r="T495" s="101"/>
      <c r="U495" s="101" t="s">
        <v>876</v>
      </c>
      <c r="V495" s="102">
        <v>1</v>
      </c>
      <c r="W495" s="102">
        <v>1</v>
      </c>
      <c r="X495" s="103"/>
      <c r="Y495" s="104"/>
      <c r="Z495" s="105"/>
      <c r="AA495" s="104"/>
    </row>
    <row r="496" spans="1:27" ht="12.75" customHeight="1" thickBot="1" x14ac:dyDescent="0.3">
      <c r="A496" s="259" t="s">
        <v>1449</v>
      </c>
      <c r="B496" s="84">
        <v>801</v>
      </c>
      <c r="C496" s="85" t="s">
        <v>4489</v>
      </c>
      <c r="D496" s="85" t="s">
        <v>1021</v>
      </c>
      <c r="E496" s="442"/>
      <c r="F496" s="442"/>
      <c r="G496" s="86" t="s">
        <v>1246</v>
      </c>
      <c r="H496" s="442"/>
      <c r="I496" s="57" t="s">
        <v>875</v>
      </c>
      <c r="J496" s="442">
        <v>1</v>
      </c>
      <c r="K496" s="442">
        <v>4</v>
      </c>
      <c r="L496" s="442">
        <v>8</v>
      </c>
      <c r="M496" s="442"/>
      <c r="N496" s="442"/>
      <c r="O496" s="122"/>
      <c r="P496" s="122"/>
      <c r="Q496" s="449"/>
      <c r="R496" s="449"/>
      <c r="S496" s="449"/>
      <c r="T496" s="461"/>
      <c r="U496" s="461" t="s">
        <v>876</v>
      </c>
      <c r="V496" s="88"/>
      <c r="W496" s="88"/>
      <c r="X496" s="89"/>
      <c r="Y496" s="90"/>
      <c r="Z496" s="91"/>
      <c r="AA496" s="90"/>
    </row>
    <row r="497" spans="1:27" ht="12.75" customHeight="1" thickBot="1" x14ac:dyDescent="0.3">
      <c r="A497" s="230"/>
      <c r="B497" s="62"/>
      <c r="C497" s="133" t="s">
        <v>1452</v>
      </c>
      <c r="D497" s="74" t="s">
        <v>1021</v>
      </c>
      <c r="E497" s="66"/>
      <c r="F497" s="66"/>
      <c r="G497" s="439"/>
      <c r="H497" s="66"/>
      <c r="I497" s="57" t="s">
        <v>875</v>
      </c>
      <c r="J497" s="66">
        <v>1</v>
      </c>
      <c r="K497" s="66">
        <v>1</v>
      </c>
      <c r="L497" s="66">
        <v>2</v>
      </c>
      <c r="M497" s="66"/>
      <c r="N497" s="66"/>
      <c r="O497" s="142"/>
      <c r="P497" s="142"/>
      <c r="Q497" s="460"/>
      <c r="R497" s="460"/>
      <c r="S497" s="460"/>
      <c r="T497" s="135"/>
      <c r="U497" s="461" t="s">
        <v>876</v>
      </c>
      <c r="V497" s="458"/>
      <c r="W497" s="458"/>
      <c r="X497" s="445"/>
      <c r="Y497" s="453"/>
      <c r="Z497" s="455"/>
      <c r="AA497" s="453"/>
    </row>
    <row r="498" spans="1:27" ht="12.75" customHeight="1" x14ac:dyDescent="0.25">
      <c r="A498" s="230"/>
      <c r="B498" s="62"/>
      <c r="C498" s="74" t="s">
        <v>1453</v>
      </c>
      <c r="D498" s="74" t="s">
        <v>1021</v>
      </c>
      <c r="E498" s="66"/>
      <c r="F498" s="66"/>
      <c r="G498" s="439"/>
      <c r="H498" s="66"/>
      <c r="I498" s="57" t="s">
        <v>875</v>
      </c>
      <c r="J498" s="66">
        <v>1</v>
      </c>
      <c r="K498" s="443">
        <v>3</v>
      </c>
      <c r="L498" s="443">
        <v>6</v>
      </c>
      <c r="M498" s="66"/>
      <c r="N498" s="66"/>
      <c r="O498" s="142"/>
      <c r="P498" s="142"/>
      <c r="Q498" s="460"/>
      <c r="R498" s="460"/>
      <c r="S498" s="460"/>
      <c r="T498" s="135"/>
      <c r="U498" s="461" t="s">
        <v>876</v>
      </c>
      <c r="V498" s="458"/>
      <c r="W498" s="458"/>
      <c r="X498" s="445"/>
      <c r="Y498" s="453"/>
      <c r="Z498" s="455"/>
      <c r="AA498" s="453"/>
    </row>
    <row r="499" spans="1:27" ht="12.75" customHeight="1" x14ac:dyDescent="0.25">
      <c r="A499" s="230"/>
      <c r="B499" s="62"/>
      <c r="C499" s="74" t="s">
        <v>1454</v>
      </c>
      <c r="D499" s="74" t="s">
        <v>1021</v>
      </c>
      <c r="E499" s="443"/>
      <c r="F499" s="443"/>
      <c r="G499" s="56"/>
      <c r="H499" s="443"/>
      <c r="I499" s="57" t="s">
        <v>875</v>
      </c>
      <c r="J499" s="443">
        <v>1</v>
      </c>
      <c r="K499" s="443">
        <v>1</v>
      </c>
      <c r="L499" s="443">
        <v>2</v>
      </c>
      <c r="M499" s="443"/>
      <c r="N499" s="443"/>
      <c r="O499" s="124"/>
      <c r="P499" s="124"/>
      <c r="Q499" s="450"/>
      <c r="R499" s="450"/>
      <c r="S499" s="450"/>
      <c r="T499" s="451"/>
      <c r="U499" s="451" t="s">
        <v>876</v>
      </c>
      <c r="V499" s="58"/>
      <c r="W499" s="58"/>
      <c r="X499" s="59"/>
      <c r="Y499" s="60"/>
      <c r="Z499" s="61"/>
      <c r="AA499" s="60"/>
    </row>
    <row r="500" spans="1:27" ht="13.5" customHeight="1" x14ac:dyDescent="0.25">
      <c r="A500" s="230"/>
      <c r="B500" s="62"/>
      <c r="C500" s="74" t="s">
        <v>4487</v>
      </c>
      <c r="D500" s="74" t="s">
        <v>1021</v>
      </c>
      <c r="E500" s="443"/>
      <c r="F500" s="443"/>
      <c r="G500" s="56"/>
      <c r="H500" s="443"/>
      <c r="I500" s="57" t="s">
        <v>875</v>
      </c>
      <c r="J500" s="443">
        <v>1</v>
      </c>
      <c r="K500" s="443">
        <v>1</v>
      </c>
      <c r="L500" s="443">
        <v>2</v>
      </c>
      <c r="M500" s="443"/>
      <c r="N500" s="443"/>
      <c r="O500" s="124"/>
      <c r="P500" s="124"/>
      <c r="Q500" s="450"/>
      <c r="R500" s="450"/>
      <c r="S500" s="450"/>
      <c r="T500" s="451"/>
      <c r="U500" s="451" t="s">
        <v>876</v>
      </c>
      <c r="V500" s="58"/>
      <c r="W500" s="58"/>
      <c r="X500" s="59"/>
      <c r="Y500" s="60"/>
      <c r="Z500" s="61"/>
      <c r="AA500" s="60"/>
    </row>
    <row r="501" spans="1:27" ht="13.5" customHeight="1" x14ac:dyDescent="0.25">
      <c r="A501" s="230"/>
      <c r="B501" s="62"/>
      <c r="C501" s="74" t="s">
        <v>4490</v>
      </c>
      <c r="D501" s="74" t="s">
        <v>1021</v>
      </c>
      <c r="E501" s="443"/>
      <c r="F501" s="443"/>
      <c r="G501" s="56"/>
      <c r="H501" s="443"/>
      <c r="I501" s="57" t="s">
        <v>875</v>
      </c>
      <c r="J501" s="443">
        <v>1</v>
      </c>
      <c r="K501" s="443">
        <v>1</v>
      </c>
      <c r="L501" s="443">
        <v>2</v>
      </c>
      <c r="M501" s="443"/>
      <c r="N501" s="443"/>
      <c r="O501" s="124"/>
      <c r="P501" s="124"/>
      <c r="Q501" s="450"/>
      <c r="R501" s="450"/>
      <c r="S501" s="450"/>
      <c r="T501" s="451"/>
      <c r="U501" s="451" t="s">
        <v>876</v>
      </c>
      <c r="V501" s="58"/>
      <c r="W501" s="58"/>
      <c r="X501" s="59"/>
      <c r="Y501" s="60"/>
      <c r="Z501" s="61"/>
      <c r="AA501" s="60"/>
    </row>
    <row r="502" spans="1:27" ht="13.5" customHeight="1" x14ac:dyDescent="0.25">
      <c r="A502" s="230"/>
      <c r="B502" s="62"/>
      <c r="C502" s="179" t="s">
        <v>4491</v>
      </c>
      <c r="D502" s="74" t="s">
        <v>1021</v>
      </c>
      <c r="E502" s="443"/>
      <c r="F502" s="443"/>
      <c r="G502" s="56"/>
      <c r="H502" s="443"/>
      <c r="I502" s="57" t="s">
        <v>875</v>
      </c>
      <c r="J502" s="443">
        <v>1</v>
      </c>
      <c r="K502" s="443">
        <v>1</v>
      </c>
      <c r="L502" s="443">
        <v>2</v>
      </c>
      <c r="M502" s="443"/>
      <c r="N502" s="443"/>
      <c r="O502" s="124"/>
      <c r="P502" s="124"/>
      <c r="Q502" s="450"/>
      <c r="R502" s="450"/>
      <c r="S502" s="450"/>
      <c r="T502" s="451"/>
      <c r="U502" s="451" t="s">
        <v>876</v>
      </c>
      <c r="V502" s="58"/>
      <c r="W502" s="58"/>
      <c r="X502" s="59"/>
      <c r="Y502" s="60"/>
      <c r="Z502" s="61"/>
      <c r="AA502" s="60"/>
    </row>
    <row r="503" spans="1:27" ht="13.5" customHeight="1" x14ac:dyDescent="0.25">
      <c r="A503" s="230"/>
      <c r="B503" s="62"/>
      <c r="C503" s="74" t="s">
        <v>4492</v>
      </c>
      <c r="D503" s="74" t="s">
        <v>1021</v>
      </c>
      <c r="E503" s="443"/>
      <c r="F503" s="443"/>
      <c r="G503" s="56"/>
      <c r="H503" s="443"/>
      <c r="I503" s="57" t="s">
        <v>875</v>
      </c>
      <c r="J503" s="443">
        <v>1</v>
      </c>
      <c r="K503" s="443">
        <v>12</v>
      </c>
      <c r="L503" s="443">
        <v>24</v>
      </c>
      <c r="M503" s="443"/>
      <c r="N503" s="443"/>
      <c r="O503" s="124"/>
      <c r="P503" s="124"/>
      <c r="Q503" s="450"/>
      <c r="R503" s="450"/>
      <c r="S503" s="450"/>
      <c r="T503" s="451"/>
      <c r="U503" s="451" t="s">
        <v>876</v>
      </c>
      <c r="V503" s="58"/>
      <c r="W503" s="58"/>
      <c r="X503" s="59"/>
      <c r="Y503" s="60"/>
      <c r="Z503" s="61"/>
      <c r="AA503" s="60"/>
    </row>
    <row r="504" spans="1:27" ht="13.5" customHeight="1" x14ac:dyDescent="0.25">
      <c r="A504" s="230"/>
      <c r="B504" s="62"/>
      <c r="C504" s="74" t="s">
        <v>4493</v>
      </c>
      <c r="D504" s="74" t="s">
        <v>1021</v>
      </c>
      <c r="E504" s="443"/>
      <c r="F504" s="443"/>
      <c r="G504" s="56"/>
      <c r="H504" s="443"/>
      <c r="I504" s="57" t="s">
        <v>875</v>
      </c>
      <c r="J504" s="443">
        <v>1</v>
      </c>
      <c r="K504" s="443">
        <v>5</v>
      </c>
      <c r="L504" s="443">
        <v>10</v>
      </c>
      <c r="M504" s="443"/>
      <c r="N504" s="443"/>
      <c r="O504" s="124"/>
      <c r="P504" s="124"/>
      <c r="Q504" s="450"/>
      <c r="R504" s="450"/>
      <c r="S504" s="450"/>
      <c r="T504" s="451"/>
      <c r="U504" s="451" t="s">
        <v>876</v>
      </c>
      <c r="V504" s="58"/>
      <c r="W504" s="58"/>
      <c r="X504" s="59"/>
      <c r="Y504" s="60"/>
      <c r="Z504" s="61"/>
      <c r="AA504" s="60"/>
    </row>
    <row r="505" spans="1:27" ht="13.5" customHeight="1" x14ac:dyDescent="0.25">
      <c r="A505" s="230"/>
      <c r="B505" s="62"/>
      <c r="C505" s="74" t="s">
        <v>4494</v>
      </c>
      <c r="D505" s="74" t="s">
        <v>1021</v>
      </c>
      <c r="E505" s="443"/>
      <c r="F505" s="443"/>
      <c r="G505" s="56"/>
      <c r="H505" s="443"/>
      <c r="I505" s="57" t="s">
        <v>875</v>
      </c>
      <c r="J505" s="443">
        <v>1</v>
      </c>
      <c r="K505" s="443">
        <v>12</v>
      </c>
      <c r="L505" s="443">
        <v>24</v>
      </c>
      <c r="M505" s="443"/>
      <c r="N505" s="443"/>
      <c r="O505" s="124"/>
      <c r="P505" s="124"/>
      <c r="Q505" s="450"/>
      <c r="R505" s="450"/>
      <c r="S505" s="450"/>
      <c r="T505" s="451"/>
      <c r="U505" s="451" t="s">
        <v>876</v>
      </c>
      <c r="V505" s="58"/>
      <c r="W505" s="58"/>
      <c r="X505" s="59"/>
      <c r="Y505" s="60"/>
      <c r="Z505" s="61"/>
      <c r="AA505" s="60"/>
    </row>
    <row r="506" spans="1:27" ht="12.75" customHeight="1" thickBot="1" x14ac:dyDescent="0.3">
      <c r="A506" s="260"/>
      <c r="B506" s="83"/>
      <c r="C506" s="95" t="s">
        <v>4495</v>
      </c>
      <c r="D506" s="95" t="s">
        <v>1021</v>
      </c>
      <c r="E506" s="96"/>
      <c r="F506" s="96"/>
      <c r="G506" s="97"/>
      <c r="H506" s="96"/>
      <c r="I506" s="98" t="s">
        <v>875</v>
      </c>
      <c r="J506" s="96">
        <v>1</v>
      </c>
      <c r="K506" s="96">
        <v>5</v>
      </c>
      <c r="L506" s="96">
        <v>10</v>
      </c>
      <c r="M506" s="96"/>
      <c r="N506" s="96"/>
      <c r="O506" s="200"/>
      <c r="P506" s="200"/>
      <c r="Q506" s="100"/>
      <c r="R506" s="100"/>
      <c r="S506" s="100"/>
      <c r="T506" s="101"/>
      <c r="U506" s="101" t="s">
        <v>876</v>
      </c>
      <c r="V506" s="102"/>
      <c r="W506" s="102"/>
      <c r="X506" s="103"/>
      <c r="Y506" s="104"/>
      <c r="Z506" s="105"/>
      <c r="AA506" s="104"/>
    </row>
    <row r="507" spans="1:27" ht="12.75" customHeight="1" x14ac:dyDescent="0.25">
      <c r="A507" s="230"/>
      <c r="B507" s="62"/>
      <c r="C507" s="85" t="s">
        <v>4496</v>
      </c>
      <c r="D507" s="85" t="s">
        <v>1021</v>
      </c>
      <c r="E507" s="442"/>
      <c r="F507" s="442"/>
      <c r="G507" s="86" t="s">
        <v>1246</v>
      </c>
      <c r="H507" s="442"/>
      <c r="I507" s="57" t="s">
        <v>875</v>
      </c>
      <c r="J507" s="442">
        <v>1</v>
      </c>
      <c r="K507" s="442">
        <v>4</v>
      </c>
      <c r="L507" s="442">
        <v>8</v>
      </c>
      <c r="M507" s="66"/>
      <c r="N507" s="66"/>
      <c r="O507" s="142"/>
      <c r="P507" s="142"/>
      <c r="Q507" s="460"/>
      <c r="R507" s="460"/>
      <c r="S507" s="460"/>
      <c r="T507" s="135"/>
      <c r="U507" s="461" t="s">
        <v>876</v>
      </c>
      <c r="V507" s="58"/>
      <c r="W507" s="58"/>
      <c r="X507" s="59"/>
      <c r="Y507" s="60"/>
      <c r="Z507" s="61"/>
      <c r="AA507" s="60"/>
    </row>
    <row r="508" spans="1:27" ht="12.75" customHeight="1" x14ac:dyDescent="0.25">
      <c r="A508" s="230"/>
      <c r="B508" s="62"/>
      <c r="C508" s="133" t="s">
        <v>4497</v>
      </c>
      <c r="D508" s="74" t="s">
        <v>1021</v>
      </c>
      <c r="E508" s="66"/>
      <c r="F508" s="66"/>
      <c r="G508" s="439"/>
      <c r="H508" s="66"/>
      <c r="I508" s="57" t="s">
        <v>875</v>
      </c>
      <c r="J508" s="66">
        <v>1</v>
      </c>
      <c r="K508" s="66">
        <v>1</v>
      </c>
      <c r="L508" s="66">
        <v>2</v>
      </c>
      <c r="M508" s="66"/>
      <c r="N508" s="66"/>
      <c r="O508" s="142"/>
      <c r="P508" s="142"/>
      <c r="Q508" s="460"/>
      <c r="R508" s="460"/>
      <c r="S508" s="460"/>
      <c r="T508" s="135"/>
      <c r="U508" s="135"/>
      <c r="V508" s="58"/>
      <c r="W508" s="58"/>
      <c r="X508" s="59"/>
      <c r="Y508" s="60"/>
      <c r="Z508" s="61"/>
      <c r="AA508" s="60"/>
    </row>
    <row r="509" spans="1:27" ht="12.75" customHeight="1" x14ac:dyDescent="0.25">
      <c r="A509" s="230"/>
      <c r="B509" s="62"/>
      <c r="C509" s="74" t="s">
        <v>4498</v>
      </c>
      <c r="D509" s="74" t="s">
        <v>1021</v>
      </c>
      <c r="E509" s="66"/>
      <c r="F509" s="66"/>
      <c r="G509" s="439"/>
      <c r="H509" s="66"/>
      <c r="I509" s="57" t="s">
        <v>875</v>
      </c>
      <c r="J509" s="66">
        <v>1</v>
      </c>
      <c r="K509" s="443">
        <v>3</v>
      </c>
      <c r="L509" s="443">
        <v>6</v>
      </c>
      <c r="M509" s="66"/>
      <c r="N509" s="66"/>
      <c r="O509" s="142"/>
      <c r="P509" s="142"/>
      <c r="Q509" s="460"/>
      <c r="R509" s="460"/>
      <c r="S509" s="460"/>
      <c r="T509" s="135"/>
      <c r="U509" s="135"/>
      <c r="V509" s="58"/>
      <c r="W509" s="58"/>
      <c r="X509" s="59"/>
      <c r="Y509" s="60"/>
      <c r="Z509" s="61"/>
      <c r="AA509" s="60"/>
    </row>
    <row r="510" spans="1:27" ht="12.75" customHeight="1" x14ac:dyDescent="0.25">
      <c r="A510" s="230"/>
      <c r="B510" s="62"/>
      <c r="C510" s="74" t="s">
        <v>4499</v>
      </c>
      <c r="D510" s="74" t="s">
        <v>1021</v>
      </c>
      <c r="E510" s="443"/>
      <c r="F510" s="443"/>
      <c r="G510" s="56"/>
      <c r="H510" s="443"/>
      <c r="I510" s="57" t="s">
        <v>875</v>
      </c>
      <c r="J510" s="443">
        <v>1</v>
      </c>
      <c r="K510" s="443">
        <v>1</v>
      </c>
      <c r="L510" s="443">
        <v>2</v>
      </c>
      <c r="M510" s="443"/>
      <c r="N510" s="443"/>
      <c r="O510" s="124"/>
      <c r="P510" s="124"/>
      <c r="Q510" s="450"/>
      <c r="R510" s="450"/>
      <c r="S510" s="450"/>
      <c r="T510" s="451"/>
      <c r="U510" s="451" t="s">
        <v>876</v>
      </c>
      <c r="V510" s="58"/>
      <c r="W510" s="58"/>
      <c r="X510" s="59"/>
      <c r="Y510" s="60"/>
      <c r="Z510" s="61"/>
      <c r="AA510" s="60"/>
    </row>
    <row r="511" spans="1:27" ht="12.75" customHeight="1" x14ac:dyDescent="0.25">
      <c r="A511" s="230"/>
      <c r="B511" s="62"/>
      <c r="C511" s="74" t="s">
        <v>4500</v>
      </c>
      <c r="D511" s="74" t="s">
        <v>1021</v>
      </c>
      <c r="E511" s="443"/>
      <c r="F511" s="443"/>
      <c r="G511" s="56"/>
      <c r="H511" s="443"/>
      <c r="I511" s="57" t="s">
        <v>875</v>
      </c>
      <c r="J511" s="443">
        <v>1</v>
      </c>
      <c r="K511" s="443">
        <v>1</v>
      </c>
      <c r="L511" s="443">
        <v>2</v>
      </c>
      <c r="M511" s="443"/>
      <c r="N511" s="443"/>
      <c r="O511" s="124"/>
      <c r="P511" s="124"/>
      <c r="Q511" s="450"/>
      <c r="R511" s="450"/>
      <c r="S511" s="450"/>
      <c r="T511" s="451"/>
      <c r="U511" s="451" t="s">
        <v>876</v>
      </c>
      <c r="V511" s="58"/>
      <c r="W511" s="58"/>
      <c r="X511" s="59"/>
      <c r="Y511" s="60"/>
      <c r="Z511" s="61"/>
      <c r="AA511" s="60"/>
    </row>
    <row r="512" spans="1:27" ht="12.75" customHeight="1" x14ac:dyDescent="0.25">
      <c r="A512" s="230"/>
      <c r="B512" s="62"/>
      <c r="C512" s="74" t="s">
        <v>4501</v>
      </c>
      <c r="D512" s="74" t="s">
        <v>1021</v>
      </c>
      <c r="E512" s="443"/>
      <c r="F512" s="443"/>
      <c r="G512" s="56"/>
      <c r="H512" s="443"/>
      <c r="I512" s="57" t="s">
        <v>875</v>
      </c>
      <c r="J512" s="443">
        <v>1</v>
      </c>
      <c r="K512" s="443">
        <v>1</v>
      </c>
      <c r="L512" s="443">
        <v>2</v>
      </c>
      <c r="M512" s="443"/>
      <c r="N512" s="443"/>
      <c r="O512" s="124"/>
      <c r="P512" s="124"/>
      <c r="Q512" s="450"/>
      <c r="R512" s="450"/>
      <c r="S512" s="450"/>
      <c r="T512" s="451"/>
      <c r="U512" s="451" t="s">
        <v>876</v>
      </c>
      <c r="V512" s="58"/>
      <c r="W512" s="58"/>
      <c r="X512" s="59"/>
      <c r="Y512" s="60"/>
      <c r="Z512" s="61"/>
      <c r="AA512" s="60"/>
    </row>
    <row r="513" spans="1:27" ht="12.75" customHeight="1" x14ac:dyDescent="0.25">
      <c r="A513" s="230"/>
      <c r="B513" s="62"/>
      <c r="C513" s="179" t="s">
        <v>4502</v>
      </c>
      <c r="D513" s="74" t="s">
        <v>1021</v>
      </c>
      <c r="E513" s="443"/>
      <c r="F513" s="443"/>
      <c r="G513" s="56"/>
      <c r="H513" s="443"/>
      <c r="I513" s="57" t="s">
        <v>875</v>
      </c>
      <c r="J513" s="443">
        <v>1</v>
      </c>
      <c r="K513" s="443">
        <v>1</v>
      </c>
      <c r="L513" s="443">
        <v>2</v>
      </c>
      <c r="M513" s="443"/>
      <c r="N513" s="443"/>
      <c r="O513" s="124"/>
      <c r="P513" s="124"/>
      <c r="Q513" s="450"/>
      <c r="R513" s="450"/>
      <c r="S513" s="450"/>
      <c r="T513" s="451"/>
      <c r="U513" s="451" t="s">
        <v>876</v>
      </c>
      <c r="V513" s="58"/>
      <c r="W513" s="58"/>
      <c r="X513" s="59"/>
      <c r="Y513" s="60"/>
      <c r="Z513" s="61"/>
      <c r="AA513" s="60"/>
    </row>
    <row r="514" spans="1:27" ht="12.75" customHeight="1" x14ac:dyDescent="0.25">
      <c r="A514" s="230"/>
      <c r="B514" s="62"/>
      <c r="C514" s="74" t="s">
        <v>4503</v>
      </c>
      <c r="D514" s="74" t="s">
        <v>1021</v>
      </c>
      <c r="E514" s="443"/>
      <c r="F514" s="443"/>
      <c r="G514" s="56"/>
      <c r="H514" s="443"/>
      <c r="I514" s="57" t="s">
        <v>875</v>
      </c>
      <c r="J514" s="443">
        <v>1</v>
      </c>
      <c r="K514" s="443">
        <v>12</v>
      </c>
      <c r="L514" s="443">
        <v>24</v>
      </c>
      <c r="M514" s="443"/>
      <c r="N514" s="443"/>
      <c r="O514" s="124"/>
      <c r="P514" s="124"/>
      <c r="Q514" s="450"/>
      <c r="R514" s="450"/>
      <c r="S514" s="450"/>
      <c r="T514" s="451"/>
      <c r="U514" s="451" t="s">
        <v>876</v>
      </c>
      <c r="V514" s="58"/>
      <c r="W514" s="58"/>
      <c r="X514" s="59"/>
      <c r="Y514" s="60"/>
      <c r="Z514" s="61"/>
      <c r="AA514" s="60"/>
    </row>
    <row r="515" spans="1:27" ht="12.75" customHeight="1" x14ac:dyDescent="0.25">
      <c r="A515" s="230"/>
      <c r="B515" s="62"/>
      <c r="C515" s="74" t="s">
        <v>4504</v>
      </c>
      <c r="D515" s="74" t="s">
        <v>1021</v>
      </c>
      <c r="E515" s="443"/>
      <c r="F515" s="443"/>
      <c r="G515" s="56"/>
      <c r="H515" s="443"/>
      <c r="I515" s="57" t="s">
        <v>875</v>
      </c>
      <c r="J515" s="443">
        <v>1</v>
      </c>
      <c r="K515" s="443">
        <v>5</v>
      </c>
      <c r="L515" s="443">
        <v>10</v>
      </c>
      <c r="M515" s="443"/>
      <c r="N515" s="443"/>
      <c r="O515" s="124"/>
      <c r="P515" s="124"/>
      <c r="Q515" s="450"/>
      <c r="R515" s="450"/>
      <c r="S515" s="450"/>
      <c r="T515" s="451"/>
      <c r="U515" s="451" t="s">
        <v>876</v>
      </c>
      <c r="V515" s="58"/>
      <c r="W515" s="58"/>
      <c r="X515" s="59"/>
      <c r="Y515" s="60"/>
      <c r="Z515" s="61"/>
      <c r="AA515" s="60"/>
    </row>
    <row r="516" spans="1:27" ht="12.75" customHeight="1" x14ac:dyDescent="0.25">
      <c r="A516" s="230"/>
      <c r="B516" s="62"/>
      <c r="C516" s="74" t="s">
        <v>4505</v>
      </c>
      <c r="D516" s="74" t="s">
        <v>1021</v>
      </c>
      <c r="E516" s="443"/>
      <c r="F516" s="443"/>
      <c r="G516" s="56"/>
      <c r="H516" s="443"/>
      <c r="I516" s="57" t="s">
        <v>875</v>
      </c>
      <c r="J516" s="443">
        <v>1</v>
      </c>
      <c r="K516" s="443">
        <v>12</v>
      </c>
      <c r="L516" s="443">
        <v>24</v>
      </c>
      <c r="M516" s="443"/>
      <c r="N516" s="443"/>
      <c r="O516" s="124"/>
      <c r="P516" s="124"/>
      <c r="Q516" s="450"/>
      <c r="R516" s="450"/>
      <c r="S516" s="450"/>
      <c r="T516" s="451"/>
      <c r="U516" s="451" t="s">
        <v>876</v>
      </c>
      <c r="V516" s="58"/>
      <c r="W516" s="58"/>
      <c r="X516" s="59"/>
      <c r="Y516" s="60"/>
      <c r="Z516" s="61"/>
      <c r="AA516" s="60"/>
    </row>
    <row r="517" spans="1:27" ht="25.5" customHeight="1" thickBot="1" x14ac:dyDescent="0.3">
      <c r="A517" s="260"/>
      <c r="B517" s="83"/>
      <c r="C517" s="95" t="s">
        <v>4506</v>
      </c>
      <c r="D517" s="95" t="s">
        <v>1021</v>
      </c>
      <c r="E517" s="96"/>
      <c r="F517" s="96"/>
      <c r="G517" s="97"/>
      <c r="H517" s="96"/>
      <c r="I517" s="98" t="s">
        <v>875</v>
      </c>
      <c r="J517" s="96">
        <v>1</v>
      </c>
      <c r="K517" s="96">
        <v>5</v>
      </c>
      <c r="L517" s="96">
        <v>10</v>
      </c>
      <c r="M517" s="96"/>
      <c r="N517" s="96"/>
      <c r="O517" s="200"/>
      <c r="P517" s="200"/>
      <c r="Q517" s="100"/>
      <c r="R517" s="100"/>
      <c r="S517" s="100"/>
      <c r="T517" s="101"/>
      <c r="U517" s="101" t="s">
        <v>876</v>
      </c>
      <c r="V517" s="102"/>
      <c r="W517" s="102"/>
      <c r="X517" s="103"/>
      <c r="Y517" s="104"/>
      <c r="Z517" s="105"/>
      <c r="AA517" s="104"/>
    </row>
    <row r="518" spans="1:27" ht="12.75" customHeight="1" thickBot="1" x14ac:dyDescent="0.3">
      <c r="A518" s="259" t="s">
        <v>1449</v>
      </c>
      <c r="B518" s="84">
        <v>802</v>
      </c>
      <c r="C518" s="85" t="s">
        <v>4489</v>
      </c>
      <c r="D518" s="85" t="s">
        <v>1021</v>
      </c>
      <c r="E518" s="442"/>
      <c r="F518" s="442"/>
      <c r="G518" s="86" t="s">
        <v>1246</v>
      </c>
      <c r="H518" s="442"/>
      <c r="I518" s="87" t="s">
        <v>875</v>
      </c>
      <c r="J518" s="442">
        <v>1</v>
      </c>
      <c r="K518" s="442">
        <v>4</v>
      </c>
      <c r="L518" s="442">
        <v>8</v>
      </c>
      <c r="M518" s="442"/>
      <c r="N518" s="442"/>
      <c r="O518" s="122"/>
      <c r="P518" s="122"/>
      <c r="Q518" s="449"/>
      <c r="R518" s="449"/>
      <c r="S518" s="449"/>
      <c r="T518" s="461"/>
      <c r="U518" s="461" t="s">
        <v>876</v>
      </c>
      <c r="V518" s="88">
        <v>1</v>
      </c>
      <c r="W518" s="88">
        <v>1</v>
      </c>
      <c r="X518" s="89"/>
      <c r="Y518" s="90"/>
      <c r="Z518" s="91"/>
      <c r="AA518" s="90"/>
    </row>
    <row r="519" spans="1:27" ht="12.75" customHeight="1" thickBot="1" x14ac:dyDescent="0.3">
      <c r="A519" s="230"/>
      <c r="B519" s="62"/>
      <c r="C519" s="133" t="s">
        <v>1451</v>
      </c>
      <c r="D519" s="85" t="s">
        <v>1021</v>
      </c>
      <c r="E519" s="66"/>
      <c r="F519" s="66"/>
      <c r="G519" s="439"/>
      <c r="H519" s="66"/>
      <c r="I519" s="87" t="s">
        <v>875</v>
      </c>
      <c r="J519" s="66">
        <v>1</v>
      </c>
      <c r="K519" s="66">
        <v>1</v>
      </c>
      <c r="L519" s="66">
        <v>2</v>
      </c>
      <c r="M519" s="66"/>
      <c r="N519" s="66"/>
      <c r="O519" s="142"/>
      <c r="P519" s="142"/>
      <c r="Q519" s="460"/>
      <c r="R519" s="460"/>
      <c r="S519" s="460"/>
      <c r="T519" s="135"/>
      <c r="U519" s="461" t="s">
        <v>876</v>
      </c>
      <c r="V519" s="458">
        <v>1</v>
      </c>
      <c r="W519" s="458">
        <v>1</v>
      </c>
      <c r="X519" s="445"/>
      <c r="Y519" s="453"/>
      <c r="Z519" s="455"/>
      <c r="AA519" s="453"/>
    </row>
    <row r="520" spans="1:27" ht="12.75" customHeight="1" x14ac:dyDescent="0.25">
      <c r="A520" s="230"/>
      <c r="B520" s="62"/>
      <c r="C520" s="483" t="s">
        <v>1452</v>
      </c>
      <c r="D520" s="85" t="s">
        <v>1021</v>
      </c>
      <c r="E520" s="66"/>
      <c r="F520" s="66"/>
      <c r="G520" s="439"/>
      <c r="H520" s="66"/>
      <c r="I520" s="87" t="s">
        <v>875</v>
      </c>
      <c r="J520" s="66">
        <v>1</v>
      </c>
      <c r="K520" s="66">
        <v>1</v>
      </c>
      <c r="L520" s="66">
        <v>2</v>
      </c>
      <c r="M520" s="66"/>
      <c r="N520" s="66"/>
      <c r="O520" s="142"/>
      <c r="P520" s="142"/>
      <c r="Q520" s="460"/>
      <c r="R520" s="460"/>
      <c r="S520" s="460"/>
      <c r="T520" s="135"/>
      <c r="U520" s="461" t="s">
        <v>876</v>
      </c>
      <c r="V520" s="458">
        <v>1</v>
      </c>
      <c r="W520" s="458">
        <v>1</v>
      </c>
      <c r="X520" s="445"/>
      <c r="Y520" s="453"/>
      <c r="Z520" s="455"/>
      <c r="AA520" s="453"/>
    </row>
    <row r="521" spans="1:27" ht="12.75" customHeight="1" x14ac:dyDescent="0.25">
      <c r="A521" s="230"/>
      <c r="B521" s="62"/>
      <c r="C521" s="484" t="s">
        <v>4507</v>
      </c>
      <c r="D521" s="74" t="s">
        <v>1021</v>
      </c>
      <c r="E521" s="443"/>
      <c r="F521" s="443"/>
      <c r="G521" s="56"/>
      <c r="H521" s="443"/>
      <c r="I521" s="57" t="s">
        <v>875</v>
      </c>
      <c r="J521" s="443">
        <v>1</v>
      </c>
      <c r="K521" s="443">
        <v>3</v>
      </c>
      <c r="L521" s="443">
        <v>6</v>
      </c>
      <c r="M521" s="443"/>
      <c r="N521" s="443"/>
      <c r="O521" s="124"/>
      <c r="P521" s="124"/>
      <c r="Q521" s="450"/>
      <c r="R521" s="450"/>
      <c r="S521" s="450"/>
      <c r="T521" s="451"/>
      <c r="U521" s="451" t="s">
        <v>876</v>
      </c>
      <c r="V521" s="58">
        <v>1</v>
      </c>
      <c r="W521" s="58">
        <v>1</v>
      </c>
      <c r="X521" s="59"/>
      <c r="Y521" s="60"/>
      <c r="Z521" s="61"/>
      <c r="AA521" s="60"/>
    </row>
    <row r="522" spans="1:27" ht="13.5" customHeight="1" x14ac:dyDescent="0.25">
      <c r="A522" s="230"/>
      <c r="B522" s="62"/>
      <c r="C522" s="484" t="s">
        <v>4487</v>
      </c>
      <c r="D522" s="74" t="s">
        <v>1021</v>
      </c>
      <c r="E522" s="443"/>
      <c r="F522" s="443"/>
      <c r="G522" s="56"/>
      <c r="H522" s="443"/>
      <c r="I522" s="57" t="s">
        <v>875</v>
      </c>
      <c r="J522" s="443">
        <v>1</v>
      </c>
      <c r="K522" s="443">
        <v>1</v>
      </c>
      <c r="L522" s="443">
        <v>2</v>
      </c>
      <c r="M522" s="443"/>
      <c r="N522" s="443"/>
      <c r="O522" s="124"/>
      <c r="P522" s="124"/>
      <c r="Q522" s="450"/>
      <c r="R522" s="450"/>
      <c r="S522" s="450"/>
      <c r="T522" s="451"/>
      <c r="U522" s="451" t="s">
        <v>876</v>
      </c>
      <c r="V522" s="58">
        <v>1</v>
      </c>
      <c r="W522" s="58">
        <v>1</v>
      </c>
      <c r="X522" s="59"/>
      <c r="Y522" s="60"/>
      <c r="Z522" s="61"/>
      <c r="AA522" s="60"/>
    </row>
    <row r="523" spans="1:27" ht="12.75" customHeight="1" thickBot="1" x14ac:dyDescent="0.3">
      <c r="A523" s="260"/>
      <c r="B523" s="83"/>
      <c r="C523" s="485" t="s">
        <v>1449</v>
      </c>
      <c r="D523" s="95" t="s">
        <v>1021</v>
      </c>
      <c r="E523" s="96"/>
      <c r="F523" s="96"/>
      <c r="G523" s="97"/>
      <c r="H523" s="96"/>
      <c r="I523" s="98" t="s">
        <v>875</v>
      </c>
      <c r="J523" s="96">
        <v>1</v>
      </c>
      <c r="K523" s="96">
        <v>1</v>
      </c>
      <c r="L523" s="96">
        <v>2</v>
      </c>
      <c r="M523" s="96"/>
      <c r="N523" s="96"/>
      <c r="O523" s="200"/>
      <c r="P523" s="200"/>
      <c r="Q523" s="100"/>
      <c r="R523" s="100"/>
      <c r="S523" s="100"/>
      <c r="T523" s="101"/>
      <c r="U523" s="101" t="s">
        <v>876</v>
      </c>
      <c r="V523" s="102">
        <v>1</v>
      </c>
      <c r="W523" s="102">
        <v>1</v>
      </c>
      <c r="X523" s="103"/>
      <c r="Y523" s="104"/>
      <c r="Z523" s="105"/>
      <c r="AA523" s="104"/>
    </row>
    <row r="524" spans="1:27" ht="12.75" customHeight="1" x14ac:dyDescent="0.25">
      <c r="A524" s="230"/>
      <c r="B524" s="62"/>
      <c r="C524" s="484" t="s">
        <v>4508</v>
      </c>
      <c r="D524" s="74" t="s">
        <v>1021</v>
      </c>
      <c r="E524" s="443"/>
      <c r="F524" s="443"/>
      <c r="G524" s="56"/>
      <c r="H524" s="443"/>
      <c r="I524" s="57" t="s">
        <v>875</v>
      </c>
      <c r="J524" s="443">
        <v>1</v>
      </c>
      <c r="K524" s="443">
        <v>3</v>
      </c>
      <c r="L524" s="443">
        <v>6</v>
      </c>
      <c r="M524" s="443"/>
      <c r="N524" s="443"/>
      <c r="O524" s="124"/>
      <c r="P524" s="124"/>
      <c r="Q524" s="450"/>
      <c r="R524" s="450"/>
      <c r="S524" s="450"/>
      <c r="T524" s="451"/>
      <c r="U524" s="451" t="s">
        <v>876</v>
      </c>
      <c r="V524" s="58">
        <v>1</v>
      </c>
      <c r="W524" s="58">
        <v>1</v>
      </c>
      <c r="X524" s="59"/>
      <c r="Y524" s="60"/>
      <c r="Z524" s="61"/>
      <c r="AA524" s="60"/>
    </row>
    <row r="525" spans="1:27" ht="13.5" customHeight="1" x14ac:dyDescent="0.25">
      <c r="A525" s="230"/>
      <c r="B525" s="62"/>
      <c r="C525" s="484" t="s">
        <v>4500</v>
      </c>
      <c r="D525" s="74" t="s">
        <v>1021</v>
      </c>
      <c r="E525" s="443"/>
      <c r="F525" s="443"/>
      <c r="G525" s="56"/>
      <c r="H525" s="443"/>
      <c r="I525" s="57" t="s">
        <v>875</v>
      </c>
      <c r="J525" s="443">
        <v>1</v>
      </c>
      <c r="K525" s="443">
        <v>1</v>
      </c>
      <c r="L525" s="443">
        <v>2</v>
      </c>
      <c r="M525" s="443"/>
      <c r="N525" s="443"/>
      <c r="O525" s="124"/>
      <c r="P525" s="124"/>
      <c r="Q525" s="450"/>
      <c r="R525" s="450"/>
      <c r="S525" s="450"/>
      <c r="T525" s="451"/>
      <c r="U525" s="451" t="s">
        <v>876</v>
      </c>
      <c r="V525" s="58">
        <v>1</v>
      </c>
      <c r="W525" s="58">
        <v>1</v>
      </c>
      <c r="X525" s="59"/>
      <c r="Y525" s="60"/>
      <c r="Z525" s="61"/>
      <c r="AA525" s="60"/>
    </row>
    <row r="526" spans="1:27" ht="25.5" customHeight="1" thickBot="1" x14ac:dyDescent="0.3">
      <c r="A526" s="260"/>
      <c r="B526" s="83"/>
      <c r="C526" s="485" t="s">
        <v>4509</v>
      </c>
      <c r="D526" s="95" t="s">
        <v>1021</v>
      </c>
      <c r="E526" s="96"/>
      <c r="F526" s="96"/>
      <c r="G526" s="97"/>
      <c r="H526" s="96"/>
      <c r="I526" s="98" t="s">
        <v>875</v>
      </c>
      <c r="J526" s="96">
        <v>1</v>
      </c>
      <c r="K526" s="96">
        <v>1</v>
      </c>
      <c r="L526" s="96">
        <v>2</v>
      </c>
      <c r="M526" s="96"/>
      <c r="N526" s="96"/>
      <c r="O526" s="200"/>
      <c r="P526" s="200"/>
      <c r="Q526" s="100"/>
      <c r="R526" s="100"/>
      <c r="S526" s="100"/>
      <c r="T526" s="101"/>
      <c r="U526" s="101" t="s">
        <v>876</v>
      </c>
      <c r="V526" s="102">
        <v>1</v>
      </c>
      <c r="W526" s="102">
        <v>1</v>
      </c>
      <c r="X526" s="103"/>
      <c r="Y526" s="104"/>
      <c r="Z526" s="105"/>
      <c r="AA526" s="104"/>
    </row>
    <row r="527" spans="1:27" ht="12.75" customHeight="1" x14ac:dyDescent="0.25">
      <c r="A527" s="54" t="s">
        <v>1459</v>
      </c>
      <c r="B527" s="62">
        <v>900</v>
      </c>
      <c r="C527" s="74" t="s">
        <v>1460</v>
      </c>
      <c r="D527" s="74" t="s">
        <v>1021</v>
      </c>
      <c r="E527" s="443" t="s">
        <v>1063</v>
      </c>
      <c r="F527" s="443" t="s">
        <v>142</v>
      </c>
      <c r="G527" s="56" t="s">
        <v>1085</v>
      </c>
      <c r="H527" s="443"/>
      <c r="I527" s="57" t="s">
        <v>875</v>
      </c>
      <c r="J527" s="443">
        <v>1</v>
      </c>
      <c r="K527" s="443">
        <v>2</v>
      </c>
      <c r="L527" s="443">
        <v>4</v>
      </c>
      <c r="M527" s="443"/>
      <c r="N527" s="443"/>
      <c r="O527" s="124"/>
      <c r="P527" s="124"/>
      <c r="Q527" s="450">
        <v>1</v>
      </c>
      <c r="R527" s="450">
        <v>1</v>
      </c>
      <c r="S527" s="450"/>
      <c r="T527" s="451"/>
      <c r="U527" s="451" t="s">
        <v>876</v>
      </c>
      <c r="V527" s="58"/>
      <c r="W527" s="58"/>
      <c r="X527" s="59"/>
      <c r="Y527" s="60"/>
      <c r="Z527" s="61"/>
      <c r="AA527" s="60"/>
    </row>
    <row r="528" spans="1:27" ht="13.5" customHeight="1" x14ac:dyDescent="0.25">
      <c r="A528" s="54"/>
      <c r="B528" s="62">
        <v>901</v>
      </c>
      <c r="C528" s="74" t="s">
        <v>1461</v>
      </c>
      <c r="D528" s="74" t="s">
        <v>1021</v>
      </c>
      <c r="E528" s="443" t="s">
        <v>1063</v>
      </c>
      <c r="F528" s="443" t="s">
        <v>142</v>
      </c>
      <c r="G528" s="56" t="s">
        <v>1072</v>
      </c>
      <c r="H528" s="443" t="s">
        <v>1073</v>
      </c>
      <c r="I528" s="57" t="s">
        <v>875</v>
      </c>
      <c r="J528" s="443">
        <v>1</v>
      </c>
      <c r="K528" s="443">
        <v>3</v>
      </c>
      <c r="L528" s="443">
        <v>6</v>
      </c>
      <c r="M528" s="443"/>
      <c r="N528" s="443"/>
      <c r="O528" s="124"/>
      <c r="P528" s="124"/>
      <c r="Q528" s="450">
        <v>1</v>
      </c>
      <c r="R528" s="450">
        <v>1</v>
      </c>
      <c r="S528" s="450"/>
      <c r="T528" s="451"/>
      <c r="U528" s="451" t="s">
        <v>876</v>
      </c>
      <c r="V528" s="58"/>
      <c r="W528" s="58"/>
      <c r="X528" s="59"/>
      <c r="Y528" s="60"/>
      <c r="Z528" s="61"/>
      <c r="AA528" s="60"/>
    </row>
    <row r="529" spans="1:27" s="110" customFormat="1" ht="25.5" customHeight="1" thickBot="1" x14ac:dyDescent="0.3">
      <c r="A529" s="94"/>
      <c r="B529" s="83">
        <v>902</v>
      </c>
      <c r="C529" s="95" t="s">
        <v>1462</v>
      </c>
      <c r="D529" s="95" t="s">
        <v>1021</v>
      </c>
      <c r="E529" s="96" t="s">
        <v>1063</v>
      </c>
      <c r="F529" s="96" t="s">
        <v>142</v>
      </c>
      <c r="G529" s="97" t="s">
        <v>1088</v>
      </c>
      <c r="H529" s="96" t="s">
        <v>153</v>
      </c>
      <c r="I529" s="98" t="s">
        <v>875</v>
      </c>
      <c r="J529" s="96">
        <v>1</v>
      </c>
      <c r="K529" s="96">
        <v>3</v>
      </c>
      <c r="L529" s="96">
        <v>6</v>
      </c>
      <c r="M529" s="96"/>
      <c r="N529" s="96"/>
      <c r="O529" s="200"/>
      <c r="P529" s="200"/>
      <c r="Q529" s="100">
        <v>1</v>
      </c>
      <c r="R529" s="100">
        <v>1</v>
      </c>
      <c r="S529" s="100"/>
      <c r="T529" s="101"/>
      <c r="U529" s="101" t="s">
        <v>876</v>
      </c>
      <c r="V529" s="102"/>
      <c r="W529" s="102"/>
      <c r="X529" s="103"/>
      <c r="Y529" s="104"/>
      <c r="Z529" s="105"/>
      <c r="AA529" s="104"/>
    </row>
    <row r="530" spans="1:27" ht="12.75" customHeight="1" x14ac:dyDescent="0.25">
      <c r="A530" s="54" t="s">
        <v>1463</v>
      </c>
      <c r="B530" s="62">
        <v>920</v>
      </c>
      <c r="C530" s="74" t="s">
        <v>1464</v>
      </c>
      <c r="D530" s="74" t="s">
        <v>1021</v>
      </c>
      <c r="E530" s="443" t="s">
        <v>1051</v>
      </c>
      <c r="F530" s="443" t="s">
        <v>142</v>
      </c>
      <c r="G530" s="56" t="s">
        <v>1085</v>
      </c>
      <c r="H530" s="443"/>
      <c r="I530" s="57" t="s">
        <v>875</v>
      </c>
      <c r="J530" s="443">
        <v>1</v>
      </c>
      <c r="K530" s="443">
        <v>2</v>
      </c>
      <c r="L530" s="443">
        <v>4</v>
      </c>
      <c r="M530" s="443"/>
      <c r="N530" s="443"/>
      <c r="O530" s="124"/>
      <c r="P530" s="124"/>
      <c r="Q530" s="450">
        <v>1</v>
      </c>
      <c r="R530" s="450">
        <v>1</v>
      </c>
      <c r="S530" s="450"/>
      <c r="T530" s="451"/>
      <c r="U530" s="451" t="s">
        <v>876</v>
      </c>
      <c r="V530" s="58"/>
      <c r="W530" s="58"/>
      <c r="X530" s="59"/>
      <c r="Y530" s="60"/>
      <c r="Z530" s="61"/>
      <c r="AA530" s="60"/>
    </row>
    <row r="531" spans="1:27" ht="13.5" customHeight="1" x14ac:dyDescent="0.25">
      <c r="A531" s="54"/>
      <c r="B531" s="62">
        <v>921</v>
      </c>
      <c r="C531" s="74" t="s">
        <v>1464</v>
      </c>
      <c r="D531" s="74" t="s">
        <v>1021</v>
      </c>
      <c r="E531" s="443" t="s">
        <v>1056</v>
      </c>
      <c r="F531" s="443" t="s">
        <v>142</v>
      </c>
      <c r="G531" s="56" t="s">
        <v>1085</v>
      </c>
      <c r="H531" s="443"/>
      <c r="I531" s="57" t="s">
        <v>875</v>
      </c>
      <c r="J531" s="443">
        <v>1</v>
      </c>
      <c r="K531" s="443">
        <v>2</v>
      </c>
      <c r="L531" s="443">
        <v>4</v>
      </c>
      <c r="M531" s="443"/>
      <c r="N531" s="443"/>
      <c r="O531" s="124"/>
      <c r="P531" s="124"/>
      <c r="Q531" s="450">
        <v>1</v>
      </c>
      <c r="R531" s="450">
        <v>1</v>
      </c>
      <c r="S531" s="450"/>
      <c r="T531" s="451"/>
      <c r="U531" s="451" t="s">
        <v>876</v>
      </c>
      <c r="V531" s="58"/>
      <c r="W531" s="58"/>
      <c r="X531" s="59"/>
      <c r="Y531" s="60"/>
      <c r="Z531" s="61"/>
      <c r="AA531" s="60"/>
    </row>
    <row r="532" spans="1:27" s="110" customFormat="1" ht="25.5" customHeight="1" thickBot="1" x14ac:dyDescent="0.3">
      <c r="A532" s="94"/>
      <c r="B532" s="83"/>
      <c r="C532" s="95"/>
      <c r="D532" s="95"/>
      <c r="E532" s="96"/>
      <c r="F532" s="96"/>
      <c r="G532" s="97"/>
      <c r="H532" s="96"/>
      <c r="I532" s="98"/>
      <c r="J532" s="96"/>
      <c r="K532" s="96"/>
      <c r="L532" s="96"/>
      <c r="M532" s="96"/>
      <c r="N532" s="96"/>
      <c r="O532" s="200"/>
      <c r="P532" s="200"/>
      <c r="Q532" s="100"/>
      <c r="R532" s="100"/>
      <c r="S532" s="100"/>
      <c r="T532" s="101"/>
      <c r="U532" s="101"/>
      <c r="V532" s="102"/>
      <c r="W532" s="102"/>
      <c r="X532" s="103"/>
      <c r="Y532" s="104"/>
      <c r="Z532" s="105"/>
      <c r="AA532" s="104"/>
    </row>
    <row r="533" spans="1:27" s="110" customFormat="1" ht="12.75" customHeight="1" x14ac:dyDescent="0.25">
      <c r="A533" s="54" t="s">
        <v>1465</v>
      </c>
      <c r="B533" s="62">
        <v>1000</v>
      </c>
      <c r="C533" s="74" t="s">
        <v>1466</v>
      </c>
      <c r="D533" s="74" t="s">
        <v>1021</v>
      </c>
      <c r="E533" s="443" t="s">
        <v>1063</v>
      </c>
      <c r="F533" s="443" t="s">
        <v>142</v>
      </c>
      <c r="G533" s="56" t="s">
        <v>1035</v>
      </c>
      <c r="H533" s="443" t="s">
        <v>1467</v>
      </c>
      <c r="I533" s="57" t="s">
        <v>875</v>
      </c>
      <c r="J533" s="443">
        <v>1</v>
      </c>
      <c r="K533" s="443">
        <v>2</v>
      </c>
      <c r="L533" s="443">
        <v>4</v>
      </c>
      <c r="M533" s="443"/>
      <c r="N533" s="443"/>
      <c r="O533" s="124"/>
      <c r="P533" s="124"/>
      <c r="Q533" s="450">
        <v>1</v>
      </c>
      <c r="R533" s="450">
        <v>1</v>
      </c>
      <c r="S533" s="450"/>
      <c r="T533" s="451"/>
      <c r="U533" s="451" t="s">
        <v>876</v>
      </c>
      <c r="V533" s="58"/>
      <c r="W533" s="58"/>
      <c r="X533" s="59"/>
      <c r="Y533" s="60"/>
      <c r="Z533" s="61"/>
      <c r="AA533" s="60"/>
    </row>
    <row r="534" spans="1:27" s="110" customFormat="1" ht="12.75" customHeight="1" x14ac:dyDescent="0.25">
      <c r="A534" s="54"/>
      <c r="B534" s="62">
        <v>1001</v>
      </c>
      <c r="C534" s="74" t="s">
        <v>1468</v>
      </c>
      <c r="D534" s="74" t="s">
        <v>1021</v>
      </c>
      <c r="E534" s="443" t="s">
        <v>1063</v>
      </c>
      <c r="F534" s="443" t="s">
        <v>142</v>
      </c>
      <c r="G534" s="56" t="s">
        <v>1035</v>
      </c>
      <c r="H534" s="443" t="s">
        <v>1469</v>
      </c>
      <c r="I534" s="57" t="s">
        <v>875</v>
      </c>
      <c r="J534" s="443">
        <v>1</v>
      </c>
      <c r="K534" s="443">
        <v>2</v>
      </c>
      <c r="L534" s="443">
        <v>4</v>
      </c>
      <c r="M534" s="443"/>
      <c r="N534" s="443"/>
      <c r="O534" s="124"/>
      <c r="P534" s="124"/>
      <c r="Q534" s="450">
        <v>1</v>
      </c>
      <c r="R534" s="450">
        <v>1</v>
      </c>
      <c r="S534" s="450"/>
      <c r="T534" s="451"/>
      <c r="U534" s="451" t="s">
        <v>876</v>
      </c>
      <c r="V534" s="58"/>
      <c r="W534" s="58"/>
      <c r="X534" s="59"/>
      <c r="Y534" s="60"/>
      <c r="Z534" s="61"/>
      <c r="AA534" s="60"/>
    </row>
    <row r="535" spans="1:27" s="110" customFormat="1" ht="12.75" customHeight="1" x14ac:dyDescent="0.25">
      <c r="A535" s="54"/>
      <c r="B535" s="62">
        <v>1002</v>
      </c>
      <c r="C535" s="74" t="s">
        <v>1470</v>
      </c>
      <c r="D535" s="74" t="s">
        <v>1021</v>
      </c>
      <c r="E535" s="443" t="s">
        <v>1063</v>
      </c>
      <c r="F535" s="443" t="s">
        <v>142</v>
      </c>
      <c r="G535" s="56" t="s">
        <v>1035</v>
      </c>
      <c r="H535" s="443" t="s">
        <v>93</v>
      </c>
      <c r="I535" s="57" t="s">
        <v>875</v>
      </c>
      <c r="J535" s="443">
        <v>1</v>
      </c>
      <c r="K535" s="443">
        <v>1</v>
      </c>
      <c r="L535" s="443">
        <v>2</v>
      </c>
      <c r="M535" s="443"/>
      <c r="N535" s="443"/>
      <c r="O535" s="124"/>
      <c r="P535" s="124"/>
      <c r="Q535" s="450">
        <v>1</v>
      </c>
      <c r="R535" s="450">
        <v>1</v>
      </c>
      <c r="S535" s="450"/>
      <c r="T535" s="451"/>
      <c r="U535" s="451" t="s">
        <v>876</v>
      </c>
      <c r="V535" s="58"/>
      <c r="W535" s="58"/>
      <c r="X535" s="59"/>
      <c r="Y535" s="60"/>
      <c r="Z535" s="61"/>
      <c r="AA535" s="60"/>
    </row>
    <row r="536" spans="1:27" s="110" customFormat="1" ht="12.75" customHeight="1" x14ac:dyDescent="0.25">
      <c r="A536" s="54"/>
      <c r="B536" s="62">
        <v>1003</v>
      </c>
      <c r="C536" s="74" t="s">
        <v>1471</v>
      </c>
      <c r="D536" s="74" t="s">
        <v>1021</v>
      </c>
      <c r="E536" s="443" t="s">
        <v>1063</v>
      </c>
      <c r="F536" s="443" t="s">
        <v>142</v>
      </c>
      <c r="G536" s="56" t="s">
        <v>1035</v>
      </c>
      <c r="H536" s="443" t="s">
        <v>1472</v>
      </c>
      <c r="I536" s="57" t="s">
        <v>875</v>
      </c>
      <c r="J536" s="443">
        <v>1</v>
      </c>
      <c r="K536" s="443">
        <v>2</v>
      </c>
      <c r="L536" s="443">
        <v>4</v>
      </c>
      <c r="M536" s="443"/>
      <c r="N536" s="443"/>
      <c r="O536" s="124"/>
      <c r="P536" s="124"/>
      <c r="Q536" s="450">
        <v>1</v>
      </c>
      <c r="R536" s="450">
        <v>1</v>
      </c>
      <c r="S536" s="450"/>
      <c r="T536" s="451"/>
      <c r="U536" s="451" t="s">
        <v>876</v>
      </c>
      <c r="V536" s="58"/>
      <c r="W536" s="58"/>
      <c r="X536" s="59"/>
      <c r="Y536" s="60"/>
      <c r="Z536" s="61"/>
      <c r="AA536" s="60"/>
    </row>
    <row r="537" spans="1:27" s="110" customFormat="1" ht="13.5" customHeight="1" x14ac:dyDescent="0.25">
      <c r="A537" s="54"/>
      <c r="B537" s="62">
        <v>1004</v>
      </c>
      <c r="C537" s="74" t="s">
        <v>1473</v>
      </c>
      <c r="D537" s="74" t="s">
        <v>1021</v>
      </c>
      <c r="E537" s="443" t="s">
        <v>1063</v>
      </c>
      <c r="F537" s="443" t="s">
        <v>142</v>
      </c>
      <c r="G537" s="56" t="s">
        <v>1035</v>
      </c>
      <c r="H537" s="443" t="s">
        <v>943</v>
      </c>
      <c r="I537" s="57" t="s">
        <v>875</v>
      </c>
      <c r="J537" s="443">
        <v>1</v>
      </c>
      <c r="K537" s="443">
        <v>1</v>
      </c>
      <c r="L537" s="443">
        <v>2</v>
      </c>
      <c r="M537" s="443"/>
      <c r="N537" s="443"/>
      <c r="O537" s="124"/>
      <c r="P537" s="124"/>
      <c r="Q537" s="450">
        <v>1</v>
      </c>
      <c r="R537" s="450">
        <v>1</v>
      </c>
      <c r="S537" s="450"/>
      <c r="T537" s="451"/>
      <c r="U537" s="451" t="s">
        <v>876</v>
      </c>
      <c r="V537" s="58"/>
      <c r="W537" s="58"/>
      <c r="X537" s="59"/>
      <c r="Y537" s="60"/>
      <c r="Z537" s="61"/>
      <c r="AA537" s="60"/>
    </row>
    <row r="538" spans="1:27" ht="13.8" thickBot="1" x14ac:dyDescent="0.3">
      <c r="A538" s="94"/>
      <c r="B538" s="83">
        <v>1005</v>
      </c>
      <c r="C538" s="95" t="s">
        <v>1474</v>
      </c>
      <c r="D538" s="95" t="s">
        <v>1021</v>
      </c>
      <c r="E538" s="96" t="s">
        <v>1063</v>
      </c>
      <c r="F538" s="96" t="s">
        <v>142</v>
      </c>
      <c r="G538" s="97" t="s">
        <v>1035</v>
      </c>
      <c r="H538" s="96" t="s">
        <v>943</v>
      </c>
      <c r="I538" s="98" t="s">
        <v>875</v>
      </c>
      <c r="J538" s="96">
        <v>1</v>
      </c>
      <c r="K538" s="96">
        <v>1</v>
      </c>
      <c r="L538" s="96">
        <v>2</v>
      </c>
      <c r="M538" s="96"/>
      <c r="N538" s="96"/>
      <c r="O538" s="200"/>
      <c r="P538" s="200"/>
      <c r="Q538" s="100">
        <v>1</v>
      </c>
      <c r="R538" s="100">
        <v>1</v>
      </c>
      <c r="S538" s="100"/>
      <c r="T538" s="101"/>
      <c r="U538" s="101" t="s">
        <v>876</v>
      </c>
      <c r="V538" s="102"/>
      <c r="W538" s="102"/>
      <c r="X538" s="103"/>
      <c r="Y538" s="104"/>
      <c r="Z538" s="105"/>
      <c r="AA538" s="104"/>
    </row>
    <row r="539" spans="1:27" x14ac:dyDescent="0.25">
      <c r="A539" s="54" t="s">
        <v>1475</v>
      </c>
      <c r="B539" s="62">
        <v>1100</v>
      </c>
      <c r="C539" s="74" t="s">
        <v>1476</v>
      </c>
      <c r="D539" s="74" t="s">
        <v>1021</v>
      </c>
      <c r="E539" s="443" t="s">
        <v>1063</v>
      </c>
      <c r="F539" s="443" t="s">
        <v>142</v>
      </c>
      <c r="G539" s="56" t="s">
        <v>1035</v>
      </c>
      <c r="H539" s="442" t="s">
        <v>93</v>
      </c>
      <c r="I539" s="57" t="s">
        <v>875</v>
      </c>
      <c r="J539" s="443">
        <v>1</v>
      </c>
      <c r="K539" s="443">
        <v>1</v>
      </c>
      <c r="L539" s="443">
        <v>2</v>
      </c>
      <c r="M539" s="443"/>
      <c r="N539" s="443"/>
      <c r="O539" s="124"/>
      <c r="P539" s="124"/>
      <c r="Q539" s="450">
        <v>1</v>
      </c>
      <c r="R539" s="450">
        <v>1</v>
      </c>
      <c r="S539" s="450"/>
      <c r="T539" s="451"/>
      <c r="U539" s="451" t="s">
        <v>876</v>
      </c>
      <c r="V539" s="58"/>
      <c r="W539" s="58"/>
      <c r="X539" s="59"/>
      <c r="Y539" s="60"/>
      <c r="Z539" s="61"/>
      <c r="AA539" s="60"/>
    </row>
    <row r="540" spans="1:27" x14ac:dyDescent="0.25">
      <c r="A540" s="54"/>
      <c r="B540" s="62">
        <v>1101</v>
      </c>
      <c r="C540" s="74" t="s">
        <v>1477</v>
      </c>
      <c r="D540" s="74" t="s">
        <v>1021</v>
      </c>
      <c r="E540" s="443" t="s">
        <v>1063</v>
      </c>
      <c r="F540" s="443" t="s">
        <v>142</v>
      </c>
      <c r="G540" s="56" t="s">
        <v>1035</v>
      </c>
      <c r="H540" s="443" t="s">
        <v>93</v>
      </c>
      <c r="I540" s="57" t="s">
        <v>875</v>
      </c>
      <c r="J540" s="443">
        <v>1</v>
      </c>
      <c r="K540" s="443">
        <v>1</v>
      </c>
      <c r="L540" s="443">
        <v>2</v>
      </c>
      <c r="M540" s="443"/>
      <c r="N540" s="443"/>
      <c r="O540" s="124"/>
      <c r="P540" s="124"/>
      <c r="Q540" s="450">
        <v>1</v>
      </c>
      <c r="R540" s="450">
        <v>1</v>
      </c>
      <c r="S540" s="450"/>
      <c r="T540" s="451"/>
      <c r="U540" s="451" t="s">
        <v>876</v>
      </c>
      <c r="V540" s="58"/>
      <c r="W540" s="58"/>
      <c r="X540" s="59"/>
      <c r="Y540" s="60"/>
      <c r="Z540" s="61"/>
      <c r="AA540" s="60"/>
    </row>
    <row r="541" spans="1:27" x14ac:dyDescent="0.25">
      <c r="A541" s="54"/>
      <c r="B541" s="62">
        <v>1102</v>
      </c>
      <c r="C541" s="74" t="s">
        <v>1478</v>
      </c>
      <c r="D541" s="74" t="s">
        <v>1021</v>
      </c>
      <c r="E541" s="443" t="s">
        <v>1063</v>
      </c>
      <c r="F541" s="443" t="s">
        <v>142</v>
      </c>
      <c r="G541" s="56" t="s">
        <v>1035</v>
      </c>
      <c r="H541" s="443" t="s">
        <v>93</v>
      </c>
      <c r="I541" s="57" t="s">
        <v>875</v>
      </c>
      <c r="J541" s="443">
        <v>1</v>
      </c>
      <c r="K541" s="443">
        <v>1</v>
      </c>
      <c r="L541" s="443">
        <v>2</v>
      </c>
      <c r="M541" s="443"/>
      <c r="N541" s="443"/>
      <c r="O541" s="124"/>
      <c r="P541" s="124"/>
      <c r="Q541" s="450">
        <v>1</v>
      </c>
      <c r="R541" s="450">
        <v>1</v>
      </c>
      <c r="S541" s="450"/>
      <c r="T541" s="451"/>
      <c r="U541" s="451" t="s">
        <v>876</v>
      </c>
      <c r="V541" s="58"/>
      <c r="W541" s="58"/>
      <c r="X541" s="59"/>
      <c r="Y541" s="60"/>
      <c r="Z541" s="61"/>
      <c r="AA541" s="60"/>
    </row>
    <row r="542" spans="1:27" x14ac:dyDescent="0.25">
      <c r="A542" s="54"/>
      <c r="B542" s="62">
        <v>1103</v>
      </c>
      <c r="C542" s="74" t="s">
        <v>1479</v>
      </c>
      <c r="D542" s="74" t="s">
        <v>1021</v>
      </c>
      <c r="E542" s="443" t="s">
        <v>1063</v>
      </c>
      <c r="F542" s="443" t="s">
        <v>142</v>
      </c>
      <c r="G542" s="56" t="s">
        <v>1035</v>
      </c>
      <c r="H542" s="443" t="s">
        <v>93</v>
      </c>
      <c r="I542" s="57" t="s">
        <v>875</v>
      </c>
      <c r="J542" s="443">
        <v>1</v>
      </c>
      <c r="K542" s="443">
        <v>1</v>
      </c>
      <c r="L542" s="443">
        <v>2</v>
      </c>
      <c r="M542" s="443"/>
      <c r="N542" s="443"/>
      <c r="O542" s="124"/>
      <c r="P542" s="124"/>
      <c r="Q542" s="450">
        <v>1</v>
      </c>
      <c r="R542" s="450">
        <v>1</v>
      </c>
      <c r="S542" s="450"/>
      <c r="T542" s="451"/>
      <c r="U542" s="451" t="s">
        <v>876</v>
      </c>
      <c r="V542" s="58"/>
      <c r="W542" s="58"/>
      <c r="X542" s="59"/>
      <c r="Y542" s="60"/>
      <c r="Z542" s="61"/>
      <c r="AA542" s="60"/>
    </row>
    <row r="543" spans="1:27" x14ac:dyDescent="0.25">
      <c r="A543" s="54"/>
      <c r="B543" s="62">
        <v>1104</v>
      </c>
      <c r="C543" s="74" t="s">
        <v>1480</v>
      </c>
      <c r="D543" s="74" t="s">
        <v>1021</v>
      </c>
      <c r="E543" s="443" t="s">
        <v>1063</v>
      </c>
      <c r="F543" s="443" t="s">
        <v>142</v>
      </c>
      <c r="G543" s="56" t="s">
        <v>1035</v>
      </c>
      <c r="H543" s="443" t="s">
        <v>93</v>
      </c>
      <c r="I543" s="57" t="s">
        <v>875</v>
      </c>
      <c r="J543" s="443">
        <v>1</v>
      </c>
      <c r="K543" s="443">
        <v>1</v>
      </c>
      <c r="L543" s="443">
        <v>2</v>
      </c>
      <c r="M543" s="443"/>
      <c r="N543" s="443"/>
      <c r="O543" s="124"/>
      <c r="P543" s="124"/>
      <c r="Q543" s="450">
        <v>1</v>
      </c>
      <c r="R543" s="450">
        <v>1</v>
      </c>
      <c r="S543" s="450"/>
      <c r="T543" s="451"/>
      <c r="U543" s="451" t="s">
        <v>876</v>
      </c>
      <c r="V543" s="58"/>
      <c r="W543" s="58"/>
      <c r="X543" s="59"/>
      <c r="Y543" s="60"/>
      <c r="Z543" s="61"/>
      <c r="AA543" s="60"/>
    </row>
    <row r="544" spans="1:27" x14ac:dyDescent="0.25">
      <c r="A544" s="54"/>
      <c r="B544" s="62">
        <v>1105</v>
      </c>
      <c r="C544" s="74" t="s">
        <v>1481</v>
      </c>
      <c r="D544" s="74" t="s">
        <v>1021</v>
      </c>
      <c r="E544" s="443" t="s">
        <v>1063</v>
      </c>
      <c r="F544" s="443" t="s">
        <v>142</v>
      </c>
      <c r="G544" s="56" t="s">
        <v>1035</v>
      </c>
      <c r="H544" s="443" t="s">
        <v>93</v>
      </c>
      <c r="I544" s="57" t="s">
        <v>875</v>
      </c>
      <c r="J544" s="443">
        <v>1</v>
      </c>
      <c r="K544" s="443">
        <v>1</v>
      </c>
      <c r="L544" s="443">
        <v>2</v>
      </c>
      <c r="M544" s="443"/>
      <c r="N544" s="443"/>
      <c r="O544" s="124"/>
      <c r="P544" s="124"/>
      <c r="Q544" s="450">
        <v>1</v>
      </c>
      <c r="R544" s="450">
        <v>1</v>
      </c>
      <c r="S544" s="450"/>
      <c r="T544" s="451"/>
      <c r="U544" s="451" t="s">
        <v>876</v>
      </c>
      <c r="V544" s="58"/>
      <c r="W544" s="58"/>
      <c r="X544" s="59"/>
      <c r="Y544" s="60"/>
      <c r="Z544" s="61"/>
      <c r="AA544" s="60"/>
    </row>
    <row r="545" spans="1:27" x14ac:dyDescent="0.25">
      <c r="A545" s="54"/>
      <c r="B545" s="62">
        <v>1106</v>
      </c>
      <c r="C545" s="74" t="s">
        <v>1482</v>
      </c>
      <c r="D545" s="74" t="s">
        <v>1021</v>
      </c>
      <c r="E545" s="443" t="s">
        <v>1063</v>
      </c>
      <c r="F545" s="443" t="s">
        <v>142</v>
      </c>
      <c r="G545" s="56" t="s">
        <v>1035</v>
      </c>
      <c r="H545" s="443" t="s">
        <v>93</v>
      </c>
      <c r="I545" s="57" t="s">
        <v>875</v>
      </c>
      <c r="J545" s="443">
        <v>1</v>
      </c>
      <c r="K545" s="443">
        <v>1</v>
      </c>
      <c r="L545" s="443">
        <v>2</v>
      </c>
      <c r="M545" s="443"/>
      <c r="N545" s="443"/>
      <c r="O545" s="124"/>
      <c r="P545" s="124"/>
      <c r="Q545" s="450">
        <v>1</v>
      </c>
      <c r="R545" s="450">
        <v>1</v>
      </c>
      <c r="S545" s="450"/>
      <c r="T545" s="451"/>
      <c r="U545" s="451" t="s">
        <v>876</v>
      </c>
      <c r="V545" s="58"/>
      <c r="W545" s="58"/>
      <c r="X545" s="59"/>
      <c r="Y545" s="60"/>
      <c r="Z545" s="61"/>
      <c r="AA545" s="60"/>
    </row>
    <row r="546" spans="1:27" x14ac:dyDescent="0.25">
      <c r="A546" s="54"/>
      <c r="B546" s="62">
        <v>1107</v>
      </c>
      <c r="C546" s="74" t="s">
        <v>1483</v>
      </c>
      <c r="D546" s="74" t="s">
        <v>1021</v>
      </c>
      <c r="E546" s="443" t="s">
        <v>1063</v>
      </c>
      <c r="F546" s="443" t="s">
        <v>142</v>
      </c>
      <c r="G546" s="56" t="s">
        <v>1035</v>
      </c>
      <c r="H546" s="443" t="s">
        <v>93</v>
      </c>
      <c r="I546" s="57" t="s">
        <v>875</v>
      </c>
      <c r="J546" s="443">
        <v>1</v>
      </c>
      <c r="K546" s="443">
        <v>1</v>
      </c>
      <c r="L546" s="443">
        <v>2</v>
      </c>
      <c r="M546" s="443"/>
      <c r="N546" s="443"/>
      <c r="O546" s="124"/>
      <c r="P546" s="124"/>
      <c r="Q546" s="450">
        <v>1</v>
      </c>
      <c r="R546" s="450">
        <v>1</v>
      </c>
      <c r="S546" s="450"/>
      <c r="T546" s="451"/>
      <c r="U546" s="451" t="s">
        <v>876</v>
      </c>
      <c r="V546" s="58"/>
      <c r="W546" s="58"/>
      <c r="X546" s="59"/>
      <c r="Y546" s="60"/>
      <c r="Z546" s="61"/>
      <c r="AA546" s="60"/>
    </row>
    <row r="547" spans="1:27" x14ac:dyDescent="0.25">
      <c r="A547" s="54"/>
      <c r="B547" s="62">
        <v>1108</v>
      </c>
      <c r="C547" s="74" t="s">
        <v>1484</v>
      </c>
      <c r="D547" s="74" t="s">
        <v>1021</v>
      </c>
      <c r="E547" s="443" t="s">
        <v>1063</v>
      </c>
      <c r="F547" s="443" t="s">
        <v>142</v>
      </c>
      <c r="G547" s="56" t="s">
        <v>1035</v>
      </c>
      <c r="H547" s="443" t="s">
        <v>93</v>
      </c>
      <c r="I547" s="57" t="s">
        <v>875</v>
      </c>
      <c r="J547" s="443">
        <v>1</v>
      </c>
      <c r="K547" s="443">
        <v>1</v>
      </c>
      <c r="L547" s="443">
        <v>2</v>
      </c>
      <c r="M547" s="443"/>
      <c r="N547" s="443"/>
      <c r="O547" s="124"/>
      <c r="P547" s="124"/>
      <c r="Q547" s="450">
        <v>1</v>
      </c>
      <c r="R547" s="450">
        <v>1</v>
      </c>
      <c r="S547" s="450"/>
      <c r="T547" s="451"/>
      <c r="U547" s="451" t="s">
        <v>876</v>
      </c>
      <c r="V547" s="58"/>
      <c r="W547" s="58"/>
      <c r="X547" s="59"/>
      <c r="Y547" s="60"/>
      <c r="Z547" s="61"/>
      <c r="AA547" s="60"/>
    </row>
    <row r="548" spans="1:27" x14ac:dyDescent="0.25">
      <c r="A548" s="54"/>
      <c r="B548" s="62">
        <v>1109</v>
      </c>
      <c r="C548" s="74" t="s">
        <v>1485</v>
      </c>
      <c r="D548" s="74" t="s">
        <v>1021</v>
      </c>
      <c r="E548" s="443" t="s">
        <v>1063</v>
      </c>
      <c r="F548" s="443" t="s">
        <v>142</v>
      </c>
      <c r="G548" s="56" t="s">
        <v>1035</v>
      </c>
      <c r="H548" s="443" t="s">
        <v>93</v>
      </c>
      <c r="I548" s="57" t="s">
        <v>875</v>
      </c>
      <c r="J548" s="443">
        <v>1</v>
      </c>
      <c r="K548" s="443">
        <v>1</v>
      </c>
      <c r="L548" s="443">
        <v>2</v>
      </c>
      <c r="M548" s="443"/>
      <c r="N548" s="443"/>
      <c r="O548" s="124"/>
      <c r="P548" s="124"/>
      <c r="Q548" s="450">
        <v>1</v>
      </c>
      <c r="R548" s="450">
        <v>1</v>
      </c>
      <c r="S548" s="450"/>
      <c r="T548" s="451"/>
      <c r="U548" s="451" t="s">
        <v>876</v>
      </c>
      <c r="V548" s="58"/>
      <c r="W548" s="58"/>
      <c r="X548" s="59"/>
      <c r="Y548" s="60"/>
      <c r="Z548" s="61"/>
      <c r="AA548" s="60"/>
    </row>
    <row r="549" spans="1:27" x14ac:dyDescent="0.25">
      <c r="A549" s="54"/>
      <c r="B549" s="62">
        <v>1110</v>
      </c>
      <c r="C549" s="74" t="s">
        <v>1486</v>
      </c>
      <c r="D549" s="74" t="s">
        <v>1021</v>
      </c>
      <c r="E549" s="443" t="s">
        <v>1063</v>
      </c>
      <c r="F549" s="443" t="s">
        <v>142</v>
      </c>
      <c r="G549" s="56" t="s">
        <v>1035</v>
      </c>
      <c r="H549" s="443" t="s">
        <v>93</v>
      </c>
      <c r="I549" s="57" t="s">
        <v>875</v>
      </c>
      <c r="J549" s="443">
        <v>1</v>
      </c>
      <c r="K549" s="443">
        <v>1</v>
      </c>
      <c r="L549" s="443">
        <v>2</v>
      </c>
      <c r="M549" s="443"/>
      <c r="N549" s="443"/>
      <c r="O549" s="124"/>
      <c r="P549" s="124"/>
      <c r="Q549" s="450">
        <v>1</v>
      </c>
      <c r="R549" s="450">
        <v>1</v>
      </c>
      <c r="S549" s="450"/>
      <c r="T549" s="451"/>
      <c r="U549" s="451" t="s">
        <v>876</v>
      </c>
      <c r="V549" s="58"/>
      <c r="W549" s="58"/>
      <c r="X549" s="59"/>
      <c r="Y549" s="60"/>
      <c r="Z549" s="61"/>
      <c r="AA549" s="60"/>
    </row>
    <row r="550" spans="1:27" ht="25.5" customHeight="1" thickBot="1" x14ac:dyDescent="0.3">
      <c r="A550" s="94"/>
      <c r="B550" s="83">
        <v>1111</v>
      </c>
      <c r="C550" s="95" t="s">
        <v>1487</v>
      </c>
      <c r="D550" s="95" t="s">
        <v>1021</v>
      </c>
      <c r="E550" s="96" t="s">
        <v>1063</v>
      </c>
      <c r="F550" s="96" t="s">
        <v>142</v>
      </c>
      <c r="G550" s="97" t="s">
        <v>1035</v>
      </c>
      <c r="H550" s="96" t="s">
        <v>93</v>
      </c>
      <c r="I550" s="98" t="s">
        <v>875</v>
      </c>
      <c r="J550" s="96">
        <v>1</v>
      </c>
      <c r="K550" s="96">
        <v>1</v>
      </c>
      <c r="L550" s="96">
        <v>2</v>
      </c>
      <c r="M550" s="96"/>
      <c r="N550" s="96"/>
      <c r="O550" s="200"/>
      <c r="P550" s="200"/>
      <c r="Q550" s="100">
        <v>1</v>
      </c>
      <c r="R550" s="100">
        <v>1</v>
      </c>
      <c r="S550" s="100"/>
      <c r="T550" s="101"/>
      <c r="U550" s="101" t="s">
        <v>876</v>
      </c>
      <c r="V550" s="102"/>
      <c r="W550" s="102"/>
      <c r="X550" s="103"/>
      <c r="Y550" s="104"/>
      <c r="Z550" s="105"/>
      <c r="AA550" s="104"/>
    </row>
    <row r="551" spans="1:27" ht="25.5" customHeight="1" x14ac:dyDescent="0.25">
      <c r="A551" s="52" t="s">
        <v>1488</v>
      </c>
      <c r="B551" s="261">
        <v>1200</v>
      </c>
      <c r="C551" s="74" t="s">
        <v>1489</v>
      </c>
      <c r="D551" s="85" t="s">
        <v>1021</v>
      </c>
      <c r="E551" s="442" t="s">
        <v>1490</v>
      </c>
      <c r="F551" s="442" t="s">
        <v>142</v>
      </c>
      <c r="G551" s="86" t="s">
        <v>1005</v>
      </c>
      <c r="H551" s="442"/>
      <c r="I551" s="57" t="s">
        <v>75</v>
      </c>
      <c r="J551" s="443">
        <v>1</v>
      </c>
      <c r="K551" s="443">
        <v>3</v>
      </c>
      <c r="L551" s="443">
        <v>6</v>
      </c>
      <c r="M551" s="442"/>
      <c r="N551" s="442"/>
      <c r="O551" s="122"/>
      <c r="P551" s="122"/>
      <c r="Q551" s="449"/>
      <c r="R551" s="449"/>
      <c r="S551" s="449"/>
      <c r="T551" s="461"/>
      <c r="U551" s="461"/>
      <c r="V551" s="88"/>
      <c r="W551" s="88"/>
      <c r="X551" s="89"/>
      <c r="Y551" s="90">
        <v>1</v>
      </c>
      <c r="Z551" s="91"/>
      <c r="AA551" s="90"/>
    </row>
    <row r="552" spans="1:27" ht="12.75" customHeight="1" x14ac:dyDescent="0.25">
      <c r="A552" s="54"/>
      <c r="B552" s="261">
        <v>1201</v>
      </c>
      <c r="C552" s="74" t="s">
        <v>1491</v>
      </c>
      <c r="D552" s="74" t="s">
        <v>1021</v>
      </c>
      <c r="E552" s="443" t="s">
        <v>1490</v>
      </c>
      <c r="F552" s="443" t="s">
        <v>142</v>
      </c>
      <c r="G552" s="56" t="s">
        <v>1005</v>
      </c>
      <c r="H552" s="443"/>
      <c r="I552" s="57" t="s">
        <v>1006</v>
      </c>
      <c r="J552" s="443">
        <v>1</v>
      </c>
      <c r="K552" s="443">
        <v>3</v>
      </c>
      <c r="L552" s="443">
        <v>6</v>
      </c>
      <c r="M552" s="443"/>
      <c r="N552" s="443"/>
      <c r="O552" s="124"/>
      <c r="P552" s="124"/>
      <c r="Q552" s="450"/>
      <c r="R552" s="450"/>
      <c r="S552" s="450"/>
      <c r="T552" s="451"/>
      <c r="U552" s="451"/>
      <c r="V552" s="58"/>
      <c r="W552" s="58"/>
      <c r="X552" s="59"/>
      <c r="Y552" s="60">
        <v>1</v>
      </c>
      <c r="Z552" s="61"/>
      <c r="AA552" s="60"/>
    </row>
    <row r="553" spans="1:27" ht="12.75" customHeight="1" x14ac:dyDescent="0.25">
      <c r="A553" s="54"/>
      <c r="B553" s="261">
        <v>1202</v>
      </c>
      <c r="C553" s="74" t="s">
        <v>1492</v>
      </c>
      <c r="D553" s="74" t="s">
        <v>1493</v>
      </c>
      <c r="E553" s="443" t="s">
        <v>1490</v>
      </c>
      <c r="F553" s="443" t="s">
        <v>142</v>
      </c>
      <c r="G553" s="56" t="s">
        <v>1494</v>
      </c>
      <c r="H553" s="443"/>
      <c r="I553" s="57" t="s">
        <v>875</v>
      </c>
      <c r="J553" s="443">
        <v>1</v>
      </c>
      <c r="K553" s="443">
        <v>4</v>
      </c>
      <c r="L553" s="443">
        <v>8</v>
      </c>
      <c r="M553" s="443"/>
      <c r="N553" s="443"/>
      <c r="O553" s="124"/>
      <c r="P553" s="124"/>
      <c r="Q553" s="450"/>
      <c r="R553" s="450"/>
      <c r="S553" s="450"/>
      <c r="T553" s="451"/>
      <c r="U553" s="451"/>
      <c r="V553" s="58"/>
      <c r="W553" s="58"/>
      <c r="X553" s="59"/>
      <c r="Y553" s="60">
        <v>1</v>
      </c>
      <c r="Z553" s="61"/>
      <c r="AA553" s="60"/>
    </row>
    <row r="554" spans="1:27" ht="12.75" customHeight="1" x14ac:dyDescent="0.25">
      <c r="A554" s="54"/>
      <c r="B554" s="261">
        <v>1203</v>
      </c>
      <c r="C554" s="74" t="s">
        <v>1495</v>
      </c>
      <c r="D554" s="74" t="s">
        <v>1493</v>
      </c>
      <c r="E554" s="443" t="s">
        <v>1490</v>
      </c>
      <c r="F554" s="443" t="s">
        <v>142</v>
      </c>
      <c r="G554" s="56" t="s">
        <v>1494</v>
      </c>
      <c r="H554" s="443" t="s">
        <v>96</v>
      </c>
      <c r="I554" s="57" t="s">
        <v>875</v>
      </c>
      <c r="J554" s="443">
        <v>1</v>
      </c>
      <c r="K554" s="443">
        <v>1</v>
      </c>
      <c r="L554" s="443">
        <v>2</v>
      </c>
      <c r="M554" s="443"/>
      <c r="N554" s="443"/>
      <c r="O554" s="124"/>
      <c r="P554" s="124"/>
      <c r="Q554" s="450"/>
      <c r="R554" s="450"/>
      <c r="S554" s="450"/>
      <c r="T554" s="451"/>
      <c r="U554" s="451"/>
      <c r="V554" s="58"/>
      <c r="W554" s="58"/>
      <c r="X554" s="59"/>
      <c r="Y554" s="60">
        <v>1</v>
      </c>
      <c r="Z554" s="61"/>
      <c r="AA554" s="60"/>
    </row>
    <row r="555" spans="1:27" ht="12.75" customHeight="1" x14ac:dyDescent="0.25">
      <c r="A555" s="54"/>
      <c r="B555" s="261">
        <v>1204</v>
      </c>
      <c r="C555" s="74" t="s">
        <v>1496</v>
      </c>
      <c r="D555" s="74" t="s">
        <v>1493</v>
      </c>
      <c r="E555" s="443" t="s">
        <v>1490</v>
      </c>
      <c r="F555" s="443" t="s">
        <v>142</v>
      </c>
      <c r="G555" s="56" t="s">
        <v>1494</v>
      </c>
      <c r="H555" s="443" t="s">
        <v>96</v>
      </c>
      <c r="I555" s="57" t="s">
        <v>875</v>
      </c>
      <c r="J555" s="443">
        <v>1</v>
      </c>
      <c r="K555" s="443">
        <v>1</v>
      </c>
      <c r="L555" s="443">
        <v>2</v>
      </c>
      <c r="M555" s="443"/>
      <c r="N555" s="443"/>
      <c r="O555" s="124"/>
      <c r="P555" s="124"/>
      <c r="Q555" s="450"/>
      <c r="R555" s="450"/>
      <c r="S555" s="450"/>
      <c r="T555" s="451"/>
      <c r="U555" s="451"/>
      <c r="V555" s="58"/>
      <c r="W555" s="58"/>
      <c r="X555" s="59"/>
      <c r="Y555" s="60">
        <v>1</v>
      </c>
      <c r="Z555" s="61"/>
      <c r="AA555" s="60"/>
    </row>
    <row r="556" spans="1:27" ht="12.75" customHeight="1" x14ac:dyDescent="0.25">
      <c r="A556" s="54"/>
      <c r="B556" s="261">
        <v>1205</v>
      </c>
      <c r="C556" s="74" t="s">
        <v>1497</v>
      </c>
      <c r="D556" s="74" t="s">
        <v>1493</v>
      </c>
      <c r="E556" s="443" t="s">
        <v>1490</v>
      </c>
      <c r="F556" s="443" t="s">
        <v>142</v>
      </c>
      <c r="G556" s="56" t="s">
        <v>1494</v>
      </c>
      <c r="H556" s="443" t="s">
        <v>96</v>
      </c>
      <c r="I556" s="57" t="s">
        <v>875</v>
      </c>
      <c r="J556" s="443">
        <v>1</v>
      </c>
      <c r="K556" s="443">
        <v>1</v>
      </c>
      <c r="L556" s="443">
        <v>2</v>
      </c>
      <c r="M556" s="443"/>
      <c r="N556" s="443"/>
      <c r="O556" s="124"/>
      <c r="P556" s="124"/>
      <c r="Q556" s="450"/>
      <c r="R556" s="450"/>
      <c r="S556" s="450"/>
      <c r="T556" s="451"/>
      <c r="U556" s="451"/>
      <c r="V556" s="58"/>
      <c r="W556" s="58"/>
      <c r="X556" s="59"/>
      <c r="Y556" s="60">
        <v>1</v>
      </c>
      <c r="Z556" s="61"/>
      <c r="AA556" s="60"/>
    </row>
    <row r="557" spans="1:27" ht="12.75" customHeight="1" x14ac:dyDescent="0.25">
      <c r="A557" s="54"/>
      <c r="B557" s="261">
        <v>1206</v>
      </c>
      <c r="C557" s="74" t="s">
        <v>1498</v>
      </c>
      <c r="D557" s="74" t="s">
        <v>1493</v>
      </c>
      <c r="E557" s="443" t="s">
        <v>1490</v>
      </c>
      <c r="F557" s="443" t="s">
        <v>142</v>
      </c>
      <c r="G557" s="56" t="s">
        <v>1494</v>
      </c>
      <c r="H557" s="443" t="s">
        <v>93</v>
      </c>
      <c r="I557" s="57" t="s">
        <v>875</v>
      </c>
      <c r="J557" s="443">
        <v>1</v>
      </c>
      <c r="K557" s="443">
        <v>1</v>
      </c>
      <c r="L557" s="443">
        <v>2</v>
      </c>
      <c r="M557" s="443"/>
      <c r="N557" s="443"/>
      <c r="O557" s="124"/>
      <c r="P557" s="124"/>
      <c r="Q557" s="450"/>
      <c r="R557" s="450"/>
      <c r="S557" s="450"/>
      <c r="T557" s="451"/>
      <c r="U557" s="451"/>
      <c r="V557" s="58"/>
      <c r="W557" s="58"/>
      <c r="X557" s="59"/>
      <c r="Y557" s="60">
        <v>1</v>
      </c>
      <c r="Z557" s="61"/>
      <c r="AA557" s="60"/>
    </row>
    <row r="558" spans="1:27" ht="12.75" customHeight="1" x14ac:dyDescent="0.25">
      <c r="A558" s="54"/>
      <c r="B558" s="261">
        <v>1207</v>
      </c>
      <c r="C558" s="74" t="s">
        <v>1499</v>
      </c>
      <c r="D558" s="74" t="s">
        <v>1493</v>
      </c>
      <c r="E558" s="443" t="s">
        <v>1490</v>
      </c>
      <c r="F558" s="443" t="s">
        <v>142</v>
      </c>
      <c r="G558" s="56" t="s">
        <v>1494</v>
      </c>
      <c r="H558" s="443" t="s">
        <v>96</v>
      </c>
      <c r="I558" s="57" t="s">
        <v>875</v>
      </c>
      <c r="J558" s="443">
        <v>1</v>
      </c>
      <c r="K558" s="443">
        <v>1</v>
      </c>
      <c r="L558" s="443">
        <v>2</v>
      </c>
      <c r="M558" s="443"/>
      <c r="N558" s="443"/>
      <c r="O558" s="124"/>
      <c r="P558" s="124"/>
      <c r="Q558" s="450"/>
      <c r="R558" s="450"/>
      <c r="S558" s="450"/>
      <c r="T558" s="451"/>
      <c r="U558" s="451"/>
      <c r="V558" s="58"/>
      <c r="W558" s="58"/>
      <c r="X558" s="59"/>
      <c r="Y558" s="60">
        <v>1</v>
      </c>
      <c r="Z558" s="61"/>
      <c r="AA558" s="60"/>
    </row>
    <row r="559" spans="1:27" ht="12.75" customHeight="1" x14ac:dyDescent="0.25">
      <c r="A559" s="54"/>
      <c r="B559" s="261">
        <v>1208</v>
      </c>
      <c r="C559" s="74" t="s">
        <v>1500</v>
      </c>
      <c r="D559" s="74" t="s">
        <v>1493</v>
      </c>
      <c r="E559" s="443" t="s">
        <v>1490</v>
      </c>
      <c r="F559" s="443" t="s">
        <v>142</v>
      </c>
      <c r="G559" s="56" t="s">
        <v>1494</v>
      </c>
      <c r="H559" s="443"/>
      <c r="I559" s="57" t="s">
        <v>875</v>
      </c>
      <c r="J559" s="443">
        <v>1</v>
      </c>
      <c r="K559" s="443">
        <v>1</v>
      </c>
      <c r="L559" s="443">
        <v>2</v>
      </c>
      <c r="M559" s="443"/>
      <c r="N559" s="443"/>
      <c r="O559" s="124"/>
      <c r="P559" s="124"/>
      <c r="Q559" s="450"/>
      <c r="R559" s="450"/>
      <c r="S559" s="450"/>
      <c r="T559" s="451"/>
      <c r="U559" s="451"/>
      <c r="V559" s="58"/>
      <c r="W559" s="58"/>
      <c r="X559" s="59"/>
      <c r="Y559" s="60">
        <v>1</v>
      </c>
      <c r="Z559" s="61"/>
      <c r="AA559" s="60"/>
    </row>
    <row r="560" spans="1:27" x14ac:dyDescent="0.25">
      <c r="A560" s="54"/>
      <c r="B560" s="261">
        <v>1209</v>
      </c>
      <c r="C560" s="74" t="s">
        <v>1501</v>
      </c>
      <c r="D560" s="74" t="s">
        <v>1493</v>
      </c>
      <c r="E560" s="443" t="s">
        <v>1490</v>
      </c>
      <c r="F560" s="443" t="s">
        <v>142</v>
      </c>
      <c r="G560" s="56" t="s">
        <v>1246</v>
      </c>
      <c r="H560" s="443"/>
      <c r="I560" s="57" t="s">
        <v>875</v>
      </c>
      <c r="J560" s="443">
        <v>14</v>
      </c>
      <c r="K560" s="443">
        <v>14</v>
      </c>
      <c r="L560" s="443">
        <v>2</v>
      </c>
      <c r="M560" s="443"/>
      <c r="N560" s="443"/>
      <c r="O560" s="124"/>
      <c r="P560" s="124"/>
      <c r="Q560" s="450"/>
      <c r="R560" s="450"/>
      <c r="S560" s="450"/>
      <c r="T560" s="451"/>
      <c r="U560" s="451"/>
      <c r="V560" s="58"/>
      <c r="W560" s="58"/>
      <c r="X560" s="59"/>
      <c r="Y560" s="60">
        <v>1</v>
      </c>
      <c r="Z560" s="61"/>
      <c r="AA560" s="60"/>
    </row>
    <row r="561" spans="1:27" ht="13.5" customHeight="1" x14ac:dyDescent="0.25">
      <c r="A561" s="54"/>
      <c r="B561" s="261">
        <v>1210</v>
      </c>
      <c r="C561" s="74" t="s">
        <v>1025</v>
      </c>
      <c r="D561" s="74" t="s">
        <v>1021</v>
      </c>
      <c r="E561" s="443" t="s">
        <v>1490</v>
      </c>
      <c r="F561" s="443" t="s">
        <v>142</v>
      </c>
      <c r="G561" s="56" t="s">
        <v>1494</v>
      </c>
      <c r="H561" s="443"/>
      <c r="I561" s="57" t="s">
        <v>914</v>
      </c>
      <c r="J561" s="443">
        <v>1</v>
      </c>
      <c r="K561" s="443">
        <v>21</v>
      </c>
      <c r="L561" s="443">
        <v>21</v>
      </c>
      <c r="M561" s="443"/>
      <c r="N561" s="443"/>
      <c r="O561" s="124"/>
      <c r="P561" s="124"/>
      <c r="Q561" s="450"/>
      <c r="R561" s="450"/>
      <c r="S561" s="450"/>
      <c r="T561" s="451"/>
      <c r="U561" s="451"/>
      <c r="V561" s="58"/>
      <c r="W561" s="58"/>
      <c r="X561" s="59"/>
      <c r="Y561" s="60">
        <v>1</v>
      </c>
      <c r="Z561" s="61"/>
      <c r="AA561" s="60"/>
    </row>
    <row r="562" spans="1:27" ht="25.5" customHeight="1" thickBot="1" x14ac:dyDescent="0.3">
      <c r="A562" s="94"/>
      <c r="B562" s="262"/>
      <c r="C562" s="95"/>
      <c r="D562" s="95"/>
      <c r="E562" s="96"/>
      <c r="F562" s="96" t="s">
        <v>142</v>
      </c>
      <c r="G562" s="97"/>
      <c r="H562" s="96"/>
      <c r="I562" s="98" t="s">
        <v>875</v>
      </c>
      <c r="J562" s="96">
        <v>1</v>
      </c>
      <c r="K562" s="96">
        <v>1</v>
      </c>
      <c r="L562" s="96">
        <v>2</v>
      </c>
      <c r="M562" s="96"/>
      <c r="N562" s="96"/>
      <c r="O562" s="200"/>
      <c r="P562" s="200"/>
      <c r="Q562" s="100"/>
      <c r="R562" s="100"/>
      <c r="S562" s="100"/>
      <c r="T562" s="101"/>
      <c r="U562" s="101"/>
      <c r="V562" s="102"/>
      <c r="W562" s="102"/>
      <c r="X562" s="103"/>
      <c r="Y562" s="104">
        <v>1</v>
      </c>
      <c r="Z562" s="105"/>
      <c r="AA562" s="104"/>
    </row>
    <row r="563" spans="1:27" ht="25.5" customHeight="1" x14ac:dyDescent="0.25">
      <c r="A563" s="52" t="s">
        <v>1502</v>
      </c>
      <c r="B563" s="261">
        <v>1300</v>
      </c>
      <c r="C563" s="74" t="s">
        <v>1503</v>
      </c>
      <c r="D563" s="85" t="s">
        <v>1021</v>
      </c>
      <c r="E563" s="442" t="s">
        <v>1490</v>
      </c>
      <c r="F563" s="442" t="s">
        <v>142</v>
      </c>
      <c r="G563" s="56" t="s">
        <v>1035</v>
      </c>
      <c r="H563" s="442" t="s">
        <v>96</v>
      </c>
      <c r="I563" s="57" t="s">
        <v>875</v>
      </c>
      <c r="J563" s="443">
        <v>10</v>
      </c>
      <c r="K563" s="443">
        <v>30</v>
      </c>
      <c r="L563" s="443">
        <v>60</v>
      </c>
      <c r="M563" s="442"/>
      <c r="N563" s="442"/>
      <c r="O563" s="122"/>
      <c r="P563" s="122"/>
      <c r="Q563" s="449">
        <v>1</v>
      </c>
      <c r="R563" s="449"/>
      <c r="S563" s="449"/>
      <c r="T563" s="461"/>
      <c r="U563" s="461"/>
      <c r="V563" s="88"/>
      <c r="W563" s="88"/>
      <c r="X563" s="89"/>
      <c r="Y563" s="90">
        <v>1</v>
      </c>
      <c r="Z563" s="91"/>
      <c r="AA563" s="90"/>
    </row>
    <row r="564" spans="1:27" s="110" customFormat="1" ht="12.75" customHeight="1" x14ac:dyDescent="0.25">
      <c r="A564" s="109"/>
      <c r="B564" s="263">
        <v>1301</v>
      </c>
      <c r="C564" s="163" t="s">
        <v>1504</v>
      </c>
      <c r="D564" s="163" t="s">
        <v>1021</v>
      </c>
      <c r="E564" s="164" t="s">
        <v>1490</v>
      </c>
      <c r="F564" s="164" t="s">
        <v>142</v>
      </c>
      <c r="G564" s="165" t="s">
        <v>1035</v>
      </c>
      <c r="H564" s="164" t="s">
        <v>96</v>
      </c>
      <c r="I564" s="166" t="s">
        <v>875</v>
      </c>
      <c r="J564" s="164">
        <v>4</v>
      </c>
      <c r="K564" s="164">
        <v>12</v>
      </c>
      <c r="L564" s="164">
        <v>24</v>
      </c>
      <c r="M564" s="164"/>
      <c r="N564" s="164"/>
      <c r="O564" s="167"/>
      <c r="P564" s="167"/>
      <c r="Q564" s="168">
        <v>1</v>
      </c>
      <c r="R564" s="168"/>
      <c r="S564" s="168"/>
      <c r="T564" s="169"/>
      <c r="U564" s="169"/>
      <c r="V564" s="170"/>
      <c r="W564" s="170"/>
      <c r="X564" s="171"/>
      <c r="Y564" s="68">
        <v>1</v>
      </c>
      <c r="Z564" s="172"/>
      <c r="AA564" s="68"/>
    </row>
    <row r="565" spans="1:27" ht="12.75" customHeight="1" x14ac:dyDescent="0.25">
      <c r="A565" s="54"/>
      <c r="B565" s="261">
        <v>1302</v>
      </c>
      <c r="C565" s="74" t="s">
        <v>1505</v>
      </c>
      <c r="D565" s="74" t="s">
        <v>1493</v>
      </c>
      <c r="E565" s="443" t="s">
        <v>1490</v>
      </c>
      <c r="F565" s="443" t="s">
        <v>142</v>
      </c>
      <c r="G565" s="56" t="s">
        <v>1035</v>
      </c>
      <c r="H565" s="443" t="s">
        <v>96</v>
      </c>
      <c r="I565" s="57" t="s">
        <v>875</v>
      </c>
      <c r="J565" s="443">
        <v>10</v>
      </c>
      <c r="K565" s="443">
        <v>30</v>
      </c>
      <c r="L565" s="443">
        <v>60</v>
      </c>
      <c r="M565" s="443"/>
      <c r="N565" s="443"/>
      <c r="O565" s="124"/>
      <c r="P565" s="124"/>
      <c r="Q565" s="450">
        <v>1</v>
      </c>
      <c r="R565" s="450"/>
      <c r="S565" s="450"/>
      <c r="T565" s="451"/>
      <c r="U565" s="451"/>
      <c r="V565" s="58"/>
      <c r="W565" s="58"/>
      <c r="X565" s="59"/>
      <c r="Y565" s="60">
        <v>1</v>
      </c>
      <c r="Z565" s="61"/>
      <c r="AA565" s="60"/>
    </row>
    <row r="566" spans="1:27" ht="12.75" customHeight="1" x14ac:dyDescent="0.25">
      <c r="A566" s="54"/>
      <c r="B566" s="261">
        <v>1303</v>
      </c>
      <c r="C566" s="74" t="s">
        <v>1506</v>
      </c>
      <c r="D566" s="74" t="s">
        <v>1493</v>
      </c>
      <c r="E566" s="443" t="s">
        <v>1490</v>
      </c>
      <c r="F566" s="443" t="s">
        <v>142</v>
      </c>
      <c r="G566" s="56" t="s">
        <v>1035</v>
      </c>
      <c r="H566" s="443" t="s">
        <v>96</v>
      </c>
      <c r="I566" s="57" t="s">
        <v>875</v>
      </c>
      <c r="J566" s="443">
        <v>10</v>
      </c>
      <c r="K566" s="443">
        <v>30</v>
      </c>
      <c r="L566" s="443">
        <v>60</v>
      </c>
      <c r="M566" s="443"/>
      <c r="N566" s="443"/>
      <c r="O566" s="124"/>
      <c r="P566" s="124"/>
      <c r="Q566" s="450">
        <v>1</v>
      </c>
      <c r="R566" s="450"/>
      <c r="S566" s="450"/>
      <c r="T566" s="451"/>
      <c r="U566" s="451"/>
      <c r="V566" s="58"/>
      <c r="W566" s="58"/>
      <c r="X566" s="59"/>
      <c r="Y566" s="60">
        <v>1</v>
      </c>
      <c r="Z566" s="61"/>
      <c r="AA566" s="60"/>
    </row>
    <row r="567" spans="1:27" ht="12.75" customHeight="1" x14ac:dyDescent="0.25">
      <c r="A567" s="54"/>
      <c r="B567" s="261">
        <v>1304</v>
      </c>
      <c r="C567" s="74" t="s">
        <v>1507</v>
      </c>
      <c r="D567" s="74" t="s">
        <v>1493</v>
      </c>
      <c r="E567" s="443" t="s">
        <v>1490</v>
      </c>
      <c r="F567" s="443" t="s">
        <v>142</v>
      </c>
      <c r="G567" s="56" t="s">
        <v>1035</v>
      </c>
      <c r="H567" s="443" t="s">
        <v>96</v>
      </c>
      <c r="I567" s="57" t="s">
        <v>875</v>
      </c>
      <c r="J567" s="443">
        <v>10</v>
      </c>
      <c r="K567" s="443">
        <v>30</v>
      </c>
      <c r="L567" s="443">
        <v>60</v>
      </c>
      <c r="M567" s="443"/>
      <c r="N567" s="443"/>
      <c r="O567" s="124"/>
      <c r="P567" s="124"/>
      <c r="Q567" s="450">
        <v>1</v>
      </c>
      <c r="R567" s="450"/>
      <c r="S567" s="450"/>
      <c r="T567" s="451"/>
      <c r="U567" s="451"/>
      <c r="V567" s="58"/>
      <c r="W567" s="58"/>
      <c r="X567" s="59"/>
      <c r="Y567" s="60">
        <v>1</v>
      </c>
      <c r="Z567" s="61"/>
      <c r="AA567" s="60"/>
    </row>
    <row r="568" spans="1:27" ht="12.75" customHeight="1" x14ac:dyDescent="0.25">
      <c r="A568" s="54"/>
      <c r="B568" s="261">
        <v>1305</v>
      </c>
      <c r="C568" s="74" t="s">
        <v>1508</v>
      </c>
      <c r="D568" s="74" t="s">
        <v>1493</v>
      </c>
      <c r="E568" s="443" t="s">
        <v>1490</v>
      </c>
      <c r="F568" s="443" t="s">
        <v>142</v>
      </c>
      <c r="G568" s="56" t="s">
        <v>1035</v>
      </c>
      <c r="H568" s="443" t="s">
        <v>96</v>
      </c>
      <c r="I568" s="57" t="s">
        <v>875</v>
      </c>
      <c r="J568" s="443">
        <v>10</v>
      </c>
      <c r="K568" s="443">
        <v>30</v>
      </c>
      <c r="L568" s="443">
        <v>60</v>
      </c>
      <c r="M568" s="443"/>
      <c r="N568" s="443"/>
      <c r="O568" s="124"/>
      <c r="P568" s="124"/>
      <c r="Q568" s="450">
        <v>1</v>
      </c>
      <c r="R568" s="450"/>
      <c r="S568" s="450"/>
      <c r="T568" s="451"/>
      <c r="U568" s="451"/>
      <c r="V568" s="58"/>
      <c r="W568" s="58"/>
      <c r="X568" s="59"/>
      <c r="Y568" s="60">
        <v>1</v>
      </c>
      <c r="Z568" s="61"/>
      <c r="AA568" s="60"/>
    </row>
    <row r="569" spans="1:27" ht="12.75" customHeight="1" x14ac:dyDescent="0.25">
      <c r="A569" s="54"/>
      <c r="B569" s="261">
        <v>1306</v>
      </c>
      <c r="C569" s="179" t="s">
        <v>4510</v>
      </c>
      <c r="D569" s="74" t="s">
        <v>1493</v>
      </c>
      <c r="E569" s="443" t="s">
        <v>1490</v>
      </c>
      <c r="F569" s="443" t="s">
        <v>142</v>
      </c>
      <c r="G569" s="56" t="s">
        <v>1035</v>
      </c>
      <c r="H569" s="443" t="s">
        <v>96</v>
      </c>
      <c r="I569" s="57" t="s">
        <v>875</v>
      </c>
      <c r="J569" s="443">
        <v>10</v>
      </c>
      <c r="K569" s="443">
        <v>30</v>
      </c>
      <c r="L569" s="443">
        <v>60</v>
      </c>
      <c r="M569" s="443"/>
      <c r="N569" s="443"/>
      <c r="O569" s="124"/>
      <c r="P569" s="124"/>
      <c r="Q569" s="450">
        <v>1</v>
      </c>
      <c r="R569" s="450"/>
      <c r="S569" s="450"/>
      <c r="T569" s="451"/>
      <c r="U569" s="451"/>
      <c r="V569" s="58"/>
      <c r="W569" s="58"/>
      <c r="X569" s="59"/>
      <c r="Y569" s="60">
        <v>1</v>
      </c>
      <c r="Z569" s="61"/>
      <c r="AA569" s="60"/>
    </row>
    <row r="570" spans="1:27" ht="12.75" customHeight="1" x14ac:dyDescent="0.25">
      <c r="A570" s="54"/>
      <c r="B570" s="261">
        <v>1307</v>
      </c>
      <c r="C570" s="179" t="s">
        <v>4511</v>
      </c>
      <c r="D570" s="74" t="s">
        <v>1493</v>
      </c>
      <c r="E570" s="443" t="s">
        <v>1490</v>
      </c>
      <c r="F570" s="443" t="s">
        <v>142</v>
      </c>
      <c r="G570" s="56" t="s">
        <v>1035</v>
      </c>
      <c r="H570" s="443" t="s">
        <v>96</v>
      </c>
      <c r="I570" s="57" t="s">
        <v>875</v>
      </c>
      <c r="J570" s="443">
        <v>10</v>
      </c>
      <c r="K570" s="443">
        <v>30</v>
      </c>
      <c r="L570" s="443">
        <v>60</v>
      </c>
      <c r="M570" s="443"/>
      <c r="N570" s="443"/>
      <c r="O570" s="124"/>
      <c r="P570" s="124"/>
      <c r="Q570" s="450">
        <v>1</v>
      </c>
      <c r="R570" s="450"/>
      <c r="S570" s="450"/>
      <c r="T570" s="451"/>
      <c r="U570" s="451"/>
      <c r="V570" s="58"/>
      <c r="W570" s="58"/>
      <c r="X570" s="59"/>
      <c r="Y570" s="60">
        <v>1</v>
      </c>
      <c r="Z570" s="61"/>
      <c r="AA570" s="60"/>
    </row>
    <row r="571" spans="1:27" ht="12.75" customHeight="1" x14ac:dyDescent="0.25">
      <c r="A571" s="54"/>
      <c r="B571" s="261">
        <v>1308</v>
      </c>
      <c r="C571" s="74" t="s">
        <v>1509</v>
      </c>
      <c r="D571" s="74" t="s">
        <v>1493</v>
      </c>
      <c r="E571" s="443" t="s">
        <v>1490</v>
      </c>
      <c r="F571" s="443" t="s">
        <v>142</v>
      </c>
      <c r="G571" s="56" t="s">
        <v>1035</v>
      </c>
      <c r="H571" s="486">
        <v>1E-3</v>
      </c>
      <c r="I571" s="57" t="s">
        <v>875</v>
      </c>
      <c r="J571" s="443">
        <v>1</v>
      </c>
      <c r="K571" s="443">
        <v>1</v>
      </c>
      <c r="L571" s="443">
        <v>2</v>
      </c>
      <c r="M571" s="443"/>
      <c r="N571" s="443"/>
      <c r="O571" s="124"/>
      <c r="P571" s="124"/>
      <c r="Q571" s="450">
        <v>1</v>
      </c>
      <c r="R571" s="450"/>
      <c r="S571" s="450"/>
      <c r="T571" s="451"/>
      <c r="U571" s="451"/>
      <c r="V571" s="58"/>
      <c r="W571" s="58"/>
      <c r="X571" s="59"/>
      <c r="Y571" s="60">
        <v>1</v>
      </c>
      <c r="Z571" s="61"/>
      <c r="AA571" s="60"/>
    </row>
    <row r="572" spans="1:27" x14ac:dyDescent="0.25">
      <c r="A572" s="54"/>
      <c r="B572" s="261">
        <v>1309</v>
      </c>
      <c r="C572" s="74" t="s">
        <v>1510</v>
      </c>
      <c r="D572" s="74" t="s">
        <v>1493</v>
      </c>
      <c r="E572" s="443" t="s">
        <v>1490</v>
      </c>
      <c r="F572" s="443" t="s">
        <v>142</v>
      </c>
      <c r="G572" s="56" t="s">
        <v>1035</v>
      </c>
      <c r="H572" s="486">
        <v>1E-3</v>
      </c>
      <c r="I572" s="57" t="s">
        <v>875</v>
      </c>
      <c r="J572" s="443">
        <v>1</v>
      </c>
      <c r="K572" s="443">
        <v>1</v>
      </c>
      <c r="L572" s="443">
        <v>2</v>
      </c>
      <c r="M572" s="443"/>
      <c r="N572" s="443"/>
      <c r="O572" s="124"/>
      <c r="P572" s="124"/>
      <c r="Q572" s="450">
        <v>1</v>
      </c>
      <c r="R572" s="450"/>
      <c r="S572" s="450"/>
      <c r="T572" s="451"/>
      <c r="U572" s="451"/>
      <c r="V572" s="58"/>
      <c r="W572" s="58"/>
      <c r="X572" s="59"/>
      <c r="Y572" s="60">
        <v>1</v>
      </c>
      <c r="Z572" s="61"/>
      <c r="AA572" s="60"/>
    </row>
    <row r="573" spans="1:27" ht="12.75" customHeight="1" x14ac:dyDescent="0.25">
      <c r="A573" s="54"/>
      <c r="B573" s="261">
        <v>1310</v>
      </c>
      <c r="C573" s="74" t="s">
        <v>1511</v>
      </c>
      <c r="D573" s="74" t="s">
        <v>1021</v>
      </c>
      <c r="E573" s="443" t="s">
        <v>1490</v>
      </c>
      <c r="F573" s="443" t="s">
        <v>142</v>
      </c>
      <c r="G573" s="56" t="s">
        <v>1035</v>
      </c>
      <c r="H573" s="486">
        <v>1E-3</v>
      </c>
      <c r="I573" s="57" t="s">
        <v>875</v>
      </c>
      <c r="J573" s="443">
        <v>1</v>
      </c>
      <c r="K573" s="443">
        <v>1</v>
      </c>
      <c r="L573" s="443">
        <v>2</v>
      </c>
      <c r="M573" s="443"/>
      <c r="N573" s="443"/>
      <c r="O573" s="124"/>
      <c r="P573" s="124"/>
      <c r="Q573" s="450">
        <v>1</v>
      </c>
      <c r="R573" s="450"/>
      <c r="S573" s="450"/>
      <c r="T573" s="451"/>
      <c r="U573" s="451"/>
      <c r="V573" s="58"/>
      <c r="W573" s="58"/>
      <c r="X573" s="59"/>
      <c r="Y573" s="60">
        <v>1</v>
      </c>
      <c r="Z573" s="61"/>
      <c r="AA573" s="60"/>
    </row>
    <row r="574" spans="1:27" ht="12.75" customHeight="1" x14ac:dyDescent="0.25">
      <c r="A574" s="54"/>
      <c r="B574" s="261">
        <v>1311</v>
      </c>
      <c r="C574" s="74" t="s">
        <v>1512</v>
      </c>
      <c r="D574" s="74" t="s">
        <v>1493</v>
      </c>
      <c r="E574" s="443" t="s">
        <v>1490</v>
      </c>
      <c r="F574" s="443" t="s">
        <v>142</v>
      </c>
      <c r="G574" s="56" t="s">
        <v>1035</v>
      </c>
      <c r="H574" s="486">
        <v>1E-3</v>
      </c>
      <c r="I574" s="57" t="s">
        <v>875</v>
      </c>
      <c r="J574" s="443">
        <v>1</v>
      </c>
      <c r="K574" s="443">
        <v>1</v>
      </c>
      <c r="L574" s="443">
        <v>2</v>
      </c>
      <c r="M574" s="443"/>
      <c r="N574" s="443"/>
      <c r="O574" s="124"/>
      <c r="P574" s="124"/>
      <c r="Q574" s="450">
        <v>1</v>
      </c>
      <c r="R574" s="450"/>
      <c r="S574" s="450"/>
      <c r="T574" s="451"/>
      <c r="U574" s="451"/>
      <c r="V574" s="58"/>
      <c r="W574" s="58"/>
      <c r="X574" s="59"/>
      <c r="Y574" s="60">
        <v>1</v>
      </c>
      <c r="Z574" s="61"/>
      <c r="AA574" s="60"/>
    </row>
    <row r="575" spans="1:27" x14ac:dyDescent="0.25">
      <c r="A575" s="54"/>
      <c r="B575" s="261">
        <v>1312</v>
      </c>
      <c r="C575" s="179" t="s">
        <v>4512</v>
      </c>
      <c r="D575" s="74" t="s">
        <v>1493</v>
      </c>
      <c r="E575" s="443" t="s">
        <v>1490</v>
      </c>
      <c r="F575" s="443" t="s">
        <v>142</v>
      </c>
      <c r="G575" s="56" t="s">
        <v>1035</v>
      </c>
      <c r="H575" s="486">
        <v>1E-3</v>
      </c>
      <c r="I575" s="57" t="s">
        <v>875</v>
      </c>
      <c r="J575" s="443">
        <v>1</v>
      </c>
      <c r="K575" s="443">
        <v>1</v>
      </c>
      <c r="L575" s="443">
        <v>2</v>
      </c>
      <c r="M575" s="443"/>
      <c r="N575" s="443"/>
      <c r="O575" s="124"/>
      <c r="P575" s="124"/>
      <c r="Q575" s="450">
        <v>1</v>
      </c>
      <c r="R575" s="450"/>
      <c r="S575" s="450"/>
      <c r="T575" s="451"/>
      <c r="U575" s="451"/>
      <c r="V575" s="58"/>
      <c r="W575" s="58"/>
      <c r="X575" s="59"/>
      <c r="Y575" s="60">
        <v>1</v>
      </c>
      <c r="Z575" s="61"/>
      <c r="AA575" s="60"/>
    </row>
    <row r="576" spans="1:27" ht="25.5" customHeight="1" x14ac:dyDescent="0.25">
      <c r="A576" s="54"/>
      <c r="B576" s="261">
        <v>1313</v>
      </c>
      <c r="C576" s="179" t="s">
        <v>4513</v>
      </c>
      <c r="D576" s="74" t="s">
        <v>1021</v>
      </c>
      <c r="E576" s="443" t="s">
        <v>1490</v>
      </c>
      <c r="F576" s="443" t="s">
        <v>142</v>
      </c>
      <c r="G576" s="56" t="s">
        <v>1035</v>
      </c>
      <c r="H576" s="486">
        <v>1E-3</v>
      </c>
      <c r="I576" s="57" t="s">
        <v>875</v>
      </c>
      <c r="J576" s="443">
        <v>1</v>
      </c>
      <c r="K576" s="443">
        <v>1</v>
      </c>
      <c r="L576" s="443">
        <v>2</v>
      </c>
      <c r="M576" s="443"/>
      <c r="N576" s="443"/>
      <c r="O576" s="124"/>
      <c r="P576" s="124"/>
      <c r="Q576" s="450">
        <v>1</v>
      </c>
      <c r="R576" s="450"/>
      <c r="S576" s="450"/>
      <c r="T576" s="451"/>
      <c r="U576" s="451"/>
      <c r="V576" s="58"/>
      <c r="W576" s="58"/>
      <c r="X576" s="59"/>
      <c r="Y576" s="60">
        <v>1</v>
      </c>
      <c r="Z576" s="61"/>
      <c r="AA576" s="60"/>
    </row>
    <row r="577" spans="1:27" ht="25.5" customHeight="1" x14ac:dyDescent="0.25">
      <c r="A577" s="54"/>
      <c r="B577" s="261">
        <v>1314</v>
      </c>
      <c r="C577" s="74" t="s">
        <v>1513</v>
      </c>
      <c r="D577" s="74" t="s">
        <v>1021</v>
      </c>
      <c r="E577" s="443" t="s">
        <v>1490</v>
      </c>
      <c r="F577" s="443" t="s">
        <v>142</v>
      </c>
      <c r="G577" s="56" t="s">
        <v>1035</v>
      </c>
      <c r="H577" s="443" t="s">
        <v>96</v>
      </c>
      <c r="I577" s="57" t="s">
        <v>875</v>
      </c>
      <c r="J577" s="443">
        <v>10</v>
      </c>
      <c r="K577" s="443">
        <v>30</v>
      </c>
      <c r="L577" s="443">
        <v>60</v>
      </c>
      <c r="M577" s="443"/>
      <c r="N577" s="443"/>
      <c r="O577" s="124"/>
      <c r="P577" s="124"/>
      <c r="Q577" s="450">
        <v>1</v>
      </c>
      <c r="R577" s="450"/>
      <c r="S577" s="450"/>
      <c r="T577" s="451"/>
      <c r="U577" s="451"/>
      <c r="V577" s="58"/>
      <c r="W577" s="58"/>
      <c r="X577" s="59"/>
      <c r="Y577" s="60">
        <v>1</v>
      </c>
      <c r="Z577" s="61"/>
      <c r="AA577" s="60"/>
    </row>
    <row r="578" spans="1:27" x14ac:dyDescent="0.25">
      <c r="A578" s="54"/>
      <c r="B578" s="263">
        <v>1315</v>
      </c>
      <c r="C578" s="163" t="s">
        <v>1514</v>
      </c>
      <c r="D578" s="163" t="s">
        <v>1021</v>
      </c>
      <c r="E578" s="164" t="s">
        <v>1490</v>
      </c>
      <c r="F578" s="164" t="s">
        <v>142</v>
      </c>
      <c r="G578" s="165" t="s">
        <v>1035</v>
      </c>
      <c r="H578" s="164" t="s">
        <v>96</v>
      </c>
      <c r="I578" s="166" t="s">
        <v>875</v>
      </c>
      <c r="J578" s="164">
        <v>10</v>
      </c>
      <c r="K578" s="164">
        <v>30</v>
      </c>
      <c r="L578" s="164">
        <v>60</v>
      </c>
      <c r="M578" s="164"/>
      <c r="N578" s="164"/>
      <c r="O578" s="167"/>
      <c r="P578" s="167"/>
      <c r="Q578" s="168">
        <v>1</v>
      </c>
      <c r="R578" s="168"/>
      <c r="S578" s="168"/>
      <c r="T578" s="169"/>
      <c r="U578" s="169"/>
      <c r="V578" s="170"/>
      <c r="W578" s="170"/>
      <c r="X578" s="171"/>
      <c r="Y578" s="68"/>
      <c r="Z578" s="172"/>
      <c r="AA578" s="68"/>
    </row>
    <row r="579" spans="1:27" s="110" customFormat="1" x14ac:dyDescent="0.25">
      <c r="A579" s="109"/>
      <c r="B579" s="263">
        <v>1320</v>
      </c>
      <c r="C579" s="163" t="s">
        <v>1515</v>
      </c>
      <c r="D579" s="163" t="s">
        <v>1021</v>
      </c>
      <c r="E579" s="164" t="s">
        <v>1063</v>
      </c>
      <c r="F579" s="164" t="s">
        <v>142</v>
      </c>
      <c r="G579" s="165" t="s">
        <v>1035</v>
      </c>
      <c r="H579" s="164" t="s">
        <v>153</v>
      </c>
      <c r="I579" s="166" t="s">
        <v>875</v>
      </c>
      <c r="J579" s="164">
        <v>1</v>
      </c>
      <c r="K579" s="164">
        <v>3</v>
      </c>
      <c r="L579" s="164">
        <v>6</v>
      </c>
      <c r="M579" s="164"/>
      <c r="N579" s="164"/>
      <c r="O579" s="167"/>
      <c r="P579" s="167"/>
      <c r="Q579" s="168">
        <v>1</v>
      </c>
      <c r="R579" s="168"/>
      <c r="S579" s="168"/>
      <c r="T579" s="169"/>
      <c r="U579" s="169"/>
      <c r="V579" s="170"/>
      <c r="W579" s="170"/>
      <c r="X579" s="171"/>
      <c r="Y579" s="68"/>
      <c r="Z579" s="172"/>
      <c r="AA579" s="68"/>
    </row>
    <row r="580" spans="1:27" s="110" customFormat="1" x14ac:dyDescent="0.25">
      <c r="A580" s="109"/>
      <c r="B580" s="263">
        <v>1321</v>
      </c>
      <c r="C580" s="163" t="s">
        <v>1515</v>
      </c>
      <c r="D580" s="163" t="s">
        <v>1021</v>
      </c>
      <c r="E580" s="164" t="s">
        <v>1063</v>
      </c>
      <c r="F580" s="164" t="s">
        <v>142</v>
      </c>
      <c r="G580" s="165" t="s">
        <v>1035</v>
      </c>
      <c r="H580" s="164" t="s">
        <v>153</v>
      </c>
      <c r="I580" s="166" t="s">
        <v>875</v>
      </c>
      <c r="J580" s="164">
        <v>1</v>
      </c>
      <c r="K580" s="164">
        <v>3</v>
      </c>
      <c r="L580" s="164">
        <v>6</v>
      </c>
      <c r="M580" s="164"/>
      <c r="N580" s="164"/>
      <c r="O580" s="167"/>
      <c r="P580" s="167"/>
      <c r="Q580" s="168">
        <v>1</v>
      </c>
      <c r="R580" s="168"/>
      <c r="S580" s="168"/>
      <c r="T580" s="169"/>
      <c r="U580" s="169"/>
      <c r="V580" s="170"/>
      <c r="W580" s="170"/>
      <c r="X580" s="171"/>
      <c r="Y580" s="68"/>
      <c r="Z580" s="172"/>
      <c r="AA580" s="68"/>
    </row>
    <row r="581" spans="1:27" s="110" customFormat="1" x14ac:dyDescent="0.25">
      <c r="A581" s="109"/>
      <c r="B581" s="263">
        <v>1322</v>
      </c>
      <c r="C581" s="163" t="s">
        <v>1515</v>
      </c>
      <c r="D581" s="163" t="s">
        <v>1021</v>
      </c>
      <c r="E581" s="164" t="s">
        <v>1063</v>
      </c>
      <c r="F581" s="164" t="s">
        <v>142</v>
      </c>
      <c r="G581" s="165" t="s">
        <v>1035</v>
      </c>
      <c r="H581" s="164" t="s">
        <v>153</v>
      </c>
      <c r="I581" s="166" t="s">
        <v>875</v>
      </c>
      <c r="J581" s="164">
        <v>1</v>
      </c>
      <c r="K581" s="164">
        <v>3</v>
      </c>
      <c r="L581" s="164">
        <v>6</v>
      </c>
      <c r="M581" s="164"/>
      <c r="N581" s="164"/>
      <c r="O581" s="167"/>
      <c r="P581" s="167"/>
      <c r="Q581" s="168">
        <v>1</v>
      </c>
      <c r="R581" s="168"/>
      <c r="S581" s="168"/>
      <c r="T581" s="169"/>
      <c r="U581" s="169"/>
      <c r="V581" s="170"/>
      <c r="W581" s="170"/>
      <c r="X581" s="171"/>
      <c r="Y581" s="68"/>
      <c r="Z581" s="172"/>
      <c r="AA581" s="68"/>
    </row>
    <row r="582" spans="1:27" s="110" customFormat="1" x14ac:dyDescent="0.25">
      <c r="A582" s="109"/>
      <c r="B582" s="263">
        <v>1323</v>
      </c>
      <c r="C582" s="163" t="s">
        <v>1515</v>
      </c>
      <c r="D582" s="163" t="s">
        <v>1021</v>
      </c>
      <c r="E582" s="164" t="s">
        <v>1063</v>
      </c>
      <c r="F582" s="164" t="s">
        <v>142</v>
      </c>
      <c r="G582" s="165" t="s">
        <v>1035</v>
      </c>
      <c r="H582" s="164" t="s">
        <v>153</v>
      </c>
      <c r="I582" s="166" t="s">
        <v>875</v>
      </c>
      <c r="J582" s="164">
        <v>1</v>
      </c>
      <c r="K582" s="164">
        <v>3</v>
      </c>
      <c r="L582" s="164">
        <v>6</v>
      </c>
      <c r="M582" s="164"/>
      <c r="N582" s="164"/>
      <c r="O582" s="167"/>
      <c r="P582" s="167"/>
      <c r="Q582" s="168">
        <v>1</v>
      </c>
      <c r="R582" s="168"/>
      <c r="S582" s="168"/>
      <c r="T582" s="169"/>
      <c r="U582" s="169"/>
      <c r="V582" s="170"/>
      <c r="W582" s="170"/>
      <c r="X582" s="171"/>
      <c r="Y582" s="68"/>
      <c r="Z582" s="172"/>
      <c r="AA582" s="68"/>
    </row>
    <row r="583" spans="1:27" ht="13.8" thickBot="1" x14ac:dyDescent="0.3">
      <c r="A583" s="54"/>
      <c r="B583" s="262"/>
      <c r="C583" s="95"/>
      <c r="D583" s="95"/>
      <c r="E583" s="96"/>
      <c r="F583" s="96"/>
      <c r="G583" s="97"/>
      <c r="H583" s="96"/>
      <c r="I583" s="98"/>
      <c r="J583" s="96"/>
      <c r="K583" s="96"/>
      <c r="L583" s="96"/>
      <c r="M583" s="96"/>
      <c r="N583" s="96"/>
      <c r="O583" s="200"/>
      <c r="P583" s="200"/>
      <c r="Q583" s="100"/>
      <c r="R583" s="100"/>
      <c r="S583" s="100"/>
      <c r="T583" s="101"/>
      <c r="U583" s="101"/>
      <c r="V583" s="102"/>
      <c r="W583" s="102"/>
      <c r="X583" s="103"/>
      <c r="Y583" s="104"/>
      <c r="Z583" s="105"/>
      <c r="AA583" s="104"/>
    </row>
    <row r="584" spans="1:27" ht="12.75" customHeight="1" x14ac:dyDescent="0.25">
      <c r="A584" s="52" t="s">
        <v>845</v>
      </c>
      <c r="B584" s="84">
        <v>1400</v>
      </c>
      <c r="C584" s="85" t="s">
        <v>1516</v>
      </c>
      <c r="D584" s="85" t="s">
        <v>845</v>
      </c>
      <c r="E584" s="442" t="s">
        <v>1517</v>
      </c>
      <c r="F584" s="442" t="s">
        <v>1518</v>
      </c>
      <c r="G584" s="264" t="s">
        <v>1519</v>
      </c>
      <c r="H584" s="264"/>
      <c r="I584" s="87" t="s">
        <v>875</v>
      </c>
      <c r="J584" s="442">
        <v>1</v>
      </c>
      <c r="K584" s="442">
        <v>23</v>
      </c>
      <c r="L584" s="442">
        <v>46</v>
      </c>
      <c r="M584" s="442"/>
      <c r="N584" s="442"/>
      <c r="O584" s="447">
        <v>1</v>
      </c>
      <c r="P584" s="447">
        <v>1</v>
      </c>
      <c r="Q584" s="449"/>
      <c r="R584" s="449"/>
      <c r="S584" s="449"/>
      <c r="T584" s="461"/>
      <c r="U584" s="461"/>
      <c r="V584" s="88"/>
      <c r="W584" s="88"/>
      <c r="X584" s="89"/>
      <c r="Y584" s="90"/>
      <c r="Z584" s="91"/>
      <c r="AA584" s="90"/>
    </row>
    <row r="585" spans="1:27" ht="12.75" customHeight="1" x14ac:dyDescent="0.25">
      <c r="A585" s="54"/>
      <c r="B585" s="261">
        <v>1401</v>
      </c>
      <c r="C585" s="74" t="s">
        <v>1520</v>
      </c>
      <c r="D585" s="74" t="s">
        <v>845</v>
      </c>
      <c r="E585" s="443" t="s">
        <v>1517</v>
      </c>
      <c r="F585" s="443" t="s">
        <v>1521</v>
      </c>
      <c r="G585" s="56" t="s">
        <v>1522</v>
      </c>
      <c r="H585" s="443"/>
      <c r="I585" s="57" t="s">
        <v>875</v>
      </c>
      <c r="J585" s="443">
        <v>1</v>
      </c>
      <c r="K585" s="443">
        <v>140</v>
      </c>
      <c r="L585" s="443">
        <v>280</v>
      </c>
      <c r="M585" s="443"/>
      <c r="N585" s="443"/>
      <c r="O585" s="124"/>
      <c r="P585" s="124"/>
      <c r="Q585" s="450"/>
      <c r="R585" s="450"/>
      <c r="S585" s="450"/>
      <c r="T585" s="451"/>
      <c r="U585" s="451"/>
      <c r="V585" s="58"/>
      <c r="W585" s="58"/>
      <c r="X585" s="59"/>
      <c r="Y585" s="60"/>
      <c r="Z585" s="172"/>
      <c r="AA585" s="60">
        <v>1</v>
      </c>
    </row>
    <row r="586" spans="1:27" ht="13.5" customHeight="1" thickBot="1" x14ac:dyDescent="0.3">
      <c r="A586" s="94"/>
      <c r="B586" s="83">
        <v>1402</v>
      </c>
      <c r="C586" s="95" t="s">
        <v>1523</v>
      </c>
      <c r="D586" s="95" t="s">
        <v>845</v>
      </c>
      <c r="E586" s="96">
        <v>5950</v>
      </c>
      <c r="F586" s="265" t="s">
        <v>1524</v>
      </c>
      <c r="G586" s="96" t="s">
        <v>1519</v>
      </c>
      <c r="H586" s="96"/>
      <c r="I586" s="98" t="s">
        <v>875</v>
      </c>
      <c r="J586" s="96">
        <v>1</v>
      </c>
      <c r="K586" s="96">
        <v>1</v>
      </c>
      <c r="L586" s="96">
        <v>2</v>
      </c>
      <c r="M586" s="96"/>
      <c r="N586" s="96"/>
      <c r="O586" s="99">
        <v>1</v>
      </c>
      <c r="P586" s="99">
        <v>1</v>
      </c>
      <c r="Q586" s="100"/>
      <c r="R586" s="100"/>
      <c r="S586" s="100"/>
      <c r="T586" s="101"/>
      <c r="U586" s="101"/>
      <c r="V586" s="102"/>
      <c r="W586" s="102"/>
      <c r="X586" s="103"/>
      <c r="Y586" s="104"/>
      <c r="Z586" s="105"/>
      <c r="AA586" s="104"/>
    </row>
    <row r="587" spans="1:27" ht="26.4" x14ac:dyDescent="0.25">
      <c r="A587" s="52" t="s">
        <v>1525</v>
      </c>
      <c r="B587" s="132">
        <v>2000</v>
      </c>
      <c r="C587" s="133" t="s">
        <v>1526</v>
      </c>
      <c r="D587" s="133" t="s">
        <v>1021</v>
      </c>
      <c r="E587" s="66" t="s">
        <v>1527</v>
      </c>
      <c r="F587" s="66" t="s">
        <v>142</v>
      </c>
      <c r="G587" s="439" t="s">
        <v>1528</v>
      </c>
      <c r="H587" s="66" t="s">
        <v>1529</v>
      </c>
      <c r="I587" s="441" t="s">
        <v>875</v>
      </c>
      <c r="J587" s="66">
        <v>2</v>
      </c>
      <c r="K587" s="66">
        <v>1</v>
      </c>
      <c r="L587" s="66">
        <v>4</v>
      </c>
      <c r="M587" s="66"/>
      <c r="N587" s="66"/>
      <c r="O587" s="142"/>
      <c r="P587" s="142"/>
      <c r="Q587" s="460"/>
      <c r="R587" s="460"/>
      <c r="S587" s="460"/>
      <c r="T587" s="135"/>
      <c r="U587" s="135"/>
      <c r="V587" s="458"/>
      <c r="W587" s="458"/>
      <c r="X587" s="445"/>
      <c r="Y587" s="453"/>
      <c r="Z587" s="455">
        <v>1</v>
      </c>
      <c r="AA587" s="453"/>
    </row>
    <row r="588" spans="1:27" x14ac:dyDescent="0.25">
      <c r="A588" s="54"/>
      <c r="B588" s="437">
        <v>2001</v>
      </c>
      <c r="C588" s="74" t="s">
        <v>1530</v>
      </c>
      <c r="D588" s="74" t="s">
        <v>1021</v>
      </c>
      <c r="E588" s="443" t="s">
        <v>1527</v>
      </c>
      <c r="F588" s="443" t="s">
        <v>142</v>
      </c>
      <c r="G588" s="56" t="s">
        <v>1528</v>
      </c>
      <c r="H588" s="443" t="s">
        <v>1531</v>
      </c>
      <c r="I588" s="57" t="s">
        <v>875</v>
      </c>
      <c r="J588" s="443">
        <v>2</v>
      </c>
      <c r="K588" s="443">
        <v>1</v>
      </c>
      <c r="L588" s="443">
        <v>4</v>
      </c>
      <c r="M588" s="443"/>
      <c r="N588" s="443"/>
      <c r="O588" s="124"/>
      <c r="P588" s="124"/>
      <c r="Q588" s="450"/>
      <c r="R588" s="450"/>
      <c r="S588" s="450"/>
      <c r="T588" s="451"/>
      <c r="U588" s="451"/>
      <c r="V588" s="58"/>
      <c r="W588" s="58"/>
      <c r="X588" s="59"/>
      <c r="Y588" s="60"/>
      <c r="Z588" s="61">
        <v>1</v>
      </c>
      <c r="AA588" s="60"/>
    </row>
    <row r="589" spans="1:27" x14ac:dyDescent="0.25">
      <c r="A589" s="54"/>
      <c r="B589" s="437">
        <v>2002</v>
      </c>
      <c r="C589" s="74" t="s">
        <v>1532</v>
      </c>
      <c r="D589" s="74" t="s">
        <v>1021</v>
      </c>
      <c r="E589" s="443" t="s">
        <v>1527</v>
      </c>
      <c r="F589" s="443" t="s">
        <v>142</v>
      </c>
      <c r="G589" s="56" t="s">
        <v>1528</v>
      </c>
      <c r="H589" s="443" t="s">
        <v>1531</v>
      </c>
      <c r="I589" s="57" t="s">
        <v>875</v>
      </c>
      <c r="J589" s="443">
        <v>2</v>
      </c>
      <c r="K589" s="443">
        <v>1</v>
      </c>
      <c r="L589" s="443">
        <v>4</v>
      </c>
      <c r="M589" s="443"/>
      <c r="N589" s="443"/>
      <c r="O589" s="124"/>
      <c r="P589" s="124"/>
      <c r="Q589" s="450"/>
      <c r="R589" s="450"/>
      <c r="S589" s="450"/>
      <c r="T589" s="451"/>
      <c r="U589" s="451"/>
      <c r="V589" s="58"/>
      <c r="W589" s="58"/>
      <c r="X589" s="59"/>
      <c r="Y589" s="60"/>
      <c r="Z589" s="61">
        <v>1</v>
      </c>
      <c r="AA589" s="60"/>
    </row>
    <row r="590" spans="1:27" x14ac:dyDescent="0.25">
      <c r="A590" s="54"/>
      <c r="B590" s="437">
        <v>2003</v>
      </c>
      <c r="C590" s="74" t="s">
        <v>1533</v>
      </c>
      <c r="D590" s="74" t="s">
        <v>1021</v>
      </c>
      <c r="E590" s="443" t="s">
        <v>1527</v>
      </c>
      <c r="F590" s="443" t="s">
        <v>142</v>
      </c>
      <c r="G590" s="56" t="s">
        <v>1528</v>
      </c>
      <c r="H590" s="443" t="s">
        <v>1531</v>
      </c>
      <c r="I590" s="57" t="s">
        <v>875</v>
      </c>
      <c r="J590" s="443">
        <v>2</v>
      </c>
      <c r="K590" s="443">
        <v>1</v>
      </c>
      <c r="L590" s="443">
        <v>4</v>
      </c>
      <c r="M590" s="443"/>
      <c r="N590" s="443"/>
      <c r="O590" s="124"/>
      <c r="P590" s="124"/>
      <c r="Q590" s="450"/>
      <c r="R590" s="450"/>
      <c r="S590" s="450"/>
      <c r="T590" s="451"/>
      <c r="U590" s="451"/>
      <c r="V590" s="58"/>
      <c r="W590" s="58"/>
      <c r="X590" s="59"/>
      <c r="Y590" s="60"/>
      <c r="Z590" s="61">
        <v>1</v>
      </c>
      <c r="AA590" s="60"/>
    </row>
    <row r="591" spans="1:27" x14ac:dyDescent="0.25">
      <c r="A591" s="54"/>
      <c r="B591" s="437">
        <v>2004</v>
      </c>
      <c r="C591" s="74" t="s">
        <v>1534</v>
      </c>
      <c r="D591" s="74" t="s">
        <v>1021</v>
      </c>
      <c r="E591" s="443" t="s">
        <v>1527</v>
      </c>
      <c r="F591" s="443" t="s">
        <v>142</v>
      </c>
      <c r="G591" s="56" t="s">
        <v>1528</v>
      </c>
      <c r="H591" s="443" t="s">
        <v>1531</v>
      </c>
      <c r="I591" s="57" t="s">
        <v>875</v>
      </c>
      <c r="J591" s="443">
        <v>2</v>
      </c>
      <c r="K591" s="443">
        <v>1</v>
      </c>
      <c r="L591" s="443">
        <v>4</v>
      </c>
      <c r="M591" s="443"/>
      <c r="N591" s="443"/>
      <c r="O591" s="124"/>
      <c r="P591" s="124"/>
      <c r="Q591" s="450"/>
      <c r="R591" s="450"/>
      <c r="S591" s="450"/>
      <c r="T591" s="451"/>
      <c r="U591" s="451"/>
      <c r="V591" s="58"/>
      <c r="W591" s="58"/>
      <c r="X591" s="59"/>
      <c r="Y591" s="60"/>
      <c r="Z591" s="61">
        <v>1</v>
      </c>
      <c r="AA591" s="60"/>
    </row>
    <row r="592" spans="1:27" x14ac:dyDescent="0.25">
      <c r="A592" s="54"/>
      <c r="B592" s="437">
        <v>2005</v>
      </c>
      <c r="C592" s="74" t="s">
        <v>1535</v>
      </c>
      <c r="D592" s="74" t="s">
        <v>1021</v>
      </c>
      <c r="E592" s="443" t="s">
        <v>1527</v>
      </c>
      <c r="F592" s="443" t="s">
        <v>142</v>
      </c>
      <c r="G592" s="56" t="s">
        <v>1528</v>
      </c>
      <c r="H592" s="137">
        <v>1E-3</v>
      </c>
      <c r="I592" s="57" t="s">
        <v>875</v>
      </c>
      <c r="J592" s="443">
        <v>2</v>
      </c>
      <c r="K592" s="443">
        <v>1</v>
      </c>
      <c r="L592" s="443">
        <v>4</v>
      </c>
      <c r="M592" s="443"/>
      <c r="N592" s="443"/>
      <c r="O592" s="124"/>
      <c r="P592" s="124"/>
      <c r="Q592" s="450"/>
      <c r="R592" s="450"/>
      <c r="S592" s="450"/>
      <c r="T592" s="451"/>
      <c r="U592" s="451"/>
      <c r="V592" s="58"/>
      <c r="W592" s="58"/>
      <c r="X592" s="59"/>
      <c r="Y592" s="60"/>
      <c r="Z592" s="61">
        <v>1</v>
      </c>
      <c r="AA592" s="60"/>
    </row>
    <row r="593" spans="1:27" x14ac:dyDescent="0.25">
      <c r="A593" s="54"/>
      <c r="B593" s="437">
        <v>2006</v>
      </c>
      <c r="C593" s="74" t="s">
        <v>1536</v>
      </c>
      <c r="D593" s="74" t="s">
        <v>1021</v>
      </c>
      <c r="E593" s="443" t="s">
        <v>1527</v>
      </c>
      <c r="F593" s="443" t="s">
        <v>142</v>
      </c>
      <c r="G593" s="56" t="s">
        <v>1528</v>
      </c>
      <c r="H593" s="137">
        <v>1E-3</v>
      </c>
      <c r="I593" s="57" t="s">
        <v>875</v>
      </c>
      <c r="J593" s="443">
        <v>2</v>
      </c>
      <c r="K593" s="443">
        <v>1</v>
      </c>
      <c r="L593" s="443">
        <v>4</v>
      </c>
      <c r="M593" s="443"/>
      <c r="N593" s="443"/>
      <c r="O593" s="124"/>
      <c r="P593" s="124"/>
      <c r="Q593" s="450"/>
      <c r="R593" s="450"/>
      <c r="S593" s="450"/>
      <c r="T593" s="451"/>
      <c r="U593" s="451"/>
      <c r="V593" s="58"/>
      <c r="W593" s="58"/>
      <c r="X593" s="59"/>
      <c r="Y593" s="60"/>
      <c r="Z593" s="61">
        <v>1</v>
      </c>
      <c r="AA593" s="60"/>
    </row>
    <row r="594" spans="1:27" x14ac:dyDescent="0.25">
      <c r="A594" s="54"/>
      <c r="B594" s="437">
        <v>2007</v>
      </c>
      <c r="C594" s="74" t="s">
        <v>1537</v>
      </c>
      <c r="D594" s="74" t="s">
        <v>1021</v>
      </c>
      <c r="E594" s="443" t="s">
        <v>1527</v>
      </c>
      <c r="F594" s="443" t="s">
        <v>142</v>
      </c>
      <c r="G594" s="56" t="s">
        <v>1528</v>
      </c>
      <c r="H594" s="137" t="s">
        <v>1538</v>
      </c>
      <c r="I594" s="57" t="s">
        <v>1539</v>
      </c>
      <c r="J594" s="443">
        <v>1</v>
      </c>
      <c r="K594" s="443">
        <v>1</v>
      </c>
      <c r="L594" s="443">
        <v>4</v>
      </c>
      <c r="M594" s="443"/>
      <c r="N594" s="443"/>
      <c r="O594" s="124"/>
      <c r="P594" s="124"/>
      <c r="Q594" s="450"/>
      <c r="R594" s="450"/>
      <c r="S594" s="450"/>
      <c r="T594" s="451"/>
      <c r="U594" s="451"/>
      <c r="V594" s="58"/>
      <c r="W594" s="58"/>
      <c r="X594" s="59"/>
      <c r="Y594" s="60"/>
      <c r="Z594" s="61">
        <v>1</v>
      </c>
      <c r="AA594" s="60"/>
    </row>
    <row r="595" spans="1:27" x14ac:dyDescent="0.25">
      <c r="A595" s="54"/>
      <c r="B595" s="437">
        <v>2008</v>
      </c>
      <c r="C595" s="74" t="s">
        <v>1540</v>
      </c>
      <c r="D595" s="74" t="s">
        <v>1021</v>
      </c>
      <c r="E595" s="443" t="s">
        <v>1527</v>
      </c>
      <c r="F595" s="443" t="s">
        <v>142</v>
      </c>
      <c r="G595" s="56" t="s">
        <v>1528</v>
      </c>
      <c r="H595" s="137" t="s">
        <v>1538</v>
      </c>
      <c r="I595" s="57" t="s">
        <v>1539</v>
      </c>
      <c r="J595" s="443">
        <v>1</v>
      </c>
      <c r="K595" s="443">
        <v>1</v>
      </c>
      <c r="L595" s="443">
        <v>4</v>
      </c>
      <c r="M595" s="443"/>
      <c r="N595" s="443"/>
      <c r="O595" s="124"/>
      <c r="P595" s="124"/>
      <c r="Q595" s="450"/>
      <c r="R595" s="450"/>
      <c r="S595" s="450"/>
      <c r="T595" s="451"/>
      <c r="U595" s="451"/>
      <c r="V595" s="58"/>
      <c r="W595" s="58"/>
      <c r="X595" s="59"/>
      <c r="Y595" s="60"/>
      <c r="Z595" s="61">
        <v>1</v>
      </c>
      <c r="AA595" s="60"/>
    </row>
    <row r="596" spans="1:27" x14ac:dyDescent="0.25">
      <c r="A596" s="54"/>
      <c r="B596" s="437">
        <v>2009</v>
      </c>
      <c r="C596" s="74" t="s">
        <v>4514</v>
      </c>
      <c r="D596" s="74" t="s">
        <v>1021</v>
      </c>
      <c r="E596" s="443" t="s">
        <v>1527</v>
      </c>
      <c r="F596" s="443" t="s">
        <v>142</v>
      </c>
      <c r="G596" s="56" t="s">
        <v>1528</v>
      </c>
      <c r="H596" s="137"/>
      <c r="I596" s="57" t="s">
        <v>875</v>
      </c>
      <c r="J596" s="443">
        <v>1</v>
      </c>
      <c r="K596" s="443">
        <v>1</v>
      </c>
      <c r="L596" s="443">
        <v>2</v>
      </c>
      <c r="M596" s="443"/>
      <c r="N596" s="443"/>
      <c r="O596" s="124"/>
      <c r="P596" s="124"/>
      <c r="Q596" s="450"/>
      <c r="R596" s="450"/>
      <c r="S596" s="450"/>
      <c r="T596" s="451"/>
      <c r="U596" s="451"/>
      <c r="V596" s="58"/>
      <c r="W596" s="58"/>
      <c r="X596" s="59"/>
      <c r="Y596" s="60"/>
      <c r="Z596" s="61">
        <v>1</v>
      </c>
      <c r="AA596" s="60"/>
    </row>
    <row r="597" spans="1:27" x14ac:dyDescent="0.25">
      <c r="A597" s="54"/>
      <c r="B597" s="437">
        <v>2010</v>
      </c>
      <c r="C597" s="74" t="s">
        <v>4515</v>
      </c>
      <c r="D597" s="74" t="s">
        <v>1021</v>
      </c>
      <c r="E597" s="443" t="s">
        <v>1527</v>
      </c>
      <c r="F597" s="443" t="s">
        <v>142</v>
      </c>
      <c r="G597" s="56" t="s">
        <v>1528</v>
      </c>
      <c r="H597" s="137" t="s">
        <v>153</v>
      </c>
      <c r="I597" s="57" t="s">
        <v>875</v>
      </c>
      <c r="J597" s="443">
        <v>1</v>
      </c>
      <c r="K597" s="443">
        <v>4</v>
      </c>
      <c r="L597" s="443">
        <v>8</v>
      </c>
      <c r="M597" s="443"/>
      <c r="N597" s="443"/>
      <c r="O597" s="124"/>
      <c r="P597" s="124"/>
      <c r="Q597" s="450"/>
      <c r="R597" s="450"/>
      <c r="S597" s="450"/>
      <c r="T597" s="451"/>
      <c r="U597" s="451"/>
      <c r="V597" s="58"/>
      <c r="W597" s="58"/>
      <c r="X597" s="59"/>
      <c r="Y597" s="60"/>
      <c r="Z597" s="61">
        <v>1</v>
      </c>
      <c r="AA597" s="60"/>
    </row>
    <row r="598" spans="1:27" x14ac:dyDescent="0.25">
      <c r="A598" s="54"/>
      <c r="B598" s="437">
        <v>2011</v>
      </c>
      <c r="C598" s="74" t="s">
        <v>4516</v>
      </c>
      <c r="D598" s="74" t="s">
        <v>1021</v>
      </c>
      <c r="E598" s="443" t="s">
        <v>1527</v>
      </c>
      <c r="F598" s="443" t="s">
        <v>142</v>
      </c>
      <c r="G598" s="56" t="s">
        <v>1528</v>
      </c>
      <c r="H598" s="137" t="s">
        <v>1538</v>
      </c>
      <c r="I598" s="57" t="s">
        <v>1539</v>
      </c>
      <c r="J598" s="443">
        <v>1</v>
      </c>
      <c r="K598" s="443">
        <v>32</v>
      </c>
      <c r="L598" s="443">
        <v>4</v>
      </c>
      <c r="M598" s="443"/>
      <c r="N598" s="443"/>
      <c r="O598" s="124"/>
      <c r="P598" s="124"/>
      <c r="Q598" s="450"/>
      <c r="R598" s="450"/>
      <c r="S598" s="450"/>
      <c r="T598" s="451"/>
      <c r="U598" s="451"/>
      <c r="V598" s="58"/>
      <c r="W598" s="58"/>
      <c r="X598" s="59"/>
      <c r="Y598" s="60"/>
      <c r="Z598" s="61">
        <v>1</v>
      </c>
      <c r="AA598" s="60"/>
    </row>
    <row r="599" spans="1:27" x14ac:dyDescent="0.25">
      <c r="A599" s="54"/>
      <c r="B599" s="437">
        <v>2012</v>
      </c>
      <c r="C599" s="74" t="s">
        <v>4517</v>
      </c>
      <c r="D599" s="74" t="s">
        <v>1021</v>
      </c>
      <c r="E599" s="443" t="s">
        <v>1527</v>
      </c>
      <c r="F599" s="443" t="s">
        <v>142</v>
      </c>
      <c r="G599" s="56" t="s">
        <v>1528</v>
      </c>
      <c r="H599" s="137" t="s">
        <v>1538</v>
      </c>
      <c r="I599" s="57" t="s">
        <v>1539</v>
      </c>
      <c r="J599" s="443">
        <v>1</v>
      </c>
      <c r="K599" s="443">
        <v>32</v>
      </c>
      <c r="L599" s="443">
        <v>4</v>
      </c>
      <c r="M599" s="443"/>
      <c r="N599" s="443"/>
      <c r="O599" s="124"/>
      <c r="P599" s="124"/>
      <c r="Q599" s="450"/>
      <c r="R599" s="450"/>
      <c r="S599" s="450"/>
      <c r="T599" s="451"/>
      <c r="U599" s="451"/>
      <c r="V599" s="58"/>
      <c r="W599" s="58"/>
      <c r="X599" s="59"/>
      <c r="Y599" s="60"/>
      <c r="Z599" s="61">
        <v>1</v>
      </c>
      <c r="AA599" s="60"/>
    </row>
    <row r="600" spans="1:27" x14ac:dyDescent="0.25">
      <c r="A600" s="54"/>
      <c r="B600" s="437">
        <v>2013</v>
      </c>
      <c r="C600" s="74" t="s">
        <v>4518</v>
      </c>
      <c r="D600" s="74" t="s">
        <v>1021</v>
      </c>
      <c r="E600" s="443" t="s">
        <v>1527</v>
      </c>
      <c r="F600" s="443" t="s">
        <v>142</v>
      </c>
      <c r="G600" s="56" t="s">
        <v>1528</v>
      </c>
      <c r="H600" s="137" t="s">
        <v>1538</v>
      </c>
      <c r="I600" s="57" t="s">
        <v>1539</v>
      </c>
      <c r="J600" s="443">
        <v>1</v>
      </c>
      <c r="K600" s="443">
        <v>32</v>
      </c>
      <c r="L600" s="443">
        <v>4</v>
      </c>
      <c r="M600" s="443"/>
      <c r="N600" s="443"/>
      <c r="O600" s="124"/>
      <c r="P600" s="124"/>
      <c r="Q600" s="450"/>
      <c r="R600" s="450"/>
      <c r="S600" s="450"/>
      <c r="T600" s="451"/>
      <c r="U600" s="451"/>
      <c r="V600" s="58"/>
      <c r="W600" s="58"/>
      <c r="X600" s="59"/>
      <c r="Y600" s="60"/>
      <c r="Z600" s="61">
        <v>1</v>
      </c>
      <c r="AA600" s="60"/>
    </row>
    <row r="601" spans="1:27" x14ac:dyDescent="0.25">
      <c r="A601" s="54"/>
      <c r="B601" s="437">
        <v>2014</v>
      </c>
      <c r="C601" s="74" t="s">
        <v>4519</v>
      </c>
      <c r="D601" s="74" t="s">
        <v>1021</v>
      </c>
      <c r="E601" s="443" t="s">
        <v>1527</v>
      </c>
      <c r="F601" s="443" t="s">
        <v>142</v>
      </c>
      <c r="G601" s="56" t="s">
        <v>1528</v>
      </c>
      <c r="H601" s="137" t="s">
        <v>1538</v>
      </c>
      <c r="I601" s="57" t="s">
        <v>1539</v>
      </c>
      <c r="J601" s="443">
        <v>1</v>
      </c>
      <c r="K601" s="443">
        <v>32</v>
      </c>
      <c r="L601" s="443">
        <v>4</v>
      </c>
      <c r="M601" s="443"/>
      <c r="N601" s="443"/>
      <c r="O601" s="124"/>
      <c r="P601" s="124"/>
      <c r="Q601" s="450"/>
      <c r="R601" s="450"/>
      <c r="S601" s="450"/>
      <c r="T601" s="451"/>
      <c r="U601" s="451"/>
      <c r="V601" s="58"/>
      <c r="W601" s="58"/>
      <c r="X601" s="59"/>
      <c r="Y601" s="60"/>
      <c r="Z601" s="61">
        <v>1</v>
      </c>
      <c r="AA601" s="60"/>
    </row>
    <row r="602" spans="1:27" x14ac:dyDescent="0.25">
      <c r="A602" s="54"/>
      <c r="B602" s="437">
        <v>2015</v>
      </c>
      <c r="C602" s="74" t="s">
        <v>4520</v>
      </c>
      <c r="D602" s="74" t="s">
        <v>1021</v>
      </c>
      <c r="E602" s="443" t="s">
        <v>1527</v>
      </c>
      <c r="F602" s="443" t="s">
        <v>142</v>
      </c>
      <c r="G602" s="56" t="s">
        <v>1528</v>
      </c>
      <c r="H602" s="137" t="s">
        <v>1538</v>
      </c>
      <c r="I602" s="57" t="s">
        <v>1539</v>
      </c>
      <c r="J602" s="443">
        <v>1</v>
      </c>
      <c r="K602" s="443">
        <v>32</v>
      </c>
      <c r="L602" s="443">
        <v>4</v>
      </c>
      <c r="M602" s="443"/>
      <c r="N602" s="443"/>
      <c r="O602" s="124"/>
      <c r="P602" s="124"/>
      <c r="Q602" s="450"/>
      <c r="R602" s="450"/>
      <c r="S602" s="450"/>
      <c r="T602" s="451"/>
      <c r="U602" s="451"/>
      <c r="V602" s="58"/>
      <c r="W602" s="58"/>
      <c r="X602" s="59"/>
      <c r="Y602" s="60"/>
      <c r="Z602" s="61">
        <v>1</v>
      </c>
      <c r="AA602" s="60"/>
    </row>
    <row r="603" spans="1:27" x14ac:dyDescent="0.25">
      <c r="A603" s="54"/>
      <c r="B603" s="437">
        <v>2016</v>
      </c>
      <c r="C603" s="74" t="s">
        <v>4521</v>
      </c>
      <c r="D603" s="74" t="s">
        <v>1021</v>
      </c>
      <c r="E603" s="443" t="s">
        <v>1527</v>
      </c>
      <c r="F603" s="443" t="s">
        <v>142</v>
      </c>
      <c r="G603" s="56" t="s">
        <v>1528</v>
      </c>
      <c r="H603" s="137" t="s">
        <v>1538</v>
      </c>
      <c r="I603" s="57" t="s">
        <v>1539</v>
      </c>
      <c r="J603" s="443">
        <v>1</v>
      </c>
      <c r="K603" s="443">
        <v>32</v>
      </c>
      <c r="L603" s="443">
        <v>4</v>
      </c>
      <c r="M603" s="443"/>
      <c r="N603" s="443"/>
      <c r="O603" s="124"/>
      <c r="P603" s="124"/>
      <c r="Q603" s="450"/>
      <c r="R603" s="450"/>
      <c r="S603" s="450"/>
      <c r="T603" s="451"/>
      <c r="U603" s="451"/>
      <c r="V603" s="58"/>
      <c r="W603" s="58"/>
      <c r="X603" s="59"/>
      <c r="Y603" s="60"/>
      <c r="Z603" s="61">
        <v>1</v>
      </c>
      <c r="AA603" s="60"/>
    </row>
    <row r="604" spans="1:27" x14ac:dyDescent="0.25">
      <c r="A604" s="54"/>
      <c r="B604" s="437">
        <v>2017</v>
      </c>
      <c r="C604" s="74" t="s">
        <v>4522</v>
      </c>
      <c r="D604" s="74" t="s">
        <v>1021</v>
      </c>
      <c r="E604" s="443" t="s">
        <v>1527</v>
      </c>
      <c r="F604" s="443" t="s">
        <v>142</v>
      </c>
      <c r="G604" s="56" t="s">
        <v>1528</v>
      </c>
      <c r="H604" s="137" t="s">
        <v>1538</v>
      </c>
      <c r="I604" s="57" t="s">
        <v>1539</v>
      </c>
      <c r="J604" s="443">
        <v>1</v>
      </c>
      <c r="K604" s="443">
        <v>32</v>
      </c>
      <c r="L604" s="443">
        <v>4</v>
      </c>
      <c r="M604" s="443"/>
      <c r="N604" s="443"/>
      <c r="O604" s="124"/>
      <c r="P604" s="124"/>
      <c r="Q604" s="450"/>
      <c r="R604" s="450"/>
      <c r="S604" s="450"/>
      <c r="T604" s="451"/>
      <c r="U604" s="451"/>
      <c r="V604" s="58"/>
      <c r="W604" s="58"/>
      <c r="X604" s="59"/>
      <c r="Y604" s="60"/>
      <c r="Z604" s="61">
        <v>1</v>
      </c>
      <c r="AA604" s="60"/>
    </row>
    <row r="605" spans="1:27" x14ac:dyDescent="0.25">
      <c r="A605" s="54"/>
      <c r="B605" s="437">
        <v>2018</v>
      </c>
      <c r="C605" s="487" t="s">
        <v>4523</v>
      </c>
      <c r="D605" s="74" t="s">
        <v>1021</v>
      </c>
      <c r="E605" s="443" t="s">
        <v>1527</v>
      </c>
      <c r="F605" s="443" t="s">
        <v>142</v>
      </c>
      <c r="G605" s="56" t="s">
        <v>1528</v>
      </c>
      <c r="H605" s="137" t="s">
        <v>1538</v>
      </c>
      <c r="I605" s="57" t="s">
        <v>1539</v>
      </c>
      <c r="J605" s="443">
        <v>1</v>
      </c>
      <c r="K605" s="443">
        <v>32</v>
      </c>
      <c r="L605" s="443">
        <v>4</v>
      </c>
      <c r="M605" s="443"/>
      <c r="N605" s="443"/>
      <c r="O605" s="124"/>
      <c r="P605" s="124"/>
      <c r="Q605" s="450"/>
      <c r="R605" s="450"/>
      <c r="S605" s="450"/>
      <c r="T605" s="451"/>
      <c r="U605" s="451"/>
      <c r="V605" s="58"/>
      <c r="W605" s="58"/>
      <c r="X605" s="59"/>
      <c r="Y605" s="60"/>
      <c r="Z605" s="61">
        <v>1</v>
      </c>
      <c r="AA605" s="60"/>
    </row>
    <row r="606" spans="1:27" ht="13.8" thickBot="1" x14ac:dyDescent="0.3">
      <c r="A606" s="54"/>
      <c r="B606" s="149">
        <v>2019</v>
      </c>
      <c r="C606" s="77" t="s">
        <v>4524</v>
      </c>
      <c r="D606" s="77" t="s">
        <v>1021</v>
      </c>
      <c r="E606" s="65" t="s">
        <v>1527</v>
      </c>
      <c r="F606" s="65" t="s">
        <v>142</v>
      </c>
      <c r="G606" s="64" t="s">
        <v>1528</v>
      </c>
      <c r="H606" s="488" t="s">
        <v>1538</v>
      </c>
      <c r="I606" s="456" t="s">
        <v>1539</v>
      </c>
      <c r="J606" s="65">
        <v>1</v>
      </c>
      <c r="K606" s="65">
        <v>32</v>
      </c>
      <c r="L606" s="65">
        <v>4</v>
      </c>
      <c r="M606" s="65"/>
      <c r="N606" s="65"/>
      <c r="O606" s="148"/>
      <c r="P606" s="148"/>
      <c r="Q606" s="79"/>
      <c r="R606" s="79"/>
      <c r="S606" s="79"/>
      <c r="T606" s="80"/>
      <c r="U606" s="80"/>
      <c r="V606" s="457"/>
      <c r="W606" s="457"/>
      <c r="X606" s="463"/>
      <c r="Y606" s="464"/>
      <c r="Z606" s="465">
        <v>1</v>
      </c>
      <c r="AA606" s="464"/>
    </row>
    <row r="607" spans="1:27" x14ac:dyDescent="0.25">
      <c r="A607" s="259" t="s">
        <v>4525</v>
      </c>
      <c r="B607" s="436">
        <v>11000</v>
      </c>
      <c r="C607" s="85" t="s">
        <v>4526</v>
      </c>
      <c r="D607" s="489" t="s">
        <v>1021</v>
      </c>
      <c r="E607" s="442" t="s">
        <v>1527</v>
      </c>
      <c r="F607" s="442" t="s">
        <v>142</v>
      </c>
      <c r="G607" s="86" t="s">
        <v>1528</v>
      </c>
      <c r="H607" s="442" t="s">
        <v>4527</v>
      </c>
      <c r="I607" s="87" t="s">
        <v>1539</v>
      </c>
      <c r="J607" s="442">
        <v>1</v>
      </c>
      <c r="K607" s="442">
        <v>8</v>
      </c>
      <c r="L607" s="442">
        <v>4</v>
      </c>
      <c r="M607" s="442"/>
      <c r="N607" s="442"/>
      <c r="O607" s="122"/>
      <c r="P607" s="122"/>
      <c r="Q607" s="449"/>
      <c r="R607" s="449"/>
      <c r="S607" s="449"/>
      <c r="T607" s="461"/>
      <c r="U607" s="461"/>
      <c r="V607" s="88"/>
      <c r="W607" s="88"/>
      <c r="X607" s="89"/>
      <c r="Y607" s="90"/>
      <c r="Z607" s="91">
        <v>1</v>
      </c>
      <c r="AA607" s="90"/>
    </row>
    <row r="608" spans="1:27" x14ac:dyDescent="0.25">
      <c r="A608" s="230"/>
      <c r="B608" s="132">
        <v>11001</v>
      </c>
      <c r="C608" s="133" t="s">
        <v>4528</v>
      </c>
      <c r="D608" s="232" t="s">
        <v>1021</v>
      </c>
      <c r="E608" s="66" t="s">
        <v>1527</v>
      </c>
      <c r="F608" s="66" t="s">
        <v>142</v>
      </c>
      <c r="G608" s="439" t="s">
        <v>1528</v>
      </c>
      <c r="H608" s="66" t="s">
        <v>4527</v>
      </c>
      <c r="I608" s="57" t="s">
        <v>1539</v>
      </c>
      <c r="J608" s="66">
        <v>1</v>
      </c>
      <c r="K608" s="66">
        <v>7</v>
      </c>
      <c r="L608" s="66">
        <v>4</v>
      </c>
      <c r="M608" s="66"/>
      <c r="N608" s="66"/>
      <c r="O608" s="142"/>
      <c r="P608" s="142"/>
      <c r="Q608" s="460"/>
      <c r="R608" s="460"/>
      <c r="S608" s="460"/>
      <c r="T608" s="135"/>
      <c r="U608" s="135"/>
      <c r="V608" s="458"/>
      <c r="W608" s="458"/>
      <c r="X608" s="445"/>
      <c r="Y608" s="453"/>
      <c r="Z608" s="455">
        <v>1</v>
      </c>
      <c r="AA608" s="453"/>
    </row>
    <row r="609" spans="1:27" x14ac:dyDescent="0.25">
      <c r="A609" s="230"/>
      <c r="B609" s="132">
        <v>11002</v>
      </c>
      <c r="C609" s="133" t="s">
        <v>4529</v>
      </c>
      <c r="D609" s="232" t="s">
        <v>1021</v>
      </c>
      <c r="E609" s="66" t="s">
        <v>1527</v>
      </c>
      <c r="F609" s="66" t="s">
        <v>142</v>
      </c>
      <c r="G609" s="439" t="s">
        <v>1528</v>
      </c>
      <c r="H609" s="66" t="s">
        <v>4527</v>
      </c>
      <c r="I609" s="57" t="s">
        <v>1539</v>
      </c>
      <c r="J609" s="66">
        <v>1</v>
      </c>
      <c r="K609" s="66">
        <v>11</v>
      </c>
      <c r="L609" s="66">
        <v>4</v>
      </c>
      <c r="M609" s="66"/>
      <c r="N609" s="66"/>
      <c r="O609" s="142"/>
      <c r="P609" s="142"/>
      <c r="Q609" s="460"/>
      <c r="R609" s="460"/>
      <c r="S609" s="460"/>
      <c r="T609" s="135"/>
      <c r="U609" s="135"/>
      <c r="V609" s="458"/>
      <c r="W609" s="458"/>
      <c r="X609" s="445"/>
      <c r="Y609" s="453"/>
      <c r="Z609" s="455">
        <v>1</v>
      </c>
      <c r="AA609" s="453"/>
    </row>
    <row r="610" spans="1:27" x14ac:dyDescent="0.25">
      <c r="A610" s="230"/>
      <c r="B610" s="132">
        <v>11003</v>
      </c>
      <c r="C610" s="133" t="s">
        <v>4530</v>
      </c>
      <c r="D610" s="232" t="s">
        <v>1021</v>
      </c>
      <c r="E610" s="66" t="s">
        <v>1527</v>
      </c>
      <c r="F610" s="66" t="s">
        <v>142</v>
      </c>
      <c r="G610" s="439" t="s">
        <v>1528</v>
      </c>
      <c r="H610" s="66" t="s">
        <v>4527</v>
      </c>
      <c r="I610" s="57" t="s">
        <v>1539</v>
      </c>
      <c r="J610" s="66">
        <v>1</v>
      </c>
      <c r="K610" s="66">
        <v>1</v>
      </c>
      <c r="L610" s="66">
        <v>4</v>
      </c>
      <c r="M610" s="66"/>
      <c r="N610" s="66"/>
      <c r="O610" s="142"/>
      <c r="P610" s="142"/>
      <c r="Q610" s="460"/>
      <c r="R610" s="460"/>
      <c r="S610" s="460"/>
      <c r="T610" s="135"/>
      <c r="U610" s="135"/>
      <c r="V610" s="458"/>
      <c r="W610" s="458"/>
      <c r="X610" s="445"/>
      <c r="Y610" s="453"/>
      <c r="Z610" s="455">
        <v>1</v>
      </c>
      <c r="AA610" s="453"/>
    </row>
    <row r="611" spans="1:27" x14ac:dyDescent="0.25">
      <c r="A611" s="106"/>
      <c r="B611" s="490">
        <v>11004</v>
      </c>
      <c r="C611" s="491" t="s">
        <v>4531</v>
      </c>
      <c r="D611" s="130" t="s">
        <v>1021</v>
      </c>
      <c r="E611" s="443" t="s">
        <v>1063</v>
      </c>
      <c r="F611" s="443"/>
      <c r="G611" s="56" t="s">
        <v>1149</v>
      </c>
      <c r="H611" s="137">
        <v>1E-3</v>
      </c>
      <c r="I611" s="57" t="s">
        <v>875</v>
      </c>
      <c r="J611" s="443">
        <v>1</v>
      </c>
      <c r="K611" s="443">
        <v>2</v>
      </c>
      <c r="L611" s="443">
        <v>4</v>
      </c>
      <c r="M611" s="443"/>
      <c r="N611" s="443"/>
      <c r="O611" s="142"/>
      <c r="P611" s="142"/>
      <c r="Q611" s="460"/>
      <c r="R611" s="460"/>
      <c r="S611" s="460"/>
      <c r="T611" s="135"/>
      <c r="U611" s="135"/>
      <c r="V611" s="458"/>
      <c r="W611" s="458"/>
      <c r="X611" s="445"/>
      <c r="Y611" s="453"/>
      <c r="Z611" s="455">
        <v>1</v>
      </c>
      <c r="AA611" s="453"/>
    </row>
    <row r="612" spans="1:27" x14ac:dyDescent="0.25">
      <c r="A612" s="106"/>
      <c r="B612" s="490">
        <v>11005</v>
      </c>
      <c r="C612" s="491" t="s">
        <v>4532</v>
      </c>
      <c r="D612" s="130" t="s">
        <v>1021</v>
      </c>
      <c r="E612" s="443" t="s">
        <v>1063</v>
      </c>
      <c r="F612" s="443"/>
      <c r="G612" s="56" t="s">
        <v>1149</v>
      </c>
      <c r="H612" s="137">
        <v>1E-3</v>
      </c>
      <c r="I612" s="57" t="s">
        <v>875</v>
      </c>
      <c r="J612" s="443">
        <v>1</v>
      </c>
      <c r="K612" s="443">
        <v>2</v>
      </c>
      <c r="L612" s="443">
        <v>4</v>
      </c>
      <c r="M612" s="443"/>
      <c r="N612" s="443"/>
      <c r="O612" s="142"/>
      <c r="P612" s="142"/>
      <c r="Q612" s="460"/>
      <c r="R612" s="460"/>
      <c r="S612" s="460"/>
      <c r="T612" s="135"/>
      <c r="U612" s="135"/>
      <c r="V612" s="458"/>
      <c r="W612" s="458"/>
      <c r="X612" s="445"/>
      <c r="Y612" s="453"/>
      <c r="Z612" s="455">
        <v>1</v>
      </c>
      <c r="AA612" s="453"/>
    </row>
    <row r="613" spans="1:27" x14ac:dyDescent="0.25">
      <c r="A613" s="106"/>
      <c r="B613" s="490">
        <v>11006</v>
      </c>
      <c r="C613" s="491" t="s">
        <v>4533</v>
      </c>
      <c r="D613" s="130" t="s">
        <v>1021</v>
      </c>
      <c r="E613" s="443" t="s">
        <v>1063</v>
      </c>
      <c r="F613" s="443"/>
      <c r="G613" s="56" t="s">
        <v>1149</v>
      </c>
      <c r="H613" s="137">
        <v>1E-3</v>
      </c>
      <c r="I613" s="57" t="s">
        <v>875</v>
      </c>
      <c r="J613" s="443">
        <v>1</v>
      </c>
      <c r="K613" s="443">
        <v>2</v>
      </c>
      <c r="L613" s="443">
        <v>4</v>
      </c>
      <c r="M613" s="443"/>
      <c r="N613" s="443"/>
      <c r="O613" s="142"/>
      <c r="P613" s="142"/>
      <c r="Q613" s="460"/>
      <c r="R613" s="460"/>
      <c r="S613" s="460"/>
      <c r="T613" s="135"/>
      <c r="U613" s="135"/>
      <c r="V613" s="458"/>
      <c r="W613" s="458"/>
      <c r="X613" s="445"/>
      <c r="Y613" s="453"/>
      <c r="Z613" s="455">
        <v>1</v>
      </c>
      <c r="AA613" s="453"/>
    </row>
    <row r="614" spans="1:27" x14ac:dyDescent="0.25">
      <c r="A614" s="106"/>
      <c r="B614" s="492">
        <v>11007</v>
      </c>
      <c r="C614" s="493" t="s">
        <v>4534</v>
      </c>
      <c r="D614" s="494" t="s">
        <v>1021</v>
      </c>
      <c r="E614" s="180" t="s">
        <v>1063</v>
      </c>
      <c r="F614" s="180"/>
      <c r="G614" s="181" t="s">
        <v>1149</v>
      </c>
      <c r="H614" s="495" t="s">
        <v>4535</v>
      </c>
      <c r="I614" s="182" t="s">
        <v>1539</v>
      </c>
      <c r="J614" s="180">
        <v>1</v>
      </c>
      <c r="K614" s="180">
        <v>1</v>
      </c>
      <c r="L614" s="180">
        <v>2</v>
      </c>
      <c r="M614" s="443"/>
      <c r="N614" s="443"/>
      <c r="O614" s="142"/>
      <c r="P614" s="142"/>
      <c r="Q614" s="460"/>
      <c r="R614" s="460"/>
      <c r="S614" s="460"/>
      <c r="T614" s="135"/>
      <c r="U614" s="135"/>
      <c r="V614" s="458"/>
      <c r="W614" s="458"/>
      <c r="X614" s="445"/>
      <c r="Y614" s="453"/>
      <c r="Z614" s="455">
        <v>1</v>
      </c>
      <c r="AA614" s="453"/>
    </row>
    <row r="615" spans="1:27" x14ac:dyDescent="0.25">
      <c r="B615" s="496"/>
    </row>
    <row r="616" spans="1:27" ht="13.8" thickBot="1" x14ac:dyDescent="0.3">
      <c r="B616" s="496"/>
    </row>
    <row r="617" spans="1:27" ht="13.8" thickBot="1" x14ac:dyDescent="0.3">
      <c r="B617" s="496"/>
      <c r="C617" s="497" t="s">
        <v>4536</v>
      </c>
      <c r="D617" s="498"/>
      <c r="E617" s="499"/>
      <c r="F617" s="499"/>
      <c r="G617" s="499"/>
      <c r="H617" s="499"/>
      <c r="I617" s="499"/>
      <c r="J617" s="499"/>
      <c r="K617" s="499"/>
      <c r="L617" s="499"/>
      <c r="M617" s="499"/>
      <c r="N617" s="499"/>
      <c r="O617" s="122">
        <f>SUMIF(O3:O616,"1",$J3:$J616)</f>
        <v>148</v>
      </c>
      <c r="P617" s="122">
        <f>SUMIF(P3:P616,"1",$J3:$J616)</f>
        <v>153</v>
      </c>
      <c r="Q617" s="500">
        <f>SUMIF(Q3:Q616,"1",$J3:$J616)</f>
        <v>982</v>
      </c>
      <c r="R617" s="500">
        <f>SUMIF(R3:R616,"1",$J3:$J616)</f>
        <v>687</v>
      </c>
      <c r="S617" s="500"/>
      <c r="T617" s="501">
        <f t="shared" ref="T617:AA617" si="4">SUMIF(T3:T616,"1",$J3:$J616)</f>
        <v>26</v>
      </c>
      <c r="U617" s="501">
        <f t="shared" si="4"/>
        <v>0</v>
      </c>
      <c r="V617" s="502">
        <f t="shared" si="4"/>
        <v>89</v>
      </c>
      <c r="W617" s="502">
        <f t="shared" si="4"/>
        <v>83</v>
      </c>
      <c r="X617" s="503">
        <f t="shared" si="4"/>
        <v>15</v>
      </c>
      <c r="Y617" s="503">
        <f t="shared" si="4"/>
        <v>123</v>
      </c>
      <c r="Z617" s="503">
        <f t="shared" si="4"/>
        <v>80</v>
      </c>
      <c r="AA617" s="503">
        <f t="shared" si="4"/>
        <v>6</v>
      </c>
    </row>
    <row r="618" spans="1:27" ht="13.8" thickBot="1" x14ac:dyDescent="0.3">
      <c r="B618" s="496"/>
      <c r="C618" s="497" t="s">
        <v>4537</v>
      </c>
      <c r="D618" s="498"/>
      <c r="E618" s="499"/>
      <c r="F618" s="499"/>
      <c r="G618" s="499"/>
      <c r="H618" s="499"/>
      <c r="I618" s="499"/>
      <c r="J618" s="499"/>
      <c r="K618" s="499"/>
      <c r="L618" s="499"/>
      <c r="M618" s="499"/>
      <c r="N618" s="499"/>
      <c r="O618" s="122">
        <v>31</v>
      </c>
      <c r="P618" s="122">
        <v>31</v>
      </c>
      <c r="Q618" s="500">
        <v>31</v>
      </c>
      <c r="R618" s="500">
        <v>31</v>
      </c>
      <c r="S618" s="500"/>
      <c r="T618" s="501">
        <v>31</v>
      </c>
      <c r="U618" s="501">
        <v>31</v>
      </c>
      <c r="V618" s="502">
        <v>31</v>
      </c>
      <c r="W618" s="502">
        <v>31</v>
      </c>
      <c r="X618" s="503">
        <v>31</v>
      </c>
      <c r="Y618" s="503">
        <v>31</v>
      </c>
      <c r="Z618" s="503">
        <v>31</v>
      </c>
      <c r="AA618" s="503">
        <v>31</v>
      </c>
    </row>
    <row r="619" spans="1:27" x14ac:dyDescent="0.25">
      <c r="B619" s="496"/>
      <c r="C619" s="497" t="s">
        <v>4538</v>
      </c>
      <c r="D619" s="498"/>
      <c r="E619" s="499"/>
      <c r="F619" s="499"/>
      <c r="G619" s="499"/>
      <c r="H619" s="499"/>
      <c r="I619" s="499"/>
      <c r="J619" s="499"/>
      <c r="K619" s="499"/>
      <c r="L619" s="499"/>
      <c r="M619" s="499"/>
      <c r="N619" s="499"/>
      <c r="O619" s="122">
        <v>4</v>
      </c>
      <c r="P619" s="122">
        <v>4</v>
      </c>
      <c r="Q619" s="500">
        <v>4</v>
      </c>
      <c r="R619" s="500">
        <v>4</v>
      </c>
      <c r="S619" s="500"/>
      <c r="T619" s="501">
        <v>4</v>
      </c>
      <c r="U619" s="501">
        <v>4</v>
      </c>
      <c r="V619" s="502">
        <v>4</v>
      </c>
      <c r="W619" s="502">
        <v>4</v>
      </c>
      <c r="X619" s="503">
        <v>4</v>
      </c>
      <c r="Y619" s="503">
        <v>4</v>
      </c>
      <c r="Z619" s="503">
        <v>4</v>
      </c>
      <c r="AA619" s="503">
        <v>4</v>
      </c>
    </row>
    <row r="620" spans="1:27" x14ac:dyDescent="0.25">
      <c r="B620" s="496"/>
      <c r="C620" s="504" t="s">
        <v>4539</v>
      </c>
      <c r="D620" s="131"/>
      <c r="E620" s="505"/>
      <c r="F620" s="505"/>
      <c r="G620" s="505"/>
      <c r="H620" s="505"/>
      <c r="I620" s="505"/>
      <c r="J620" s="505"/>
      <c r="K620" s="505"/>
      <c r="L620" s="505"/>
      <c r="M620" s="505"/>
      <c r="N620" s="505"/>
      <c r="O620" s="124">
        <v>3</v>
      </c>
      <c r="P620" s="124">
        <v>3</v>
      </c>
      <c r="Q620" s="506">
        <v>3</v>
      </c>
      <c r="R620" s="506">
        <v>3</v>
      </c>
      <c r="S620" s="506"/>
      <c r="T620" s="507">
        <v>3</v>
      </c>
      <c r="U620" s="507">
        <v>3</v>
      </c>
      <c r="V620" s="508">
        <v>3</v>
      </c>
      <c r="W620" s="508">
        <v>3</v>
      </c>
      <c r="X620" s="509">
        <v>3</v>
      </c>
      <c r="Y620" s="509">
        <v>3</v>
      </c>
      <c r="Z620" s="509">
        <v>3</v>
      </c>
      <c r="AA620" s="509">
        <v>3</v>
      </c>
    </row>
    <row r="621" spans="1:27" x14ac:dyDescent="0.25">
      <c r="B621" s="496"/>
      <c r="C621" s="504" t="s">
        <v>4540</v>
      </c>
      <c r="D621" s="131"/>
      <c r="E621" s="505"/>
      <c r="F621" s="505"/>
      <c r="G621" s="505"/>
      <c r="H621" s="505"/>
      <c r="I621" s="505"/>
      <c r="J621" s="505"/>
      <c r="K621" s="505"/>
      <c r="L621" s="505"/>
      <c r="M621" s="505"/>
      <c r="N621" s="505"/>
      <c r="O621" s="124">
        <f>SUMIF(O3:O616,"1",$L$3:$L$616)</f>
        <v>840</v>
      </c>
      <c r="P621" s="124">
        <f>SUMIF(P3:P616,"1",$L$3:$L$616)</f>
        <v>736</v>
      </c>
      <c r="Q621" s="506">
        <f>SUMIF(Q3:Q616,"1",$L$3:$L$616)</f>
        <v>5630</v>
      </c>
      <c r="R621" s="506">
        <f>SUMIF(R3:R616,"1",$L$3:$L$616)</f>
        <v>3800</v>
      </c>
      <c r="S621" s="506"/>
      <c r="T621" s="507">
        <f t="shared" ref="T621:AA621" si="5">SUMIF(T3:T616,"1",$L$3:$L$616)</f>
        <v>230</v>
      </c>
      <c r="U621" s="507">
        <f t="shared" si="5"/>
        <v>0</v>
      </c>
      <c r="V621" s="508">
        <f t="shared" si="5"/>
        <v>545</v>
      </c>
      <c r="W621" s="508">
        <f t="shared" si="5"/>
        <v>383</v>
      </c>
      <c r="X621" s="509">
        <f t="shared" si="5"/>
        <v>112</v>
      </c>
      <c r="Y621" s="509">
        <f t="shared" si="5"/>
        <v>633</v>
      </c>
      <c r="Z621" s="509">
        <f t="shared" si="5"/>
        <v>387</v>
      </c>
      <c r="AA621" s="509">
        <f t="shared" si="5"/>
        <v>320</v>
      </c>
    </row>
    <row r="622" spans="1:27" ht="13.8" thickBot="1" x14ac:dyDescent="0.3">
      <c r="B622" s="496"/>
      <c r="C622" s="510" t="s">
        <v>4541</v>
      </c>
      <c r="D622" s="511"/>
      <c r="E622" s="512"/>
      <c r="F622" s="512"/>
      <c r="G622" s="512"/>
      <c r="H622" s="512"/>
      <c r="I622" s="512"/>
      <c r="J622" s="512"/>
      <c r="K622" s="512"/>
      <c r="L622" s="512"/>
      <c r="M622" s="512"/>
      <c r="N622" s="98"/>
      <c r="O622" s="200">
        <f>SUMIF(O3:O616,"1",$J3:$J616)+3</f>
        <v>151</v>
      </c>
      <c r="P622" s="200">
        <f>SUMIF(P3:P616,"1",$J3:$J616)+3</f>
        <v>156</v>
      </c>
      <c r="Q622" s="513">
        <f>SUMIF(Q3:Q616,"1",$J3:$J616)+3</f>
        <v>985</v>
      </c>
      <c r="R622" s="513">
        <f>SUMIF(R3:R616,"1",$J3:$J616)+3</f>
        <v>690</v>
      </c>
      <c r="S622" s="513"/>
      <c r="T622" s="514">
        <f t="shared" ref="T622:AA622" si="6">SUMIF(T3:T616,"1",$J3:$J616)+3</f>
        <v>29</v>
      </c>
      <c r="U622" s="514">
        <f t="shared" si="6"/>
        <v>3</v>
      </c>
      <c r="V622" s="515">
        <f t="shared" si="6"/>
        <v>92</v>
      </c>
      <c r="W622" s="515">
        <f t="shared" si="6"/>
        <v>86</v>
      </c>
      <c r="X622" s="516">
        <f t="shared" si="6"/>
        <v>18</v>
      </c>
      <c r="Y622" s="516">
        <f t="shared" si="6"/>
        <v>126</v>
      </c>
      <c r="Z622" s="516">
        <f t="shared" si="6"/>
        <v>83</v>
      </c>
      <c r="AA622" s="516">
        <f t="shared" si="6"/>
        <v>9</v>
      </c>
    </row>
    <row r="623" spans="1:27" ht="13.8" thickBot="1" x14ac:dyDescent="0.3">
      <c r="B623" s="496"/>
      <c r="C623" s="510" t="s">
        <v>4542</v>
      </c>
      <c r="D623" s="511"/>
      <c r="E623" s="512"/>
      <c r="F623" s="512"/>
      <c r="G623" s="512"/>
      <c r="H623" s="512"/>
      <c r="I623" s="512"/>
      <c r="J623" s="512"/>
      <c r="K623" s="512"/>
      <c r="L623" s="512"/>
      <c r="M623" s="512"/>
      <c r="N623" s="98"/>
      <c r="O623" s="200">
        <v>4</v>
      </c>
      <c r="P623" s="200">
        <v>4</v>
      </c>
      <c r="Q623" s="513">
        <v>4</v>
      </c>
      <c r="R623" s="513">
        <v>4</v>
      </c>
      <c r="S623" s="513"/>
      <c r="T623" s="514">
        <v>4</v>
      </c>
      <c r="U623" s="514">
        <v>4</v>
      </c>
      <c r="V623" s="515">
        <v>4</v>
      </c>
      <c r="W623" s="515">
        <v>4</v>
      </c>
      <c r="X623" s="516">
        <v>4</v>
      </c>
      <c r="Y623" s="516">
        <v>4</v>
      </c>
      <c r="Z623" s="516">
        <v>4</v>
      </c>
      <c r="AA623" s="516">
        <v>4</v>
      </c>
    </row>
    <row r="624" spans="1:27" ht="13.8" thickBot="1" x14ac:dyDescent="0.3">
      <c r="B624" s="496"/>
      <c r="C624" s="517"/>
      <c r="D624" s="107"/>
      <c r="E624" s="108"/>
      <c r="F624" s="108"/>
      <c r="G624" s="108"/>
      <c r="H624" s="108"/>
      <c r="I624" s="108"/>
      <c r="J624" s="108"/>
      <c r="K624" s="108"/>
      <c r="L624" s="108"/>
      <c r="M624" s="108"/>
      <c r="N624" s="108"/>
      <c r="O624" s="107"/>
      <c r="P624" s="107"/>
      <c r="Q624" s="107"/>
      <c r="R624" s="107"/>
      <c r="S624" s="107"/>
      <c r="T624" s="107"/>
      <c r="U624" s="107"/>
      <c r="V624" s="107"/>
      <c r="W624" s="518"/>
      <c r="X624" s="518"/>
      <c r="Y624" s="518"/>
      <c r="Z624" s="518"/>
      <c r="AA624" s="518"/>
    </row>
    <row r="625" spans="3:27" ht="13.8" thickBot="1" x14ac:dyDescent="0.3">
      <c r="C625" s="519" t="s">
        <v>4543</v>
      </c>
      <c r="D625" s="520"/>
      <c r="E625" s="521"/>
      <c r="F625" s="521"/>
      <c r="G625" s="521"/>
      <c r="H625" s="521"/>
      <c r="I625" s="521"/>
      <c r="J625" s="521"/>
      <c r="K625" s="521"/>
      <c r="L625" s="521"/>
      <c r="M625" s="521"/>
      <c r="N625" s="521"/>
      <c r="O625" s="522">
        <f>SUM(O618:O624)</f>
        <v>1033</v>
      </c>
      <c r="P625" s="522">
        <f>SUM(P618:P624)</f>
        <v>934</v>
      </c>
      <c r="Q625" s="523">
        <f t="shared" ref="Q625:X625" si="7">SUM(Q618:Q624)</f>
        <v>6657</v>
      </c>
      <c r="R625" s="523">
        <f t="shared" si="7"/>
        <v>4532</v>
      </c>
      <c r="S625" s="523"/>
      <c r="T625" s="524">
        <f t="shared" si="7"/>
        <v>301</v>
      </c>
      <c r="U625" s="524">
        <f t="shared" si="7"/>
        <v>45</v>
      </c>
      <c r="V625" s="525">
        <f t="shared" si="7"/>
        <v>679</v>
      </c>
      <c r="W625" s="525">
        <f t="shared" si="7"/>
        <v>511</v>
      </c>
      <c r="X625" s="526">
        <f t="shared" si="7"/>
        <v>172</v>
      </c>
      <c r="Y625" s="526">
        <f>SUM(Y618:Y624)</f>
        <v>801</v>
      </c>
      <c r="Z625" s="526">
        <f>SUM(Z618:Z624)</f>
        <v>512</v>
      </c>
      <c r="AA625" s="526">
        <f>SUM(AA618:AA624)</f>
        <v>371</v>
      </c>
    </row>
  </sheetData>
  <autoFilter ref="A2:AF569"/>
  <mergeCells count="70">
    <mergeCell ref="O1:P1"/>
    <mergeCell ref="Q1:S1"/>
    <mergeCell ref="T1:U1"/>
    <mergeCell ref="V1:W1"/>
    <mergeCell ref="B3:B5"/>
    <mergeCell ref="G3:G5"/>
    <mergeCell ref="I3:I5"/>
    <mergeCell ref="J3:J5"/>
    <mergeCell ref="K3:K5"/>
    <mergeCell ref="L3:L5"/>
    <mergeCell ref="B1:D1"/>
    <mergeCell ref="E1:I1"/>
    <mergeCell ref="X3:X5"/>
    <mergeCell ref="M3:M5"/>
    <mergeCell ref="N3:N5"/>
    <mergeCell ref="O3:O5"/>
    <mergeCell ref="P3:P5"/>
    <mergeCell ref="Q3:Q5"/>
    <mergeCell ref="R3:R5"/>
    <mergeCell ref="T20:T21"/>
    <mergeCell ref="Y3:Y5"/>
    <mergeCell ref="Z3:Z5"/>
    <mergeCell ref="AA3:AA5"/>
    <mergeCell ref="I15:I16"/>
    <mergeCell ref="O15:O16"/>
    <mergeCell ref="P15:P16"/>
    <mergeCell ref="Q15:Q16"/>
    <mergeCell ref="R15:R16"/>
    <mergeCell ref="T15:T16"/>
    <mergeCell ref="V15:V16"/>
    <mergeCell ref="S3:S5"/>
    <mergeCell ref="T3:T5"/>
    <mergeCell ref="U3:U5"/>
    <mergeCell ref="V3:V5"/>
    <mergeCell ref="W3:W5"/>
    <mergeCell ref="W15:W16"/>
    <mergeCell ref="X15:X16"/>
    <mergeCell ref="Y15:Y16"/>
    <mergeCell ref="Z15:Z16"/>
    <mergeCell ref="AA15:AA16"/>
    <mergeCell ref="T25:T27"/>
    <mergeCell ref="T28:T30"/>
    <mergeCell ref="T31:T32"/>
    <mergeCell ref="T33:T36"/>
    <mergeCell ref="O47:O50"/>
    <mergeCell ref="P47:P50"/>
    <mergeCell ref="Q47:Q50"/>
    <mergeCell ref="R47:R50"/>
    <mergeCell ref="T47:T50"/>
    <mergeCell ref="O51:O52"/>
    <mergeCell ref="P51:P52"/>
    <mergeCell ref="Q51:Q52"/>
    <mergeCell ref="R51:R52"/>
    <mergeCell ref="T51:T52"/>
    <mergeCell ref="W47:W50"/>
    <mergeCell ref="X47:X50"/>
    <mergeCell ref="Y47:Y50"/>
    <mergeCell ref="Z47:Z50"/>
    <mergeCell ref="AA47:AA50"/>
    <mergeCell ref="T53:T56"/>
    <mergeCell ref="W53:W56"/>
    <mergeCell ref="X53:X56"/>
    <mergeCell ref="Y53:Y56"/>
    <mergeCell ref="Z53:Z56"/>
    <mergeCell ref="AA53:AA56"/>
    <mergeCell ref="W51:W52"/>
    <mergeCell ref="X51:X52"/>
    <mergeCell ref="Y51:Y52"/>
    <mergeCell ref="Z51:Z52"/>
    <mergeCell ref="AA51:AA52"/>
  </mergeCells>
  <pageMargins left="0.47244094488188981" right="0.39370078740157483" top="0.23622047244094491" bottom="0.15748031496062992" header="0.51181102362204722" footer="0.51181102362204722"/>
  <pageSetup paperSize="8" fitToHeight="2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9" tint="0.59999389629810485"/>
  </sheetPr>
  <dimension ref="A2:AT15"/>
  <sheetViews>
    <sheetView workbookViewId="0">
      <selection activeCell="H25" sqref="H25"/>
    </sheetView>
  </sheetViews>
  <sheetFormatPr baseColWidth="10" defaultRowHeight="13.2" x14ac:dyDescent="0.25"/>
  <cols>
    <col min="1" max="1" width="63.6640625" bestFit="1" customWidth="1"/>
  </cols>
  <sheetData>
    <row r="2" spans="1:46" x14ac:dyDescent="0.25">
      <c r="A2" s="400" t="s">
        <v>3454</v>
      </c>
    </row>
    <row r="3" spans="1:46" x14ac:dyDescent="0.25">
      <c r="A3" s="401" t="s">
        <v>3455</v>
      </c>
    </row>
    <row r="4" spans="1:46" x14ac:dyDescent="0.25">
      <c r="A4" s="401"/>
    </row>
    <row r="5" spans="1:46" ht="26.4" x14ac:dyDescent="0.25">
      <c r="A5" s="402" t="s">
        <v>3456</v>
      </c>
      <c r="B5" s="417" t="s">
        <v>4230</v>
      </c>
      <c r="C5" s="417" t="s">
        <v>4230</v>
      </c>
      <c r="D5" s="417" t="s">
        <v>4230</v>
      </c>
      <c r="E5" s="417" t="s">
        <v>142</v>
      </c>
      <c r="F5" s="417" t="s">
        <v>142</v>
      </c>
      <c r="G5" s="417" t="s">
        <v>142</v>
      </c>
      <c r="H5" s="417" t="s">
        <v>142</v>
      </c>
      <c r="I5" s="417" t="s">
        <v>142</v>
      </c>
      <c r="J5" s="417" t="s">
        <v>142</v>
      </c>
      <c r="K5" s="417" t="s">
        <v>142</v>
      </c>
      <c r="L5" s="5" t="s">
        <v>3919</v>
      </c>
      <c r="M5" s="5" t="s">
        <v>3919</v>
      </c>
      <c r="N5" s="5" t="s">
        <v>4723</v>
      </c>
      <c r="O5" s="5" t="s">
        <v>4225</v>
      </c>
      <c r="P5" s="5" t="s">
        <v>4723</v>
      </c>
      <c r="Q5" s="5" t="s">
        <v>4225</v>
      </c>
      <c r="R5" s="5" t="s">
        <v>4723</v>
      </c>
      <c r="S5" s="5" t="s">
        <v>4723</v>
      </c>
      <c r="T5" s="5" t="s">
        <v>4225</v>
      </c>
      <c r="U5" s="5" t="s">
        <v>4230</v>
      </c>
      <c r="V5" s="5" t="s">
        <v>4225</v>
      </c>
      <c r="W5" s="5" t="s">
        <v>3433</v>
      </c>
      <c r="X5" s="5" t="s">
        <v>4231</v>
      </c>
      <c r="Y5" s="5" t="s">
        <v>4225</v>
      </c>
      <c r="Z5" s="5" t="s">
        <v>3660</v>
      </c>
      <c r="AA5" s="5" t="s">
        <v>4225</v>
      </c>
      <c r="AB5" s="5" t="s">
        <v>3126</v>
      </c>
      <c r="AC5" s="5" t="s">
        <v>4231</v>
      </c>
      <c r="AD5" s="5" t="s">
        <v>4225</v>
      </c>
      <c r="AE5" s="5" t="s">
        <v>3919</v>
      </c>
      <c r="AF5" s="5" t="s">
        <v>3126</v>
      </c>
      <c r="AG5" s="5" t="s">
        <v>3660</v>
      </c>
      <c r="AH5" s="5" t="s">
        <v>3919</v>
      </c>
      <c r="AI5" s="5" t="s">
        <v>5562</v>
      </c>
      <c r="AJ5" s="5" t="s">
        <v>3473</v>
      </c>
      <c r="AK5" s="5" t="s">
        <v>4225</v>
      </c>
      <c r="AL5" s="5" t="s">
        <v>4723</v>
      </c>
      <c r="AM5" s="5" t="s">
        <v>4225</v>
      </c>
      <c r="AN5" s="5" t="s">
        <v>4225</v>
      </c>
      <c r="AO5" s="5" t="s">
        <v>4225</v>
      </c>
      <c r="AP5" s="5" t="s">
        <v>3126</v>
      </c>
      <c r="AQ5" s="5" t="s">
        <v>4225</v>
      </c>
      <c r="AR5" s="5" t="s">
        <v>3126</v>
      </c>
      <c r="AS5" s="5" t="s">
        <v>3473</v>
      </c>
      <c r="AT5" s="5" t="s">
        <v>3473</v>
      </c>
    </row>
    <row r="6" spans="1:46" x14ac:dyDescent="0.25">
      <c r="A6" s="402"/>
    </row>
    <row r="7" spans="1:46" x14ac:dyDescent="0.25">
      <c r="A7" s="402" t="s">
        <v>3457</v>
      </c>
      <c r="B7" s="417" t="s">
        <v>5565</v>
      </c>
      <c r="C7" s="417" t="s">
        <v>5564</v>
      </c>
      <c r="D7" s="417" t="s">
        <v>5566</v>
      </c>
      <c r="E7" s="417" t="s">
        <v>142</v>
      </c>
      <c r="F7" s="417" t="s">
        <v>142</v>
      </c>
      <c r="G7" s="417" t="s">
        <v>142</v>
      </c>
      <c r="H7" s="417" t="s">
        <v>142</v>
      </c>
      <c r="I7" s="417" t="s">
        <v>142</v>
      </c>
      <c r="J7" s="417" t="s">
        <v>142</v>
      </c>
      <c r="K7" s="417" t="s">
        <v>142</v>
      </c>
      <c r="L7" s="5" t="s">
        <v>5557</v>
      </c>
      <c r="M7" s="5" t="s">
        <v>4718</v>
      </c>
      <c r="N7" s="5" t="s">
        <v>5556</v>
      </c>
      <c r="O7" s="5" t="s">
        <v>5556</v>
      </c>
      <c r="P7" s="5" t="s">
        <v>5556</v>
      </c>
      <c r="Q7" s="5" t="s">
        <v>5556</v>
      </c>
      <c r="R7" s="5" t="s">
        <v>4718</v>
      </c>
      <c r="S7" s="5" t="s">
        <v>5556</v>
      </c>
      <c r="T7" s="5" t="s">
        <v>5556</v>
      </c>
      <c r="U7" s="5" t="s">
        <v>5546</v>
      </c>
      <c r="V7" s="5" t="s">
        <v>5546</v>
      </c>
      <c r="W7" s="5" t="s">
        <v>5546</v>
      </c>
      <c r="X7" s="5" t="s">
        <v>5546</v>
      </c>
      <c r="Y7" s="5" t="s">
        <v>5546</v>
      </c>
      <c r="Z7" s="5" t="s">
        <v>5546</v>
      </c>
      <c r="AA7" s="5" t="s">
        <v>5553</v>
      </c>
      <c r="AB7" s="5" t="s">
        <v>4718</v>
      </c>
      <c r="AC7" s="5" t="s">
        <v>5546</v>
      </c>
      <c r="AD7" s="5" t="s">
        <v>5546</v>
      </c>
      <c r="AE7" s="5" t="s">
        <v>5546</v>
      </c>
      <c r="AF7" s="5" t="s">
        <v>5546</v>
      </c>
      <c r="AG7" s="5" t="s">
        <v>5546</v>
      </c>
      <c r="AH7" s="5" t="s">
        <v>5546</v>
      </c>
      <c r="AI7" s="5" t="s">
        <v>5546</v>
      </c>
      <c r="AJ7" s="5" t="s">
        <v>5563</v>
      </c>
      <c r="AK7" s="5" t="s">
        <v>5563</v>
      </c>
      <c r="AL7" s="5" t="s">
        <v>4718</v>
      </c>
      <c r="AM7" s="5" t="s">
        <v>4718</v>
      </c>
      <c r="AN7" s="5" t="s">
        <v>4718</v>
      </c>
      <c r="AO7" s="5" t="s">
        <v>4728</v>
      </c>
      <c r="AP7" s="5" t="s">
        <v>4718</v>
      </c>
      <c r="AQ7" s="5" t="s">
        <v>4718</v>
      </c>
      <c r="AR7" s="5" t="s">
        <v>5546</v>
      </c>
      <c r="AS7" s="5" t="s">
        <v>4727</v>
      </c>
      <c r="AT7" s="5" t="s">
        <v>5552</v>
      </c>
    </row>
    <row r="8" spans="1:46" x14ac:dyDescent="0.25">
      <c r="A8" s="402"/>
    </row>
    <row r="9" spans="1:46" x14ac:dyDescent="0.25">
      <c r="A9" s="402" t="s">
        <v>3458</v>
      </c>
      <c r="B9" s="417"/>
      <c r="C9" s="417"/>
      <c r="D9" s="417"/>
      <c r="E9" s="417" t="s">
        <v>142</v>
      </c>
      <c r="F9" s="417" t="s">
        <v>142</v>
      </c>
      <c r="G9" s="417" t="s">
        <v>142</v>
      </c>
      <c r="H9" s="417" t="s">
        <v>142</v>
      </c>
      <c r="I9" s="417" t="s">
        <v>142</v>
      </c>
      <c r="J9" s="405" t="s">
        <v>142</v>
      </c>
      <c r="K9" s="405" t="s">
        <v>142</v>
      </c>
    </row>
    <row r="10" spans="1:46" x14ac:dyDescent="0.25">
      <c r="A10" s="402"/>
    </row>
    <row r="11" spans="1:46" x14ac:dyDescent="0.25">
      <c r="A11" s="401" t="s">
        <v>3459</v>
      </c>
    </row>
    <row r="13" spans="1:46" x14ac:dyDescent="0.25">
      <c r="A13" t="s">
        <v>3460</v>
      </c>
      <c r="B13" s="417" t="s">
        <v>4722</v>
      </c>
      <c r="C13" s="417" t="s">
        <v>4722</v>
      </c>
      <c r="D13" s="417" t="s">
        <v>4722</v>
      </c>
      <c r="E13" s="417" t="s">
        <v>142</v>
      </c>
      <c r="F13" s="417" t="s">
        <v>142</v>
      </c>
      <c r="G13" s="417" t="s">
        <v>142</v>
      </c>
      <c r="H13" s="417" t="s">
        <v>142</v>
      </c>
      <c r="I13" s="417" t="s">
        <v>142</v>
      </c>
      <c r="J13" s="417" t="s">
        <v>142</v>
      </c>
      <c r="K13" s="417" t="s">
        <v>142</v>
      </c>
      <c r="L13" s="5" t="s">
        <v>5548</v>
      </c>
      <c r="M13" s="5" t="s">
        <v>4721</v>
      </c>
      <c r="N13" s="5" t="s">
        <v>4722</v>
      </c>
      <c r="O13" s="5" t="s">
        <v>4722</v>
      </c>
      <c r="P13" s="5" t="s">
        <v>4724</v>
      </c>
      <c r="Q13" s="5" t="s">
        <v>4724</v>
      </c>
      <c r="R13" s="5" t="s">
        <v>4725</v>
      </c>
      <c r="S13" s="5" t="s">
        <v>4725</v>
      </c>
      <c r="T13" s="5" t="s">
        <v>4725</v>
      </c>
      <c r="U13" s="5" t="s">
        <v>5558</v>
      </c>
      <c r="V13" s="5" t="s">
        <v>5558</v>
      </c>
      <c r="W13" s="5" t="s">
        <v>5559</v>
      </c>
      <c r="X13" s="5" t="s">
        <v>5560</v>
      </c>
      <c r="Y13" s="5" t="s">
        <v>5560</v>
      </c>
      <c r="Z13" s="5" t="s">
        <v>5561</v>
      </c>
      <c r="AA13" s="5" t="s">
        <v>4719</v>
      </c>
      <c r="AB13" s="5" t="s">
        <v>4720</v>
      </c>
      <c r="AC13" s="5" t="s">
        <v>5549</v>
      </c>
      <c r="AD13" s="5" t="s">
        <v>5549</v>
      </c>
      <c r="AE13" s="5" t="s">
        <v>5551</v>
      </c>
      <c r="AF13" s="5" t="s">
        <v>5545</v>
      </c>
      <c r="AG13" s="5" t="s">
        <v>5547</v>
      </c>
      <c r="AH13" s="5" t="s">
        <v>5550</v>
      </c>
      <c r="AI13" s="5" t="s">
        <v>5550</v>
      </c>
      <c r="AJ13" s="5" t="s">
        <v>4726</v>
      </c>
      <c r="AK13" s="5" t="s">
        <v>4726</v>
      </c>
      <c r="AL13" s="5" t="s">
        <v>4725</v>
      </c>
      <c r="AM13" s="5" t="s">
        <v>4725</v>
      </c>
      <c r="AN13" s="5" t="s">
        <v>4719</v>
      </c>
      <c r="AO13" s="5" t="s">
        <v>4719</v>
      </c>
      <c r="AP13" s="5" t="s">
        <v>4720</v>
      </c>
      <c r="AQ13" s="5" t="s">
        <v>4720</v>
      </c>
      <c r="AR13" s="5" t="s">
        <v>5545</v>
      </c>
      <c r="AS13" s="5" t="s">
        <v>4726</v>
      </c>
      <c r="AT13" s="5" t="s">
        <v>4726</v>
      </c>
    </row>
    <row r="15" spans="1:46" x14ac:dyDescent="0.25">
      <c r="A15" t="s">
        <v>3461</v>
      </c>
      <c r="B15" s="405"/>
    </row>
  </sheetData>
  <conditionalFormatting sqref="B5">
    <cfRule type="cellIs" dxfId="21" priority="28" stopIfTrue="1" operator="notEqual">
      <formula>$A$1</formula>
    </cfRule>
  </conditionalFormatting>
  <conditionalFormatting sqref="B5">
    <cfRule type="cellIs" dxfId="20" priority="27" stopIfTrue="1" operator="equal">
      <formula>$A$1</formula>
    </cfRule>
  </conditionalFormatting>
  <conditionalFormatting sqref="B5:K5">
    <cfRule type="cellIs" dxfId="19" priority="18" stopIfTrue="1" operator="notEqual">
      <formula>$A$1</formula>
    </cfRule>
  </conditionalFormatting>
  <conditionalFormatting sqref="B5:K5">
    <cfRule type="cellIs" dxfId="18" priority="17" stopIfTrue="1" operator="equal">
      <formula>$A$1</formula>
    </cfRule>
  </conditionalFormatting>
  <conditionalFormatting sqref="B15">
    <cfRule type="cellIs" dxfId="17" priority="20" stopIfTrue="1" operator="notEqual">
      <formula>$A$1</formula>
    </cfRule>
  </conditionalFormatting>
  <conditionalFormatting sqref="B15">
    <cfRule type="cellIs" dxfId="16" priority="19" stopIfTrue="1" operator="equal">
      <formula>$A$1</formula>
    </cfRule>
  </conditionalFormatting>
  <conditionalFormatting sqref="B7:K7">
    <cfRule type="cellIs" dxfId="15" priority="9" stopIfTrue="1" operator="notEqual">
      <formula>$A$1</formula>
    </cfRule>
  </conditionalFormatting>
  <conditionalFormatting sqref="B7:K7">
    <cfRule type="cellIs" dxfId="14" priority="8" stopIfTrue="1" operator="equal">
      <formula>$A$1</formula>
    </cfRule>
  </conditionalFormatting>
  <conditionalFormatting sqref="B5:K5">
    <cfRule type="cellIs" dxfId="13" priority="10" operator="equal">
      <formula>"-"</formula>
    </cfRule>
  </conditionalFormatting>
  <conditionalFormatting sqref="B7:K7">
    <cfRule type="cellIs" dxfId="12" priority="7" operator="equal">
      <formula>"-"</formula>
    </cfRule>
  </conditionalFormatting>
  <conditionalFormatting sqref="B9:K9">
    <cfRule type="cellIs" dxfId="11" priority="6" stopIfTrue="1" operator="notEqual">
      <formula>$A$1</formula>
    </cfRule>
  </conditionalFormatting>
  <conditionalFormatting sqref="B9:K9">
    <cfRule type="cellIs" dxfId="10" priority="5" stopIfTrue="1" operator="equal">
      <formula>$A$1</formula>
    </cfRule>
  </conditionalFormatting>
  <conditionalFormatting sqref="B9:K9">
    <cfRule type="cellIs" dxfId="9" priority="4" operator="equal">
      <formula>"-"</formula>
    </cfRule>
  </conditionalFormatting>
  <conditionalFormatting sqref="B13:K13">
    <cfRule type="cellIs" dxfId="8" priority="3" stopIfTrue="1" operator="notEqual">
      <formula>$A$1</formula>
    </cfRule>
  </conditionalFormatting>
  <conditionalFormatting sqref="B13:K13">
    <cfRule type="cellIs" dxfId="7" priority="2" stopIfTrue="1" operator="equal">
      <formula>$A$1</formula>
    </cfRule>
  </conditionalFormatting>
  <conditionalFormatting sqref="B13:K13">
    <cfRule type="cellIs" dxfId="6" priority="1" operator="equal">
      <formula>"-"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theme="9" tint="0.59999389629810485"/>
  </sheetPr>
  <dimension ref="B1:NP4"/>
  <sheetViews>
    <sheetView workbookViewId="0">
      <pane xSplit="2" ySplit="3" topLeftCell="C4" activePane="bottomRight" state="frozen"/>
      <selection activeCell="H30" sqref="H30"/>
      <selection pane="topRight" activeCell="H30" sqref="H30"/>
      <selection pane="bottomLeft" activeCell="H30" sqref="H30"/>
      <selection pane="bottomRight" activeCell="E2" sqref="E2:E3"/>
    </sheetView>
  </sheetViews>
  <sheetFormatPr baseColWidth="10" defaultRowHeight="13.2" x14ac:dyDescent="0.25"/>
  <cols>
    <col min="1" max="1" width="3.44140625" customWidth="1"/>
    <col min="2" max="2" width="48.6640625" customWidth="1"/>
    <col min="3" max="4" width="17.88671875" bestFit="1" customWidth="1"/>
    <col min="5" max="5" width="18.44140625" customWidth="1"/>
    <col min="6" max="6" width="20.33203125" customWidth="1"/>
    <col min="7" max="7" width="16.109375" customWidth="1"/>
    <col min="8" max="8" width="15.6640625" bestFit="1" customWidth="1"/>
    <col min="9" max="15" width="11.5546875" customWidth="1"/>
    <col min="21" max="21" width="11.5546875" customWidth="1"/>
    <col min="68" max="68" width="31.44140625" customWidth="1"/>
    <col min="74" max="74" width="20.33203125" customWidth="1"/>
  </cols>
  <sheetData>
    <row r="1" spans="2:380" x14ac:dyDescent="0.25">
      <c r="B1" s="400" t="s">
        <v>3472</v>
      </c>
      <c r="C1" s="400"/>
    </row>
    <row r="2" spans="2:380" s="2" customFormat="1" ht="63" customHeight="1" x14ac:dyDescent="0.25">
      <c r="B2" s="533" t="s">
        <v>120</v>
      </c>
      <c r="C2" s="534" t="s">
        <v>4700</v>
      </c>
      <c r="D2" s="534" t="s">
        <v>3246</v>
      </c>
      <c r="E2" s="534" t="s">
        <v>3247</v>
      </c>
      <c r="F2" s="533" t="s">
        <v>3470</v>
      </c>
      <c r="G2" s="2" t="s">
        <v>101</v>
      </c>
      <c r="H2" s="2" t="s">
        <v>108</v>
      </c>
      <c r="I2" s="2" t="s">
        <v>2589</v>
      </c>
      <c r="J2" s="2" t="s">
        <v>3138</v>
      </c>
      <c r="K2" s="2" t="s">
        <v>3170</v>
      </c>
      <c r="L2" s="2" t="s">
        <v>3171</v>
      </c>
      <c r="M2" s="2" t="s">
        <v>109</v>
      </c>
      <c r="N2" s="2" t="s">
        <v>110</v>
      </c>
      <c r="O2" s="2" t="s">
        <v>3172</v>
      </c>
      <c r="P2" s="2" t="s">
        <v>3173</v>
      </c>
      <c r="Q2" s="2" t="s">
        <v>111</v>
      </c>
      <c r="R2" s="2" t="s">
        <v>112</v>
      </c>
      <c r="S2" s="2" t="s">
        <v>162</v>
      </c>
      <c r="T2" s="2" t="s">
        <v>178</v>
      </c>
      <c r="U2" s="2" t="s">
        <v>2533</v>
      </c>
      <c r="V2" s="2" t="s">
        <v>2534</v>
      </c>
      <c r="W2" s="2" t="s">
        <v>148</v>
      </c>
      <c r="X2" s="2" t="s">
        <v>149</v>
      </c>
      <c r="Y2" s="2" t="s">
        <v>150</v>
      </c>
      <c r="Z2" s="2" t="s">
        <v>151</v>
      </c>
      <c r="AA2" s="2" t="s">
        <v>3178</v>
      </c>
      <c r="AB2" s="2" t="s">
        <v>3179</v>
      </c>
      <c r="AC2" s="2" t="s">
        <v>3176</v>
      </c>
      <c r="AD2" s="2" t="s">
        <v>3177</v>
      </c>
      <c r="AE2" s="2" t="s">
        <v>3174</v>
      </c>
      <c r="AF2" s="2" t="s">
        <v>3175</v>
      </c>
      <c r="AG2" s="2" t="s">
        <v>3152</v>
      </c>
      <c r="AH2" s="2" t="s">
        <v>3153</v>
      </c>
      <c r="AI2" s="2" t="s">
        <v>2411</v>
      </c>
      <c r="AJ2" s="2" t="s">
        <v>118</v>
      </c>
      <c r="AK2" s="2" t="s">
        <v>202</v>
      </c>
      <c r="AL2" s="2" t="s">
        <v>203</v>
      </c>
      <c r="AM2" s="2" t="s">
        <v>204</v>
      </c>
      <c r="AN2" s="2" t="s">
        <v>1331</v>
      </c>
      <c r="AO2" s="2" t="s">
        <v>1332</v>
      </c>
      <c r="AP2" s="2" t="s">
        <v>3572</v>
      </c>
      <c r="AQ2" s="2" t="s">
        <v>1334</v>
      </c>
      <c r="AR2" s="2" t="s">
        <v>1335</v>
      </c>
      <c r="AS2" s="2" t="s">
        <v>3573</v>
      </c>
      <c r="AT2" s="2" t="s">
        <v>4643</v>
      </c>
      <c r="AU2" s="2" t="s">
        <v>1337</v>
      </c>
      <c r="AV2" s="2" t="s">
        <v>1338</v>
      </c>
      <c r="AW2" s="2" t="s">
        <v>3574</v>
      </c>
      <c r="AX2" s="2" t="s">
        <v>4642</v>
      </c>
      <c r="AY2" s="2" t="s">
        <v>1343</v>
      </c>
      <c r="AZ2" s="2" t="s">
        <v>1344</v>
      </c>
      <c r="BA2" s="2" t="s">
        <v>2586</v>
      </c>
      <c r="BB2" s="2" t="s">
        <v>2587</v>
      </c>
      <c r="BC2" s="2" t="s">
        <v>2588</v>
      </c>
      <c r="BD2" s="2" t="s">
        <v>3112</v>
      </c>
      <c r="BE2" s="2" t="s">
        <v>3113</v>
      </c>
      <c r="BF2" s="2" t="s">
        <v>3114</v>
      </c>
      <c r="BG2" s="2" t="s">
        <v>3108</v>
      </c>
      <c r="BH2" s="2" t="s">
        <v>3109</v>
      </c>
      <c r="BI2" s="2" t="s">
        <v>3110</v>
      </c>
      <c r="BJ2" s="2" t="s">
        <v>3635</v>
      </c>
      <c r="BK2" s="2" t="s">
        <v>3636</v>
      </c>
      <c r="BL2" s="2" t="s">
        <v>3637</v>
      </c>
      <c r="BM2" s="2" t="s">
        <v>3638</v>
      </c>
      <c r="BN2" s="2" t="s">
        <v>3640</v>
      </c>
      <c r="BO2" s="2" t="s">
        <v>3641</v>
      </c>
      <c r="BP2" s="2" t="s">
        <v>3634</v>
      </c>
      <c r="BQ2" s="2" t="s">
        <v>3642</v>
      </c>
      <c r="BR2" s="2" t="s">
        <v>3643</v>
      </c>
      <c r="BS2" s="2" t="s">
        <v>3644</v>
      </c>
      <c r="BT2" s="2" t="s">
        <v>3645</v>
      </c>
      <c r="BU2" s="2" t="s">
        <v>3646</v>
      </c>
      <c r="BV2" s="2" t="s">
        <v>2490</v>
      </c>
      <c r="BW2" s="2" t="s">
        <v>3501</v>
      </c>
      <c r="BX2" s="2" t="s">
        <v>205</v>
      </c>
      <c r="BY2" s="2" t="s">
        <v>154</v>
      </c>
      <c r="BZ2" s="2" t="s">
        <v>113</v>
      </c>
      <c r="CA2" s="2" t="s">
        <v>114</v>
      </c>
      <c r="CB2" s="2" t="s">
        <v>113</v>
      </c>
      <c r="CC2" s="2" t="s">
        <v>114</v>
      </c>
      <c r="CD2" s="2" t="s">
        <v>3244</v>
      </c>
      <c r="CE2" s="2" t="s">
        <v>3223</v>
      </c>
      <c r="CF2" s="2" t="s">
        <v>2399</v>
      </c>
      <c r="CG2" s="2" t="s">
        <v>2400</v>
      </c>
      <c r="CH2" s="2" t="s">
        <v>116</v>
      </c>
      <c r="CI2" s="2" t="s">
        <v>117</v>
      </c>
      <c r="CJ2" s="2" t="s">
        <v>3661</v>
      </c>
      <c r="CK2" s="2" t="s">
        <v>206</v>
      </c>
      <c r="CL2" s="2" t="s">
        <v>97</v>
      </c>
      <c r="CM2" s="2" t="s">
        <v>98</v>
      </c>
      <c r="CN2" s="2" t="s">
        <v>99</v>
      </c>
      <c r="CO2" s="2" t="s">
        <v>100</v>
      </c>
      <c r="CP2" s="2" t="s">
        <v>2408</v>
      </c>
      <c r="CQ2" s="2" t="s">
        <v>2409</v>
      </c>
      <c r="CR2" s="2" t="s">
        <v>2410</v>
      </c>
      <c r="CS2" s="2" t="s">
        <v>103</v>
      </c>
      <c r="CT2" s="2" t="s">
        <v>2412</v>
      </c>
      <c r="CU2" s="2" t="s">
        <v>2413</v>
      </c>
      <c r="CV2" s="2" t="s">
        <v>2414</v>
      </c>
      <c r="CW2" s="2" t="s">
        <v>2405</v>
      </c>
      <c r="CX2" s="2" t="s">
        <v>3204</v>
      </c>
      <c r="CY2" s="2" t="s">
        <v>3205</v>
      </c>
      <c r="CZ2" s="2" t="s">
        <v>3206</v>
      </c>
      <c r="DA2" s="2" t="s">
        <v>3194</v>
      </c>
      <c r="DB2" s="2" t="s">
        <v>104</v>
      </c>
      <c r="DC2" s="2" t="s">
        <v>105</v>
      </c>
      <c r="DD2" s="2" t="s">
        <v>106</v>
      </c>
      <c r="DE2" s="2" t="s">
        <v>107</v>
      </c>
      <c r="DF2" s="2" t="s">
        <v>181</v>
      </c>
      <c r="DG2" s="2" t="s">
        <v>175</v>
      </c>
      <c r="DH2" s="2" t="s">
        <v>4626</v>
      </c>
      <c r="DI2" s="2" t="s">
        <v>182</v>
      </c>
      <c r="DJ2" s="2" t="s">
        <v>168</v>
      </c>
      <c r="DK2" s="2" t="s">
        <v>169</v>
      </c>
      <c r="DL2" s="2" t="s">
        <v>174</v>
      </c>
      <c r="DM2" s="2" t="s">
        <v>172</v>
      </c>
      <c r="DN2" s="2" t="s">
        <v>173</v>
      </c>
      <c r="DO2" s="2" t="s">
        <v>2403</v>
      </c>
      <c r="DP2" s="2" t="s">
        <v>2404</v>
      </c>
      <c r="DQ2" s="2" t="s">
        <v>158</v>
      </c>
      <c r="DR2" s="2" t="s">
        <v>159</v>
      </c>
      <c r="DS2" s="2" t="s">
        <v>160</v>
      </c>
      <c r="DT2" s="2" t="s">
        <v>2402</v>
      </c>
      <c r="DU2" s="2" t="s">
        <v>2553</v>
      </c>
      <c r="DV2" s="2" t="s">
        <v>2554</v>
      </c>
      <c r="DW2" s="2" t="s">
        <v>3093</v>
      </c>
      <c r="DX2" s="2" t="s">
        <v>3137</v>
      </c>
      <c r="DY2" s="2" t="s">
        <v>2572</v>
      </c>
      <c r="DZ2" s="2" t="s">
        <v>2573</v>
      </c>
      <c r="EA2" s="2" t="s">
        <v>3092</v>
      </c>
      <c r="EB2" s="2" t="s">
        <v>3091</v>
      </c>
      <c r="EC2" s="2" t="s">
        <v>3487</v>
      </c>
      <c r="ED2" s="2" t="s">
        <v>2594</v>
      </c>
      <c r="EE2" s="2" t="s">
        <v>3119</v>
      </c>
      <c r="EF2" s="2" t="s">
        <v>3135</v>
      </c>
      <c r="EG2" s="2" t="s">
        <v>3136</v>
      </c>
      <c r="EH2" s="2" t="s">
        <v>3140</v>
      </c>
      <c r="EI2" s="2" t="s">
        <v>3141</v>
      </c>
      <c r="EJ2" s="2" t="s">
        <v>3142</v>
      </c>
      <c r="EK2" s="2" t="s">
        <v>3143</v>
      </c>
      <c r="EL2" s="2" t="s">
        <v>3144</v>
      </c>
      <c r="EM2" s="2" t="s">
        <v>3145</v>
      </c>
      <c r="EN2" s="2" t="s">
        <v>3146</v>
      </c>
      <c r="EO2" s="2" t="s">
        <v>3147</v>
      </c>
      <c r="EP2" s="2" t="s">
        <v>3148</v>
      </c>
      <c r="EQ2" s="2" t="s">
        <v>3149</v>
      </c>
      <c r="ER2" s="2" t="s">
        <v>3150</v>
      </c>
      <c r="ES2" s="2" t="s">
        <v>3151</v>
      </c>
      <c r="ET2" s="2" t="s">
        <v>3207</v>
      </c>
      <c r="EU2" s="2" t="s">
        <v>3210</v>
      </c>
      <c r="EV2" s="2" t="s">
        <v>3211</v>
      </c>
      <c r="EW2" s="2" t="s">
        <v>3212</v>
      </c>
      <c r="EX2" s="2" t="s">
        <v>3213</v>
      </c>
      <c r="EY2" s="2" t="s">
        <v>3242</v>
      </c>
      <c r="EZ2" s="2" t="s">
        <v>3243</v>
      </c>
      <c r="FA2" s="2" t="s">
        <v>3251</v>
      </c>
      <c r="FB2" s="2" t="s">
        <v>3252</v>
      </c>
      <c r="FC2" s="2" t="s">
        <v>3101</v>
      </c>
      <c r="FD2" s="2" t="s">
        <v>3102</v>
      </c>
      <c r="FE2" s="2" t="s">
        <v>3103</v>
      </c>
      <c r="FF2" s="2" t="s">
        <v>3104</v>
      </c>
      <c r="FG2" s="2" t="s">
        <v>3105</v>
      </c>
      <c r="FH2" s="2" t="s">
        <v>3111</v>
      </c>
      <c r="FI2" s="2" t="s">
        <v>3159</v>
      </c>
      <c r="FJ2" s="2" t="s">
        <v>3253</v>
      </c>
      <c r="FK2" s="2" t="s">
        <v>3160</v>
      </c>
      <c r="FL2" s="2" t="s">
        <v>3163</v>
      </c>
      <c r="FM2" s="2" t="s">
        <v>3164</v>
      </c>
      <c r="FN2" s="2" t="s">
        <v>3166</v>
      </c>
      <c r="FO2" s="2" t="s">
        <v>3165</v>
      </c>
      <c r="FP2" s="2" t="s">
        <v>3167</v>
      </c>
      <c r="FQ2" s="2" t="s">
        <v>3618</v>
      </c>
      <c r="FR2" s="2" t="s">
        <v>3168</v>
      </c>
      <c r="FS2" s="2" t="s">
        <v>3169</v>
      </c>
      <c r="FT2" s="2" t="s">
        <v>3161</v>
      </c>
      <c r="FU2" s="2" t="s">
        <v>3162</v>
      </c>
      <c r="FV2" s="2" t="s">
        <v>3269</v>
      </c>
      <c r="FW2" s="2" t="s">
        <v>3271</v>
      </c>
      <c r="FX2" s="2" t="s">
        <v>104</v>
      </c>
      <c r="FY2" s="2" t="s">
        <v>105</v>
      </c>
      <c r="FZ2" s="2" t="s">
        <v>107</v>
      </c>
      <c r="GA2" s="2" t="s">
        <v>106</v>
      </c>
      <c r="GB2" s="2" t="s">
        <v>3274</v>
      </c>
      <c r="GC2" s="2" t="s">
        <v>3275</v>
      </c>
      <c r="GD2" s="2" t="s">
        <v>3284</v>
      </c>
      <c r="GE2" s="2" t="s">
        <v>3297</v>
      </c>
      <c r="GF2" s="2" t="s">
        <v>3425</v>
      </c>
      <c r="GG2" s="2" t="s">
        <v>3426</v>
      </c>
      <c r="GH2" s="2" t="s">
        <v>3438</v>
      </c>
      <c r="GI2" s="2" t="s">
        <v>3447</v>
      </c>
      <c r="GJ2" s="2" t="s">
        <v>3448</v>
      </c>
      <c r="GK2" s="2" t="s">
        <v>3449</v>
      </c>
      <c r="GL2" s="2" t="s">
        <v>3450</v>
      </c>
      <c r="GM2" s="2" t="s">
        <v>3451</v>
      </c>
      <c r="GN2" s="2" t="s">
        <v>3452</v>
      </c>
      <c r="GO2" s="2" t="s">
        <v>3476</v>
      </c>
      <c r="GP2" s="2" t="s">
        <v>3477</v>
      </c>
      <c r="GQ2" s="2" t="s">
        <v>3478</v>
      </c>
      <c r="GR2" s="2" t="s">
        <v>3479</v>
      </c>
      <c r="GS2" s="2" t="s">
        <v>3480</v>
      </c>
      <c r="GT2" s="2" t="s">
        <v>3481</v>
      </c>
      <c r="GU2" s="2" t="s">
        <v>3482</v>
      </c>
      <c r="GV2" s="2" t="s">
        <v>3474</v>
      </c>
      <c r="GW2" s="2" t="s">
        <v>3475</v>
      </c>
      <c r="GX2" s="2" t="s">
        <v>2403</v>
      </c>
      <c r="GY2" s="2" t="s">
        <v>2404</v>
      </c>
      <c r="GZ2" s="2" t="s">
        <v>102</v>
      </c>
      <c r="HA2" s="2" t="s">
        <v>116</v>
      </c>
      <c r="HB2" s="2" t="s">
        <v>115</v>
      </c>
      <c r="HC2" s="2" t="s">
        <v>2557</v>
      </c>
      <c r="HD2" s="2" t="s">
        <v>179</v>
      </c>
      <c r="HE2" s="2" t="s">
        <v>180</v>
      </c>
      <c r="HF2" s="2" t="s">
        <v>2567</v>
      </c>
      <c r="HG2" s="2" t="s">
        <v>2568</v>
      </c>
      <c r="HH2" s="2" t="s">
        <v>2570</v>
      </c>
      <c r="HI2" s="2" t="s">
        <v>2571</v>
      </c>
      <c r="HJ2" s="2" t="s">
        <v>2569</v>
      </c>
      <c r="HK2" s="2" t="s">
        <v>131</v>
      </c>
      <c r="HL2" s="2" t="s">
        <v>168</v>
      </c>
      <c r="HM2" s="2" t="s">
        <v>169</v>
      </c>
      <c r="HN2" s="2" t="s">
        <v>113</v>
      </c>
      <c r="HO2" s="2" t="s">
        <v>114</v>
      </c>
      <c r="HP2" s="2" t="s">
        <v>117</v>
      </c>
      <c r="HQ2" s="2" t="s">
        <v>133</v>
      </c>
      <c r="HR2" s="2" t="s">
        <v>201</v>
      </c>
      <c r="HS2" s="2" t="s">
        <v>202</v>
      </c>
      <c r="HT2" s="2" t="s">
        <v>203</v>
      </c>
      <c r="HU2" s="2" t="s">
        <v>204</v>
      </c>
      <c r="HV2" s="2" t="s">
        <v>205</v>
      </c>
      <c r="HW2" s="2" t="s">
        <v>154</v>
      </c>
      <c r="HX2" s="2" t="s">
        <v>186</v>
      </c>
      <c r="HY2" s="2" t="s">
        <v>188</v>
      </c>
      <c r="HZ2" s="2" t="s">
        <v>189</v>
      </c>
      <c r="IA2" s="2" t="s">
        <v>190</v>
      </c>
      <c r="IB2" s="2" t="s">
        <v>191</v>
      </c>
      <c r="IC2" s="2" t="s">
        <v>192</v>
      </c>
      <c r="ID2" s="2" t="s">
        <v>194</v>
      </c>
      <c r="IE2" s="2" t="s">
        <v>193</v>
      </c>
      <c r="IF2" s="2" t="s">
        <v>187</v>
      </c>
      <c r="IG2" s="2" t="s">
        <v>113</v>
      </c>
      <c r="IH2" s="2" t="s">
        <v>114</v>
      </c>
      <c r="II2" s="2" t="s">
        <v>104</v>
      </c>
      <c r="IJ2" s="2" t="s">
        <v>105</v>
      </c>
      <c r="IK2" s="2" t="s">
        <v>106</v>
      </c>
      <c r="IL2" s="2" t="s">
        <v>107</v>
      </c>
      <c r="IM2" s="2" t="s">
        <v>3299</v>
      </c>
      <c r="IN2" s="2" t="s">
        <v>3485</v>
      </c>
      <c r="IO2" s="2" t="s">
        <v>3498</v>
      </c>
      <c r="IP2" s="2" t="s">
        <v>3499</v>
      </c>
      <c r="IQ2" s="2" t="s">
        <v>3497</v>
      </c>
      <c r="IR2" s="2" t="s">
        <v>3500</v>
      </c>
      <c r="IS2" s="2" t="s">
        <v>888</v>
      </c>
      <c r="IT2" s="2" t="s">
        <v>3502</v>
      </c>
      <c r="IU2" s="2" t="s">
        <v>3503</v>
      </c>
      <c r="IV2" s="2" t="s">
        <v>3504</v>
      </c>
      <c r="IW2" s="2" t="s">
        <v>3505</v>
      </c>
      <c r="IX2" s="2" t="s">
        <v>3506</v>
      </c>
      <c r="IY2" s="2" t="s">
        <v>3507</v>
      </c>
      <c r="IZ2" s="2" t="s">
        <v>3508</v>
      </c>
      <c r="JA2" s="2" t="s">
        <v>3509</v>
      </c>
      <c r="JB2" s="2" t="s">
        <v>3510</v>
      </c>
      <c r="JC2" s="2" t="s">
        <v>3511</v>
      </c>
      <c r="JD2" s="2" t="s">
        <v>3512</v>
      </c>
      <c r="JE2" s="2" t="s">
        <v>3513</v>
      </c>
      <c r="JF2" s="2" t="s">
        <v>3575</v>
      </c>
      <c r="JG2" s="2" t="s">
        <v>3576</v>
      </c>
      <c r="JH2" s="2" t="s">
        <v>3577</v>
      </c>
      <c r="JI2" s="2" t="s">
        <v>3578</v>
      </c>
      <c r="JJ2" s="2" t="s">
        <v>3579</v>
      </c>
      <c r="JK2" s="2" t="s">
        <v>3632</v>
      </c>
      <c r="JL2" s="2" t="s">
        <v>3652</v>
      </c>
      <c r="JM2" s="2" t="s">
        <v>3653</v>
      </c>
      <c r="JN2" s="2" t="s">
        <v>3654</v>
      </c>
      <c r="JO2" s="2" t="s">
        <v>3655</v>
      </c>
      <c r="JP2" s="2" t="s">
        <v>3656</v>
      </c>
      <c r="JQ2" s="2" t="s">
        <v>3657</v>
      </c>
      <c r="JR2" s="2" t="s">
        <v>3648</v>
      </c>
      <c r="JS2" s="2" t="s">
        <v>3650</v>
      </c>
      <c r="JT2" s="2" t="s">
        <v>3651</v>
      </c>
      <c r="JU2" s="2" t="s">
        <v>3649</v>
      </c>
      <c r="JV2" s="2" t="s">
        <v>3647</v>
      </c>
      <c r="JW2" s="2" t="s">
        <v>2471</v>
      </c>
      <c r="JX2" s="2" t="s">
        <v>3669</v>
      </c>
      <c r="JY2" s="2" t="s">
        <v>3872</v>
      </c>
      <c r="JZ2" s="2" t="s">
        <v>3873</v>
      </c>
      <c r="KA2" s="2" t="s">
        <v>3874</v>
      </c>
      <c r="KB2" s="2" t="s">
        <v>3875</v>
      </c>
      <c r="KC2" s="2" t="s">
        <v>3876</v>
      </c>
      <c r="KD2" s="2" t="s">
        <v>3877</v>
      </c>
      <c r="KE2" s="2" t="s">
        <v>3878</v>
      </c>
      <c r="KF2" s="2" t="s">
        <v>3879</v>
      </c>
      <c r="KG2" s="2" t="s">
        <v>3880</v>
      </c>
      <c r="KH2" s="2" t="s">
        <v>3881</v>
      </c>
      <c r="KI2" s="2" t="s">
        <v>3882</v>
      </c>
      <c r="KJ2" s="2" t="s">
        <v>3883</v>
      </c>
      <c r="KK2" s="2" t="s">
        <v>3884</v>
      </c>
      <c r="KL2" s="2" t="s">
        <v>3885</v>
      </c>
      <c r="KM2" s="2" t="s">
        <v>3886</v>
      </c>
      <c r="KN2" s="2" t="s">
        <v>3887</v>
      </c>
      <c r="KO2" s="2" t="s">
        <v>3888</v>
      </c>
      <c r="KP2" s="2" t="s">
        <v>3889</v>
      </c>
      <c r="KQ2" s="2" t="s">
        <v>3890</v>
      </c>
      <c r="KR2" s="2" t="s">
        <v>3891</v>
      </c>
      <c r="KS2" s="2" t="s">
        <v>3892</v>
      </c>
      <c r="KT2" s="2" t="s">
        <v>3893</v>
      </c>
      <c r="KU2" s="2" t="s">
        <v>3894</v>
      </c>
      <c r="KV2" s="2" t="s">
        <v>3895</v>
      </c>
      <c r="KW2" s="2" t="s">
        <v>3871</v>
      </c>
      <c r="KX2" s="2" t="s">
        <v>3896</v>
      </c>
      <c r="KY2" s="2" t="s">
        <v>3897</v>
      </c>
      <c r="KZ2" s="2" t="s">
        <v>3898</v>
      </c>
      <c r="LA2" s="2" t="s">
        <v>3912</v>
      </c>
      <c r="LB2" s="2" t="s">
        <v>3913</v>
      </c>
      <c r="LC2" s="2" t="s">
        <v>3914</v>
      </c>
      <c r="LD2" s="2" t="s">
        <v>3915</v>
      </c>
      <c r="LE2" s="2" t="s">
        <v>3920</v>
      </c>
      <c r="LF2" s="2" t="s">
        <v>4546</v>
      </c>
      <c r="LG2" s="2" t="s">
        <v>4547</v>
      </c>
      <c r="LH2" s="2" t="s">
        <v>4549</v>
      </c>
      <c r="LI2" s="2" t="s">
        <v>4550</v>
      </c>
      <c r="LJ2" s="2" t="s">
        <v>4551</v>
      </c>
      <c r="LK2" s="2" t="s">
        <v>4552</v>
      </c>
      <c r="LL2" s="2" t="s">
        <v>4550</v>
      </c>
      <c r="LM2" s="2" t="s">
        <v>4551</v>
      </c>
      <c r="LN2" s="2" t="s">
        <v>4552</v>
      </c>
      <c r="LO2" s="2" t="s">
        <v>4567</v>
      </c>
      <c r="LP2" s="2" t="s">
        <v>4568</v>
      </c>
      <c r="LQ2" s="2" t="s">
        <v>4570</v>
      </c>
      <c r="LR2" s="2" t="s">
        <v>4571</v>
      </c>
      <c r="LS2" s="2" t="s">
        <v>4563</v>
      </c>
      <c r="LT2" s="2" t="s">
        <v>4564</v>
      </c>
      <c r="LU2" s="2" t="s">
        <v>4565</v>
      </c>
      <c r="LV2" s="2" t="s">
        <v>4566</v>
      </c>
      <c r="LW2" s="2" t="s">
        <v>4572</v>
      </c>
      <c r="LX2" s="2" t="s">
        <v>4573</v>
      </c>
      <c r="LY2" s="2" t="s">
        <v>4639</v>
      </c>
      <c r="LZ2" s="2" t="s">
        <v>4638</v>
      </c>
      <c r="MA2" s="2" t="s">
        <v>4637</v>
      </c>
      <c r="MB2" s="2" t="s">
        <v>4635</v>
      </c>
      <c r="MC2" s="2" t="s">
        <v>4634</v>
      </c>
      <c r="MD2" s="2" t="s">
        <v>4633</v>
      </c>
      <c r="ME2" s="2" t="s">
        <v>4632</v>
      </c>
      <c r="MF2" s="2" t="s">
        <v>4631</v>
      </c>
      <c r="MG2" s="2" t="s">
        <v>4630</v>
      </c>
      <c r="MH2" s="2" t="s">
        <v>4629</v>
      </c>
      <c r="MI2" s="2" t="s">
        <v>4627</v>
      </c>
      <c r="MJ2" s="2" t="s">
        <v>4640</v>
      </c>
      <c r="MK2" s="2" t="s">
        <v>4628</v>
      </c>
      <c r="ML2" s="2" t="s">
        <v>4641</v>
      </c>
      <c r="MM2" s="2" t="s">
        <v>4550</v>
      </c>
      <c r="MN2" s="2" t="s">
        <v>4551</v>
      </c>
      <c r="MO2" s="2" t="s">
        <v>4552</v>
      </c>
      <c r="MP2" s="2" t="s">
        <v>4644</v>
      </c>
      <c r="MQ2" s="2" t="s">
        <v>4650</v>
      </c>
      <c r="MR2" s="2" t="s">
        <v>4657</v>
      </c>
      <c r="MS2" s="2" t="s">
        <v>4651</v>
      </c>
      <c r="MT2" s="2" t="s">
        <v>4652</v>
      </c>
      <c r="MU2" s="2" t="s">
        <v>4653</v>
      </c>
      <c r="MV2" s="2" t="s">
        <v>4654</v>
      </c>
      <c r="MW2" s="2" t="s">
        <v>4655</v>
      </c>
      <c r="MX2" s="2" t="s">
        <v>4656</v>
      </c>
      <c r="MY2" s="2" t="s">
        <v>4658</v>
      </c>
      <c r="MZ2" s="2" t="s">
        <v>4685</v>
      </c>
      <c r="NA2" s="2" t="s">
        <v>4686</v>
      </c>
      <c r="NB2" s="2" t="s">
        <v>4687</v>
      </c>
      <c r="NC2" s="2" t="s">
        <v>4690</v>
      </c>
      <c r="ND2" s="2" t="s">
        <v>4691</v>
      </c>
      <c r="NE2" s="2" t="s">
        <v>4692</v>
      </c>
      <c r="NF2" s="2" t="s">
        <v>4693</v>
      </c>
      <c r="NG2" s="2" t="s">
        <v>4694</v>
      </c>
      <c r="NH2" s="2" t="s">
        <v>4695</v>
      </c>
      <c r="NI2" s="2" t="s">
        <v>4707</v>
      </c>
      <c r="NJ2" s="2" t="s">
        <v>4708</v>
      </c>
      <c r="NK2" s="2" t="s">
        <v>4712</v>
      </c>
      <c r="NL2" s="2" t="s">
        <v>4713</v>
      </c>
      <c r="NM2" s="2" t="s">
        <v>4714</v>
      </c>
      <c r="NN2" s="2" t="s">
        <v>4715</v>
      </c>
      <c r="NO2" s="2" t="s">
        <v>4716</v>
      </c>
      <c r="NP2" s="2" t="s">
        <v>4717</v>
      </c>
    </row>
    <row r="3" spans="2:380" s="399" customFormat="1" x14ac:dyDescent="0.25">
      <c r="B3" s="533"/>
      <c r="C3" s="534"/>
      <c r="D3" s="534"/>
      <c r="E3" s="534"/>
      <c r="F3" s="533"/>
      <c r="G3" s="399">
        <v>15</v>
      </c>
      <c r="H3" s="399">
        <v>153</v>
      </c>
      <c r="I3" s="399">
        <v>159</v>
      </c>
      <c r="J3" s="399">
        <v>160</v>
      </c>
      <c r="K3" s="399">
        <v>200</v>
      </c>
      <c r="L3" s="399">
        <v>201</v>
      </c>
      <c r="M3" s="399">
        <v>202</v>
      </c>
      <c r="N3" s="399">
        <v>203</v>
      </c>
      <c r="O3" s="399">
        <v>204</v>
      </c>
      <c r="P3" s="399">
        <v>205</v>
      </c>
      <c r="Q3" s="399">
        <v>206</v>
      </c>
      <c r="R3" s="399">
        <v>207</v>
      </c>
      <c r="S3" s="399">
        <v>212</v>
      </c>
      <c r="T3" s="399">
        <v>216</v>
      </c>
      <c r="U3" s="399">
        <v>243</v>
      </c>
      <c r="V3" s="399">
        <v>244</v>
      </c>
      <c r="W3" s="399">
        <v>245</v>
      </c>
      <c r="X3" s="399">
        <v>246</v>
      </c>
      <c r="Y3" s="399">
        <v>267</v>
      </c>
      <c r="Z3" s="399">
        <v>268</v>
      </c>
      <c r="AA3" s="399">
        <v>287</v>
      </c>
      <c r="AB3" s="399">
        <v>288</v>
      </c>
      <c r="AC3" s="399">
        <v>289</v>
      </c>
      <c r="AD3" s="399">
        <v>290</v>
      </c>
      <c r="AE3" s="399">
        <v>291</v>
      </c>
      <c r="AF3" s="399">
        <v>292</v>
      </c>
      <c r="AG3" s="399">
        <v>336</v>
      </c>
      <c r="AH3" s="399">
        <v>337</v>
      </c>
      <c r="AI3" s="399">
        <v>400</v>
      </c>
      <c r="AJ3" s="399">
        <v>460</v>
      </c>
      <c r="AK3" s="399">
        <v>461</v>
      </c>
      <c r="AL3" s="399">
        <v>462</v>
      </c>
      <c r="AM3" s="399">
        <v>480</v>
      </c>
      <c r="AN3" s="399">
        <v>500</v>
      </c>
      <c r="AO3" s="399">
        <v>501</v>
      </c>
      <c r="AP3" s="399">
        <v>502</v>
      </c>
      <c r="AQ3" s="399">
        <v>503</v>
      </c>
      <c r="AR3" s="399">
        <v>504</v>
      </c>
      <c r="AS3" s="399">
        <v>505</v>
      </c>
      <c r="AT3" s="399">
        <v>552</v>
      </c>
      <c r="AU3" s="399">
        <v>506</v>
      </c>
      <c r="AV3" s="399">
        <v>507</v>
      </c>
      <c r="AW3" s="399">
        <v>508</v>
      </c>
      <c r="AX3" s="399">
        <v>553</v>
      </c>
      <c r="AY3" s="399">
        <v>512</v>
      </c>
      <c r="AZ3" s="399">
        <v>513</v>
      </c>
      <c r="BA3" s="399">
        <v>516</v>
      </c>
      <c r="BB3" s="399">
        <v>517</v>
      </c>
      <c r="BC3" s="399">
        <v>518</v>
      </c>
      <c r="BD3" s="399">
        <v>524</v>
      </c>
      <c r="BE3" s="399">
        <v>525</v>
      </c>
      <c r="BF3" s="399">
        <v>526</v>
      </c>
      <c r="BG3" s="399">
        <v>542</v>
      </c>
      <c r="BH3" s="399">
        <v>543</v>
      </c>
      <c r="BI3" s="399">
        <v>544</v>
      </c>
      <c r="BJ3" s="399">
        <v>600</v>
      </c>
      <c r="BK3" s="399">
        <v>601</v>
      </c>
      <c r="BL3" s="399">
        <v>602</v>
      </c>
      <c r="BM3" s="399">
        <v>603</v>
      </c>
      <c r="BN3" s="399">
        <v>604</v>
      </c>
      <c r="BO3" s="399">
        <v>606</v>
      </c>
      <c r="BP3" s="399">
        <v>607</v>
      </c>
      <c r="BQ3" s="399">
        <v>612</v>
      </c>
      <c r="BR3" s="399">
        <v>617</v>
      </c>
      <c r="BS3" s="399">
        <v>618</v>
      </c>
      <c r="BT3" s="399">
        <v>619</v>
      </c>
      <c r="BU3" s="399">
        <v>630</v>
      </c>
      <c r="BV3" s="399">
        <v>802</v>
      </c>
      <c r="BW3" s="399">
        <v>803</v>
      </c>
      <c r="BX3" s="399">
        <v>2009</v>
      </c>
      <c r="BY3" s="399">
        <v>2010</v>
      </c>
      <c r="BZ3" s="399">
        <v>10028</v>
      </c>
      <c r="CA3" s="399">
        <v>10029</v>
      </c>
      <c r="CB3" s="399">
        <v>20045</v>
      </c>
      <c r="CC3" s="399">
        <v>20046</v>
      </c>
      <c r="CD3" s="399">
        <v>19</v>
      </c>
      <c r="CE3" s="399">
        <v>20089</v>
      </c>
      <c r="CF3" s="399">
        <v>2011</v>
      </c>
      <c r="CG3" s="399">
        <v>2019</v>
      </c>
      <c r="CH3" s="399">
        <v>4011</v>
      </c>
      <c r="CI3" s="399">
        <v>4021</v>
      </c>
      <c r="CJ3" s="399">
        <v>405</v>
      </c>
      <c r="CK3" s="399">
        <v>4051</v>
      </c>
      <c r="CL3" s="399">
        <v>10010</v>
      </c>
      <c r="CM3" s="399">
        <v>10011</v>
      </c>
      <c r="CN3" s="399">
        <v>10014</v>
      </c>
      <c r="CO3" s="399">
        <v>10015</v>
      </c>
      <c r="CP3" s="399">
        <v>10025</v>
      </c>
      <c r="CQ3" s="399">
        <v>10026</v>
      </c>
      <c r="CR3" s="399">
        <v>10027</v>
      </c>
      <c r="CS3" s="399">
        <v>10050</v>
      </c>
      <c r="CT3" s="399">
        <v>11000</v>
      </c>
      <c r="CU3" s="399">
        <v>11001</v>
      </c>
      <c r="CV3" s="399">
        <v>11002</v>
      </c>
      <c r="CW3" s="399">
        <v>11003</v>
      </c>
      <c r="CX3" s="399">
        <v>11004</v>
      </c>
      <c r="CY3" s="399">
        <v>11005</v>
      </c>
      <c r="CZ3" s="399">
        <v>11006</v>
      </c>
      <c r="DA3" s="399">
        <v>11007</v>
      </c>
      <c r="DB3" s="399">
        <v>20001</v>
      </c>
      <c r="DC3" s="399">
        <v>20002</v>
      </c>
      <c r="DD3" s="399">
        <v>20003</v>
      </c>
      <c r="DE3" s="399">
        <v>20004</v>
      </c>
      <c r="DF3" s="399">
        <v>20008</v>
      </c>
      <c r="DG3" s="399">
        <v>20009</v>
      </c>
      <c r="DH3" s="399">
        <v>34</v>
      </c>
      <c r="DI3" s="399">
        <v>20010</v>
      </c>
      <c r="DJ3" s="399">
        <v>20015</v>
      </c>
      <c r="DK3" s="399">
        <v>20016</v>
      </c>
      <c r="DL3" s="399">
        <v>20017</v>
      </c>
      <c r="DM3" s="399">
        <v>20018</v>
      </c>
      <c r="DN3" s="399">
        <v>20019</v>
      </c>
      <c r="DO3" s="399">
        <v>20030</v>
      </c>
      <c r="DP3" s="399">
        <v>20031</v>
      </c>
      <c r="DQ3" s="399">
        <v>20032</v>
      </c>
      <c r="DR3" s="399">
        <v>20033</v>
      </c>
      <c r="DS3" s="399">
        <v>20034</v>
      </c>
      <c r="DT3" s="399">
        <v>20044</v>
      </c>
      <c r="DU3" s="399">
        <v>20051</v>
      </c>
      <c r="DV3" s="399">
        <v>20052</v>
      </c>
      <c r="DW3" s="399">
        <v>20058</v>
      </c>
      <c r="DX3" s="399">
        <v>20059</v>
      </c>
      <c r="DY3" s="399">
        <v>20065</v>
      </c>
      <c r="DZ3" s="399">
        <v>20066</v>
      </c>
      <c r="EA3" s="399">
        <v>20067</v>
      </c>
      <c r="EB3" s="399">
        <v>20068</v>
      </c>
      <c r="EC3" s="399">
        <v>20129</v>
      </c>
      <c r="ED3" s="399">
        <v>20130</v>
      </c>
      <c r="EE3" s="399">
        <v>20069</v>
      </c>
      <c r="EF3" s="399">
        <v>20070</v>
      </c>
      <c r="EG3" s="399">
        <v>20071</v>
      </c>
      <c r="EH3" s="399">
        <v>20072</v>
      </c>
      <c r="EI3" s="399">
        <v>20073</v>
      </c>
      <c r="EJ3" s="399">
        <v>20074</v>
      </c>
      <c r="EK3" s="399">
        <v>20075</v>
      </c>
      <c r="EL3" s="399">
        <v>20076</v>
      </c>
      <c r="EM3" s="399">
        <v>20077</v>
      </c>
      <c r="EN3" s="399">
        <v>20078</v>
      </c>
      <c r="EO3" s="399">
        <v>20079</v>
      </c>
      <c r="EP3" s="399">
        <v>20080</v>
      </c>
      <c r="EQ3" s="399">
        <v>20081</v>
      </c>
      <c r="ER3" s="399">
        <v>20082</v>
      </c>
      <c r="ES3" s="399">
        <v>20083</v>
      </c>
      <c r="ET3" s="399">
        <v>20084</v>
      </c>
      <c r="EU3" s="399">
        <v>20085</v>
      </c>
      <c r="EV3" s="399">
        <v>20086</v>
      </c>
      <c r="EW3" s="399">
        <v>20087</v>
      </c>
      <c r="EX3" s="399">
        <v>20088</v>
      </c>
      <c r="EY3" s="399">
        <v>20090</v>
      </c>
      <c r="EZ3" s="399">
        <v>20091</v>
      </c>
      <c r="FA3" s="399">
        <v>20092</v>
      </c>
      <c r="FB3" s="399">
        <v>20093</v>
      </c>
      <c r="FC3" s="399">
        <v>30000</v>
      </c>
      <c r="FD3" s="399">
        <v>30001</v>
      </c>
      <c r="FE3" s="399">
        <v>30002</v>
      </c>
      <c r="FF3" s="399">
        <v>30003</v>
      </c>
      <c r="FG3" s="399">
        <v>30004</v>
      </c>
      <c r="FH3" s="399">
        <v>30020</v>
      </c>
      <c r="FI3" s="399">
        <v>32767</v>
      </c>
      <c r="FJ3" s="399">
        <v>57</v>
      </c>
      <c r="FK3" s="399">
        <v>100</v>
      </c>
      <c r="FL3" s="399">
        <v>101</v>
      </c>
      <c r="FM3" s="399">
        <v>102</v>
      </c>
      <c r="FN3" s="399">
        <v>103</v>
      </c>
      <c r="FO3" s="399">
        <v>104</v>
      </c>
      <c r="FP3" s="399">
        <v>105</v>
      </c>
      <c r="FQ3" s="399">
        <v>20139</v>
      </c>
      <c r="FR3" s="399">
        <v>106</v>
      </c>
      <c r="FS3" s="399">
        <v>107</v>
      </c>
      <c r="FT3" s="399">
        <v>108</v>
      </c>
      <c r="FU3" s="399">
        <v>157</v>
      </c>
      <c r="FV3" s="399">
        <v>20094</v>
      </c>
      <c r="FW3" s="399">
        <v>20095</v>
      </c>
      <c r="FX3" s="399">
        <v>2001</v>
      </c>
      <c r="FY3" s="399">
        <v>2002</v>
      </c>
      <c r="FZ3" s="399">
        <v>2003</v>
      </c>
      <c r="GA3" s="399">
        <v>2004</v>
      </c>
      <c r="GB3" s="399">
        <v>20096</v>
      </c>
      <c r="GC3" s="399">
        <v>20097</v>
      </c>
      <c r="GD3" s="399">
        <v>20098</v>
      </c>
      <c r="GE3" s="399">
        <v>20099</v>
      </c>
      <c r="GF3" s="399">
        <v>20101</v>
      </c>
      <c r="GG3" s="399">
        <v>20102</v>
      </c>
      <c r="GH3" s="399">
        <v>20103</v>
      </c>
      <c r="GI3" s="399">
        <v>20104</v>
      </c>
      <c r="GJ3" s="399">
        <v>20105</v>
      </c>
      <c r="GK3" s="399">
        <v>20106</v>
      </c>
      <c r="GL3" s="399">
        <v>20107</v>
      </c>
      <c r="GM3" s="399">
        <v>20108</v>
      </c>
      <c r="GN3" s="399">
        <v>20109</v>
      </c>
      <c r="GO3" s="399">
        <v>20110</v>
      </c>
      <c r="GP3" s="399">
        <v>20111</v>
      </c>
      <c r="GQ3" s="399">
        <v>20112</v>
      </c>
      <c r="GR3" s="399">
        <v>20113</v>
      </c>
      <c r="GS3" s="399">
        <v>20114</v>
      </c>
      <c r="GT3" s="399">
        <v>20115</v>
      </c>
      <c r="GU3" s="399">
        <v>20116</v>
      </c>
      <c r="GV3" s="399">
        <v>20117</v>
      </c>
      <c r="GW3" s="399">
        <v>20118</v>
      </c>
      <c r="GX3" s="399">
        <v>10012</v>
      </c>
      <c r="GY3" s="399">
        <v>10013</v>
      </c>
      <c r="GZ3" s="399">
        <v>10016</v>
      </c>
      <c r="HA3" s="399">
        <v>10017</v>
      </c>
      <c r="HB3" s="399">
        <v>10024</v>
      </c>
      <c r="HC3" s="399">
        <v>20057</v>
      </c>
      <c r="HD3" s="399">
        <v>20006</v>
      </c>
      <c r="HE3" s="399">
        <v>20007</v>
      </c>
      <c r="HF3" s="399">
        <v>20060</v>
      </c>
      <c r="HG3" s="399">
        <v>20061</v>
      </c>
      <c r="HH3" s="399">
        <v>20062</v>
      </c>
      <c r="HI3" s="399">
        <v>20063</v>
      </c>
      <c r="HJ3" s="399">
        <v>20064</v>
      </c>
      <c r="HK3" s="399">
        <v>10021</v>
      </c>
      <c r="HL3" s="399">
        <v>20047</v>
      </c>
      <c r="HM3" s="399">
        <v>20048</v>
      </c>
      <c r="HN3" s="399">
        <v>208</v>
      </c>
      <c r="HO3" s="399">
        <v>209</v>
      </c>
      <c r="HP3" s="399">
        <v>10018</v>
      </c>
      <c r="HQ3" s="399">
        <v>10030</v>
      </c>
      <c r="HR3" s="399">
        <v>20022</v>
      </c>
      <c r="HS3" s="399">
        <v>20023</v>
      </c>
      <c r="HT3" s="399">
        <v>20024</v>
      </c>
      <c r="HU3" s="399">
        <v>20025</v>
      </c>
      <c r="HV3" s="399">
        <v>20026</v>
      </c>
      <c r="HW3" s="399">
        <v>20028</v>
      </c>
      <c r="HX3" s="399">
        <v>20035</v>
      </c>
      <c r="HY3" s="399">
        <v>20036</v>
      </c>
      <c r="HZ3" s="399">
        <v>20037</v>
      </c>
      <c r="IA3" s="399">
        <v>20038</v>
      </c>
      <c r="IB3" s="399">
        <v>20039</v>
      </c>
      <c r="IC3" s="399">
        <v>20040</v>
      </c>
      <c r="ID3" s="399">
        <v>20041</v>
      </c>
      <c r="IE3" s="399">
        <v>20042</v>
      </c>
      <c r="IF3" s="399">
        <v>20043</v>
      </c>
      <c r="IG3" s="399">
        <v>20049</v>
      </c>
      <c r="IH3" s="399">
        <v>20050</v>
      </c>
      <c r="II3" s="399">
        <v>20</v>
      </c>
      <c r="IJ3" s="399">
        <v>21</v>
      </c>
      <c r="IK3" s="399">
        <v>22</v>
      </c>
      <c r="IL3" s="399">
        <v>23</v>
      </c>
      <c r="IM3" s="399">
        <v>20100</v>
      </c>
      <c r="IN3" s="399">
        <v>182</v>
      </c>
      <c r="IO3" s="399">
        <v>20131</v>
      </c>
      <c r="IP3" s="399">
        <v>167</v>
      </c>
      <c r="IQ3" s="399">
        <v>20132</v>
      </c>
      <c r="IR3" s="399">
        <v>20133</v>
      </c>
      <c r="IS3" s="399">
        <v>8</v>
      </c>
      <c r="IT3" s="399">
        <v>14</v>
      </c>
      <c r="IU3" s="399">
        <v>18</v>
      </c>
      <c r="IV3" s="399">
        <v>20119</v>
      </c>
      <c r="IW3" s="399">
        <v>20120</v>
      </c>
      <c r="IX3" s="399">
        <v>20121</v>
      </c>
      <c r="IY3" s="399">
        <v>20122</v>
      </c>
      <c r="IZ3" s="399">
        <v>20123</v>
      </c>
      <c r="JA3" s="399">
        <v>20124</v>
      </c>
      <c r="JB3" s="399">
        <v>20125</v>
      </c>
      <c r="JC3" s="399">
        <v>20126</v>
      </c>
      <c r="JD3" s="399">
        <v>20127</v>
      </c>
      <c r="JE3" s="399">
        <v>20128</v>
      </c>
      <c r="JF3" s="399">
        <v>20134</v>
      </c>
      <c r="JG3" s="399">
        <v>20135</v>
      </c>
      <c r="JH3" s="399">
        <v>20136</v>
      </c>
      <c r="JI3" s="399">
        <v>20137</v>
      </c>
      <c r="JJ3" s="399">
        <v>20138</v>
      </c>
      <c r="JK3" s="399">
        <v>20140</v>
      </c>
      <c r="JL3" s="399">
        <v>20141</v>
      </c>
      <c r="JM3" s="399">
        <v>20142</v>
      </c>
      <c r="JN3" s="399">
        <v>20143</v>
      </c>
      <c r="JO3" s="399">
        <v>20144</v>
      </c>
      <c r="JP3" s="399">
        <v>20145</v>
      </c>
      <c r="JQ3" s="399">
        <v>20146</v>
      </c>
      <c r="JR3" s="399">
        <v>20147</v>
      </c>
      <c r="JS3" s="399">
        <v>20148</v>
      </c>
      <c r="JT3" s="399">
        <v>20149</v>
      </c>
      <c r="JU3" s="399">
        <v>20150</v>
      </c>
      <c r="JV3" s="399">
        <v>20151</v>
      </c>
      <c r="JW3" s="399">
        <v>10</v>
      </c>
      <c r="JX3" s="399">
        <v>20152</v>
      </c>
      <c r="JY3" s="399">
        <v>20153</v>
      </c>
      <c r="JZ3" s="399">
        <v>20154</v>
      </c>
      <c r="KA3" s="399">
        <v>20155</v>
      </c>
      <c r="KB3" s="399">
        <v>20156</v>
      </c>
      <c r="KC3" s="399">
        <v>20157</v>
      </c>
      <c r="KD3" s="399">
        <v>20158</v>
      </c>
      <c r="KE3" s="399">
        <v>20159</v>
      </c>
      <c r="KF3" s="399">
        <v>20160</v>
      </c>
      <c r="KG3" s="399">
        <v>20161</v>
      </c>
      <c r="KH3" s="399">
        <v>20162</v>
      </c>
      <c r="KI3" s="399">
        <v>20163</v>
      </c>
      <c r="KJ3" s="399">
        <v>20164</v>
      </c>
      <c r="KK3" s="399">
        <v>20165</v>
      </c>
      <c r="KL3" s="399">
        <v>20166</v>
      </c>
      <c r="KM3" s="399">
        <v>273</v>
      </c>
      <c r="KN3" s="399">
        <v>272</v>
      </c>
      <c r="KO3" s="399">
        <v>221</v>
      </c>
      <c r="KP3" s="399">
        <v>223</v>
      </c>
      <c r="KQ3" s="399">
        <v>222</v>
      </c>
      <c r="KR3" s="399">
        <v>20172</v>
      </c>
      <c r="KS3" s="399">
        <v>20173</v>
      </c>
      <c r="KT3" s="399">
        <v>20174</v>
      </c>
      <c r="KU3" s="399">
        <v>20175</v>
      </c>
      <c r="KV3" s="399">
        <v>20176</v>
      </c>
      <c r="KW3" s="399">
        <v>20177</v>
      </c>
      <c r="KX3" s="399">
        <v>20178</v>
      </c>
      <c r="KY3" s="399">
        <v>20179</v>
      </c>
      <c r="KZ3" s="399">
        <v>20180</v>
      </c>
      <c r="LA3" s="399">
        <v>20181</v>
      </c>
      <c r="LB3" s="399">
        <v>20182</v>
      </c>
      <c r="LC3" s="399">
        <v>20183</v>
      </c>
      <c r="LD3" s="399">
        <v>20184</v>
      </c>
      <c r="LE3" s="399">
        <v>20185</v>
      </c>
      <c r="LF3" s="399">
        <v>20186</v>
      </c>
      <c r="LG3" s="399">
        <v>20187</v>
      </c>
      <c r="LH3" s="399">
        <v>20188</v>
      </c>
      <c r="LI3" s="399">
        <v>20189</v>
      </c>
      <c r="LJ3" s="399">
        <v>20190</v>
      </c>
      <c r="LK3" s="399">
        <v>20191</v>
      </c>
      <c r="LL3" s="399">
        <v>20189</v>
      </c>
      <c r="LM3" s="399">
        <v>20190</v>
      </c>
      <c r="LN3" s="399">
        <v>20191</v>
      </c>
      <c r="LO3" s="399">
        <v>20192</v>
      </c>
      <c r="LP3" s="399">
        <v>20193</v>
      </c>
      <c r="LQ3" s="399">
        <v>20194</v>
      </c>
      <c r="LR3" s="399">
        <v>20195</v>
      </c>
      <c r="LS3" s="399">
        <v>20196</v>
      </c>
      <c r="LT3" s="399">
        <v>556</v>
      </c>
      <c r="LU3" s="399">
        <v>605</v>
      </c>
      <c r="LV3" s="399">
        <v>622</v>
      </c>
      <c r="LW3" s="399">
        <v>20197</v>
      </c>
      <c r="LX3" s="399">
        <v>20198</v>
      </c>
      <c r="LY3" s="399">
        <v>20199</v>
      </c>
      <c r="LZ3" s="399">
        <v>20200</v>
      </c>
      <c r="MA3" s="399">
        <v>20201</v>
      </c>
      <c r="MB3" s="399">
        <v>20202</v>
      </c>
      <c r="MC3" s="399">
        <v>20203</v>
      </c>
      <c r="MD3" s="399">
        <v>20204</v>
      </c>
      <c r="ME3" s="399">
        <v>20205</v>
      </c>
      <c r="MF3" s="399">
        <v>20206</v>
      </c>
      <c r="MG3" s="399">
        <v>20207</v>
      </c>
      <c r="MH3" s="399">
        <v>20208</v>
      </c>
      <c r="MI3" s="399">
        <v>20209</v>
      </c>
      <c r="MJ3" s="399">
        <v>20210</v>
      </c>
      <c r="MK3" s="399">
        <v>20211</v>
      </c>
      <c r="ML3" s="399">
        <v>20212</v>
      </c>
      <c r="MM3" s="399">
        <v>20213</v>
      </c>
      <c r="MN3" s="399">
        <v>20214</v>
      </c>
      <c r="MO3" s="399">
        <v>20215</v>
      </c>
      <c r="MP3" s="399">
        <v>20218</v>
      </c>
      <c r="MQ3" s="399">
        <v>20219</v>
      </c>
      <c r="MR3" s="399">
        <v>20220</v>
      </c>
      <c r="MS3" s="399">
        <v>20221</v>
      </c>
      <c r="MT3" s="399">
        <v>20222</v>
      </c>
      <c r="MU3" s="399">
        <v>20223</v>
      </c>
      <c r="MV3" s="399">
        <v>20224</v>
      </c>
      <c r="MW3" s="399">
        <v>20225</v>
      </c>
      <c r="MX3" s="399">
        <v>20226</v>
      </c>
      <c r="MY3" s="399">
        <v>20227</v>
      </c>
      <c r="MZ3" s="399">
        <v>20228</v>
      </c>
      <c r="NA3" s="399">
        <v>20229</v>
      </c>
      <c r="NB3" s="399">
        <v>20230</v>
      </c>
      <c r="NC3" s="399">
        <v>20231</v>
      </c>
      <c r="ND3" s="399">
        <v>20232</v>
      </c>
      <c r="NE3" s="399">
        <v>20233</v>
      </c>
      <c r="NF3" s="399">
        <v>20234</v>
      </c>
      <c r="NG3" s="399">
        <v>20235</v>
      </c>
      <c r="NH3" s="399">
        <v>20236</v>
      </c>
      <c r="NI3" s="399">
        <v>20237</v>
      </c>
      <c r="NJ3" s="399">
        <v>20238</v>
      </c>
      <c r="NK3" s="399">
        <v>20239</v>
      </c>
      <c r="NL3" s="399">
        <v>20240</v>
      </c>
      <c r="NM3" s="399">
        <v>20241</v>
      </c>
      <c r="NN3" s="399">
        <v>20242</v>
      </c>
      <c r="NO3" s="399">
        <v>20243</v>
      </c>
      <c r="NP3" s="399">
        <v>20244</v>
      </c>
    </row>
    <row r="4" spans="2:380" s="399" customFormat="1" x14ac:dyDescent="0.25">
      <c r="B4" t="s">
        <v>3462</v>
      </c>
      <c r="C4" s="435" t="s">
        <v>3471</v>
      </c>
      <c r="D4" s="435" t="s">
        <v>3471</v>
      </c>
      <c r="E4" s="435" t="s">
        <v>3471</v>
      </c>
      <c r="F4" s="435" t="s">
        <v>3471</v>
      </c>
      <c r="G4" s="435" t="s">
        <v>3471</v>
      </c>
      <c r="H4" s="435" t="s">
        <v>3471</v>
      </c>
      <c r="I4" s="435" t="s">
        <v>3471</v>
      </c>
      <c r="J4" s="435" t="s">
        <v>3471</v>
      </c>
      <c r="K4" s="435" t="s">
        <v>3471</v>
      </c>
      <c r="L4" s="435" t="s">
        <v>3471</v>
      </c>
      <c r="M4" s="435" t="s">
        <v>3471</v>
      </c>
      <c r="N4" s="435" t="s">
        <v>3471</v>
      </c>
      <c r="O4" s="435" t="s">
        <v>3471</v>
      </c>
      <c r="P4" s="435" t="s">
        <v>3471</v>
      </c>
      <c r="Q4" s="435" t="s">
        <v>3471</v>
      </c>
      <c r="R4" s="435" t="s">
        <v>3471</v>
      </c>
      <c r="S4" s="435" t="s">
        <v>3471</v>
      </c>
      <c r="T4" s="435" t="s">
        <v>3471</v>
      </c>
      <c r="U4" s="435" t="s">
        <v>3471</v>
      </c>
      <c r="V4" s="435" t="s">
        <v>3471</v>
      </c>
      <c r="W4" s="435" t="s">
        <v>3471</v>
      </c>
      <c r="X4" s="435" t="s">
        <v>3471</v>
      </c>
      <c r="Y4" s="435" t="s">
        <v>3471</v>
      </c>
      <c r="Z4" s="435" t="s">
        <v>3471</v>
      </c>
      <c r="AA4" s="435" t="s">
        <v>3471</v>
      </c>
      <c r="AB4" s="435" t="s">
        <v>3471</v>
      </c>
      <c r="AC4" s="435" t="s">
        <v>3471</v>
      </c>
      <c r="AD4" s="435" t="s">
        <v>3471</v>
      </c>
      <c r="AE4" s="435" t="s">
        <v>3471</v>
      </c>
      <c r="AF4" s="435" t="s">
        <v>3471</v>
      </c>
      <c r="AG4" s="435" t="s">
        <v>3471</v>
      </c>
      <c r="AH4" s="435" t="s">
        <v>3471</v>
      </c>
      <c r="AI4" s="435" t="s">
        <v>3471</v>
      </c>
      <c r="AJ4" s="435" t="s">
        <v>3471</v>
      </c>
      <c r="AK4" s="435" t="s">
        <v>3471</v>
      </c>
      <c r="AL4" s="435" t="s">
        <v>3471</v>
      </c>
      <c r="AM4" s="435" t="s">
        <v>3471</v>
      </c>
      <c r="AN4" s="435" t="s">
        <v>3471</v>
      </c>
      <c r="AO4" s="435" t="s">
        <v>3471</v>
      </c>
      <c r="AP4" s="435" t="s">
        <v>3471</v>
      </c>
      <c r="AQ4" s="435" t="s">
        <v>3471</v>
      </c>
      <c r="AR4" s="435" t="s">
        <v>3471</v>
      </c>
      <c r="AS4" s="435" t="s">
        <v>3471</v>
      </c>
      <c r="AT4" s="435" t="s">
        <v>3471</v>
      </c>
      <c r="AU4" s="435" t="s">
        <v>3471</v>
      </c>
      <c r="AV4" s="435" t="s">
        <v>3471</v>
      </c>
      <c r="AW4" s="435" t="s">
        <v>3471</v>
      </c>
      <c r="AX4" s="435" t="s">
        <v>3471</v>
      </c>
      <c r="AY4" s="435" t="s">
        <v>3471</v>
      </c>
      <c r="AZ4" s="435" t="s">
        <v>3471</v>
      </c>
      <c r="BA4" s="435" t="s">
        <v>3471</v>
      </c>
      <c r="BB4" s="435" t="s">
        <v>3471</v>
      </c>
      <c r="BC4" s="435" t="s">
        <v>3471</v>
      </c>
      <c r="BD4" s="435" t="s">
        <v>3471</v>
      </c>
      <c r="BE4" s="435" t="s">
        <v>3471</v>
      </c>
      <c r="BF4" s="435" t="s">
        <v>3471</v>
      </c>
      <c r="BG4" s="435" t="s">
        <v>3471</v>
      </c>
      <c r="BH4" s="435" t="s">
        <v>3471</v>
      </c>
      <c r="BI4" s="435" t="s">
        <v>3471</v>
      </c>
      <c r="BJ4" s="435" t="s">
        <v>3471</v>
      </c>
      <c r="BK4" s="435" t="s">
        <v>3471</v>
      </c>
      <c r="BL4" s="435" t="s">
        <v>3471</v>
      </c>
      <c r="BM4" s="435" t="s">
        <v>3471</v>
      </c>
      <c r="BN4" s="435" t="s">
        <v>3471</v>
      </c>
      <c r="BO4" s="435" t="s">
        <v>3471</v>
      </c>
      <c r="BP4" s="435" t="s">
        <v>3471</v>
      </c>
      <c r="BQ4" s="435" t="s">
        <v>3471</v>
      </c>
      <c r="BR4" s="435" t="s">
        <v>3471</v>
      </c>
      <c r="BS4" s="435" t="s">
        <v>3471</v>
      </c>
      <c r="BT4" s="435" t="s">
        <v>3471</v>
      </c>
      <c r="BU4" s="435" t="s">
        <v>3471</v>
      </c>
      <c r="BV4" s="435" t="s">
        <v>3471</v>
      </c>
      <c r="BW4" s="435" t="s">
        <v>3471</v>
      </c>
      <c r="BX4" s="435" t="s">
        <v>3471</v>
      </c>
      <c r="BY4" s="435" t="s">
        <v>3471</v>
      </c>
      <c r="BZ4" s="435" t="s">
        <v>3471</v>
      </c>
      <c r="CA4" s="435" t="s">
        <v>3471</v>
      </c>
      <c r="CB4" s="435" t="s">
        <v>3471</v>
      </c>
      <c r="CC4" s="435" t="s">
        <v>3471</v>
      </c>
      <c r="CD4" s="435" t="s">
        <v>3471</v>
      </c>
      <c r="CE4" s="435" t="s">
        <v>3471</v>
      </c>
      <c r="CF4" s="435" t="s">
        <v>3471</v>
      </c>
      <c r="CG4" s="435" t="s">
        <v>3471</v>
      </c>
      <c r="CH4" s="435" t="s">
        <v>3471</v>
      </c>
      <c r="CI4" s="435" t="s">
        <v>3471</v>
      </c>
      <c r="CJ4" s="435" t="s">
        <v>3471</v>
      </c>
      <c r="CK4" s="435" t="s">
        <v>3471</v>
      </c>
      <c r="CL4" s="435" t="s">
        <v>3471</v>
      </c>
      <c r="CM4" s="435" t="s">
        <v>3471</v>
      </c>
      <c r="CN4" s="435" t="s">
        <v>3471</v>
      </c>
      <c r="CO4" s="435" t="s">
        <v>3471</v>
      </c>
      <c r="CP4" s="435" t="s">
        <v>3471</v>
      </c>
      <c r="CQ4" s="435" t="s">
        <v>3471</v>
      </c>
      <c r="CR4" s="435" t="s">
        <v>3471</v>
      </c>
      <c r="CS4" s="435" t="s">
        <v>3471</v>
      </c>
      <c r="CT4" s="435" t="s">
        <v>3471</v>
      </c>
      <c r="CU4" s="435" t="s">
        <v>3471</v>
      </c>
      <c r="CV4" s="435" t="s">
        <v>3471</v>
      </c>
      <c r="CW4" s="435" t="s">
        <v>3471</v>
      </c>
      <c r="CX4" s="435" t="s">
        <v>3471</v>
      </c>
      <c r="CY4" s="435" t="s">
        <v>3471</v>
      </c>
      <c r="CZ4" s="435" t="s">
        <v>3471</v>
      </c>
      <c r="DA4" s="435" t="s">
        <v>3471</v>
      </c>
      <c r="DB4" s="435" t="s">
        <v>3471</v>
      </c>
      <c r="DC4" s="435" t="s">
        <v>3471</v>
      </c>
      <c r="DD4" s="435" t="s">
        <v>3471</v>
      </c>
      <c r="DE4" s="435" t="s">
        <v>3471</v>
      </c>
      <c r="DF4" s="435" t="s">
        <v>3471</v>
      </c>
      <c r="DG4" s="435" t="s">
        <v>3471</v>
      </c>
      <c r="DH4" s="435" t="s">
        <v>3471</v>
      </c>
      <c r="DI4" s="435" t="s">
        <v>3471</v>
      </c>
      <c r="DJ4" s="435" t="s">
        <v>3471</v>
      </c>
      <c r="DK4" s="435" t="s">
        <v>3471</v>
      </c>
      <c r="DL4" s="435" t="s">
        <v>3471</v>
      </c>
      <c r="DM4" s="435" t="s">
        <v>3471</v>
      </c>
      <c r="DN4" s="435" t="s">
        <v>3471</v>
      </c>
      <c r="DO4" s="435" t="s">
        <v>3471</v>
      </c>
      <c r="DP4" s="435" t="s">
        <v>3471</v>
      </c>
      <c r="DQ4" s="435" t="s">
        <v>3471</v>
      </c>
      <c r="DR4" s="435" t="s">
        <v>3471</v>
      </c>
      <c r="DS4" s="435" t="s">
        <v>3471</v>
      </c>
      <c r="DT4" s="435" t="s">
        <v>3471</v>
      </c>
      <c r="DU4" s="435" t="s">
        <v>3471</v>
      </c>
      <c r="DV4" s="435" t="s">
        <v>3471</v>
      </c>
      <c r="DW4" s="435" t="s">
        <v>3471</v>
      </c>
      <c r="DX4" s="435" t="s">
        <v>3471</v>
      </c>
      <c r="DY4" s="435" t="s">
        <v>3471</v>
      </c>
      <c r="DZ4" s="435" t="s">
        <v>3471</v>
      </c>
      <c r="EA4" s="435" t="s">
        <v>3471</v>
      </c>
      <c r="EB4" s="435" t="s">
        <v>3471</v>
      </c>
      <c r="EC4" s="435" t="s">
        <v>3471</v>
      </c>
      <c r="ED4" s="435" t="s">
        <v>3471</v>
      </c>
      <c r="EE4" s="435" t="s">
        <v>3471</v>
      </c>
      <c r="EF4" s="435" t="s">
        <v>3471</v>
      </c>
      <c r="EG4" s="435" t="s">
        <v>3471</v>
      </c>
      <c r="EH4" s="435" t="s">
        <v>3471</v>
      </c>
      <c r="EI4" s="435" t="s">
        <v>3471</v>
      </c>
      <c r="EJ4" s="435" t="s">
        <v>3471</v>
      </c>
      <c r="EK4" s="435" t="s">
        <v>3471</v>
      </c>
      <c r="EL4" s="435" t="s">
        <v>3471</v>
      </c>
      <c r="EM4" s="435" t="s">
        <v>3471</v>
      </c>
      <c r="EN4" s="435" t="s">
        <v>3471</v>
      </c>
      <c r="EO4" s="435" t="s">
        <v>3471</v>
      </c>
      <c r="EP4" s="435" t="s">
        <v>3471</v>
      </c>
      <c r="EQ4" s="435" t="s">
        <v>3471</v>
      </c>
      <c r="ER4" s="435" t="s">
        <v>3471</v>
      </c>
      <c r="ES4" s="435" t="s">
        <v>3471</v>
      </c>
      <c r="ET4" s="435" t="s">
        <v>3471</v>
      </c>
      <c r="EU4" s="435" t="s">
        <v>3471</v>
      </c>
      <c r="EV4" s="435" t="s">
        <v>3471</v>
      </c>
      <c r="EW4" s="435" t="s">
        <v>3471</v>
      </c>
      <c r="EX4" s="435" t="s">
        <v>3471</v>
      </c>
      <c r="EY4" s="435" t="s">
        <v>3471</v>
      </c>
      <c r="EZ4" s="435" t="s">
        <v>3471</v>
      </c>
      <c r="FA4" s="435" t="s">
        <v>3471</v>
      </c>
      <c r="FB4" s="435" t="s">
        <v>3471</v>
      </c>
      <c r="FC4" s="435" t="s">
        <v>3471</v>
      </c>
      <c r="FD4" s="435" t="s">
        <v>3471</v>
      </c>
      <c r="FE4" s="435" t="s">
        <v>3471</v>
      </c>
      <c r="FF4" s="435" t="s">
        <v>3471</v>
      </c>
      <c r="FG4" s="435" t="s">
        <v>3471</v>
      </c>
      <c r="FH4" s="435" t="s">
        <v>3471</v>
      </c>
      <c r="FI4" s="435" t="s">
        <v>3471</v>
      </c>
      <c r="FJ4" s="435" t="s">
        <v>3471</v>
      </c>
      <c r="FK4" s="435" t="s">
        <v>3471</v>
      </c>
      <c r="FL4" s="435" t="s">
        <v>3471</v>
      </c>
      <c r="FM4" s="435" t="s">
        <v>3471</v>
      </c>
      <c r="FN4" s="435" t="s">
        <v>3471</v>
      </c>
      <c r="FO4" s="435" t="s">
        <v>3471</v>
      </c>
      <c r="FP4" s="435" t="s">
        <v>3471</v>
      </c>
      <c r="FQ4" s="435" t="s">
        <v>3471</v>
      </c>
      <c r="FR4" s="435" t="s">
        <v>3471</v>
      </c>
      <c r="FS4" s="435" t="s">
        <v>3471</v>
      </c>
      <c r="FT4" s="435" t="s">
        <v>3471</v>
      </c>
      <c r="FU4" s="435" t="s">
        <v>3471</v>
      </c>
      <c r="FV4" s="435" t="s">
        <v>3471</v>
      </c>
      <c r="FW4" s="435" t="s">
        <v>3471</v>
      </c>
      <c r="FX4" s="435" t="s">
        <v>3471</v>
      </c>
      <c r="FY4" s="435" t="s">
        <v>3471</v>
      </c>
      <c r="FZ4" s="435" t="s">
        <v>3471</v>
      </c>
      <c r="GA4" s="435" t="s">
        <v>3471</v>
      </c>
      <c r="GB4" s="435" t="s">
        <v>3471</v>
      </c>
      <c r="GC4" s="435" t="s">
        <v>3471</v>
      </c>
      <c r="GD4" s="435" t="s">
        <v>3471</v>
      </c>
      <c r="GE4" s="435" t="s">
        <v>3471</v>
      </c>
      <c r="GF4" s="435" t="s">
        <v>3471</v>
      </c>
      <c r="GG4" s="435" t="s">
        <v>3471</v>
      </c>
      <c r="GH4" s="435" t="s">
        <v>3471</v>
      </c>
      <c r="GI4" s="435" t="s">
        <v>3471</v>
      </c>
      <c r="GJ4" s="435" t="s">
        <v>3471</v>
      </c>
      <c r="GK4" s="435" t="s">
        <v>3471</v>
      </c>
      <c r="GL4" s="435" t="s">
        <v>3471</v>
      </c>
      <c r="GM4" s="435" t="s">
        <v>3471</v>
      </c>
      <c r="GN4" s="435" t="s">
        <v>3471</v>
      </c>
      <c r="GO4" s="435" t="s">
        <v>3471</v>
      </c>
      <c r="GP4" s="435" t="s">
        <v>3471</v>
      </c>
      <c r="GQ4" s="435" t="s">
        <v>3471</v>
      </c>
      <c r="GR4" s="435" t="s">
        <v>3471</v>
      </c>
      <c r="GS4" s="435" t="s">
        <v>3471</v>
      </c>
      <c r="GT4" s="435" t="s">
        <v>3471</v>
      </c>
      <c r="GU4" s="435" t="s">
        <v>3471</v>
      </c>
      <c r="GV4" s="435" t="s">
        <v>3471</v>
      </c>
      <c r="GW4" s="435" t="s">
        <v>3471</v>
      </c>
      <c r="GX4" s="435" t="s">
        <v>3471</v>
      </c>
      <c r="GY4" s="435" t="s">
        <v>3471</v>
      </c>
      <c r="GZ4" s="435" t="s">
        <v>3471</v>
      </c>
      <c r="HA4" s="435" t="s">
        <v>3471</v>
      </c>
      <c r="HB4" s="435" t="s">
        <v>3471</v>
      </c>
      <c r="HC4" s="435" t="s">
        <v>3471</v>
      </c>
      <c r="HD4" s="435" t="s">
        <v>3471</v>
      </c>
      <c r="HE4" s="435" t="s">
        <v>3471</v>
      </c>
      <c r="HF4" s="435" t="s">
        <v>3471</v>
      </c>
      <c r="HG4" s="435" t="s">
        <v>3471</v>
      </c>
      <c r="HH4" s="435" t="s">
        <v>3471</v>
      </c>
      <c r="HI4" s="435" t="s">
        <v>3471</v>
      </c>
      <c r="HJ4" s="435" t="s">
        <v>3471</v>
      </c>
      <c r="HK4" s="435" t="s">
        <v>3471</v>
      </c>
      <c r="HL4" s="435" t="s">
        <v>3471</v>
      </c>
      <c r="HM4" s="435" t="s">
        <v>3471</v>
      </c>
      <c r="HN4" s="435" t="s">
        <v>3471</v>
      </c>
      <c r="HO4" s="435" t="s">
        <v>3471</v>
      </c>
      <c r="HP4" s="435" t="s">
        <v>3471</v>
      </c>
      <c r="HQ4" s="435" t="s">
        <v>3471</v>
      </c>
      <c r="HR4" s="435" t="s">
        <v>3471</v>
      </c>
      <c r="HS4" s="435" t="s">
        <v>3471</v>
      </c>
      <c r="HT4" s="435" t="s">
        <v>3471</v>
      </c>
      <c r="HU4" s="435" t="s">
        <v>3471</v>
      </c>
      <c r="HV4" s="434" t="s">
        <v>3471</v>
      </c>
      <c r="HW4" s="434" t="s">
        <v>3471</v>
      </c>
      <c r="HX4" s="434" t="s">
        <v>3471</v>
      </c>
      <c r="HY4" s="434" t="s">
        <v>3471</v>
      </c>
      <c r="HZ4" s="434" t="s">
        <v>3471</v>
      </c>
      <c r="IA4" s="434" t="s">
        <v>3471</v>
      </c>
      <c r="IB4" s="434" t="s">
        <v>3471</v>
      </c>
      <c r="IC4" s="434" t="s">
        <v>3471</v>
      </c>
      <c r="ID4" s="434" t="s">
        <v>3471</v>
      </c>
      <c r="IE4" s="434" t="s">
        <v>3471</v>
      </c>
      <c r="IF4" s="434" t="s">
        <v>3471</v>
      </c>
      <c r="IG4" s="434" t="s">
        <v>3471</v>
      </c>
      <c r="IH4" s="434" t="s">
        <v>3471</v>
      </c>
      <c r="II4" s="434" t="s">
        <v>3471</v>
      </c>
      <c r="IJ4" s="434" t="s">
        <v>3471</v>
      </c>
      <c r="IK4" s="434" t="s">
        <v>3471</v>
      </c>
      <c r="IL4" s="434" t="s">
        <v>3471</v>
      </c>
      <c r="IM4" s="434" t="s">
        <v>3471</v>
      </c>
      <c r="IN4" s="434" t="s">
        <v>3471</v>
      </c>
      <c r="IO4" s="434" t="s">
        <v>3471</v>
      </c>
      <c r="IP4" s="434" t="s">
        <v>3471</v>
      </c>
      <c r="IQ4" s="434" t="s">
        <v>3471</v>
      </c>
      <c r="IR4" s="434" t="s">
        <v>3471</v>
      </c>
      <c r="IS4" s="434" t="s">
        <v>3471</v>
      </c>
      <c r="IT4" s="434" t="s">
        <v>3471</v>
      </c>
      <c r="IU4" s="434" t="s">
        <v>3471</v>
      </c>
      <c r="IV4" s="434" t="s">
        <v>3471</v>
      </c>
      <c r="IW4" s="434" t="s">
        <v>3471</v>
      </c>
      <c r="IX4" s="434" t="s">
        <v>3471</v>
      </c>
      <c r="IY4" s="434" t="s">
        <v>3471</v>
      </c>
      <c r="IZ4" s="434" t="s">
        <v>3471</v>
      </c>
      <c r="JA4" s="434" t="s">
        <v>3471</v>
      </c>
      <c r="JB4" s="434" t="s">
        <v>3471</v>
      </c>
      <c r="JC4" s="434" t="s">
        <v>3471</v>
      </c>
      <c r="JD4" s="434" t="s">
        <v>3471</v>
      </c>
      <c r="JE4" s="434" t="s">
        <v>3471</v>
      </c>
      <c r="JF4" s="434" t="s">
        <v>3471</v>
      </c>
      <c r="JG4" s="434" t="s">
        <v>3471</v>
      </c>
      <c r="JH4" s="434" t="s">
        <v>3471</v>
      </c>
      <c r="JI4" s="434" t="s">
        <v>3471</v>
      </c>
      <c r="JJ4" s="434" t="s">
        <v>3471</v>
      </c>
      <c r="JK4" s="434" t="s">
        <v>3471</v>
      </c>
      <c r="JL4" s="434" t="s">
        <v>3471</v>
      </c>
      <c r="JM4" s="434" t="s">
        <v>3471</v>
      </c>
      <c r="JN4" s="434" t="s">
        <v>3471</v>
      </c>
      <c r="JO4" s="434" t="s">
        <v>3471</v>
      </c>
      <c r="JP4" s="434" t="s">
        <v>3471</v>
      </c>
      <c r="JQ4" s="434" t="s">
        <v>3471</v>
      </c>
      <c r="JR4" s="434" t="s">
        <v>3471</v>
      </c>
      <c r="JS4" s="434" t="s">
        <v>3471</v>
      </c>
      <c r="JT4" s="434" t="s">
        <v>3471</v>
      </c>
      <c r="JU4" s="434" t="s">
        <v>3471</v>
      </c>
      <c r="JV4" s="434" t="s">
        <v>3471</v>
      </c>
      <c r="JW4" s="434" t="s">
        <v>3471</v>
      </c>
      <c r="JX4" s="434" t="s">
        <v>3471</v>
      </c>
      <c r="JY4" s="434" t="s">
        <v>3471</v>
      </c>
      <c r="JZ4" s="434" t="s">
        <v>3471</v>
      </c>
      <c r="KA4" s="434" t="s">
        <v>3471</v>
      </c>
      <c r="KB4" s="434" t="s">
        <v>3471</v>
      </c>
      <c r="KC4" s="434" t="s">
        <v>3471</v>
      </c>
      <c r="KD4" s="434" t="s">
        <v>3471</v>
      </c>
      <c r="KE4" s="434" t="s">
        <v>3471</v>
      </c>
      <c r="KF4" s="434" t="s">
        <v>3471</v>
      </c>
      <c r="KG4" s="434" t="s">
        <v>3471</v>
      </c>
      <c r="KH4" s="434" t="s">
        <v>3471</v>
      </c>
      <c r="KI4" s="434" t="s">
        <v>3471</v>
      </c>
      <c r="KJ4" s="434" t="s">
        <v>3471</v>
      </c>
      <c r="KK4" s="434" t="s">
        <v>3471</v>
      </c>
      <c r="KL4" s="434" t="s">
        <v>3471</v>
      </c>
      <c r="KM4" s="434" t="s">
        <v>3471</v>
      </c>
      <c r="KN4" s="434" t="s">
        <v>3471</v>
      </c>
      <c r="KO4" s="434" t="s">
        <v>3471</v>
      </c>
      <c r="KP4" s="434" t="s">
        <v>3471</v>
      </c>
      <c r="KQ4" s="434" t="s">
        <v>3471</v>
      </c>
      <c r="KR4" s="434" t="s">
        <v>3471</v>
      </c>
      <c r="KS4" s="434" t="s">
        <v>3471</v>
      </c>
      <c r="KT4" s="434" t="s">
        <v>3471</v>
      </c>
      <c r="KU4" s="434" t="s">
        <v>3471</v>
      </c>
      <c r="KV4" s="434" t="s">
        <v>3471</v>
      </c>
      <c r="KW4" s="434" t="s">
        <v>3471</v>
      </c>
      <c r="KX4" s="434" t="s">
        <v>3471</v>
      </c>
      <c r="KY4" s="434" t="s">
        <v>3471</v>
      </c>
      <c r="KZ4" s="434" t="s">
        <v>3471</v>
      </c>
      <c r="LA4" s="434" t="s">
        <v>3471</v>
      </c>
      <c r="LB4" s="434" t="s">
        <v>3471</v>
      </c>
      <c r="LC4" s="434" t="s">
        <v>3471</v>
      </c>
      <c r="LD4" s="399" t="s">
        <v>3471</v>
      </c>
      <c r="LE4" s="399" t="s">
        <v>3471</v>
      </c>
      <c r="LF4" s="399" t="s">
        <v>3471</v>
      </c>
      <c r="LG4" s="399" t="s">
        <v>3471</v>
      </c>
      <c r="LH4" s="399" t="s">
        <v>3471</v>
      </c>
      <c r="LI4" s="399" t="s">
        <v>3471</v>
      </c>
      <c r="LJ4" s="399" t="s">
        <v>3471</v>
      </c>
      <c r="LK4" s="399" t="s">
        <v>3471</v>
      </c>
      <c r="LL4" s="399" t="s">
        <v>3471</v>
      </c>
      <c r="LM4" s="399" t="s">
        <v>3471</v>
      </c>
      <c r="LN4" s="399" t="s">
        <v>3471</v>
      </c>
      <c r="LO4" s="399" t="s">
        <v>3471</v>
      </c>
      <c r="LP4" s="399" t="s">
        <v>3471</v>
      </c>
      <c r="LQ4" s="399" t="s">
        <v>3471</v>
      </c>
      <c r="LR4" s="399" t="s">
        <v>3471</v>
      </c>
      <c r="LS4" s="399" t="s">
        <v>3471</v>
      </c>
      <c r="LT4" s="399" t="s">
        <v>3471</v>
      </c>
      <c r="LU4" s="399" t="s">
        <v>3471</v>
      </c>
      <c r="LV4" s="399" t="s">
        <v>3471</v>
      </c>
      <c r="LW4" s="399" t="s">
        <v>3471</v>
      </c>
      <c r="LX4" s="399" t="s">
        <v>3471</v>
      </c>
      <c r="LY4" s="399" t="s">
        <v>3471</v>
      </c>
      <c r="LZ4" s="399" t="s">
        <v>3471</v>
      </c>
      <c r="MA4" s="399" t="s">
        <v>3471</v>
      </c>
      <c r="MB4" s="399" t="s">
        <v>3471</v>
      </c>
      <c r="MC4" s="399" t="s">
        <v>3471</v>
      </c>
      <c r="MD4" s="399" t="s">
        <v>3471</v>
      </c>
      <c r="ME4" s="399" t="s">
        <v>3471</v>
      </c>
      <c r="MF4" s="399" t="s">
        <v>3471</v>
      </c>
      <c r="MG4" s="399" t="s">
        <v>3471</v>
      </c>
      <c r="MH4" s="399" t="s">
        <v>3471</v>
      </c>
      <c r="MI4" s="399" t="s">
        <v>3471</v>
      </c>
      <c r="MJ4" s="399" t="s">
        <v>3471</v>
      </c>
      <c r="MK4" s="399" t="s">
        <v>3471</v>
      </c>
      <c r="ML4" s="399" t="s">
        <v>3471</v>
      </c>
      <c r="MM4" s="399" t="s">
        <v>3471</v>
      </c>
      <c r="MN4" s="399" t="s">
        <v>3471</v>
      </c>
      <c r="MO4" s="399" t="s">
        <v>3471</v>
      </c>
      <c r="MP4" s="399" t="s">
        <v>3471</v>
      </c>
      <c r="MQ4" s="399" t="s">
        <v>3471</v>
      </c>
      <c r="MR4" s="399" t="s">
        <v>3471</v>
      </c>
      <c r="MS4" s="399" t="s">
        <v>3471</v>
      </c>
      <c r="MT4" s="399" t="s">
        <v>3471</v>
      </c>
      <c r="MU4" s="399" t="s">
        <v>3471</v>
      </c>
      <c r="MV4" s="399" t="s">
        <v>3471</v>
      </c>
      <c r="MW4" s="399" t="s">
        <v>3471</v>
      </c>
      <c r="MX4" s="399" t="s">
        <v>3471</v>
      </c>
      <c r="MY4" s="399" t="s">
        <v>3471</v>
      </c>
      <c r="MZ4" s="399" t="s">
        <v>3471</v>
      </c>
      <c r="NA4" s="399" t="s">
        <v>3471</v>
      </c>
      <c r="NB4" s="399" t="s">
        <v>3471</v>
      </c>
      <c r="NC4" s="399" t="s">
        <v>3471</v>
      </c>
      <c r="ND4" s="399" t="s">
        <v>3471</v>
      </c>
      <c r="NE4" s="399" t="s">
        <v>3471</v>
      </c>
      <c r="NF4" s="399" t="s">
        <v>3471</v>
      </c>
      <c r="NG4" s="399" t="s">
        <v>3471</v>
      </c>
      <c r="NH4" s="399" t="s">
        <v>3471</v>
      </c>
      <c r="NI4" s="399" t="s">
        <v>3471</v>
      </c>
      <c r="NJ4" s="399" t="s">
        <v>3471</v>
      </c>
      <c r="NK4" s="399" t="s">
        <v>3471</v>
      </c>
      <c r="NL4" s="399" t="s">
        <v>3471</v>
      </c>
      <c r="NM4" s="399" t="s">
        <v>3471</v>
      </c>
      <c r="NN4" s="399" t="s">
        <v>3471</v>
      </c>
      <c r="NO4" s="399" t="s">
        <v>3471</v>
      </c>
      <c r="NP4" s="399" t="s">
        <v>3471</v>
      </c>
    </row>
  </sheetData>
  <autoFilter ref="G3:HV3"/>
  <mergeCells count="5">
    <mergeCell ref="B2:B3"/>
    <mergeCell ref="E2:E3"/>
    <mergeCell ref="F2:F3"/>
    <mergeCell ref="D2:D3"/>
    <mergeCell ref="C2:C3"/>
  </mergeCells>
  <conditionalFormatting sqref="C4:HU4">
    <cfRule type="cellIs" dxfId="5" priority="9" operator="equal">
      <formula>"NA"</formula>
    </cfRule>
    <cfRule type="cellIs" dxfId="4" priority="10" operator="equal">
      <formula>"NP"</formula>
    </cfRule>
    <cfRule type="cellIs" dxfId="3" priority="11" operator="equal">
      <formula>"NOK"</formula>
    </cfRule>
    <cfRule type="cellIs" dxfId="2" priority="12" operator="equal">
      <formula>"OK"</formula>
    </cfRule>
  </conditionalFormatting>
  <dataValidations count="1">
    <dataValidation type="list" allowBlank="1" showInputMessage="1" showErrorMessage="1" sqref="C4:HU4">
      <formula1>"OK, NOK, NP, NA"</formula1>
    </dataValidation>
  </dataValidations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9" tint="0.59999389629810485"/>
  </sheetPr>
  <dimension ref="A11:E25"/>
  <sheetViews>
    <sheetView workbookViewId="0">
      <selection activeCell="A8" sqref="A8"/>
    </sheetView>
  </sheetViews>
  <sheetFormatPr baseColWidth="10" defaultRowHeight="13.2" x14ac:dyDescent="0.25"/>
  <cols>
    <col min="1" max="1" width="47.6640625" customWidth="1"/>
    <col min="2" max="2" width="17" customWidth="1"/>
  </cols>
  <sheetData>
    <row r="11" spans="1:5" x14ac:dyDescent="0.25">
      <c r="A11" s="400" t="s">
        <v>3463</v>
      </c>
    </row>
    <row r="12" spans="1:5" x14ac:dyDescent="0.25">
      <c r="A12" s="403" t="s">
        <v>3469</v>
      </c>
    </row>
    <row r="13" spans="1:5" x14ac:dyDescent="0.25">
      <c r="B13" s="404"/>
    </row>
    <row r="14" spans="1:5" ht="13.8" thickBot="1" x14ac:dyDescent="0.3">
      <c r="B14" s="404"/>
    </row>
    <row r="15" spans="1:5" ht="27" thickBot="1" x14ac:dyDescent="0.3">
      <c r="B15" s="406" t="s">
        <v>3464</v>
      </c>
      <c r="C15" s="407" t="s">
        <v>3465</v>
      </c>
      <c r="D15" s="407" t="s">
        <v>3466</v>
      </c>
      <c r="E15" s="407" t="s">
        <v>3467</v>
      </c>
    </row>
    <row r="16" spans="1:5" ht="13.8" thickBot="1" x14ac:dyDescent="0.3">
      <c r="B16" s="408"/>
      <c r="C16" s="408"/>
      <c r="D16" s="409"/>
      <c r="E16" s="410"/>
    </row>
    <row r="17" spans="1:5" ht="13.8" thickBot="1" x14ac:dyDescent="0.3">
      <c r="B17" s="414"/>
      <c r="C17" s="414"/>
      <c r="D17" s="415"/>
      <c r="E17" s="416"/>
    </row>
    <row r="18" spans="1:5" ht="13.8" thickBot="1" x14ac:dyDescent="0.3">
      <c r="B18" s="411"/>
      <c r="C18" s="411"/>
      <c r="D18" s="412"/>
      <c r="E18" s="413"/>
    </row>
    <row r="19" spans="1:5" ht="13.8" thickBot="1" x14ac:dyDescent="0.3">
      <c r="B19" s="411"/>
      <c r="C19" s="411"/>
      <c r="D19" s="412"/>
      <c r="E19" s="413"/>
    </row>
    <row r="20" spans="1:5" x14ac:dyDescent="0.25">
      <c r="B20" s="404"/>
    </row>
    <row r="21" spans="1:5" x14ac:dyDescent="0.25">
      <c r="B21" s="404"/>
    </row>
    <row r="22" spans="1:5" x14ac:dyDescent="0.25">
      <c r="A22" s="402"/>
    </row>
    <row r="23" spans="1:5" x14ac:dyDescent="0.25">
      <c r="A23" s="402"/>
    </row>
    <row r="24" spans="1:5" x14ac:dyDescent="0.25">
      <c r="A24" s="402"/>
    </row>
    <row r="25" spans="1:5" x14ac:dyDescent="0.25">
      <c r="A25" s="403" t="s">
        <v>3468</v>
      </c>
    </row>
  </sheetData>
  <conditionalFormatting sqref="B16:E19">
    <cfRule type="cellIs" dxfId="1" priority="2" stopIfTrue="1" operator="notEqual">
      <formula>$A$1</formula>
    </cfRule>
  </conditionalFormatting>
  <conditionalFormatting sqref="B16:E19">
    <cfRule type="cellIs" dxfId="0" priority="1" stopIfTrue="1" operator="equal">
      <formula>$A$1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rgb="FF92D050"/>
  </sheetPr>
  <dimension ref="A3:KQ56"/>
  <sheetViews>
    <sheetView workbookViewId="0">
      <pane xSplit="2" ySplit="7" topLeftCell="C8" activePane="bottomRight" state="frozen"/>
      <selection activeCell="K15" sqref="K15"/>
      <selection pane="topRight" activeCell="K15" sqref="K15"/>
      <selection pane="bottomLeft" activeCell="K15" sqref="K15"/>
      <selection pane="bottomRight" activeCell="DG19" sqref="DG19"/>
    </sheetView>
  </sheetViews>
  <sheetFormatPr baseColWidth="10" defaultColWidth="11.44140625" defaultRowHeight="13.2" outlineLevelCol="1" x14ac:dyDescent="0.25"/>
  <cols>
    <col min="1" max="1" width="7.88671875" style="14" bestFit="1" customWidth="1"/>
    <col min="2" max="2" width="17.6640625" style="14" customWidth="1"/>
    <col min="3" max="3" width="13.88671875" style="14" bestFit="1" customWidth="1"/>
    <col min="4" max="4" width="21.88671875" style="14" customWidth="1"/>
    <col min="5" max="5" width="10.88671875" style="14" customWidth="1"/>
    <col min="6" max="9" width="11.44140625" style="14"/>
    <col min="10" max="10" width="11.109375" style="14" customWidth="1"/>
    <col min="11" max="11" width="11.44140625" style="14"/>
    <col min="12" max="12" width="12.88671875" style="14" customWidth="1"/>
    <col min="13" max="13" width="18.44140625" style="14" customWidth="1"/>
    <col min="14" max="14" width="11.44140625" style="14"/>
    <col min="15" max="15" width="0.44140625" style="32" customWidth="1"/>
    <col min="16" max="32" width="5" style="14" customWidth="1" outlineLevel="1"/>
    <col min="33" max="47" width="1.44140625" style="14" customWidth="1" outlineLevel="1"/>
    <col min="48" max="48" width="1.44140625" style="32" customWidth="1"/>
    <col min="49" max="303" width="5" style="14" customWidth="1" outlineLevel="1"/>
    <col min="304" max="16384" width="11.44140625" style="14"/>
  </cols>
  <sheetData>
    <row r="3" spans="1:303" x14ac:dyDescent="0.25">
      <c r="H3" s="266"/>
    </row>
    <row r="5" spans="1:303" x14ac:dyDescent="0.25">
      <c r="A5" s="606" t="s">
        <v>284</v>
      </c>
      <c r="B5" s="606"/>
      <c r="C5" s="606"/>
      <c r="D5" s="606"/>
      <c r="E5" s="606"/>
      <c r="F5" s="606"/>
      <c r="G5" s="606"/>
      <c r="H5" s="606"/>
      <c r="I5" s="606"/>
      <c r="J5" s="606"/>
      <c r="K5" s="606"/>
      <c r="L5" s="10"/>
      <c r="M5" s="11"/>
      <c r="N5" s="11"/>
      <c r="O5" s="12"/>
      <c r="P5" s="606" t="s">
        <v>285</v>
      </c>
      <c r="Q5" s="606"/>
      <c r="R5" s="606"/>
      <c r="S5" s="606"/>
      <c r="T5" s="606"/>
      <c r="U5" s="606"/>
      <c r="V5" s="606"/>
      <c r="W5" s="606"/>
      <c r="X5" s="606"/>
      <c r="Y5" s="606"/>
      <c r="Z5" s="606"/>
      <c r="AA5" s="606"/>
      <c r="AB5" s="606"/>
      <c r="AC5" s="606"/>
      <c r="AD5" s="606"/>
      <c r="AE5" s="606"/>
      <c r="AF5" s="606"/>
      <c r="AG5" s="606"/>
      <c r="AH5" s="606"/>
      <c r="AI5" s="606"/>
      <c r="AJ5" s="606"/>
      <c r="AK5" s="606"/>
      <c r="AL5" s="606"/>
      <c r="AM5" s="606"/>
      <c r="AN5" s="606"/>
      <c r="AO5" s="606"/>
      <c r="AP5" s="606"/>
      <c r="AQ5" s="606"/>
      <c r="AR5" s="606"/>
      <c r="AS5" s="606"/>
      <c r="AT5" s="606"/>
      <c r="AU5" s="606"/>
      <c r="AV5" s="13"/>
      <c r="AW5" s="606" t="s">
        <v>286</v>
      </c>
      <c r="AX5" s="606"/>
      <c r="AY5" s="606"/>
      <c r="AZ5" s="606"/>
      <c r="BA5" s="606"/>
      <c r="BB5" s="606"/>
      <c r="BC5" s="606"/>
      <c r="BD5" s="606"/>
      <c r="BE5" s="606"/>
      <c r="BF5" s="606"/>
      <c r="BG5" s="606"/>
      <c r="BH5" s="606"/>
      <c r="BI5" s="606"/>
      <c r="BJ5" s="606"/>
      <c r="BK5" s="606"/>
      <c r="BL5" s="606"/>
      <c r="BM5" s="606"/>
      <c r="BN5" s="606"/>
      <c r="BO5" s="606"/>
      <c r="BP5" s="606"/>
      <c r="BQ5" s="606"/>
      <c r="BR5" s="606"/>
      <c r="BS5" s="606"/>
      <c r="BT5" s="606"/>
    </row>
    <row r="6" spans="1:303" ht="20.25" customHeight="1" x14ac:dyDescent="0.25">
      <c r="A6" s="605" t="s">
        <v>287</v>
      </c>
      <c r="B6" s="605" t="s">
        <v>89</v>
      </c>
      <c r="C6" s="605" t="s">
        <v>134</v>
      </c>
      <c r="D6" s="605" t="s">
        <v>288</v>
      </c>
      <c r="E6" s="605" t="s">
        <v>289</v>
      </c>
      <c r="F6" s="605" t="s">
        <v>290</v>
      </c>
      <c r="G6" s="605" t="s">
        <v>291</v>
      </c>
      <c r="H6" s="605"/>
      <c r="I6" s="605" t="s">
        <v>292</v>
      </c>
      <c r="J6" s="605" t="s">
        <v>293</v>
      </c>
      <c r="K6" s="605" t="s">
        <v>294</v>
      </c>
      <c r="L6" s="605" t="s">
        <v>295</v>
      </c>
      <c r="M6" s="605" t="s">
        <v>296</v>
      </c>
      <c r="N6" s="605" t="s">
        <v>297</v>
      </c>
      <c r="O6" s="15"/>
      <c r="P6" s="16" t="s">
        <v>298</v>
      </c>
      <c r="Q6" s="16" t="s">
        <v>299</v>
      </c>
      <c r="R6" s="16" t="s">
        <v>300</v>
      </c>
      <c r="S6" s="16" t="s">
        <v>301</v>
      </c>
      <c r="T6" s="16" t="s">
        <v>302</v>
      </c>
      <c r="U6" s="16" t="s">
        <v>303</v>
      </c>
      <c r="V6" s="16" t="s">
        <v>304</v>
      </c>
      <c r="W6" s="16" t="s">
        <v>305</v>
      </c>
      <c r="X6" s="16" t="s">
        <v>306</v>
      </c>
      <c r="Y6" s="16" t="s">
        <v>307</v>
      </c>
      <c r="Z6" s="16" t="s">
        <v>305</v>
      </c>
      <c r="AA6" s="17" t="s">
        <v>308</v>
      </c>
      <c r="AB6" s="17" t="s">
        <v>309</v>
      </c>
      <c r="AC6" s="17" t="s">
        <v>310</v>
      </c>
      <c r="AD6" s="17" t="s">
        <v>311</v>
      </c>
      <c r="AE6" s="17" t="s">
        <v>312</v>
      </c>
      <c r="AF6" s="17" t="s">
        <v>313</v>
      </c>
      <c r="AG6" s="17" t="s">
        <v>142</v>
      </c>
      <c r="AH6" s="17" t="s">
        <v>142</v>
      </c>
      <c r="AI6" s="17" t="s">
        <v>142</v>
      </c>
      <c r="AJ6" s="17" t="s">
        <v>142</v>
      </c>
      <c r="AK6" s="17" t="s">
        <v>142</v>
      </c>
      <c r="AL6" s="17" t="s">
        <v>142</v>
      </c>
      <c r="AM6" s="17" t="s">
        <v>142</v>
      </c>
      <c r="AN6" s="17" t="s">
        <v>142</v>
      </c>
      <c r="AO6" s="17" t="s">
        <v>142</v>
      </c>
      <c r="AP6" s="17" t="s">
        <v>142</v>
      </c>
      <c r="AQ6" s="17" t="s">
        <v>142</v>
      </c>
      <c r="AR6" s="17" t="s">
        <v>142</v>
      </c>
      <c r="AS6" s="17" t="s">
        <v>142</v>
      </c>
      <c r="AT6" s="17" t="s">
        <v>142</v>
      </c>
      <c r="AU6" s="17" t="s">
        <v>142</v>
      </c>
      <c r="AV6" s="18"/>
      <c r="AW6" s="16" t="s">
        <v>314</v>
      </c>
      <c r="AX6" s="16" t="s">
        <v>315</v>
      </c>
      <c r="AY6" s="16" t="s">
        <v>316</v>
      </c>
      <c r="AZ6" s="16" t="s">
        <v>317</v>
      </c>
      <c r="BA6" s="16" t="s">
        <v>318</v>
      </c>
      <c r="BB6" s="16" t="s">
        <v>319</v>
      </c>
      <c r="BC6" s="16" t="s">
        <v>320</v>
      </c>
      <c r="BD6" s="16" t="s">
        <v>321</v>
      </c>
      <c r="BE6" s="16" t="s">
        <v>322</v>
      </c>
      <c r="BF6" s="16" t="s">
        <v>323</v>
      </c>
      <c r="BG6" s="16" t="s">
        <v>324</v>
      </c>
      <c r="BH6" s="16" t="s">
        <v>325</v>
      </c>
      <c r="BI6" s="16" t="s">
        <v>326</v>
      </c>
      <c r="BJ6" s="16" t="s">
        <v>327</v>
      </c>
      <c r="BK6" s="16" t="s">
        <v>328</v>
      </c>
      <c r="BL6" s="16" t="s">
        <v>329</v>
      </c>
      <c r="BM6" s="16" t="s">
        <v>330</v>
      </c>
      <c r="BN6" s="16" t="s">
        <v>331</v>
      </c>
      <c r="BO6" s="16" t="s">
        <v>332</v>
      </c>
      <c r="BP6" s="16" t="s">
        <v>333</v>
      </c>
      <c r="BQ6" s="16" t="s">
        <v>334</v>
      </c>
      <c r="BR6" s="16" t="s">
        <v>335</v>
      </c>
      <c r="BS6" s="16" t="s">
        <v>336</v>
      </c>
      <c r="BT6" s="16" t="s">
        <v>337</v>
      </c>
      <c r="BU6" s="16" t="s">
        <v>338</v>
      </c>
      <c r="BV6" s="16" t="s">
        <v>339</v>
      </c>
      <c r="BW6" s="16" t="s">
        <v>340</v>
      </c>
      <c r="BX6" s="16" t="s">
        <v>341</v>
      </c>
      <c r="BY6" s="16" t="s">
        <v>332</v>
      </c>
      <c r="BZ6" s="16" t="s">
        <v>342</v>
      </c>
      <c r="CA6" s="16" t="s">
        <v>343</v>
      </c>
      <c r="CB6" s="16" t="s">
        <v>344</v>
      </c>
      <c r="CC6" s="16" t="s">
        <v>345</v>
      </c>
      <c r="CD6" s="16" t="s">
        <v>346</v>
      </c>
      <c r="CE6" s="16" t="s">
        <v>347</v>
      </c>
      <c r="CF6" s="16" t="s">
        <v>348</v>
      </c>
      <c r="CG6" s="16" t="s">
        <v>349</v>
      </c>
      <c r="CH6" s="16" t="s">
        <v>350</v>
      </c>
      <c r="CI6" s="16" t="s">
        <v>351</v>
      </c>
      <c r="CJ6" s="16" t="s">
        <v>352</v>
      </c>
      <c r="CK6" s="16" t="s">
        <v>353</v>
      </c>
      <c r="CL6" s="16" t="s">
        <v>354</v>
      </c>
      <c r="CM6" s="16" t="s">
        <v>355</v>
      </c>
      <c r="CN6" s="16" t="s">
        <v>356</v>
      </c>
      <c r="CO6" s="16" t="s">
        <v>357</v>
      </c>
      <c r="CP6" s="16" t="s">
        <v>358</v>
      </c>
      <c r="CQ6" s="16" t="s">
        <v>359</v>
      </c>
      <c r="CR6" s="16" t="s">
        <v>360</v>
      </c>
      <c r="CS6" s="16" t="s">
        <v>361</v>
      </c>
      <c r="CT6" s="16" t="s">
        <v>362</v>
      </c>
      <c r="CU6" s="16" t="s">
        <v>363</v>
      </c>
      <c r="CV6" s="16" t="s">
        <v>364</v>
      </c>
      <c r="CW6" s="16" t="s">
        <v>365</v>
      </c>
      <c r="CX6" s="16" t="s">
        <v>366</v>
      </c>
      <c r="CY6" s="16" t="s">
        <v>367</v>
      </c>
      <c r="CZ6" s="16" t="s">
        <v>368</v>
      </c>
      <c r="DA6" s="16" t="s">
        <v>369</v>
      </c>
      <c r="DB6" s="16" t="s">
        <v>370</v>
      </c>
      <c r="DC6" s="16" t="s">
        <v>371</v>
      </c>
      <c r="DD6" s="16" t="s">
        <v>372</v>
      </c>
      <c r="DE6" s="16" t="s">
        <v>373</v>
      </c>
      <c r="DF6" s="16" t="s">
        <v>374</v>
      </c>
      <c r="DG6" s="16" t="s">
        <v>375</v>
      </c>
      <c r="DH6" s="16" t="s">
        <v>376</v>
      </c>
      <c r="DI6" s="16" t="s">
        <v>377</v>
      </c>
      <c r="DJ6" s="16" t="s">
        <v>378</v>
      </c>
      <c r="DK6" s="16" t="s">
        <v>379</v>
      </c>
      <c r="DL6" s="16" t="s">
        <v>380</v>
      </c>
      <c r="DM6" s="16" t="s">
        <v>381</v>
      </c>
      <c r="DN6" s="16" t="s">
        <v>382</v>
      </c>
      <c r="DO6" s="16" t="s">
        <v>383</v>
      </c>
      <c r="DP6" s="16" t="s">
        <v>384</v>
      </c>
      <c r="DQ6" s="16" t="s">
        <v>385</v>
      </c>
      <c r="DR6" s="16" t="s">
        <v>386</v>
      </c>
      <c r="DS6" s="16" t="s">
        <v>387</v>
      </c>
      <c r="DT6" s="16" t="s">
        <v>388</v>
      </c>
      <c r="DU6" s="16" t="s">
        <v>389</v>
      </c>
      <c r="DV6" s="16" t="s">
        <v>390</v>
      </c>
      <c r="DW6" s="16" t="s">
        <v>391</v>
      </c>
      <c r="DX6" s="16" t="s">
        <v>392</v>
      </c>
      <c r="DY6" s="16" t="s">
        <v>393</v>
      </c>
      <c r="DZ6" s="16" t="s">
        <v>394</v>
      </c>
      <c r="EA6" s="16" t="s">
        <v>395</v>
      </c>
      <c r="EB6" s="16" t="s">
        <v>396</v>
      </c>
      <c r="EC6" s="16" t="s">
        <v>397</v>
      </c>
      <c r="ED6" s="16" t="s">
        <v>398</v>
      </c>
      <c r="EE6" s="16" t="s">
        <v>399</v>
      </c>
      <c r="EF6" s="16" t="s">
        <v>400</v>
      </c>
      <c r="EG6" s="16" t="s">
        <v>401</v>
      </c>
      <c r="EH6" s="16" t="s">
        <v>402</v>
      </c>
      <c r="EI6" s="16" t="s">
        <v>403</v>
      </c>
      <c r="EJ6" s="16" t="s">
        <v>404</v>
      </c>
      <c r="EK6" s="16" t="s">
        <v>405</v>
      </c>
      <c r="EL6" s="16" t="s">
        <v>406</v>
      </c>
      <c r="EM6" s="16" t="s">
        <v>407</v>
      </c>
      <c r="EN6" s="16" t="s">
        <v>408</v>
      </c>
      <c r="EO6" s="16" t="s">
        <v>409</v>
      </c>
      <c r="EP6" s="16" t="s">
        <v>410</v>
      </c>
      <c r="EQ6" s="16" t="s">
        <v>411</v>
      </c>
      <c r="ER6" s="16" t="s">
        <v>412</v>
      </c>
      <c r="ES6" s="16" t="s">
        <v>413</v>
      </c>
      <c r="ET6" s="16" t="s">
        <v>414</v>
      </c>
      <c r="EU6" s="16" t="s">
        <v>318</v>
      </c>
      <c r="EV6" s="16" t="s">
        <v>415</v>
      </c>
      <c r="EW6" s="16" t="s">
        <v>416</v>
      </c>
      <c r="EX6" s="16" t="s">
        <v>417</v>
      </c>
      <c r="EY6" s="16" t="s">
        <v>418</v>
      </c>
      <c r="EZ6" s="16" t="s">
        <v>419</v>
      </c>
      <c r="FA6" s="16" t="s">
        <v>420</v>
      </c>
      <c r="FB6" s="16" t="s">
        <v>421</v>
      </c>
      <c r="FC6" s="16" t="s">
        <v>422</v>
      </c>
      <c r="FD6" s="16" t="s">
        <v>423</v>
      </c>
      <c r="FE6" s="16" t="s">
        <v>424</v>
      </c>
      <c r="FF6" s="16" t="s">
        <v>425</v>
      </c>
      <c r="FG6" s="16" t="s">
        <v>426</v>
      </c>
      <c r="FH6" s="16" t="s">
        <v>427</v>
      </c>
      <c r="FI6" s="16" t="s">
        <v>428</v>
      </c>
      <c r="FJ6" s="16" t="s">
        <v>428</v>
      </c>
      <c r="FK6" s="16" t="s">
        <v>429</v>
      </c>
      <c r="FL6" s="16" t="s">
        <v>430</v>
      </c>
      <c r="FM6" s="16" t="s">
        <v>431</v>
      </c>
      <c r="FN6" s="16" t="s">
        <v>432</v>
      </c>
      <c r="FO6" s="16" t="s">
        <v>432</v>
      </c>
      <c r="FP6" s="16" t="s">
        <v>433</v>
      </c>
      <c r="FQ6" s="16" t="s">
        <v>434</v>
      </c>
      <c r="FR6" s="16" t="s">
        <v>435</v>
      </c>
      <c r="FS6" s="16" t="s">
        <v>436</v>
      </c>
      <c r="FT6" s="16" t="s">
        <v>437</v>
      </c>
      <c r="FU6" s="16" t="s">
        <v>438</v>
      </c>
      <c r="FV6" s="16" t="s">
        <v>438</v>
      </c>
      <c r="FW6" s="16" t="s">
        <v>439</v>
      </c>
      <c r="FX6" s="16" t="s">
        <v>440</v>
      </c>
      <c r="FY6" s="16" t="s">
        <v>441</v>
      </c>
      <c r="FZ6" s="16" t="s">
        <v>442</v>
      </c>
      <c r="GA6" s="16" t="s">
        <v>324</v>
      </c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16"/>
      <c r="HP6" s="16"/>
      <c r="HQ6" s="16"/>
      <c r="HR6" s="16"/>
      <c r="HS6" s="16"/>
      <c r="HT6" s="16"/>
      <c r="HU6" s="16"/>
      <c r="HV6" s="16"/>
      <c r="HW6" s="16"/>
      <c r="HX6" s="16"/>
      <c r="HY6" s="16"/>
      <c r="HZ6" s="16"/>
      <c r="IA6" s="16"/>
      <c r="IB6" s="16"/>
      <c r="IC6" s="16"/>
      <c r="ID6" s="16"/>
      <c r="IE6" s="16"/>
      <c r="IF6" s="16"/>
      <c r="IG6" s="16"/>
      <c r="IH6" s="16"/>
      <c r="II6" s="16"/>
      <c r="IJ6" s="16"/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16"/>
      <c r="JD6" s="16"/>
      <c r="JE6" s="16"/>
      <c r="JF6" s="16"/>
      <c r="JG6" s="16"/>
      <c r="JH6" s="16"/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6"/>
      <c r="KD6" s="16"/>
      <c r="KE6" s="16"/>
      <c r="KF6" s="16"/>
      <c r="KG6" s="16"/>
      <c r="KH6" s="16"/>
      <c r="KI6" s="16"/>
      <c r="KJ6" s="16"/>
      <c r="KK6" s="16"/>
      <c r="KL6" s="16"/>
      <c r="KM6" s="16"/>
      <c r="KN6" s="16"/>
      <c r="KO6" s="16"/>
      <c r="KP6" s="16"/>
      <c r="KQ6" s="16"/>
    </row>
    <row r="7" spans="1:303" s="23" customFormat="1" ht="18.75" customHeight="1" x14ac:dyDescent="0.25">
      <c r="A7" s="605"/>
      <c r="B7" s="605"/>
      <c r="C7" s="605"/>
      <c r="D7" s="605"/>
      <c r="E7" s="605"/>
      <c r="F7" s="605"/>
      <c r="G7" s="605"/>
      <c r="H7" s="605"/>
      <c r="I7" s="605"/>
      <c r="J7" s="605"/>
      <c r="K7" s="605"/>
      <c r="L7" s="605"/>
      <c r="M7" s="605"/>
      <c r="N7" s="605"/>
      <c r="O7" s="19"/>
      <c r="P7" s="20" t="s">
        <v>443</v>
      </c>
      <c r="Q7" s="20" t="s">
        <v>444</v>
      </c>
      <c r="R7" s="20" t="s">
        <v>445</v>
      </c>
      <c r="S7" s="20" t="s">
        <v>446</v>
      </c>
      <c r="T7" s="20" t="s">
        <v>447</v>
      </c>
      <c r="U7" s="20" t="s">
        <v>448</v>
      </c>
      <c r="V7" s="20" t="s">
        <v>449</v>
      </c>
      <c r="W7" s="20" t="s">
        <v>450</v>
      </c>
      <c r="X7" s="20" t="s">
        <v>451</v>
      </c>
      <c r="Y7" s="20" t="s">
        <v>452</v>
      </c>
      <c r="Z7" s="20" t="s">
        <v>453</v>
      </c>
      <c r="AA7" s="20" t="s">
        <v>454</v>
      </c>
      <c r="AB7" s="20" t="s">
        <v>225</v>
      </c>
      <c r="AC7" s="20" t="s">
        <v>455</v>
      </c>
      <c r="AD7" s="20" t="s">
        <v>456</v>
      </c>
      <c r="AE7" s="20" t="s">
        <v>176</v>
      </c>
      <c r="AF7" s="20" t="s">
        <v>224</v>
      </c>
      <c r="AG7" s="20" t="s">
        <v>457</v>
      </c>
      <c r="AH7" s="20" t="s">
        <v>222</v>
      </c>
      <c r="AI7" s="20" t="s">
        <v>207</v>
      </c>
      <c r="AJ7" s="20" t="s">
        <v>211</v>
      </c>
      <c r="AK7" s="20" t="s">
        <v>214</v>
      </c>
      <c r="AL7" s="20" t="s">
        <v>458</v>
      </c>
      <c r="AM7" s="20" t="s">
        <v>215</v>
      </c>
      <c r="AN7" s="20" t="s">
        <v>459</v>
      </c>
      <c r="AO7" s="20" t="s">
        <v>460</v>
      </c>
      <c r="AP7" s="20" t="s">
        <v>461</v>
      </c>
      <c r="AQ7" s="20" t="s">
        <v>462</v>
      </c>
      <c r="AR7" s="20" t="s">
        <v>463</v>
      </c>
      <c r="AS7" s="20" t="s">
        <v>464</v>
      </c>
      <c r="AT7" s="20" t="s">
        <v>465</v>
      </c>
      <c r="AU7" s="20" t="s">
        <v>466</v>
      </c>
      <c r="AV7" s="21"/>
      <c r="AW7" s="20" t="s">
        <v>443</v>
      </c>
      <c r="AX7" s="20" t="s">
        <v>444</v>
      </c>
      <c r="AY7" s="20" t="s">
        <v>445</v>
      </c>
      <c r="AZ7" s="20" t="s">
        <v>446</v>
      </c>
      <c r="BA7" s="20" t="s">
        <v>447</v>
      </c>
      <c r="BB7" s="20" t="s">
        <v>448</v>
      </c>
      <c r="BC7" s="20" t="s">
        <v>449</v>
      </c>
      <c r="BD7" s="20" t="s">
        <v>450</v>
      </c>
      <c r="BE7" s="20" t="s">
        <v>451</v>
      </c>
      <c r="BF7" s="20" t="s">
        <v>452</v>
      </c>
      <c r="BG7" s="20" t="s">
        <v>453</v>
      </c>
      <c r="BH7" s="20" t="s">
        <v>454</v>
      </c>
      <c r="BI7" s="20" t="s">
        <v>225</v>
      </c>
      <c r="BJ7" s="20" t="s">
        <v>455</v>
      </c>
      <c r="BK7" s="20" t="s">
        <v>456</v>
      </c>
      <c r="BL7" s="20" t="s">
        <v>176</v>
      </c>
      <c r="BM7" s="20" t="s">
        <v>224</v>
      </c>
      <c r="BN7" s="20" t="s">
        <v>457</v>
      </c>
      <c r="BO7" s="20" t="s">
        <v>222</v>
      </c>
      <c r="BP7" s="20" t="s">
        <v>207</v>
      </c>
      <c r="BQ7" s="20" t="s">
        <v>211</v>
      </c>
      <c r="BR7" s="20" t="s">
        <v>214</v>
      </c>
      <c r="BS7" s="20" t="s">
        <v>458</v>
      </c>
      <c r="BT7" s="20" t="s">
        <v>215</v>
      </c>
      <c r="BU7" s="20" t="s">
        <v>459</v>
      </c>
      <c r="BV7" s="20" t="s">
        <v>460</v>
      </c>
      <c r="BW7" s="20" t="s">
        <v>461</v>
      </c>
      <c r="BX7" s="20" t="s">
        <v>462</v>
      </c>
      <c r="BY7" s="20" t="s">
        <v>463</v>
      </c>
      <c r="BZ7" s="20" t="s">
        <v>464</v>
      </c>
      <c r="CA7" s="20" t="s">
        <v>465</v>
      </c>
      <c r="CB7" s="20" t="s">
        <v>466</v>
      </c>
      <c r="CC7" s="20" t="s">
        <v>467</v>
      </c>
      <c r="CD7" s="20" t="s">
        <v>468</v>
      </c>
      <c r="CE7" s="20" t="s">
        <v>469</v>
      </c>
      <c r="CF7" s="20" t="s">
        <v>470</v>
      </c>
      <c r="CG7" s="20" t="s">
        <v>471</v>
      </c>
      <c r="CH7" s="20" t="s">
        <v>472</v>
      </c>
      <c r="CI7" s="20" t="s">
        <v>473</v>
      </c>
      <c r="CJ7" s="20" t="s">
        <v>474</v>
      </c>
      <c r="CK7" s="20" t="s">
        <v>475</v>
      </c>
      <c r="CL7" s="20" t="s">
        <v>476</v>
      </c>
      <c r="CM7" s="20" t="s">
        <v>477</v>
      </c>
      <c r="CN7" s="20" t="s">
        <v>478</v>
      </c>
      <c r="CO7" s="20" t="s">
        <v>479</v>
      </c>
      <c r="CP7" s="20" t="s">
        <v>480</v>
      </c>
      <c r="CQ7" s="20" t="s">
        <v>481</v>
      </c>
      <c r="CR7" s="20" t="s">
        <v>482</v>
      </c>
      <c r="CS7" s="20" t="s">
        <v>483</v>
      </c>
      <c r="CT7" s="20" t="s">
        <v>484</v>
      </c>
      <c r="CU7" s="20" t="s">
        <v>485</v>
      </c>
      <c r="CV7" s="20" t="s">
        <v>486</v>
      </c>
      <c r="CW7" s="20" t="s">
        <v>487</v>
      </c>
      <c r="CX7" s="20" t="s">
        <v>488</v>
      </c>
      <c r="CY7" s="20" t="s">
        <v>489</v>
      </c>
      <c r="CZ7" s="20" t="s">
        <v>490</v>
      </c>
      <c r="DA7" s="20" t="s">
        <v>177</v>
      </c>
      <c r="DB7" s="20" t="s">
        <v>491</v>
      </c>
      <c r="DC7" s="20" t="s">
        <v>492</v>
      </c>
      <c r="DD7" s="20" t="s">
        <v>493</v>
      </c>
      <c r="DE7" s="20" t="s">
        <v>494</v>
      </c>
      <c r="DF7" s="20" t="s">
        <v>495</v>
      </c>
      <c r="DG7" s="20" t="s">
        <v>496</v>
      </c>
      <c r="DH7" s="20" t="s">
        <v>497</v>
      </c>
      <c r="DI7" s="20" t="s">
        <v>209</v>
      </c>
      <c r="DJ7" s="20" t="s">
        <v>498</v>
      </c>
      <c r="DK7" s="20" t="s">
        <v>499</v>
      </c>
      <c r="DL7" s="20" t="s">
        <v>500</v>
      </c>
      <c r="DM7" s="20" t="s">
        <v>501</v>
      </c>
      <c r="DN7" s="20" t="s">
        <v>220</v>
      </c>
      <c r="DO7" s="20" t="s">
        <v>502</v>
      </c>
      <c r="DP7" s="20" t="s">
        <v>199</v>
      </c>
      <c r="DQ7" s="20" t="s">
        <v>503</v>
      </c>
      <c r="DR7" s="20" t="s">
        <v>504</v>
      </c>
      <c r="DS7" s="20" t="s">
        <v>505</v>
      </c>
      <c r="DT7" s="20" t="s">
        <v>506</v>
      </c>
      <c r="DU7" s="20" t="s">
        <v>507</v>
      </c>
      <c r="DV7" s="20" t="s">
        <v>508</v>
      </c>
      <c r="DW7" s="20" t="s">
        <v>509</v>
      </c>
      <c r="DX7" s="20" t="s">
        <v>510</v>
      </c>
      <c r="DY7" s="20" t="s">
        <v>511</v>
      </c>
      <c r="DZ7" s="20" t="s">
        <v>512</v>
      </c>
      <c r="EA7" s="20" t="s">
        <v>221</v>
      </c>
      <c r="EB7" s="20" t="s">
        <v>513</v>
      </c>
      <c r="EC7" s="20" t="s">
        <v>514</v>
      </c>
      <c r="ED7" s="20" t="s">
        <v>515</v>
      </c>
      <c r="EE7" s="20" t="s">
        <v>516</v>
      </c>
      <c r="EF7" s="20" t="s">
        <v>517</v>
      </c>
      <c r="EG7" s="20" t="s">
        <v>518</v>
      </c>
      <c r="EH7" s="20" t="s">
        <v>519</v>
      </c>
      <c r="EI7" s="20" t="s">
        <v>520</v>
      </c>
      <c r="EJ7" s="20" t="s">
        <v>521</v>
      </c>
      <c r="EK7" s="20" t="s">
        <v>522</v>
      </c>
      <c r="EL7" s="20" t="s">
        <v>523</v>
      </c>
      <c r="EM7" s="20" t="s">
        <v>524</v>
      </c>
      <c r="EN7" s="22" t="s">
        <v>525</v>
      </c>
      <c r="EO7" s="22" t="s">
        <v>526</v>
      </c>
      <c r="EP7" s="22" t="s">
        <v>527</v>
      </c>
      <c r="EQ7" s="22" t="s">
        <v>528</v>
      </c>
      <c r="ER7" s="22" t="s">
        <v>529</v>
      </c>
      <c r="ES7" s="22" t="s">
        <v>530</v>
      </c>
      <c r="ET7" s="22" t="s">
        <v>531</v>
      </c>
      <c r="EU7" s="22" t="s">
        <v>223</v>
      </c>
      <c r="EV7" s="22" t="s">
        <v>532</v>
      </c>
      <c r="EW7" s="22" t="s">
        <v>216</v>
      </c>
      <c r="EX7" s="22" t="s">
        <v>533</v>
      </c>
      <c r="EY7" s="22" t="s">
        <v>534</v>
      </c>
      <c r="EZ7" s="22" t="s">
        <v>535</v>
      </c>
      <c r="FA7" s="22" t="s">
        <v>536</v>
      </c>
      <c r="FB7" s="22" t="s">
        <v>537</v>
      </c>
      <c r="FC7" s="22" t="s">
        <v>538</v>
      </c>
      <c r="FD7" s="22" t="s">
        <v>217</v>
      </c>
      <c r="FE7" s="22" t="s">
        <v>539</v>
      </c>
      <c r="FF7" s="22" t="s">
        <v>540</v>
      </c>
      <c r="FG7" s="22" t="s">
        <v>541</v>
      </c>
      <c r="FH7" s="22" t="s">
        <v>542</v>
      </c>
      <c r="FI7" s="22" t="s">
        <v>543</v>
      </c>
      <c r="FJ7" s="22" t="s">
        <v>544</v>
      </c>
      <c r="FK7" s="22" t="s">
        <v>212</v>
      </c>
      <c r="FL7" s="22" t="s">
        <v>545</v>
      </c>
      <c r="FM7" s="22" t="s">
        <v>546</v>
      </c>
      <c r="FN7" s="22" t="s">
        <v>547</v>
      </c>
      <c r="FO7" s="22" t="s">
        <v>548</v>
      </c>
      <c r="FP7" s="22" t="s">
        <v>549</v>
      </c>
      <c r="FQ7" s="22" t="s">
        <v>550</v>
      </c>
      <c r="FR7" s="22" t="s">
        <v>551</v>
      </c>
      <c r="FS7" s="22" t="s">
        <v>552</v>
      </c>
      <c r="FT7" s="22" t="s">
        <v>553</v>
      </c>
      <c r="FU7" s="22" t="s">
        <v>554</v>
      </c>
      <c r="FV7" s="22" t="s">
        <v>555</v>
      </c>
      <c r="FW7" s="22" t="s">
        <v>556</v>
      </c>
      <c r="FX7" s="22" t="s">
        <v>210</v>
      </c>
      <c r="FY7" s="22" t="s">
        <v>557</v>
      </c>
      <c r="FZ7" s="22" t="s">
        <v>558</v>
      </c>
      <c r="GA7" s="22" t="s">
        <v>559</v>
      </c>
      <c r="GB7" s="22" t="s">
        <v>219</v>
      </c>
      <c r="GC7" s="22" t="s">
        <v>560</v>
      </c>
      <c r="GD7" s="22" t="s">
        <v>561</v>
      </c>
      <c r="GE7" s="22" t="s">
        <v>562</v>
      </c>
      <c r="GF7" s="22" t="s">
        <v>563</v>
      </c>
      <c r="GG7" s="22" t="s">
        <v>564</v>
      </c>
      <c r="GH7" s="22" t="s">
        <v>565</v>
      </c>
      <c r="GI7" s="22" t="s">
        <v>566</v>
      </c>
      <c r="GJ7" s="22" t="s">
        <v>567</v>
      </c>
      <c r="GK7" s="22" t="s">
        <v>208</v>
      </c>
      <c r="GL7" s="22" t="s">
        <v>568</v>
      </c>
      <c r="GM7" s="22" t="s">
        <v>569</v>
      </c>
      <c r="GN7" s="22" t="s">
        <v>570</v>
      </c>
      <c r="GO7" s="22" t="s">
        <v>218</v>
      </c>
      <c r="GP7" s="22" t="s">
        <v>571</v>
      </c>
      <c r="GQ7" s="22" t="s">
        <v>572</v>
      </c>
      <c r="GR7" s="22" t="s">
        <v>573</v>
      </c>
      <c r="GS7" s="22" t="s">
        <v>574</v>
      </c>
      <c r="GT7" s="22" t="s">
        <v>575</v>
      </c>
      <c r="GU7" s="22" t="s">
        <v>576</v>
      </c>
      <c r="GV7" s="22" t="s">
        <v>577</v>
      </c>
      <c r="GW7" s="22" t="s">
        <v>578</v>
      </c>
      <c r="GX7" s="22" t="s">
        <v>579</v>
      </c>
      <c r="GY7" s="22" t="s">
        <v>580</v>
      </c>
      <c r="GZ7" s="22" t="s">
        <v>581</v>
      </c>
      <c r="HA7" s="22" t="s">
        <v>582</v>
      </c>
      <c r="HB7" s="22" t="s">
        <v>583</v>
      </c>
      <c r="HC7" s="22" t="s">
        <v>584</v>
      </c>
      <c r="HD7" s="22" t="s">
        <v>585</v>
      </c>
      <c r="HE7" s="22" t="s">
        <v>586</v>
      </c>
      <c r="HF7" s="22" t="s">
        <v>587</v>
      </c>
      <c r="HG7" s="22" t="s">
        <v>588</v>
      </c>
      <c r="HH7" s="22" t="s">
        <v>589</v>
      </c>
      <c r="HI7" s="22" t="s">
        <v>590</v>
      </c>
      <c r="HJ7" s="22" t="s">
        <v>591</v>
      </c>
      <c r="HK7" s="22" t="s">
        <v>592</v>
      </c>
      <c r="HL7" s="22" t="s">
        <v>593</v>
      </c>
      <c r="HM7" s="22" t="s">
        <v>594</v>
      </c>
      <c r="HN7" s="22" t="s">
        <v>595</v>
      </c>
      <c r="HO7" s="22" t="s">
        <v>596</v>
      </c>
      <c r="HP7" s="22" t="s">
        <v>597</v>
      </c>
      <c r="HQ7" s="22" t="s">
        <v>598</v>
      </c>
      <c r="HR7" s="22" t="s">
        <v>599</v>
      </c>
      <c r="HS7" s="22" t="s">
        <v>600</v>
      </c>
      <c r="HT7" s="22" t="s">
        <v>601</v>
      </c>
      <c r="HU7" s="22" t="s">
        <v>602</v>
      </c>
      <c r="HV7" s="22" t="s">
        <v>603</v>
      </c>
      <c r="HW7" s="22" t="s">
        <v>604</v>
      </c>
      <c r="HX7" s="22" t="s">
        <v>605</v>
      </c>
      <c r="HY7" s="22" t="s">
        <v>606</v>
      </c>
      <c r="HZ7" s="22" t="s">
        <v>607</v>
      </c>
      <c r="IA7" s="22" t="s">
        <v>608</v>
      </c>
      <c r="IB7" s="22" t="s">
        <v>609</v>
      </c>
      <c r="IC7" s="22" t="s">
        <v>610</v>
      </c>
      <c r="ID7" s="22" t="s">
        <v>611</v>
      </c>
      <c r="IE7" s="22" t="s">
        <v>612</v>
      </c>
      <c r="IF7" s="22" t="s">
        <v>613</v>
      </c>
      <c r="IG7" s="22" t="s">
        <v>614</v>
      </c>
      <c r="IH7" s="22" t="s">
        <v>615</v>
      </c>
      <c r="II7" s="22" t="s">
        <v>616</v>
      </c>
      <c r="IJ7" s="22" t="s">
        <v>617</v>
      </c>
      <c r="IK7" s="22" t="s">
        <v>618</v>
      </c>
      <c r="IL7" s="22" t="s">
        <v>619</v>
      </c>
      <c r="IM7" s="22" t="s">
        <v>620</v>
      </c>
      <c r="IN7" s="22" t="s">
        <v>621</v>
      </c>
      <c r="IO7" s="22" t="s">
        <v>622</v>
      </c>
      <c r="IP7" s="22" t="s">
        <v>623</v>
      </c>
      <c r="IQ7" s="22" t="s">
        <v>624</v>
      </c>
      <c r="IR7" s="22" t="s">
        <v>625</v>
      </c>
      <c r="IS7" s="22" t="s">
        <v>626</v>
      </c>
      <c r="IT7" s="22" t="s">
        <v>627</v>
      </c>
      <c r="IU7" s="22" t="s">
        <v>628</v>
      </c>
      <c r="IV7" s="22" t="s">
        <v>629</v>
      </c>
      <c r="IW7" s="22" t="s">
        <v>630</v>
      </c>
      <c r="IX7" s="22" t="s">
        <v>631</v>
      </c>
      <c r="IY7" s="22" t="s">
        <v>632</v>
      </c>
      <c r="IZ7" s="22" t="s">
        <v>633</v>
      </c>
      <c r="JA7" s="22" t="s">
        <v>634</v>
      </c>
      <c r="JB7" s="22" t="s">
        <v>635</v>
      </c>
      <c r="JC7" s="22" t="s">
        <v>636</v>
      </c>
      <c r="JD7" s="22" t="s">
        <v>637</v>
      </c>
      <c r="JE7" s="22" t="s">
        <v>638</v>
      </c>
      <c r="JF7" s="22" t="s">
        <v>639</v>
      </c>
      <c r="JG7" s="22" t="s">
        <v>640</v>
      </c>
      <c r="JH7" s="22" t="s">
        <v>641</v>
      </c>
      <c r="JI7" s="22" t="s">
        <v>642</v>
      </c>
      <c r="JJ7" s="22" t="s">
        <v>643</v>
      </c>
      <c r="JK7" s="22" t="s">
        <v>644</v>
      </c>
      <c r="JL7" s="22" t="s">
        <v>645</v>
      </c>
      <c r="JM7" s="22" t="s">
        <v>646</v>
      </c>
      <c r="JN7" s="22" t="s">
        <v>647</v>
      </c>
      <c r="JO7" s="22" t="s">
        <v>648</v>
      </c>
      <c r="JP7" s="22" t="s">
        <v>649</v>
      </c>
      <c r="JQ7" s="22" t="s">
        <v>650</v>
      </c>
      <c r="JR7" s="22" t="s">
        <v>651</v>
      </c>
      <c r="JS7" s="22" t="s">
        <v>652</v>
      </c>
      <c r="JT7" s="22" t="s">
        <v>653</v>
      </c>
      <c r="JU7" s="22" t="s">
        <v>654</v>
      </c>
      <c r="JV7" s="22" t="s">
        <v>655</v>
      </c>
      <c r="JW7" s="22" t="s">
        <v>656</v>
      </c>
      <c r="JX7" s="22" t="s">
        <v>657</v>
      </c>
      <c r="JY7" s="22" t="s">
        <v>658</v>
      </c>
      <c r="JZ7" s="22" t="s">
        <v>659</v>
      </c>
      <c r="KA7" s="22" t="s">
        <v>660</v>
      </c>
      <c r="KB7" s="22" t="s">
        <v>661</v>
      </c>
      <c r="KC7" s="22" t="s">
        <v>662</v>
      </c>
      <c r="KD7" s="22" t="s">
        <v>663</v>
      </c>
      <c r="KE7" s="22" t="s">
        <v>664</v>
      </c>
      <c r="KF7" s="22" t="s">
        <v>665</v>
      </c>
      <c r="KG7" s="22" t="s">
        <v>666</v>
      </c>
      <c r="KH7" s="22" t="s">
        <v>667</v>
      </c>
      <c r="KI7" s="22" t="s">
        <v>668</v>
      </c>
      <c r="KJ7" s="22" t="s">
        <v>669</v>
      </c>
      <c r="KK7" s="22" t="s">
        <v>670</v>
      </c>
      <c r="KL7" s="22" t="s">
        <v>671</v>
      </c>
      <c r="KM7" s="22" t="s">
        <v>672</v>
      </c>
      <c r="KN7" s="22" t="s">
        <v>673</v>
      </c>
      <c r="KO7" s="22" t="s">
        <v>674</v>
      </c>
      <c r="KP7" s="22" t="s">
        <v>675</v>
      </c>
      <c r="KQ7" s="22" t="s">
        <v>676</v>
      </c>
    </row>
    <row r="8" spans="1:303" x14ac:dyDescent="0.25">
      <c r="A8" s="16" t="s">
        <v>677</v>
      </c>
      <c r="B8" s="16" t="s">
        <v>678</v>
      </c>
      <c r="C8" s="16" t="s">
        <v>679</v>
      </c>
      <c r="D8" s="16" t="s">
        <v>680</v>
      </c>
      <c r="E8" s="16"/>
      <c r="F8" s="16" t="s">
        <v>681</v>
      </c>
      <c r="G8" s="16" t="s">
        <v>682</v>
      </c>
      <c r="H8" s="16" t="s">
        <v>683</v>
      </c>
      <c r="I8" s="16" t="s">
        <v>142</v>
      </c>
      <c r="J8" s="24">
        <v>40205</v>
      </c>
      <c r="K8" s="16"/>
      <c r="L8" s="16" t="s">
        <v>684</v>
      </c>
      <c r="M8" s="24">
        <v>41675</v>
      </c>
      <c r="N8" s="16" t="s">
        <v>142</v>
      </c>
      <c r="O8" s="25" t="s">
        <v>142</v>
      </c>
      <c r="P8" s="16" t="s">
        <v>685</v>
      </c>
      <c r="Q8" s="16" t="s">
        <v>685</v>
      </c>
      <c r="R8" s="16" t="s">
        <v>685</v>
      </c>
      <c r="S8" s="16" t="s">
        <v>685</v>
      </c>
      <c r="T8" s="16" t="s">
        <v>685</v>
      </c>
      <c r="U8" s="16" t="s">
        <v>685</v>
      </c>
      <c r="V8" s="16" t="s">
        <v>685</v>
      </c>
      <c r="W8" s="16" t="s">
        <v>685</v>
      </c>
      <c r="X8" s="16" t="s">
        <v>685</v>
      </c>
      <c r="Y8" s="16" t="s">
        <v>685</v>
      </c>
      <c r="Z8" s="16" t="s">
        <v>685</v>
      </c>
      <c r="AA8" s="16" t="s">
        <v>685</v>
      </c>
      <c r="AB8" s="16" t="s">
        <v>685</v>
      </c>
      <c r="AC8" s="16" t="s">
        <v>685</v>
      </c>
      <c r="AD8" s="16" t="s">
        <v>685</v>
      </c>
      <c r="AE8" s="16" t="s">
        <v>685</v>
      </c>
      <c r="AF8" s="16" t="s">
        <v>685</v>
      </c>
      <c r="AG8" s="16" t="s">
        <v>685</v>
      </c>
      <c r="AH8" s="16" t="s">
        <v>685</v>
      </c>
      <c r="AI8" s="16" t="s">
        <v>685</v>
      </c>
      <c r="AJ8" s="16" t="s">
        <v>685</v>
      </c>
      <c r="AK8" s="16" t="s">
        <v>685</v>
      </c>
      <c r="AL8" s="16" t="s">
        <v>685</v>
      </c>
      <c r="AM8" s="16" t="s">
        <v>685</v>
      </c>
      <c r="AN8" s="16" t="s">
        <v>685</v>
      </c>
      <c r="AO8" s="16" t="s">
        <v>685</v>
      </c>
      <c r="AP8" s="16" t="s">
        <v>685</v>
      </c>
      <c r="AQ8" s="16" t="s">
        <v>685</v>
      </c>
      <c r="AR8" s="16" t="s">
        <v>685</v>
      </c>
      <c r="AS8" s="16" t="s">
        <v>685</v>
      </c>
      <c r="AT8" s="16" t="s">
        <v>685</v>
      </c>
      <c r="AU8" s="16"/>
      <c r="AV8" s="25"/>
      <c r="AW8" s="16" t="s">
        <v>685</v>
      </c>
      <c r="AX8" s="16" t="s">
        <v>685</v>
      </c>
      <c r="AY8" s="16" t="s">
        <v>685</v>
      </c>
      <c r="AZ8" s="16" t="s">
        <v>81</v>
      </c>
      <c r="BA8" s="16" t="s">
        <v>685</v>
      </c>
      <c r="BB8" s="16" t="s">
        <v>685</v>
      </c>
      <c r="BC8" s="16" t="s">
        <v>685</v>
      </c>
      <c r="BD8" s="16" t="s">
        <v>685</v>
      </c>
      <c r="BE8" s="16" t="s">
        <v>685</v>
      </c>
      <c r="BF8" s="16" t="s">
        <v>685</v>
      </c>
      <c r="BG8" s="16" t="s">
        <v>81</v>
      </c>
      <c r="BH8" s="26" t="s">
        <v>686</v>
      </c>
      <c r="BI8" s="26" t="s">
        <v>686</v>
      </c>
      <c r="BJ8" s="16" t="s">
        <v>685</v>
      </c>
      <c r="BK8" s="16" t="s">
        <v>81</v>
      </c>
      <c r="BL8" s="16" t="s">
        <v>81</v>
      </c>
      <c r="BM8" s="16" t="s">
        <v>685</v>
      </c>
      <c r="BN8" s="16" t="s">
        <v>685</v>
      </c>
      <c r="BO8" s="16" t="s">
        <v>685</v>
      </c>
      <c r="BP8" s="16" t="s">
        <v>685</v>
      </c>
      <c r="BQ8" s="16" t="s">
        <v>685</v>
      </c>
      <c r="BR8" s="16" t="s">
        <v>685</v>
      </c>
      <c r="BS8" s="16" t="s">
        <v>685</v>
      </c>
      <c r="BT8" s="16" t="s">
        <v>685</v>
      </c>
      <c r="BU8" s="16" t="s">
        <v>685</v>
      </c>
      <c r="BV8" s="16" t="s">
        <v>685</v>
      </c>
      <c r="BW8" s="16" t="s">
        <v>685</v>
      </c>
      <c r="BX8" s="16" t="s">
        <v>685</v>
      </c>
      <c r="BY8" s="16" t="s">
        <v>685</v>
      </c>
      <c r="BZ8" s="16" t="s">
        <v>685</v>
      </c>
      <c r="CA8" s="16" t="s">
        <v>685</v>
      </c>
      <c r="CB8" s="16"/>
      <c r="CC8" s="16" t="s">
        <v>685</v>
      </c>
      <c r="CD8" s="16" t="s">
        <v>685</v>
      </c>
      <c r="CE8" s="16" t="s">
        <v>685</v>
      </c>
      <c r="CF8" s="16" t="s">
        <v>685</v>
      </c>
      <c r="CG8" s="16" t="s">
        <v>685</v>
      </c>
      <c r="CH8" s="16" t="s">
        <v>685</v>
      </c>
      <c r="CI8" s="16" t="s">
        <v>685</v>
      </c>
      <c r="CJ8" s="16" t="s">
        <v>685</v>
      </c>
      <c r="CK8" s="16" t="s">
        <v>685</v>
      </c>
      <c r="CL8" s="16" t="s">
        <v>685</v>
      </c>
      <c r="CM8" s="16" t="s">
        <v>685</v>
      </c>
      <c r="CN8" s="16" t="s">
        <v>685</v>
      </c>
      <c r="CO8" s="16" t="s">
        <v>685</v>
      </c>
      <c r="CP8" s="16" t="s">
        <v>685</v>
      </c>
      <c r="CQ8" s="16" t="s">
        <v>685</v>
      </c>
      <c r="CR8" s="16" t="s">
        <v>685</v>
      </c>
      <c r="CS8" s="16" t="s">
        <v>685</v>
      </c>
      <c r="CT8" s="16" t="s">
        <v>685</v>
      </c>
      <c r="CU8" s="16" t="s">
        <v>685</v>
      </c>
      <c r="CV8" s="16" t="s">
        <v>685</v>
      </c>
      <c r="CW8" s="16" t="s">
        <v>685</v>
      </c>
      <c r="CX8" s="16" t="s">
        <v>685</v>
      </c>
      <c r="CY8" s="16" t="s">
        <v>685</v>
      </c>
      <c r="CZ8" s="16" t="s">
        <v>685</v>
      </c>
      <c r="DA8" s="16" t="s">
        <v>685</v>
      </c>
      <c r="DB8" s="16" t="s">
        <v>685</v>
      </c>
      <c r="DC8" s="16" t="s">
        <v>685</v>
      </c>
      <c r="DD8" s="16" t="s">
        <v>685</v>
      </c>
      <c r="DE8" s="16" t="s">
        <v>685</v>
      </c>
      <c r="DF8" s="16" t="s">
        <v>685</v>
      </c>
      <c r="DG8" s="16" t="s">
        <v>685</v>
      </c>
      <c r="DH8" s="16"/>
      <c r="DI8" s="16" t="s">
        <v>685</v>
      </c>
      <c r="DJ8" s="16" t="s">
        <v>685</v>
      </c>
      <c r="DK8" s="16" t="s">
        <v>685</v>
      </c>
      <c r="DL8" s="16" t="s">
        <v>685</v>
      </c>
      <c r="DM8" s="16" t="s">
        <v>685</v>
      </c>
      <c r="DN8" s="16" t="s">
        <v>685</v>
      </c>
      <c r="DO8" s="16" t="s">
        <v>685</v>
      </c>
      <c r="DP8" s="16" t="s">
        <v>685</v>
      </c>
      <c r="DQ8" s="16" t="s">
        <v>685</v>
      </c>
      <c r="DR8" s="16" t="s">
        <v>685</v>
      </c>
      <c r="DS8" s="16" t="s">
        <v>685</v>
      </c>
      <c r="DT8" s="16" t="s">
        <v>685</v>
      </c>
      <c r="DU8" s="16" t="s">
        <v>685</v>
      </c>
      <c r="DV8" s="16" t="s">
        <v>685</v>
      </c>
      <c r="DW8" s="16" t="s">
        <v>685</v>
      </c>
      <c r="DX8" s="16" t="s">
        <v>685</v>
      </c>
      <c r="DY8" s="16" t="s">
        <v>685</v>
      </c>
      <c r="DZ8" s="16" t="s">
        <v>685</v>
      </c>
      <c r="EA8" s="16" t="s">
        <v>685</v>
      </c>
      <c r="EB8" s="16" t="s">
        <v>685</v>
      </c>
      <c r="EC8" s="16" t="s">
        <v>685</v>
      </c>
      <c r="ED8" s="16" t="s">
        <v>685</v>
      </c>
      <c r="EE8" s="16" t="s">
        <v>685</v>
      </c>
      <c r="EF8" s="16" t="s">
        <v>685</v>
      </c>
      <c r="EG8" s="16" t="s">
        <v>685</v>
      </c>
      <c r="EH8" s="16" t="s">
        <v>685</v>
      </c>
      <c r="EI8" s="16" t="s">
        <v>685</v>
      </c>
      <c r="EJ8" s="16" t="s">
        <v>685</v>
      </c>
      <c r="EK8" s="16" t="s">
        <v>685</v>
      </c>
      <c r="EL8" s="16" t="s">
        <v>685</v>
      </c>
      <c r="EM8" s="16" t="s">
        <v>685</v>
      </c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16"/>
      <c r="HP8" s="16"/>
      <c r="HQ8" s="16"/>
      <c r="HR8" s="16"/>
      <c r="HS8" s="16"/>
      <c r="HT8" s="16"/>
      <c r="HU8" s="16"/>
      <c r="HV8" s="16"/>
      <c r="HW8" s="16"/>
      <c r="HX8" s="16"/>
      <c r="HY8" s="16"/>
      <c r="HZ8" s="16"/>
      <c r="IA8" s="16"/>
      <c r="IB8" s="16"/>
      <c r="IC8" s="16"/>
      <c r="ID8" s="16"/>
      <c r="IE8" s="16"/>
      <c r="IF8" s="16"/>
      <c r="IG8" s="16"/>
      <c r="IH8" s="16"/>
      <c r="II8" s="16"/>
      <c r="IJ8" s="16"/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16"/>
      <c r="JD8" s="16"/>
      <c r="JE8" s="16"/>
      <c r="JF8" s="16"/>
      <c r="JG8" s="16"/>
      <c r="JH8" s="16"/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6"/>
      <c r="KD8" s="16"/>
      <c r="KE8" s="16"/>
      <c r="KF8" s="16"/>
      <c r="KG8" s="16"/>
      <c r="KH8" s="16"/>
      <c r="KI8" s="16"/>
      <c r="KJ8" s="16"/>
      <c r="KK8" s="16"/>
      <c r="KL8" s="16"/>
      <c r="KM8" s="16"/>
      <c r="KN8" s="16"/>
      <c r="KO8" s="16"/>
      <c r="KP8" s="16"/>
      <c r="KQ8" s="16"/>
    </row>
    <row r="9" spans="1:303" x14ac:dyDescent="0.25">
      <c r="A9" s="16" t="s">
        <v>677</v>
      </c>
      <c r="B9" s="16" t="s">
        <v>687</v>
      </c>
      <c r="C9" s="16" t="s">
        <v>688</v>
      </c>
      <c r="D9" s="16" t="s">
        <v>689</v>
      </c>
      <c r="E9" s="16" t="s">
        <v>81</v>
      </c>
      <c r="F9" s="16" t="s">
        <v>690</v>
      </c>
      <c r="G9" s="16" t="s">
        <v>691</v>
      </c>
      <c r="H9" s="16" t="s">
        <v>692</v>
      </c>
      <c r="I9" s="16" t="s">
        <v>142</v>
      </c>
      <c r="J9" s="16"/>
      <c r="K9" s="16" t="s">
        <v>693</v>
      </c>
      <c r="L9" s="16" t="s">
        <v>694</v>
      </c>
      <c r="M9" s="16" t="s">
        <v>695</v>
      </c>
      <c r="N9" s="16" t="s">
        <v>696</v>
      </c>
      <c r="O9" s="25" t="s">
        <v>142</v>
      </c>
      <c r="P9" s="16"/>
      <c r="Q9" s="16"/>
      <c r="R9" s="16"/>
      <c r="S9" s="16"/>
      <c r="T9" s="16"/>
      <c r="U9" s="16"/>
      <c r="V9" s="16"/>
      <c r="W9" s="27" t="s">
        <v>697</v>
      </c>
      <c r="X9" s="16"/>
      <c r="Y9" s="16"/>
      <c r="Z9" s="27" t="s">
        <v>697</v>
      </c>
      <c r="AA9" s="27" t="s">
        <v>697</v>
      </c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25"/>
      <c r="AW9" s="27" t="s">
        <v>697</v>
      </c>
      <c r="AX9" s="16"/>
      <c r="AY9" s="16"/>
      <c r="AZ9" s="27" t="s">
        <v>697</v>
      </c>
      <c r="BA9" s="27" t="s">
        <v>697</v>
      </c>
      <c r="BB9" s="16"/>
      <c r="BC9" s="16"/>
      <c r="BD9" s="16"/>
      <c r="BE9" s="16"/>
      <c r="BF9" s="16"/>
      <c r="BG9" s="16"/>
      <c r="BH9" s="27" t="s">
        <v>697</v>
      </c>
      <c r="BI9" s="27" t="s">
        <v>697</v>
      </c>
      <c r="BJ9" s="16"/>
      <c r="BK9" s="27" t="s">
        <v>697</v>
      </c>
      <c r="BL9" s="27" t="s">
        <v>697</v>
      </c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27" t="s">
        <v>697</v>
      </c>
      <c r="BY9" s="16"/>
      <c r="BZ9" s="16"/>
      <c r="CA9" s="16"/>
      <c r="CB9" s="27" t="s">
        <v>697</v>
      </c>
      <c r="CC9" s="27" t="s">
        <v>697</v>
      </c>
      <c r="CD9" s="16"/>
      <c r="CE9" s="27" t="s">
        <v>697</v>
      </c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  <c r="FC9" s="16"/>
      <c r="FD9" s="16"/>
      <c r="FE9" s="16"/>
      <c r="FF9" s="16"/>
      <c r="FG9" s="16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16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16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16"/>
      <c r="HP9" s="16"/>
      <c r="HQ9" s="16"/>
      <c r="HR9" s="16"/>
      <c r="HS9" s="16"/>
      <c r="HT9" s="16"/>
      <c r="HU9" s="16"/>
      <c r="HV9" s="16"/>
      <c r="HW9" s="16"/>
      <c r="HX9" s="16"/>
      <c r="HY9" s="16"/>
      <c r="HZ9" s="16"/>
      <c r="IA9" s="16"/>
      <c r="IB9" s="16"/>
      <c r="IC9" s="16"/>
      <c r="ID9" s="16"/>
      <c r="IE9" s="16"/>
      <c r="IF9" s="16"/>
      <c r="IG9" s="16"/>
      <c r="IH9" s="16"/>
      <c r="II9" s="16"/>
      <c r="IJ9" s="16"/>
      <c r="IK9" s="16"/>
      <c r="IL9" s="16"/>
      <c r="IM9" s="16"/>
      <c r="IN9" s="16"/>
      <c r="IO9" s="16"/>
      <c r="IP9" s="16"/>
      <c r="IQ9" s="16"/>
      <c r="IR9" s="16"/>
      <c r="IS9" s="16"/>
      <c r="IT9" s="16"/>
      <c r="IU9" s="16"/>
      <c r="IV9" s="16"/>
      <c r="IW9" s="16"/>
      <c r="IX9" s="16"/>
      <c r="IY9" s="16"/>
      <c r="IZ9" s="16"/>
      <c r="JA9" s="16"/>
      <c r="JB9" s="16"/>
      <c r="JC9" s="16"/>
      <c r="JD9" s="16"/>
      <c r="JE9" s="16"/>
      <c r="JF9" s="16"/>
      <c r="JG9" s="16"/>
      <c r="JH9" s="16"/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6"/>
      <c r="KD9" s="16"/>
      <c r="KE9" s="16"/>
      <c r="KF9" s="16"/>
      <c r="KG9" s="16"/>
      <c r="KH9" s="16"/>
      <c r="KI9" s="16"/>
      <c r="KJ9" s="16"/>
      <c r="KK9" s="16"/>
      <c r="KL9" s="16"/>
      <c r="KM9" s="16"/>
      <c r="KN9" s="16"/>
      <c r="KO9" s="16"/>
      <c r="KP9" s="16"/>
      <c r="KQ9" s="16"/>
    </row>
    <row r="10" spans="1:303" ht="32.25" customHeight="1" x14ac:dyDescent="0.25">
      <c r="A10" s="16" t="s">
        <v>677</v>
      </c>
      <c r="B10" s="16" t="s">
        <v>698</v>
      </c>
      <c r="C10" s="16" t="s">
        <v>141</v>
      </c>
      <c r="D10" s="27" t="s">
        <v>139</v>
      </c>
      <c r="E10" s="16" t="s">
        <v>81</v>
      </c>
      <c r="F10" s="16" t="s">
        <v>690</v>
      </c>
      <c r="G10" s="16" t="s">
        <v>699</v>
      </c>
      <c r="H10" s="16" t="s">
        <v>700</v>
      </c>
      <c r="I10" s="16" t="s">
        <v>701</v>
      </c>
      <c r="J10" s="24">
        <v>41292</v>
      </c>
      <c r="K10" s="16"/>
      <c r="L10" s="16" t="s">
        <v>684</v>
      </c>
      <c r="M10" s="16" t="s">
        <v>702</v>
      </c>
      <c r="N10" s="16" t="s">
        <v>703</v>
      </c>
      <c r="O10" s="25" t="s">
        <v>142</v>
      </c>
      <c r="P10" s="16"/>
      <c r="Q10" s="16"/>
      <c r="R10" s="16"/>
      <c r="S10" s="28" t="s">
        <v>704</v>
      </c>
      <c r="T10" s="16"/>
      <c r="U10" s="27" t="s">
        <v>705</v>
      </c>
      <c r="V10" s="16"/>
      <c r="W10" s="16"/>
      <c r="X10" s="16"/>
      <c r="Y10" s="16"/>
      <c r="Z10" s="27" t="s">
        <v>706</v>
      </c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25"/>
      <c r="AW10" s="28" t="s">
        <v>707</v>
      </c>
      <c r="AX10" s="16"/>
      <c r="AY10" s="16"/>
      <c r="AZ10" s="27" t="s">
        <v>706</v>
      </c>
      <c r="BA10" s="27" t="s">
        <v>706</v>
      </c>
      <c r="BB10" s="16"/>
      <c r="BC10" s="16"/>
      <c r="BD10" s="16"/>
      <c r="BE10" s="16"/>
      <c r="BF10" s="16"/>
      <c r="BG10" s="27" t="s">
        <v>706</v>
      </c>
      <c r="BH10" s="27" t="s">
        <v>706</v>
      </c>
      <c r="BI10" s="27" t="s">
        <v>706</v>
      </c>
      <c r="BJ10" s="16"/>
      <c r="BK10" s="27" t="s">
        <v>706</v>
      </c>
      <c r="BL10" s="27" t="s">
        <v>706</v>
      </c>
      <c r="BM10" s="27" t="s">
        <v>706</v>
      </c>
      <c r="BN10" s="16"/>
      <c r="BO10" s="27" t="s">
        <v>706</v>
      </c>
      <c r="BP10" s="16"/>
      <c r="BQ10" s="16"/>
      <c r="BR10" s="16"/>
      <c r="BS10" s="16"/>
      <c r="BT10" s="16"/>
      <c r="BU10" s="16"/>
      <c r="BV10" s="16"/>
      <c r="BW10" s="16"/>
      <c r="BX10" s="28" t="s">
        <v>707</v>
      </c>
      <c r="BY10" s="16"/>
      <c r="BZ10" s="16"/>
      <c r="CA10" s="16"/>
      <c r="CB10" s="27" t="s">
        <v>706</v>
      </c>
      <c r="CC10" s="27" t="s">
        <v>706</v>
      </c>
      <c r="CD10" s="16"/>
      <c r="CE10" s="27" t="s">
        <v>706</v>
      </c>
      <c r="CF10" s="27" t="s">
        <v>706</v>
      </c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27" t="s">
        <v>706</v>
      </c>
      <c r="CV10" s="27" t="s">
        <v>706</v>
      </c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27" t="s">
        <v>706</v>
      </c>
      <c r="DI10" s="16"/>
      <c r="DJ10" s="27" t="s">
        <v>706</v>
      </c>
      <c r="DK10" s="16"/>
      <c r="DL10" s="16"/>
      <c r="DM10" s="16"/>
      <c r="DN10" s="27" t="s">
        <v>706</v>
      </c>
      <c r="DO10" s="16"/>
      <c r="DP10" s="16"/>
      <c r="DQ10" s="16"/>
      <c r="DR10" s="16"/>
      <c r="DS10" s="16"/>
      <c r="DT10" s="16"/>
      <c r="DU10" s="16"/>
      <c r="DV10" s="16"/>
      <c r="DW10" s="27" t="s">
        <v>706</v>
      </c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</row>
    <row r="11" spans="1:303" x14ac:dyDescent="0.25">
      <c r="A11" s="16" t="s">
        <v>708</v>
      </c>
      <c r="B11" s="16" t="s">
        <v>709</v>
      </c>
      <c r="C11" s="16" t="s">
        <v>710</v>
      </c>
      <c r="D11" s="16" t="s">
        <v>711</v>
      </c>
      <c r="E11" s="16" t="s">
        <v>80</v>
      </c>
      <c r="F11" s="16" t="s">
        <v>690</v>
      </c>
      <c r="G11" s="16"/>
      <c r="H11" s="16"/>
      <c r="I11" s="16"/>
      <c r="J11" s="16"/>
      <c r="K11" s="16"/>
      <c r="L11" s="16" t="s">
        <v>684</v>
      </c>
      <c r="M11" s="16" t="s">
        <v>712</v>
      </c>
      <c r="N11" s="16" t="s">
        <v>713</v>
      </c>
      <c r="O11" s="25" t="s">
        <v>142</v>
      </c>
      <c r="P11" s="16"/>
      <c r="Q11" s="27" t="s">
        <v>706</v>
      </c>
      <c r="R11" s="16"/>
      <c r="S11" s="27" t="s">
        <v>706</v>
      </c>
      <c r="T11" s="16"/>
      <c r="U11" s="27" t="s">
        <v>706</v>
      </c>
      <c r="V11" s="16"/>
      <c r="W11" s="16"/>
      <c r="X11" s="16"/>
      <c r="Y11" s="27" t="s">
        <v>706</v>
      </c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25"/>
      <c r="AW11" s="27" t="s">
        <v>706</v>
      </c>
      <c r="AX11" s="16"/>
      <c r="AY11" s="16"/>
      <c r="AZ11" s="27" t="s">
        <v>706</v>
      </c>
      <c r="BA11" s="27" t="s">
        <v>706</v>
      </c>
      <c r="BB11" s="16"/>
      <c r="BC11" s="16"/>
      <c r="BD11" s="16"/>
      <c r="BE11" s="16"/>
      <c r="BF11" s="16"/>
      <c r="BG11" s="27" t="s">
        <v>706</v>
      </c>
      <c r="BH11" s="27" t="s">
        <v>706</v>
      </c>
      <c r="BI11" s="27" t="s">
        <v>706</v>
      </c>
      <c r="BJ11" s="16"/>
      <c r="BK11" s="27" t="s">
        <v>706</v>
      </c>
      <c r="BL11" s="27" t="s">
        <v>706</v>
      </c>
      <c r="BM11" s="27" t="s">
        <v>706</v>
      </c>
      <c r="BN11" s="16"/>
      <c r="BO11" s="27" t="s">
        <v>706</v>
      </c>
      <c r="BP11" s="16"/>
      <c r="BQ11" s="16"/>
      <c r="BR11" s="16"/>
      <c r="BS11" s="16"/>
      <c r="BT11" s="16"/>
      <c r="BU11" s="16"/>
      <c r="BV11" s="16"/>
      <c r="BW11" s="16"/>
      <c r="BX11" s="27" t="s">
        <v>706</v>
      </c>
      <c r="BY11" s="16"/>
      <c r="BZ11" s="16"/>
      <c r="CA11" s="27" t="s">
        <v>706</v>
      </c>
      <c r="CB11" s="27" t="s">
        <v>706</v>
      </c>
      <c r="CC11" s="27" t="s">
        <v>706</v>
      </c>
      <c r="CD11" s="16"/>
      <c r="CE11" s="27" t="s">
        <v>706</v>
      </c>
      <c r="CF11" s="27" t="s">
        <v>706</v>
      </c>
      <c r="CG11" s="16"/>
      <c r="CH11" s="16"/>
      <c r="CI11" s="16"/>
      <c r="CJ11" s="16"/>
      <c r="CK11" s="16"/>
      <c r="CL11" s="16"/>
      <c r="CM11" s="16"/>
      <c r="CN11" s="27" t="s">
        <v>706</v>
      </c>
      <c r="CO11" s="27" t="s">
        <v>706</v>
      </c>
      <c r="CP11" s="16"/>
      <c r="CQ11" s="27" t="s">
        <v>706</v>
      </c>
      <c r="CR11" s="27" t="s">
        <v>706</v>
      </c>
      <c r="CS11" s="27" t="s">
        <v>706</v>
      </c>
      <c r="CT11" s="16"/>
      <c r="CU11" s="27" t="s">
        <v>706</v>
      </c>
      <c r="CV11" s="16"/>
      <c r="CW11" s="16"/>
      <c r="CX11" s="16"/>
      <c r="CY11" s="16"/>
      <c r="CZ11" s="16"/>
      <c r="DA11" s="16"/>
      <c r="DB11" s="16"/>
      <c r="DC11" s="16"/>
      <c r="DD11" s="27" t="s">
        <v>706</v>
      </c>
      <c r="DE11" s="16"/>
      <c r="DF11" s="27" t="s">
        <v>706</v>
      </c>
      <c r="DG11" s="16"/>
      <c r="DH11" s="27" t="s">
        <v>706</v>
      </c>
      <c r="DI11" s="27" t="s">
        <v>706</v>
      </c>
      <c r="DJ11" s="27" t="s">
        <v>706</v>
      </c>
      <c r="DK11" s="16"/>
      <c r="DL11" s="16"/>
      <c r="DM11" s="16"/>
      <c r="DN11" s="27" t="s">
        <v>706</v>
      </c>
      <c r="DO11" s="16"/>
      <c r="DP11" s="16"/>
      <c r="DQ11" s="27" t="s">
        <v>706</v>
      </c>
      <c r="DR11" s="27" t="s">
        <v>706</v>
      </c>
      <c r="DS11" s="16"/>
      <c r="DT11" s="27" t="s">
        <v>706</v>
      </c>
      <c r="DU11" s="27" t="s">
        <v>706</v>
      </c>
      <c r="DV11" s="27" t="s">
        <v>706</v>
      </c>
      <c r="DW11" s="27" t="s">
        <v>706</v>
      </c>
      <c r="DX11" s="16"/>
      <c r="DY11" s="16"/>
      <c r="DZ11" s="16"/>
      <c r="EA11" s="16"/>
      <c r="EB11" s="16"/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27" t="s">
        <v>706</v>
      </c>
      <c r="EO11" s="16"/>
      <c r="EP11" s="16"/>
      <c r="EQ11" s="16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  <c r="FC11" s="16"/>
      <c r="FD11" s="16"/>
      <c r="FE11" s="16"/>
      <c r="FF11" s="16"/>
      <c r="FG11" s="16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6"/>
      <c r="FV11" s="16"/>
      <c r="FW11" s="16"/>
      <c r="FX11" s="16"/>
      <c r="FY11" s="16"/>
      <c r="FZ11" s="16"/>
      <c r="GA11" s="16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6"/>
      <c r="HN11" s="16"/>
      <c r="HO11" s="16"/>
      <c r="HP11" s="16"/>
      <c r="HQ11" s="16"/>
      <c r="HR11" s="16"/>
      <c r="HS11" s="16"/>
      <c r="HT11" s="16"/>
      <c r="HU11" s="16"/>
      <c r="HV11" s="16"/>
      <c r="HW11" s="16"/>
      <c r="HX11" s="16"/>
      <c r="HY11" s="16"/>
      <c r="HZ11" s="16"/>
      <c r="IA11" s="16"/>
      <c r="IB11" s="16"/>
      <c r="IC11" s="16"/>
      <c r="ID11" s="16"/>
      <c r="IE11" s="16"/>
      <c r="IF11" s="16"/>
      <c r="IG11" s="16"/>
      <c r="IH11" s="16"/>
      <c r="II11" s="16"/>
      <c r="IJ11" s="16"/>
      <c r="IK11" s="16"/>
      <c r="IL11" s="16"/>
      <c r="IM11" s="16"/>
      <c r="IN11" s="16"/>
      <c r="IO11" s="16"/>
      <c r="IP11" s="16"/>
      <c r="IQ11" s="16"/>
      <c r="IR11" s="16"/>
      <c r="IS11" s="16"/>
      <c r="IT11" s="16"/>
      <c r="IU11" s="16"/>
      <c r="IV11" s="16"/>
      <c r="IW11" s="16"/>
      <c r="IX11" s="16"/>
      <c r="IY11" s="16"/>
      <c r="IZ11" s="16"/>
      <c r="JA11" s="16"/>
      <c r="JB11" s="16"/>
      <c r="JC11" s="16"/>
      <c r="JD11" s="16"/>
      <c r="JE11" s="16"/>
      <c r="JF11" s="16"/>
      <c r="JG11" s="16"/>
      <c r="JH11" s="16"/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6"/>
      <c r="KD11" s="16"/>
      <c r="KE11" s="16"/>
      <c r="KF11" s="16"/>
      <c r="KG11" s="16"/>
      <c r="KH11" s="16"/>
      <c r="KI11" s="16"/>
      <c r="KJ11" s="16"/>
      <c r="KK11" s="16"/>
      <c r="KL11" s="16"/>
      <c r="KM11" s="16"/>
      <c r="KN11" s="16"/>
      <c r="KO11" s="16"/>
      <c r="KP11" s="16"/>
      <c r="KQ11" s="16"/>
    </row>
    <row r="12" spans="1:303" x14ac:dyDescent="0.25">
      <c r="A12" s="16" t="s">
        <v>714</v>
      </c>
      <c r="B12" s="16"/>
      <c r="C12" s="16" t="s">
        <v>715</v>
      </c>
      <c r="D12" s="16" t="s">
        <v>716</v>
      </c>
      <c r="E12" s="16" t="s">
        <v>81</v>
      </c>
      <c r="F12" s="16" t="s">
        <v>690</v>
      </c>
      <c r="G12" s="16" t="s">
        <v>717</v>
      </c>
      <c r="H12" s="16"/>
      <c r="I12" s="16" t="s">
        <v>142</v>
      </c>
      <c r="J12" s="24">
        <v>40199</v>
      </c>
      <c r="K12" s="16"/>
      <c r="L12" s="16" t="s">
        <v>684</v>
      </c>
      <c r="M12" s="16" t="s">
        <v>718</v>
      </c>
      <c r="N12" s="16" t="s">
        <v>719</v>
      </c>
      <c r="O12" s="25" t="s">
        <v>142</v>
      </c>
      <c r="P12" s="16"/>
      <c r="Q12" s="27" t="s">
        <v>706</v>
      </c>
      <c r="R12" s="16"/>
      <c r="S12" s="27" t="s">
        <v>706</v>
      </c>
      <c r="T12" s="16"/>
      <c r="U12" s="27" t="s">
        <v>706</v>
      </c>
      <c r="V12" s="16"/>
      <c r="W12" s="16"/>
      <c r="X12" s="16"/>
      <c r="Y12" s="27" t="s">
        <v>706</v>
      </c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25"/>
      <c r="AW12" s="27" t="s">
        <v>706</v>
      </c>
      <c r="AX12" s="16"/>
      <c r="AY12" s="16"/>
      <c r="AZ12" s="27" t="s">
        <v>706</v>
      </c>
      <c r="BA12" s="27" t="s">
        <v>706</v>
      </c>
      <c r="BB12" s="16"/>
      <c r="BC12" s="16"/>
      <c r="BD12" s="16"/>
      <c r="BE12" s="16"/>
      <c r="BF12" s="16"/>
      <c r="BG12" s="27" t="s">
        <v>706</v>
      </c>
      <c r="BH12" s="27" t="s">
        <v>706</v>
      </c>
      <c r="BI12" s="27" t="s">
        <v>706</v>
      </c>
      <c r="BJ12" s="16"/>
      <c r="BK12" s="27" t="s">
        <v>706</v>
      </c>
      <c r="BL12" s="27" t="s">
        <v>706</v>
      </c>
      <c r="BM12" s="27" t="s">
        <v>706</v>
      </c>
      <c r="BN12" s="16"/>
      <c r="BO12" s="27" t="s">
        <v>706</v>
      </c>
      <c r="BP12" s="16"/>
      <c r="BQ12" s="16"/>
      <c r="BR12" s="16"/>
      <c r="BS12" s="16"/>
      <c r="BT12" s="16"/>
      <c r="BU12" s="16"/>
      <c r="BV12" s="16"/>
      <c r="BW12" s="16"/>
      <c r="BX12" s="27" t="s">
        <v>706</v>
      </c>
      <c r="BY12" s="16"/>
      <c r="BZ12" s="16"/>
      <c r="CA12" s="27" t="s">
        <v>706</v>
      </c>
      <c r="CB12" s="27" t="s">
        <v>706</v>
      </c>
      <c r="CC12" s="27" t="s">
        <v>706</v>
      </c>
      <c r="CD12" s="16"/>
      <c r="CE12" s="27" t="s">
        <v>706</v>
      </c>
      <c r="CF12" s="27" t="s">
        <v>706</v>
      </c>
      <c r="CG12" s="16"/>
      <c r="CH12" s="16"/>
      <c r="CI12" s="16"/>
      <c r="CJ12" s="16"/>
      <c r="CK12" s="16"/>
      <c r="CL12" s="16"/>
      <c r="CM12" s="16"/>
      <c r="CN12" s="27" t="s">
        <v>706</v>
      </c>
      <c r="CO12" s="27" t="s">
        <v>706</v>
      </c>
      <c r="CP12" s="16"/>
      <c r="CQ12" s="16"/>
      <c r="CR12" s="27" t="s">
        <v>706</v>
      </c>
      <c r="CS12" s="27" t="s">
        <v>706</v>
      </c>
      <c r="CT12" s="16"/>
      <c r="CU12" s="27" t="s">
        <v>706</v>
      </c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27" t="s">
        <v>706</v>
      </c>
      <c r="DG12" s="16"/>
      <c r="DH12" s="27" t="s">
        <v>706</v>
      </c>
      <c r="DI12" s="27" t="s">
        <v>706</v>
      </c>
      <c r="DJ12" s="27" t="s">
        <v>706</v>
      </c>
      <c r="DK12" s="16"/>
      <c r="DL12" s="16"/>
      <c r="DM12" s="27" t="s">
        <v>706</v>
      </c>
      <c r="DN12" s="16"/>
      <c r="DO12" s="16"/>
      <c r="DP12" s="16"/>
      <c r="DQ12" s="27" t="s">
        <v>706</v>
      </c>
      <c r="DR12" s="27" t="s">
        <v>706</v>
      </c>
      <c r="DS12" s="16"/>
      <c r="DT12" s="27" t="s">
        <v>706</v>
      </c>
      <c r="DU12" s="16"/>
      <c r="DV12" s="16"/>
      <c r="DW12" s="27" t="s">
        <v>706</v>
      </c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27" t="s">
        <v>706</v>
      </c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</row>
    <row r="13" spans="1:303" x14ac:dyDescent="0.25">
      <c r="A13" s="16" t="s">
        <v>720</v>
      </c>
      <c r="B13" s="16" t="s">
        <v>721</v>
      </c>
      <c r="C13" s="16" t="s">
        <v>722</v>
      </c>
      <c r="D13" s="16"/>
      <c r="E13" s="16" t="s">
        <v>81</v>
      </c>
      <c r="F13" s="16"/>
      <c r="G13" s="16"/>
      <c r="H13" s="16"/>
      <c r="I13" s="16"/>
      <c r="J13" s="16"/>
      <c r="K13" s="16"/>
      <c r="L13" s="16" t="s">
        <v>723</v>
      </c>
      <c r="M13" s="16" t="s">
        <v>724</v>
      </c>
      <c r="N13" s="16" t="s">
        <v>725</v>
      </c>
      <c r="O13" s="25" t="s">
        <v>142</v>
      </c>
      <c r="P13" s="16"/>
      <c r="Q13" s="16"/>
      <c r="R13" s="16"/>
      <c r="S13" s="16"/>
      <c r="T13" s="16"/>
      <c r="U13" s="16"/>
      <c r="V13" s="16"/>
      <c r="W13" s="27" t="s">
        <v>697</v>
      </c>
      <c r="X13" s="16"/>
      <c r="Y13" s="16"/>
      <c r="Z13" s="27" t="s">
        <v>697</v>
      </c>
      <c r="AA13" s="27" t="s">
        <v>697</v>
      </c>
      <c r="AB13" s="27" t="s">
        <v>697</v>
      </c>
      <c r="AC13" s="27" t="s">
        <v>697</v>
      </c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25"/>
      <c r="AW13" s="27" t="s">
        <v>697</v>
      </c>
      <c r="AX13" s="16"/>
      <c r="AY13" s="16"/>
      <c r="AZ13" s="27" t="s">
        <v>697</v>
      </c>
      <c r="BA13" s="27" t="s">
        <v>697</v>
      </c>
      <c r="BB13" s="16"/>
      <c r="BC13" s="16"/>
      <c r="BD13" s="16"/>
      <c r="BE13" s="16"/>
      <c r="BF13" s="16"/>
      <c r="BG13" s="27" t="s">
        <v>697</v>
      </c>
      <c r="BH13" s="27" t="s">
        <v>697</v>
      </c>
      <c r="BI13" s="27" t="s">
        <v>697</v>
      </c>
      <c r="BJ13" s="16"/>
      <c r="BK13" s="27" t="s">
        <v>697</v>
      </c>
      <c r="BL13" s="27" t="s">
        <v>697</v>
      </c>
      <c r="BM13" s="27" t="s">
        <v>697</v>
      </c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27" t="s">
        <v>697</v>
      </c>
      <c r="BY13" s="16"/>
      <c r="BZ13" s="16"/>
      <c r="CA13" s="16"/>
      <c r="CB13" s="27" t="s">
        <v>697</v>
      </c>
      <c r="CC13" s="27" t="s">
        <v>697</v>
      </c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6"/>
      <c r="FA13" s="16"/>
      <c r="FB13" s="16"/>
      <c r="FC13" s="16"/>
      <c r="FD13" s="16"/>
      <c r="FE13" s="16"/>
      <c r="FF13" s="16"/>
      <c r="FG13" s="16"/>
      <c r="FH13" s="16"/>
      <c r="FI13" s="16"/>
      <c r="FJ13" s="16"/>
      <c r="FK13" s="16"/>
      <c r="FL13" s="16"/>
      <c r="FM13" s="16"/>
      <c r="FN13" s="16"/>
      <c r="FO13" s="16"/>
      <c r="FP13" s="16"/>
      <c r="FQ13" s="16"/>
      <c r="FR13" s="16"/>
      <c r="FS13" s="16"/>
      <c r="FT13" s="16"/>
      <c r="FU13" s="16"/>
      <c r="FV13" s="16"/>
      <c r="FW13" s="16"/>
      <c r="FX13" s="16"/>
      <c r="FY13" s="16"/>
      <c r="FZ13" s="16"/>
      <c r="GA13" s="16"/>
      <c r="GB13" s="16"/>
      <c r="GC13" s="16"/>
      <c r="GD13" s="16"/>
      <c r="GE13" s="16"/>
      <c r="GF13" s="16"/>
      <c r="GG13" s="16"/>
      <c r="GH13" s="16"/>
      <c r="GI13" s="16"/>
      <c r="GJ13" s="16"/>
      <c r="GK13" s="16"/>
      <c r="GL13" s="16"/>
      <c r="GM13" s="16"/>
      <c r="GN13" s="16"/>
      <c r="GO13" s="16"/>
      <c r="GP13" s="16"/>
      <c r="GQ13" s="16"/>
      <c r="GR13" s="16"/>
      <c r="GS13" s="16"/>
      <c r="GT13" s="16"/>
      <c r="GU13" s="16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6"/>
      <c r="HN13" s="16"/>
      <c r="HO13" s="16"/>
      <c r="HP13" s="16"/>
      <c r="HQ13" s="16"/>
      <c r="HR13" s="16"/>
      <c r="HS13" s="16"/>
      <c r="HT13" s="16"/>
      <c r="HU13" s="16"/>
      <c r="HV13" s="16"/>
      <c r="HW13" s="16"/>
      <c r="HX13" s="16"/>
      <c r="HY13" s="16"/>
      <c r="HZ13" s="16"/>
      <c r="IA13" s="16"/>
      <c r="IB13" s="16"/>
      <c r="IC13" s="16"/>
      <c r="ID13" s="16"/>
      <c r="IE13" s="16"/>
      <c r="IF13" s="16"/>
      <c r="IG13" s="16"/>
      <c r="IH13" s="16"/>
      <c r="II13" s="16"/>
      <c r="IJ13" s="16"/>
      <c r="IK13" s="16"/>
      <c r="IL13" s="16"/>
      <c r="IM13" s="16"/>
      <c r="IN13" s="16"/>
      <c r="IO13" s="16"/>
      <c r="IP13" s="16"/>
      <c r="IQ13" s="16"/>
      <c r="IR13" s="16"/>
      <c r="IS13" s="16"/>
      <c r="IT13" s="16"/>
      <c r="IU13" s="16"/>
      <c r="IV13" s="16"/>
      <c r="IW13" s="16"/>
      <c r="IX13" s="16"/>
      <c r="IY13" s="16"/>
      <c r="IZ13" s="16"/>
      <c r="JA13" s="16"/>
      <c r="JB13" s="16"/>
      <c r="JC13" s="16"/>
      <c r="JD13" s="16"/>
      <c r="JE13" s="16"/>
      <c r="JF13" s="16"/>
      <c r="JG13" s="16"/>
      <c r="JH13" s="16"/>
      <c r="JI13" s="16"/>
      <c r="JJ13" s="16"/>
      <c r="JK13" s="16"/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16"/>
      <c r="JX13" s="16"/>
      <c r="JY13" s="16"/>
      <c r="JZ13" s="16"/>
      <c r="KA13" s="16"/>
      <c r="KB13" s="16"/>
      <c r="KC13" s="16"/>
      <c r="KD13" s="16"/>
      <c r="KE13" s="16"/>
      <c r="KF13" s="16"/>
      <c r="KG13" s="16"/>
      <c r="KH13" s="16"/>
      <c r="KI13" s="16"/>
      <c r="KJ13" s="16"/>
      <c r="KK13" s="16"/>
      <c r="KL13" s="16"/>
      <c r="KM13" s="16"/>
      <c r="KN13" s="16"/>
      <c r="KO13" s="16"/>
      <c r="KP13" s="16"/>
      <c r="KQ13" s="16"/>
    </row>
    <row r="14" spans="1:303" x14ac:dyDescent="0.25">
      <c r="A14" s="16" t="s">
        <v>726</v>
      </c>
      <c r="B14" s="16" t="s">
        <v>727</v>
      </c>
      <c r="C14" s="16" t="s">
        <v>715</v>
      </c>
      <c r="D14" s="16" t="s">
        <v>728</v>
      </c>
      <c r="E14" s="16" t="s">
        <v>81</v>
      </c>
      <c r="F14" s="16" t="s">
        <v>690</v>
      </c>
      <c r="G14" s="16" t="s">
        <v>729</v>
      </c>
      <c r="H14" s="16"/>
      <c r="I14" s="16" t="s">
        <v>142</v>
      </c>
      <c r="J14" s="24">
        <v>40191</v>
      </c>
      <c r="K14" s="16"/>
      <c r="L14" s="16" t="s">
        <v>684</v>
      </c>
      <c r="M14" s="16" t="s">
        <v>730</v>
      </c>
      <c r="N14" s="16" t="s">
        <v>731</v>
      </c>
      <c r="O14" s="25" t="s">
        <v>142</v>
      </c>
      <c r="P14" s="16"/>
      <c r="Q14" s="27" t="s">
        <v>706</v>
      </c>
      <c r="R14" s="16"/>
      <c r="S14" s="27" t="s">
        <v>706</v>
      </c>
      <c r="T14" s="16"/>
      <c r="U14" s="27" t="s">
        <v>706</v>
      </c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25"/>
      <c r="AW14" s="27" t="s">
        <v>706</v>
      </c>
      <c r="AX14" s="16"/>
      <c r="AY14" s="16"/>
      <c r="AZ14" s="27" t="s">
        <v>706</v>
      </c>
      <c r="BA14" s="27" t="s">
        <v>706</v>
      </c>
      <c r="BB14" s="16"/>
      <c r="BC14" s="16"/>
      <c r="BD14" s="16"/>
      <c r="BE14" s="16"/>
      <c r="BF14" s="16"/>
      <c r="BG14" s="27" t="s">
        <v>706</v>
      </c>
      <c r="BH14" s="27" t="s">
        <v>706</v>
      </c>
      <c r="BI14" s="27" t="s">
        <v>706</v>
      </c>
      <c r="BJ14" s="16"/>
      <c r="BK14" s="16"/>
      <c r="BL14" s="27" t="s">
        <v>706</v>
      </c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27" t="s">
        <v>706</v>
      </c>
      <c r="BY14" s="16"/>
      <c r="BZ14" s="16"/>
      <c r="CA14" s="16"/>
      <c r="CB14" s="27" t="s">
        <v>706</v>
      </c>
      <c r="CC14" s="27" t="s">
        <v>706</v>
      </c>
      <c r="CD14" s="16"/>
      <c r="CE14" s="27" t="s">
        <v>706</v>
      </c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6"/>
      <c r="FA14" s="16"/>
      <c r="FB14" s="16"/>
      <c r="FC14" s="16"/>
      <c r="FD14" s="16"/>
      <c r="FE14" s="16"/>
      <c r="FF14" s="16"/>
      <c r="FG14" s="16"/>
      <c r="FH14" s="16"/>
      <c r="FI14" s="16"/>
      <c r="FJ14" s="16"/>
      <c r="FK14" s="16"/>
      <c r="FL14" s="16"/>
      <c r="FM14" s="16"/>
      <c r="FN14" s="16"/>
      <c r="FO14" s="16"/>
      <c r="FP14" s="16"/>
      <c r="FQ14" s="16"/>
      <c r="FR14" s="16"/>
      <c r="FS14" s="16"/>
      <c r="FT14" s="16"/>
      <c r="FU14" s="16"/>
      <c r="FV14" s="16"/>
      <c r="FW14" s="16"/>
      <c r="FX14" s="16"/>
      <c r="FY14" s="16"/>
      <c r="FZ14" s="16"/>
      <c r="GA14" s="16"/>
      <c r="GB14" s="16"/>
      <c r="GC14" s="16"/>
      <c r="GD14" s="16"/>
      <c r="GE14" s="16"/>
      <c r="GF14" s="16"/>
      <c r="GG14" s="16"/>
      <c r="GH14" s="16"/>
      <c r="GI14" s="16"/>
      <c r="GJ14" s="16"/>
      <c r="GK14" s="16"/>
      <c r="GL14" s="16"/>
      <c r="GM14" s="16"/>
      <c r="GN14" s="16"/>
      <c r="GO14" s="16"/>
      <c r="GP14" s="16"/>
      <c r="GQ14" s="16"/>
      <c r="GR14" s="16"/>
      <c r="GS14" s="16"/>
      <c r="GT14" s="16"/>
      <c r="GU14" s="16"/>
      <c r="GV14" s="16"/>
      <c r="GW14" s="16"/>
      <c r="GX14" s="16"/>
      <c r="GY14" s="16"/>
      <c r="GZ14" s="16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6"/>
      <c r="HQ14" s="16"/>
      <c r="HR14" s="16"/>
      <c r="HS14" s="16"/>
      <c r="HT14" s="16"/>
      <c r="HU14" s="16"/>
      <c r="HV14" s="16"/>
      <c r="HW14" s="16"/>
      <c r="HX14" s="16"/>
      <c r="HY14" s="16"/>
      <c r="HZ14" s="16"/>
      <c r="IA14" s="16"/>
      <c r="IB14" s="16"/>
      <c r="IC14" s="16"/>
      <c r="ID14" s="16"/>
      <c r="IE14" s="16"/>
      <c r="IF14" s="16"/>
      <c r="IG14" s="16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6"/>
      <c r="JD14" s="16"/>
      <c r="JE14" s="16"/>
      <c r="JF14" s="16"/>
      <c r="JG14" s="16"/>
      <c r="JH14" s="16"/>
      <c r="JI14" s="16"/>
      <c r="JJ14" s="16"/>
      <c r="JK14" s="16"/>
      <c r="JL14" s="16"/>
      <c r="JM14" s="16"/>
      <c r="JN14" s="16"/>
      <c r="JO14" s="16"/>
      <c r="JP14" s="16"/>
      <c r="JQ14" s="16"/>
      <c r="JR14" s="16"/>
      <c r="JS14" s="16"/>
      <c r="JT14" s="16"/>
      <c r="JU14" s="16"/>
      <c r="JV14" s="16"/>
      <c r="JW14" s="16"/>
      <c r="JX14" s="16"/>
      <c r="JY14" s="16"/>
      <c r="JZ14" s="16"/>
      <c r="KA14" s="16"/>
      <c r="KB14" s="16"/>
      <c r="KC14" s="16"/>
      <c r="KD14" s="16"/>
      <c r="KE14" s="16"/>
      <c r="KF14" s="16"/>
      <c r="KG14" s="16"/>
      <c r="KH14" s="16"/>
      <c r="KI14" s="16"/>
      <c r="KJ14" s="16"/>
      <c r="KK14" s="16"/>
      <c r="KL14" s="16"/>
      <c r="KM14" s="16"/>
      <c r="KN14" s="16"/>
      <c r="KO14" s="16"/>
      <c r="KP14" s="16"/>
      <c r="KQ14" s="16"/>
    </row>
    <row r="15" spans="1:303" x14ac:dyDescent="0.25">
      <c r="A15" s="16" t="s">
        <v>732</v>
      </c>
      <c r="B15" s="16" t="s">
        <v>733</v>
      </c>
      <c r="C15" s="16" t="s">
        <v>137</v>
      </c>
      <c r="D15" s="16" t="s">
        <v>734</v>
      </c>
      <c r="E15" s="16" t="s">
        <v>81</v>
      </c>
      <c r="F15" s="16" t="s">
        <v>690</v>
      </c>
      <c r="G15" s="16" t="s">
        <v>735</v>
      </c>
      <c r="H15" s="16" t="s">
        <v>736</v>
      </c>
      <c r="I15" s="16" t="s">
        <v>142</v>
      </c>
      <c r="J15" s="24">
        <v>38722</v>
      </c>
      <c r="K15" s="16" t="s">
        <v>693</v>
      </c>
      <c r="L15" s="16" t="s">
        <v>694</v>
      </c>
      <c r="M15" s="16" t="s">
        <v>737</v>
      </c>
      <c r="N15" s="16" t="s">
        <v>738</v>
      </c>
      <c r="O15" s="25" t="s">
        <v>142</v>
      </c>
      <c r="P15" s="16"/>
      <c r="Q15" s="16"/>
      <c r="R15" s="16"/>
      <c r="S15" s="16"/>
      <c r="T15" s="16"/>
      <c r="U15" s="16"/>
      <c r="V15" s="16"/>
      <c r="W15" s="27" t="s">
        <v>697</v>
      </c>
      <c r="X15" s="16"/>
      <c r="Y15" s="16"/>
      <c r="Z15" s="27" t="s">
        <v>697</v>
      </c>
      <c r="AA15" s="27" t="s">
        <v>697</v>
      </c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25"/>
      <c r="AW15" s="27" t="s">
        <v>697</v>
      </c>
      <c r="AX15" s="16"/>
      <c r="AY15" s="16"/>
      <c r="AZ15" s="27" t="s">
        <v>697</v>
      </c>
      <c r="BA15" s="27" t="s">
        <v>697</v>
      </c>
      <c r="BB15" s="16"/>
      <c r="BC15" s="16"/>
      <c r="BD15" s="16"/>
      <c r="BE15" s="16"/>
      <c r="BF15" s="16"/>
      <c r="BG15" s="27" t="s">
        <v>697</v>
      </c>
      <c r="BH15" s="27" t="s">
        <v>697</v>
      </c>
      <c r="BI15" s="27" t="s">
        <v>697</v>
      </c>
      <c r="BJ15" s="16"/>
      <c r="BK15" s="27" t="s">
        <v>697</v>
      </c>
      <c r="BL15" s="27" t="s">
        <v>697</v>
      </c>
      <c r="BM15" s="16"/>
      <c r="BN15" s="27" t="s">
        <v>697</v>
      </c>
      <c r="BO15" s="16"/>
      <c r="BP15" s="16"/>
      <c r="BQ15" s="16"/>
      <c r="BR15" s="16"/>
      <c r="BS15" s="16"/>
      <c r="BT15" s="16"/>
      <c r="BU15" s="16"/>
      <c r="BV15" s="16"/>
      <c r="BW15" s="16"/>
      <c r="BX15" s="27" t="s">
        <v>697</v>
      </c>
      <c r="BY15" s="16"/>
      <c r="BZ15" s="16"/>
      <c r="CA15" s="16"/>
      <c r="CB15" s="27" t="s">
        <v>697</v>
      </c>
      <c r="CC15" s="27" t="s">
        <v>697</v>
      </c>
      <c r="CD15" s="16"/>
      <c r="CE15" s="27" t="s">
        <v>697</v>
      </c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16"/>
      <c r="FG15" s="16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6"/>
      <c r="FS15" s="16"/>
      <c r="FT15" s="16"/>
      <c r="FU15" s="16"/>
      <c r="FV15" s="16"/>
      <c r="FW15" s="16"/>
      <c r="FX15" s="16"/>
      <c r="FY15" s="16"/>
      <c r="FZ15" s="16"/>
      <c r="GA15" s="16"/>
      <c r="GB15" s="16"/>
      <c r="GC15" s="16"/>
      <c r="GD15" s="16"/>
      <c r="GE15" s="16"/>
      <c r="GF15" s="16"/>
      <c r="GG15" s="16"/>
      <c r="GH15" s="16"/>
      <c r="GI15" s="16"/>
      <c r="GJ15" s="16"/>
      <c r="GK15" s="16"/>
      <c r="GL15" s="16"/>
      <c r="GM15" s="16"/>
      <c r="GN15" s="16"/>
      <c r="GO15" s="16"/>
      <c r="GP15" s="16"/>
      <c r="GQ15" s="16"/>
      <c r="GR15" s="16"/>
      <c r="GS15" s="16"/>
      <c r="GT15" s="16"/>
      <c r="GU15" s="16"/>
      <c r="GV15" s="16"/>
      <c r="GW15" s="16"/>
      <c r="GX15" s="16"/>
      <c r="GY15" s="16"/>
      <c r="GZ15" s="16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16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6"/>
      <c r="JD15" s="16"/>
      <c r="JE15" s="16"/>
      <c r="JF15" s="16"/>
      <c r="JG15" s="16"/>
      <c r="JH15" s="16"/>
      <c r="JI15" s="16"/>
      <c r="JJ15" s="16"/>
      <c r="JK15" s="16"/>
      <c r="JL15" s="16"/>
      <c r="JM15" s="16"/>
      <c r="JN15" s="16"/>
      <c r="JO15" s="16"/>
      <c r="JP15" s="16"/>
      <c r="JQ15" s="16"/>
      <c r="JR15" s="16"/>
      <c r="JS15" s="16"/>
      <c r="JT15" s="16"/>
      <c r="JU15" s="16"/>
      <c r="JV15" s="16"/>
      <c r="JW15" s="16"/>
      <c r="JX15" s="16"/>
      <c r="JY15" s="16"/>
      <c r="JZ15" s="16"/>
      <c r="KA15" s="16"/>
      <c r="KB15" s="16"/>
      <c r="KC15" s="16"/>
      <c r="KD15" s="16"/>
      <c r="KE15" s="16"/>
      <c r="KF15" s="16"/>
      <c r="KG15" s="16"/>
      <c r="KH15" s="16"/>
      <c r="KI15" s="16"/>
      <c r="KJ15" s="16"/>
      <c r="KK15" s="16"/>
      <c r="KL15" s="16"/>
      <c r="KM15" s="16"/>
      <c r="KN15" s="16"/>
      <c r="KO15" s="16"/>
      <c r="KP15" s="16"/>
      <c r="KQ15" s="16"/>
    </row>
    <row r="16" spans="1:303" ht="30.75" customHeight="1" x14ac:dyDescent="0.25">
      <c r="A16" s="16" t="s">
        <v>732</v>
      </c>
      <c r="B16" s="16" t="s">
        <v>739</v>
      </c>
      <c r="C16" s="16" t="s">
        <v>740</v>
      </c>
      <c r="D16" s="16" t="s">
        <v>741</v>
      </c>
      <c r="E16" s="16" t="s">
        <v>81</v>
      </c>
      <c r="F16" s="16" t="s">
        <v>690</v>
      </c>
      <c r="G16" s="16" t="s">
        <v>742</v>
      </c>
      <c r="H16" s="16" t="s">
        <v>743</v>
      </c>
      <c r="I16" s="16" t="s">
        <v>744</v>
      </c>
      <c r="J16" s="24">
        <v>41541</v>
      </c>
      <c r="K16" s="16"/>
      <c r="L16" s="16" t="s">
        <v>684</v>
      </c>
      <c r="M16" s="16" t="s">
        <v>745</v>
      </c>
      <c r="N16" s="16" t="s">
        <v>746</v>
      </c>
      <c r="O16" s="25" t="s">
        <v>142</v>
      </c>
      <c r="P16" s="16"/>
      <c r="Q16" s="16"/>
      <c r="R16" s="16"/>
      <c r="S16" s="28" t="s">
        <v>704</v>
      </c>
      <c r="T16" s="16"/>
      <c r="U16" s="27" t="s">
        <v>705</v>
      </c>
      <c r="V16" s="16"/>
      <c r="W16" s="16"/>
      <c r="X16" s="16"/>
      <c r="Y16" s="16"/>
      <c r="Z16" s="27" t="s">
        <v>706</v>
      </c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25"/>
      <c r="AW16" s="28" t="s">
        <v>704</v>
      </c>
      <c r="AX16" s="16"/>
      <c r="AY16" s="16"/>
      <c r="AZ16" s="27" t="s">
        <v>706</v>
      </c>
      <c r="BA16" s="27" t="s">
        <v>706</v>
      </c>
      <c r="BB16" s="16"/>
      <c r="BC16" s="16"/>
      <c r="BD16" s="16"/>
      <c r="BE16" s="16"/>
      <c r="BF16" s="16"/>
      <c r="BG16" s="27" t="s">
        <v>706</v>
      </c>
      <c r="BH16" s="27" t="s">
        <v>706</v>
      </c>
      <c r="BI16" s="27" t="s">
        <v>706</v>
      </c>
      <c r="BJ16" s="16"/>
      <c r="BK16" s="27" t="s">
        <v>706</v>
      </c>
      <c r="BL16" s="27" t="s">
        <v>706</v>
      </c>
      <c r="BM16" s="27" t="s">
        <v>706</v>
      </c>
      <c r="BN16" s="16"/>
      <c r="BO16" s="27" t="s">
        <v>706</v>
      </c>
      <c r="BP16" s="16"/>
      <c r="BQ16" s="16"/>
      <c r="BR16" s="16"/>
      <c r="BS16" s="16"/>
      <c r="BT16" s="16"/>
      <c r="BU16" s="16"/>
      <c r="BV16" s="16"/>
      <c r="BW16" s="16"/>
      <c r="BX16" s="28" t="s">
        <v>704</v>
      </c>
      <c r="BY16" s="16"/>
      <c r="BZ16" s="16"/>
      <c r="CA16" s="16"/>
      <c r="CB16" s="27" t="s">
        <v>706</v>
      </c>
      <c r="CC16" s="27" t="s">
        <v>706</v>
      </c>
      <c r="CD16" s="16"/>
      <c r="CE16" s="27" t="s">
        <v>706</v>
      </c>
      <c r="CF16" s="27" t="s">
        <v>706</v>
      </c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27" t="s">
        <v>706</v>
      </c>
      <c r="CV16" s="27" t="s">
        <v>706</v>
      </c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27" t="s">
        <v>706</v>
      </c>
      <c r="DI16" s="16"/>
      <c r="DJ16" s="27" t="s">
        <v>706</v>
      </c>
      <c r="DK16" s="16"/>
      <c r="DL16" s="16"/>
      <c r="DM16" s="16"/>
      <c r="DN16" s="27" t="s">
        <v>706</v>
      </c>
      <c r="DO16" s="16"/>
      <c r="DP16" s="16"/>
      <c r="DQ16" s="16"/>
      <c r="DR16" s="16"/>
      <c r="DS16" s="16"/>
      <c r="DT16" s="16"/>
      <c r="DU16" s="16"/>
      <c r="DV16" s="16"/>
      <c r="DW16" s="27" t="s">
        <v>706</v>
      </c>
      <c r="DX16" s="16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16"/>
      <c r="FG16" s="16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6"/>
      <c r="FS16" s="16"/>
      <c r="FT16" s="16"/>
      <c r="FU16" s="16"/>
      <c r="FV16" s="16"/>
      <c r="FW16" s="16"/>
      <c r="FX16" s="16"/>
      <c r="FY16" s="16"/>
      <c r="FZ16" s="16"/>
      <c r="GA16" s="16"/>
      <c r="GB16" s="16"/>
      <c r="GC16" s="16"/>
      <c r="GD16" s="16"/>
      <c r="GE16" s="16"/>
      <c r="GF16" s="16"/>
      <c r="GG16" s="16"/>
      <c r="GH16" s="16"/>
      <c r="GI16" s="16"/>
      <c r="GJ16" s="16"/>
      <c r="GK16" s="16"/>
      <c r="GL16" s="16"/>
      <c r="GM16" s="16"/>
      <c r="GN16" s="16"/>
      <c r="GO16" s="16"/>
      <c r="GP16" s="16"/>
      <c r="GQ16" s="16"/>
      <c r="GR16" s="16"/>
      <c r="GS16" s="16"/>
      <c r="GT16" s="16"/>
      <c r="GU16" s="16"/>
      <c r="GV16" s="16"/>
      <c r="GW16" s="16"/>
      <c r="GX16" s="16"/>
      <c r="GY16" s="16"/>
      <c r="GZ16" s="16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16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6"/>
      <c r="JD16" s="16"/>
      <c r="JE16" s="16"/>
      <c r="JF16" s="16"/>
      <c r="JG16" s="16"/>
      <c r="JH16" s="16"/>
      <c r="JI16" s="16"/>
      <c r="JJ16" s="16"/>
      <c r="JK16" s="16"/>
      <c r="JL16" s="16"/>
      <c r="JM16" s="16"/>
      <c r="JN16" s="16"/>
      <c r="JO16" s="16"/>
      <c r="JP16" s="16"/>
      <c r="JQ16" s="16"/>
      <c r="JR16" s="16"/>
      <c r="JS16" s="16"/>
      <c r="JT16" s="16"/>
      <c r="JU16" s="16"/>
      <c r="JV16" s="16"/>
      <c r="JW16" s="16"/>
      <c r="JX16" s="16"/>
      <c r="JY16" s="16"/>
      <c r="JZ16" s="16"/>
      <c r="KA16" s="16"/>
      <c r="KB16" s="16"/>
      <c r="KC16" s="16"/>
      <c r="KD16" s="16"/>
      <c r="KE16" s="16"/>
      <c r="KF16" s="16"/>
      <c r="KG16" s="16"/>
      <c r="KH16" s="16"/>
      <c r="KI16" s="16"/>
      <c r="KJ16" s="16"/>
      <c r="KK16" s="16"/>
      <c r="KL16" s="16"/>
      <c r="KM16" s="16"/>
      <c r="KN16" s="16"/>
      <c r="KO16" s="16"/>
      <c r="KP16" s="16"/>
      <c r="KQ16" s="16"/>
    </row>
    <row r="17" spans="1:303" x14ac:dyDescent="0.25">
      <c r="A17" s="16" t="s">
        <v>747</v>
      </c>
      <c r="B17" s="16" t="s">
        <v>748</v>
      </c>
      <c r="C17" s="16" t="s">
        <v>749</v>
      </c>
      <c r="D17" s="16" t="s">
        <v>750</v>
      </c>
      <c r="E17" s="16" t="s">
        <v>80</v>
      </c>
      <c r="F17" s="16"/>
      <c r="G17" s="16"/>
      <c r="H17" s="16"/>
      <c r="I17" s="16"/>
      <c r="J17" s="16"/>
      <c r="K17" s="16"/>
      <c r="L17" s="16" t="s">
        <v>684</v>
      </c>
      <c r="M17" s="16" t="s">
        <v>751</v>
      </c>
      <c r="N17" s="16" t="s">
        <v>752</v>
      </c>
      <c r="O17" s="25" t="s">
        <v>142</v>
      </c>
      <c r="P17" s="16"/>
      <c r="Q17" s="27" t="s">
        <v>706</v>
      </c>
      <c r="R17" s="16"/>
      <c r="S17" s="27" t="s">
        <v>706</v>
      </c>
      <c r="T17" s="16"/>
      <c r="U17" s="27" t="s">
        <v>706</v>
      </c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25"/>
      <c r="AW17" s="27" t="s">
        <v>706</v>
      </c>
      <c r="AX17" s="16"/>
      <c r="AY17" s="16"/>
      <c r="AZ17" s="27" t="s">
        <v>706</v>
      </c>
      <c r="BA17" s="27" t="s">
        <v>706</v>
      </c>
      <c r="BB17" s="16"/>
      <c r="BC17" s="16"/>
      <c r="BD17" s="16"/>
      <c r="BE17" s="16"/>
      <c r="BF17" s="16"/>
      <c r="BG17" s="27" t="s">
        <v>706</v>
      </c>
      <c r="BH17" s="27" t="s">
        <v>706</v>
      </c>
      <c r="BI17" s="27" t="s">
        <v>706</v>
      </c>
      <c r="BJ17" s="16"/>
      <c r="BK17" s="27" t="s">
        <v>706</v>
      </c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27" t="s">
        <v>706</v>
      </c>
      <c r="BY17" s="16"/>
      <c r="BZ17" s="16"/>
      <c r="CA17" s="16"/>
      <c r="CB17" s="27" t="s">
        <v>706</v>
      </c>
      <c r="CC17" s="27" t="s">
        <v>706</v>
      </c>
      <c r="CD17" s="16"/>
      <c r="CE17" s="27" t="s">
        <v>706</v>
      </c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27" t="s">
        <v>706</v>
      </c>
      <c r="CS17" s="27" t="s">
        <v>706</v>
      </c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16"/>
      <c r="EN17" s="16"/>
      <c r="EO17" s="16"/>
      <c r="EP17" s="16"/>
      <c r="EQ17" s="16"/>
      <c r="ER17" s="16"/>
      <c r="ES17" s="16"/>
      <c r="ET17" s="16"/>
      <c r="EU17" s="16"/>
      <c r="EV17" s="16"/>
      <c r="EW17" s="16"/>
      <c r="EX17" s="16"/>
      <c r="EY17" s="16"/>
      <c r="EZ17" s="16"/>
      <c r="FA17" s="16"/>
      <c r="FB17" s="16"/>
      <c r="FC17" s="16"/>
      <c r="FD17" s="16"/>
      <c r="FE17" s="16"/>
      <c r="FF17" s="16"/>
      <c r="FG17" s="16"/>
      <c r="FH17" s="16"/>
      <c r="FI17" s="16"/>
      <c r="FJ17" s="16"/>
      <c r="FK17" s="16"/>
      <c r="FL17" s="16"/>
      <c r="FM17" s="16"/>
      <c r="FN17" s="16"/>
      <c r="FO17" s="16"/>
      <c r="FP17" s="16"/>
      <c r="FQ17" s="16"/>
      <c r="FR17" s="16"/>
      <c r="FS17" s="16"/>
      <c r="FT17" s="16"/>
      <c r="FU17" s="16"/>
      <c r="FV17" s="16"/>
      <c r="FW17" s="16"/>
      <c r="FX17" s="16"/>
      <c r="FY17" s="16"/>
      <c r="FZ17" s="16"/>
      <c r="GA17" s="16"/>
      <c r="GB17" s="16"/>
      <c r="GC17" s="16"/>
      <c r="GD17" s="16"/>
      <c r="GE17" s="16"/>
      <c r="GF17" s="16"/>
      <c r="GG17" s="16"/>
      <c r="GH17" s="16"/>
      <c r="GI17" s="16"/>
      <c r="GJ17" s="16"/>
      <c r="GK17" s="16"/>
      <c r="GL17" s="16"/>
      <c r="GM17" s="16"/>
      <c r="GN17" s="16"/>
      <c r="GO17" s="16"/>
      <c r="GP17" s="16"/>
      <c r="GQ17" s="16"/>
      <c r="GR17" s="16"/>
      <c r="GS17" s="16"/>
      <c r="GT17" s="16"/>
      <c r="GU17" s="16"/>
      <c r="GV17" s="16"/>
      <c r="GW17" s="16"/>
      <c r="GX17" s="16"/>
      <c r="GY17" s="16"/>
      <c r="GZ17" s="16"/>
      <c r="HA17" s="16"/>
      <c r="HB17" s="16"/>
      <c r="HC17" s="16"/>
      <c r="HD17" s="16"/>
      <c r="HE17" s="16"/>
      <c r="HF17" s="16"/>
      <c r="HG17" s="16"/>
      <c r="HH17" s="16"/>
      <c r="HI17" s="16"/>
      <c r="HJ17" s="16"/>
      <c r="HK17" s="16"/>
      <c r="HL17" s="16"/>
      <c r="HM17" s="16"/>
      <c r="HN17" s="16"/>
      <c r="HO17" s="16"/>
      <c r="HP17" s="16"/>
      <c r="HQ17" s="16"/>
      <c r="HR17" s="16"/>
      <c r="HS17" s="16"/>
      <c r="HT17" s="16"/>
      <c r="HU17" s="16"/>
      <c r="HV17" s="16"/>
      <c r="HW17" s="16"/>
      <c r="HX17" s="16"/>
      <c r="HY17" s="16"/>
      <c r="HZ17" s="16"/>
      <c r="IA17" s="16"/>
      <c r="IB17" s="16"/>
      <c r="IC17" s="16"/>
      <c r="ID17" s="16"/>
      <c r="IE17" s="16"/>
      <c r="IF17" s="16"/>
      <c r="IG17" s="16"/>
      <c r="IH17" s="16"/>
      <c r="II17" s="16"/>
      <c r="IJ17" s="16"/>
      <c r="IK17" s="16"/>
      <c r="IL17" s="16"/>
      <c r="IM17" s="16"/>
      <c r="IN17" s="16"/>
      <c r="IO17" s="16"/>
      <c r="IP17" s="16"/>
      <c r="IQ17" s="16"/>
      <c r="IR17" s="16"/>
      <c r="IS17" s="16"/>
      <c r="IT17" s="16"/>
      <c r="IU17" s="16"/>
      <c r="IV17" s="16"/>
      <c r="IW17" s="16"/>
      <c r="IX17" s="16"/>
      <c r="IY17" s="16"/>
      <c r="IZ17" s="16"/>
      <c r="JA17" s="16"/>
      <c r="JB17" s="16"/>
      <c r="JC17" s="16"/>
      <c r="JD17" s="16"/>
      <c r="JE17" s="16"/>
      <c r="JF17" s="16"/>
      <c r="JG17" s="16"/>
      <c r="JH17" s="16"/>
      <c r="JI17" s="16"/>
      <c r="JJ17" s="16"/>
      <c r="JK17" s="16"/>
      <c r="JL17" s="16"/>
      <c r="JM17" s="16"/>
      <c r="JN17" s="16"/>
      <c r="JO17" s="16"/>
      <c r="JP17" s="16"/>
      <c r="JQ17" s="16"/>
      <c r="JR17" s="16"/>
      <c r="JS17" s="16"/>
      <c r="JT17" s="16"/>
      <c r="JU17" s="16"/>
      <c r="JV17" s="16"/>
      <c r="JW17" s="16"/>
      <c r="JX17" s="16"/>
      <c r="JY17" s="16"/>
      <c r="JZ17" s="16"/>
      <c r="KA17" s="16"/>
      <c r="KB17" s="16"/>
      <c r="KC17" s="16"/>
      <c r="KD17" s="16"/>
      <c r="KE17" s="16"/>
      <c r="KF17" s="16"/>
      <c r="KG17" s="16"/>
      <c r="KH17" s="16"/>
      <c r="KI17" s="16"/>
      <c r="KJ17" s="16"/>
      <c r="KK17" s="16"/>
      <c r="KL17" s="16"/>
      <c r="KM17" s="16"/>
      <c r="KN17" s="16"/>
      <c r="KO17" s="16"/>
      <c r="KP17" s="16"/>
      <c r="KQ17" s="16"/>
    </row>
    <row r="18" spans="1:303" x14ac:dyDescent="0.25">
      <c r="A18" s="16" t="s">
        <v>747</v>
      </c>
      <c r="B18" s="16" t="s">
        <v>753</v>
      </c>
      <c r="C18" s="16" t="s">
        <v>740</v>
      </c>
      <c r="D18" s="16" t="s">
        <v>754</v>
      </c>
      <c r="E18" s="16" t="s">
        <v>81</v>
      </c>
      <c r="F18" s="16" t="s">
        <v>690</v>
      </c>
      <c r="G18" s="16"/>
      <c r="H18" s="16"/>
      <c r="I18" s="16"/>
      <c r="J18" s="24">
        <v>37068</v>
      </c>
      <c r="K18" s="16"/>
      <c r="L18" s="16" t="s">
        <v>755</v>
      </c>
      <c r="M18" s="16" t="s">
        <v>756</v>
      </c>
      <c r="N18" s="16" t="s">
        <v>757</v>
      </c>
      <c r="O18" s="25" t="s">
        <v>142</v>
      </c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25"/>
      <c r="AW18" s="27" t="s">
        <v>758</v>
      </c>
      <c r="AX18" s="16"/>
      <c r="AY18" s="16"/>
      <c r="AZ18" s="27" t="s">
        <v>758</v>
      </c>
      <c r="BA18" s="27" t="s">
        <v>758</v>
      </c>
      <c r="BB18" s="16"/>
      <c r="BC18" s="16"/>
      <c r="BD18" s="16"/>
      <c r="BE18" s="16"/>
      <c r="BF18" s="16"/>
      <c r="BG18" s="16"/>
      <c r="BH18" s="27" t="s">
        <v>758</v>
      </c>
      <c r="BI18" s="27" t="s">
        <v>758</v>
      </c>
      <c r="BJ18" s="16"/>
      <c r="BK18" s="27" t="s">
        <v>758</v>
      </c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27" t="s">
        <v>758</v>
      </c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</row>
    <row r="19" spans="1:303" x14ac:dyDescent="0.25">
      <c r="A19" s="16" t="s">
        <v>747</v>
      </c>
      <c r="B19" s="16" t="s">
        <v>759</v>
      </c>
      <c r="C19" s="16" t="s">
        <v>760</v>
      </c>
      <c r="D19" s="16" t="s">
        <v>761</v>
      </c>
      <c r="E19" s="16" t="s">
        <v>80</v>
      </c>
      <c r="F19" s="16"/>
      <c r="G19" s="16"/>
      <c r="H19" s="16"/>
      <c r="I19" s="16"/>
      <c r="J19" s="24">
        <v>39073</v>
      </c>
      <c r="K19" s="16"/>
      <c r="L19" s="16" t="s">
        <v>684</v>
      </c>
      <c r="M19" s="16" t="s">
        <v>762</v>
      </c>
      <c r="N19" s="16" t="s">
        <v>763</v>
      </c>
      <c r="O19" s="25" t="s">
        <v>142</v>
      </c>
      <c r="P19" s="16"/>
      <c r="Q19" s="27" t="s">
        <v>706</v>
      </c>
      <c r="R19" s="16"/>
      <c r="S19" s="27" t="s">
        <v>706</v>
      </c>
      <c r="T19" s="16"/>
      <c r="U19" s="27" t="s">
        <v>706</v>
      </c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25"/>
      <c r="AW19" s="27" t="s">
        <v>706</v>
      </c>
      <c r="AX19" s="16"/>
      <c r="AY19" s="16"/>
      <c r="AZ19" s="27" t="s">
        <v>706</v>
      </c>
      <c r="BA19" s="27" t="s">
        <v>706</v>
      </c>
      <c r="BB19" s="16"/>
      <c r="BC19" s="16"/>
      <c r="BD19" s="16"/>
      <c r="BE19" s="16"/>
      <c r="BF19" s="16"/>
      <c r="BG19" s="27" t="s">
        <v>706</v>
      </c>
      <c r="BH19" s="27" t="s">
        <v>706</v>
      </c>
      <c r="BI19" s="27" t="s">
        <v>706</v>
      </c>
      <c r="BJ19" s="16"/>
      <c r="BK19" s="27" t="s">
        <v>706</v>
      </c>
      <c r="BL19" s="27" t="s">
        <v>706</v>
      </c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27" t="s">
        <v>706</v>
      </c>
      <c r="BY19" s="16"/>
      <c r="BZ19" s="16"/>
      <c r="CA19" s="16"/>
      <c r="CB19" s="27" t="s">
        <v>706</v>
      </c>
      <c r="CC19" s="27" t="s">
        <v>706</v>
      </c>
      <c r="CD19" s="16"/>
      <c r="CE19" s="27" t="s">
        <v>706</v>
      </c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</row>
    <row r="20" spans="1:303" x14ac:dyDescent="0.25">
      <c r="A20" s="16" t="s">
        <v>747</v>
      </c>
      <c r="B20" s="16" t="s">
        <v>764</v>
      </c>
      <c r="C20" s="16" t="s">
        <v>740</v>
      </c>
      <c r="D20" s="16" t="s">
        <v>765</v>
      </c>
      <c r="E20" s="16" t="s">
        <v>80</v>
      </c>
      <c r="F20" s="16" t="s">
        <v>690</v>
      </c>
      <c r="G20" s="16"/>
      <c r="H20" s="16"/>
      <c r="I20" s="16"/>
      <c r="J20" s="24">
        <v>40156</v>
      </c>
      <c r="K20" s="16"/>
      <c r="L20" s="16" t="s">
        <v>684</v>
      </c>
      <c r="M20" s="16" t="s">
        <v>766</v>
      </c>
      <c r="N20" s="16" t="s">
        <v>767</v>
      </c>
      <c r="O20" s="25" t="s">
        <v>142</v>
      </c>
      <c r="P20" s="16"/>
      <c r="Q20" s="27" t="s">
        <v>706</v>
      </c>
      <c r="R20" s="16"/>
      <c r="S20" s="27" t="s">
        <v>706</v>
      </c>
      <c r="T20" s="16"/>
      <c r="U20" s="27" t="s">
        <v>706</v>
      </c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25"/>
      <c r="AW20" s="27" t="s">
        <v>706</v>
      </c>
      <c r="AX20" s="16"/>
      <c r="AY20" s="16"/>
      <c r="AZ20" s="27" t="s">
        <v>706</v>
      </c>
      <c r="BA20" s="27" t="s">
        <v>706</v>
      </c>
      <c r="BB20" s="16"/>
      <c r="BC20" s="16"/>
      <c r="BD20" s="16"/>
      <c r="BE20" s="16"/>
      <c r="BF20" s="16"/>
      <c r="BG20" s="27" t="s">
        <v>706</v>
      </c>
      <c r="BH20" s="27" t="s">
        <v>706</v>
      </c>
      <c r="BI20" s="27" t="s">
        <v>706</v>
      </c>
      <c r="BJ20" s="16"/>
      <c r="BK20" s="27" t="s">
        <v>706</v>
      </c>
      <c r="BL20" s="27" t="s">
        <v>706</v>
      </c>
      <c r="BM20" s="27" t="s">
        <v>706</v>
      </c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27" t="s">
        <v>706</v>
      </c>
      <c r="BY20" s="16"/>
      <c r="BZ20" s="16"/>
      <c r="CA20" s="16"/>
      <c r="CB20" s="27" t="s">
        <v>706</v>
      </c>
      <c r="CC20" s="27" t="s">
        <v>706</v>
      </c>
      <c r="CD20" s="16"/>
      <c r="CE20" s="27" t="s">
        <v>706</v>
      </c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27" t="s">
        <v>706</v>
      </c>
      <c r="CS20" s="27" t="s">
        <v>706</v>
      </c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</row>
    <row r="21" spans="1:303" x14ac:dyDescent="0.25">
      <c r="A21" s="16" t="s">
        <v>768</v>
      </c>
      <c r="B21" s="16" t="s">
        <v>769</v>
      </c>
      <c r="C21" s="16" t="s">
        <v>770</v>
      </c>
      <c r="D21" s="16" t="s">
        <v>771</v>
      </c>
      <c r="E21" s="16" t="s">
        <v>80</v>
      </c>
      <c r="F21" s="16"/>
      <c r="G21" s="16"/>
      <c r="H21" s="16"/>
      <c r="I21" s="16"/>
      <c r="J21" s="16"/>
      <c r="K21" s="16"/>
      <c r="L21" s="16" t="s">
        <v>755</v>
      </c>
      <c r="M21" s="16" t="s">
        <v>772</v>
      </c>
      <c r="N21" s="16" t="s">
        <v>773</v>
      </c>
      <c r="O21" s="25" t="s">
        <v>142</v>
      </c>
      <c r="P21" s="16"/>
      <c r="Q21" s="16"/>
      <c r="R21" s="16"/>
      <c r="S21" s="16"/>
      <c r="T21" s="16"/>
      <c r="U21" s="16"/>
      <c r="V21" s="16"/>
      <c r="W21" s="27" t="s">
        <v>697</v>
      </c>
      <c r="X21" s="27" t="s">
        <v>697</v>
      </c>
      <c r="Y21" s="27" t="s">
        <v>697</v>
      </c>
      <c r="Z21" s="27" t="s">
        <v>697</v>
      </c>
      <c r="AA21" s="27" t="s">
        <v>697</v>
      </c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25"/>
      <c r="AW21" s="27" t="s">
        <v>697</v>
      </c>
      <c r="AX21" s="16"/>
      <c r="AY21" s="16"/>
      <c r="AZ21" s="27" t="s">
        <v>697</v>
      </c>
      <c r="BA21" s="27" t="s">
        <v>697</v>
      </c>
      <c r="BB21" s="16"/>
      <c r="BC21" s="16"/>
      <c r="BD21" s="16"/>
      <c r="BE21" s="16"/>
      <c r="BF21" s="16"/>
      <c r="BG21" s="27" t="s">
        <v>697</v>
      </c>
      <c r="BH21" s="27" t="s">
        <v>697</v>
      </c>
      <c r="BI21" s="27" t="s">
        <v>697</v>
      </c>
      <c r="BJ21" s="16"/>
      <c r="BK21" s="27" t="s">
        <v>697</v>
      </c>
      <c r="BL21" s="27" t="s">
        <v>697</v>
      </c>
      <c r="BM21" s="27" t="s">
        <v>697</v>
      </c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27" t="s">
        <v>697</v>
      </c>
      <c r="BY21" s="16"/>
      <c r="BZ21" s="16"/>
      <c r="CA21" s="16"/>
      <c r="CB21" s="27" t="s">
        <v>697</v>
      </c>
      <c r="CC21" s="27" t="s">
        <v>697</v>
      </c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27" t="s">
        <v>697</v>
      </c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</row>
    <row r="22" spans="1:303" x14ac:dyDescent="0.25">
      <c r="A22" s="16" t="s">
        <v>708</v>
      </c>
      <c r="B22" s="16" t="s">
        <v>774</v>
      </c>
      <c r="C22" s="16" t="s">
        <v>775</v>
      </c>
      <c r="D22" s="16" t="s">
        <v>776</v>
      </c>
      <c r="E22" s="16"/>
      <c r="F22" s="16"/>
      <c r="G22" s="16"/>
      <c r="H22" s="16"/>
      <c r="I22" s="16"/>
      <c r="J22" s="16"/>
      <c r="K22" s="16"/>
      <c r="L22" s="16"/>
      <c r="M22" s="24">
        <v>41682</v>
      </c>
      <c r="N22" s="16" t="s">
        <v>777</v>
      </c>
      <c r="O22" s="25" t="s">
        <v>142</v>
      </c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25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  <c r="EF22" s="16"/>
      <c r="EG22" s="16"/>
      <c r="EH22" s="16"/>
      <c r="EI22" s="16"/>
      <c r="EJ22" s="16"/>
      <c r="EK22" s="16"/>
      <c r="EL22" s="16"/>
      <c r="EM22" s="16"/>
      <c r="EN22" s="16"/>
      <c r="EO22" s="16"/>
      <c r="EP22" s="16"/>
      <c r="EQ22" s="16"/>
      <c r="ER22" s="16"/>
      <c r="ES22" s="16"/>
      <c r="ET22" s="16"/>
      <c r="EU22" s="16"/>
      <c r="EV22" s="16"/>
      <c r="EW22" s="16"/>
      <c r="EX22" s="16"/>
      <c r="EY22" s="16"/>
      <c r="EZ22" s="16"/>
      <c r="FA22" s="16"/>
      <c r="FB22" s="16"/>
      <c r="FC22" s="16"/>
      <c r="FD22" s="16"/>
      <c r="FE22" s="16"/>
      <c r="FF22" s="16"/>
      <c r="FG22" s="16"/>
      <c r="FH22" s="16"/>
      <c r="FI22" s="16"/>
      <c r="FJ22" s="16"/>
      <c r="FK22" s="16"/>
      <c r="FL22" s="16"/>
      <c r="FM22" s="16"/>
      <c r="FN22" s="16"/>
      <c r="FO22" s="16"/>
      <c r="FP22" s="16"/>
      <c r="FQ22" s="16"/>
      <c r="FR22" s="16"/>
      <c r="FS22" s="16"/>
      <c r="FT22" s="16"/>
      <c r="FU22" s="16"/>
      <c r="FV22" s="16"/>
      <c r="FW22" s="16"/>
      <c r="FX22" s="16"/>
      <c r="FY22" s="16"/>
      <c r="FZ22" s="16"/>
      <c r="GA22" s="16"/>
      <c r="GB22" s="16"/>
      <c r="GC22" s="16"/>
      <c r="GD22" s="16"/>
      <c r="GE22" s="16"/>
      <c r="GF22" s="16"/>
      <c r="GG22" s="16"/>
      <c r="GH22" s="16"/>
      <c r="GI22" s="16"/>
      <c r="GJ22" s="16"/>
      <c r="GK22" s="16"/>
      <c r="GL22" s="16"/>
      <c r="GM22" s="16"/>
      <c r="GN22" s="16"/>
      <c r="GO22" s="16"/>
      <c r="GP22" s="16"/>
      <c r="GQ22" s="16"/>
      <c r="GR22" s="16"/>
      <c r="GS22" s="16"/>
      <c r="GT22" s="16"/>
      <c r="GU22" s="16"/>
      <c r="GV22" s="16"/>
      <c r="GW22" s="16"/>
      <c r="GX22" s="16"/>
      <c r="GY22" s="16"/>
      <c r="GZ22" s="16"/>
      <c r="HA22" s="16"/>
      <c r="HB22" s="16"/>
      <c r="HC22" s="16"/>
      <c r="HD22" s="16"/>
      <c r="HE22" s="16"/>
      <c r="HF22" s="16"/>
      <c r="HG22" s="16"/>
      <c r="HH22" s="16"/>
      <c r="HI22" s="16"/>
      <c r="HJ22" s="16"/>
      <c r="HK22" s="16"/>
      <c r="HL22" s="16"/>
      <c r="HM22" s="16"/>
      <c r="HN22" s="16"/>
      <c r="HO22" s="16"/>
      <c r="HP22" s="16"/>
      <c r="HQ22" s="16"/>
      <c r="HR22" s="16"/>
      <c r="HS22" s="16"/>
      <c r="HT22" s="16"/>
      <c r="HU22" s="16"/>
      <c r="HV22" s="16"/>
      <c r="HW22" s="16"/>
      <c r="HX22" s="16"/>
      <c r="HY22" s="16"/>
      <c r="HZ22" s="16"/>
      <c r="IA22" s="16"/>
      <c r="IB22" s="16"/>
      <c r="IC22" s="16"/>
      <c r="ID22" s="16"/>
      <c r="IE22" s="16"/>
      <c r="IF22" s="16"/>
      <c r="IG22" s="16"/>
      <c r="IH22" s="16"/>
      <c r="II22" s="16"/>
      <c r="IJ22" s="16"/>
      <c r="IK22" s="16"/>
      <c r="IL22" s="16"/>
      <c r="IM22" s="16"/>
      <c r="IN22" s="16"/>
      <c r="IO22" s="16"/>
      <c r="IP22" s="16"/>
      <c r="IQ22" s="16"/>
      <c r="IR22" s="16"/>
      <c r="IS22" s="16"/>
      <c r="IT22" s="16"/>
      <c r="IU22" s="16"/>
      <c r="IV22" s="16"/>
      <c r="IW22" s="16"/>
      <c r="IX22" s="16"/>
      <c r="IY22" s="16"/>
      <c r="IZ22" s="16"/>
      <c r="JA22" s="16"/>
      <c r="JB22" s="16"/>
      <c r="JC22" s="16"/>
      <c r="JD22" s="16"/>
      <c r="JE22" s="16"/>
      <c r="JF22" s="16"/>
      <c r="JG22" s="16"/>
      <c r="JH22" s="16"/>
      <c r="JI22" s="16"/>
      <c r="JJ22" s="16"/>
      <c r="JK22" s="16"/>
      <c r="JL22" s="16"/>
      <c r="JM22" s="16"/>
      <c r="JN22" s="16"/>
      <c r="JO22" s="16"/>
      <c r="JP22" s="16"/>
      <c r="JQ22" s="16"/>
      <c r="JR22" s="16"/>
      <c r="JS22" s="16"/>
      <c r="JT22" s="16"/>
      <c r="JU22" s="16"/>
      <c r="JV22" s="16"/>
      <c r="JW22" s="16"/>
      <c r="JX22" s="16"/>
      <c r="JY22" s="16"/>
      <c r="JZ22" s="16"/>
      <c r="KA22" s="16"/>
      <c r="KB22" s="16"/>
      <c r="KC22" s="16"/>
      <c r="KD22" s="16"/>
      <c r="KE22" s="16"/>
      <c r="KF22" s="16"/>
      <c r="KG22" s="16"/>
      <c r="KH22" s="16"/>
      <c r="KI22" s="16"/>
      <c r="KJ22" s="16"/>
      <c r="KK22" s="16"/>
      <c r="KL22" s="16"/>
      <c r="KM22" s="16"/>
      <c r="KN22" s="16"/>
      <c r="KO22" s="16"/>
      <c r="KP22" s="16"/>
      <c r="KQ22" s="16"/>
    </row>
    <row r="23" spans="1:303" x14ac:dyDescent="0.25">
      <c r="A23" s="16" t="s">
        <v>677</v>
      </c>
      <c r="B23" s="16" t="s">
        <v>678</v>
      </c>
      <c r="C23" s="16" t="s">
        <v>140</v>
      </c>
      <c r="D23" s="27" t="s">
        <v>138</v>
      </c>
      <c r="E23" s="16" t="s">
        <v>81</v>
      </c>
      <c r="F23" s="16" t="s">
        <v>690</v>
      </c>
      <c r="G23" s="16" t="s">
        <v>735</v>
      </c>
      <c r="H23" s="16" t="s">
        <v>736</v>
      </c>
      <c r="I23" s="16" t="s">
        <v>142</v>
      </c>
      <c r="J23" s="24">
        <v>39875</v>
      </c>
      <c r="K23" s="16"/>
      <c r="L23" s="16" t="s">
        <v>684</v>
      </c>
      <c r="M23" s="16" t="s">
        <v>778</v>
      </c>
      <c r="N23" s="16" t="s">
        <v>779</v>
      </c>
      <c r="O23" s="25" t="s">
        <v>142</v>
      </c>
      <c r="P23" s="16"/>
      <c r="Q23" s="16"/>
      <c r="R23" s="16"/>
      <c r="S23" s="27" t="s">
        <v>706</v>
      </c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25"/>
      <c r="AW23" s="27" t="s">
        <v>706</v>
      </c>
      <c r="AX23" s="16"/>
      <c r="AY23" s="16"/>
      <c r="AZ23" s="27" t="s">
        <v>706</v>
      </c>
      <c r="BA23" s="27" t="s">
        <v>706</v>
      </c>
      <c r="BB23" s="16"/>
      <c r="BC23" s="16"/>
      <c r="BD23" s="16"/>
      <c r="BE23" s="16"/>
      <c r="BF23" s="16"/>
      <c r="BG23" s="27" t="s">
        <v>706</v>
      </c>
      <c r="BH23" s="27" t="s">
        <v>706</v>
      </c>
      <c r="BI23" s="27" t="s">
        <v>706</v>
      </c>
      <c r="BJ23" s="16"/>
      <c r="BK23" s="27" t="s">
        <v>706</v>
      </c>
      <c r="BL23" s="27" t="s">
        <v>706</v>
      </c>
      <c r="BM23" s="16"/>
      <c r="BN23" s="27" t="s">
        <v>706</v>
      </c>
      <c r="BO23" s="16"/>
      <c r="BP23" s="16"/>
      <c r="BQ23" s="16"/>
      <c r="BR23" s="16"/>
      <c r="BS23" s="16"/>
      <c r="BT23" s="16"/>
      <c r="BU23" s="16"/>
      <c r="BV23" s="16"/>
      <c r="BW23" s="16"/>
      <c r="BX23" s="27" t="s">
        <v>706</v>
      </c>
      <c r="BY23" s="16"/>
      <c r="BZ23" s="16"/>
      <c r="CA23" s="16"/>
      <c r="CB23" s="27" t="s">
        <v>706</v>
      </c>
      <c r="CC23" s="27" t="s">
        <v>706</v>
      </c>
      <c r="CD23" s="16"/>
      <c r="CE23" s="27" t="s">
        <v>706</v>
      </c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  <c r="EF23" s="16"/>
      <c r="EG23" s="16"/>
      <c r="EH23" s="16"/>
      <c r="EI23" s="16"/>
      <c r="EJ23" s="16"/>
      <c r="EK23" s="16"/>
      <c r="EL23" s="16"/>
      <c r="EM23" s="16"/>
      <c r="EN23" s="16"/>
      <c r="EO23" s="16"/>
      <c r="EP23" s="16"/>
      <c r="EQ23" s="16"/>
      <c r="ER23" s="16"/>
      <c r="ES23" s="16"/>
      <c r="ET23" s="16"/>
      <c r="EU23" s="16"/>
      <c r="EV23" s="16"/>
      <c r="EW23" s="16"/>
      <c r="EX23" s="16"/>
      <c r="EY23" s="16"/>
      <c r="EZ23" s="16"/>
      <c r="FA23" s="16"/>
      <c r="FB23" s="16"/>
      <c r="FC23" s="16"/>
      <c r="FD23" s="16"/>
      <c r="FE23" s="16"/>
      <c r="FF23" s="16"/>
      <c r="FG23" s="16"/>
      <c r="FH23" s="16"/>
      <c r="FI23" s="16"/>
      <c r="FJ23" s="16"/>
      <c r="FK23" s="16"/>
      <c r="FL23" s="16"/>
      <c r="FM23" s="16"/>
      <c r="FN23" s="16"/>
      <c r="FO23" s="16"/>
      <c r="FP23" s="16"/>
      <c r="FQ23" s="16"/>
      <c r="FR23" s="16"/>
      <c r="FS23" s="16"/>
      <c r="FT23" s="16"/>
      <c r="FU23" s="16"/>
      <c r="FV23" s="16"/>
      <c r="FW23" s="16"/>
      <c r="FX23" s="16"/>
      <c r="FY23" s="16"/>
      <c r="FZ23" s="16"/>
      <c r="GA23" s="16"/>
      <c r="GB23" s="16"/>
      <c r="GC23" s="16"/>
      <c r="GD23" s="16"/>
      <c r="GE23" s="16"/>
      <c r="GF23" s="16"/>
      <c r="GG23" s="16"/>
      <c r="GH23" s="16"/>
      <c r="GI23" s="16"/>
      <c r="GJ23" s="16"/>
      <c r="GK23" s="16"/>
      <c r="GL23" s="16"/>
      <c r="GM23" s="16"/>
      <c r="GN23" s="16"/>
      <c r="GO23" s="16"/>
      <c r="GP23" s="16"/>
      <c r="GQ23" s="16"/>
      <c r="GR23" s="16"/>
      <c r="GS23" s="16"/>
      <c r="GT23" s="16"/>
      <c r="GU23" s="16"/>
      <c r="GV23" s="16"/>
      <c r="GW23" s="16"/>
      <c r="GX23" s="16"/>
      <c r="GY23" s="16"/>
      <c r="GZ23" s="16"/>
      <c r="HA23" s="16"/>
      <c r="HB23" s="16"/>
      <c r="HC23" s="16"/>
      <c r="HD23" s="16"/>
      <c r="HE23" s="16"/>
      <c r="HF23" s="16"/>
      <c r="HG23" s="16"/>
      <c r="HH23" s="16"/>
      <c r="HI23" s="16"/>
      <c r="HJ23" s="16"/>
      <c r="HK23" s="16"/>
      <c r="HL23" s="16"/>
      <c r="HM23" s="16"/>
      <c r="HN23" s="16"/>
      <c r="HO23" s="16"/>
      <c r="HP23" s="16"/>
      <c r="HQ23" s="16"/>
      <c r="HR23" s="16"/>
      <c r="HS23" s="16"/>
      <c r="HT23" s="16"/>
      <c r="HU23" s="16"/>
      <c r="HV23" s="16"/>
      <c r="HW23" s="16"/>
      <c r="HX23" s="16"/>
      <c r="HY23" s="16"/>
      <c r="HZ23" s="16"/>
      <c r="IA23" s="16"/>
      <c r="IB23" s="16"/>
      <c r="IC23" s="16"/>
      <c r="ID23" s="16"/>
      <c r="IE23" s="16"/>
      <c r="IF23" s="16"/>
      <c r="IG23" s="16"/>
      <c r="IH23" s="16"/>
      <c r="II23" s="16"/>
      <c r="IJ23" s="16"/>
      <c r="IK23" s="16"/>
      <c r="IL23" s="16"/>
      <c r="IM23" s="16"/>
      <c r="IN23" s="16"/>
      <c r="IO23" s="16"/>
      <c r="IP23" s="16"/>
      <c r="IQ23" s="16"/>
      <c r="IR23" s="16"/>
      <c r="IS23" s="16"/>
      <c r="IT23" s="16"/>
      <c r="IU23" s="16"/>
      <c r="IV23" s="16"/>
      <c r="IW23" s="16"/>
      <c r="IX23" s="16"/>
      <c r="IY23" s="16"/>
      <c r="IZ23" s="16"/>
      <c r="JA23" s="16"/>
      <c r="JB23" s="16"/>
      <c r="JC23" s="16"/>
      <c r="JD23" s="16"/>
      <c r="JE23" s="16"/>
      <c r="JF23" s="16"/>
      <c r="JG23" s="16"/>
      <c r="JH23" s="16"/>
      <c r="JI23" s="16"/>
      <c r="JJ23" s="16"/>
      <c r="JK23" s="16"/>
      <c r="JL23" s="16"/>
      <c r="JM23" s="16"/>
      <c r="JN23" s="16"/>
      <c r="JO23" s="16"/>
      <c r="JP23" s="16"/>
      <c r="JQ23" s="16"/>
      <c r="JR23" s="16"/>
      <c r="JS23" s="16"/>
      <c r="JT23" s="16"/>
      <c r="JU23" s="16"/>
      <c r="JV23" s="16"/>
      <c r="JW23" s="16"/>
      <c r="JX23" s="16"/>
      <c r="JY23" s="16"/>
      <c r="JZ23" s="16"/>
      <c r="KA23" s="16"/>
      <c r="KB23" s="16"/>
      <c r="KC23" s="16"/>
      <c r="KD23" s="16"/>
      <c r="KE23" s="16"/>
      <c r="KF23" s="16"/>
      <c r="KG23" s="16"/>
      <c r="KH23" s="16"/>
      <c r="KI23" s="16"/>
      <c r="KJ23" s="16"/>
      <c r="KK23" s="16"/>
      <c r="KL23" s="16"/>
      <c r="KM23" s="16"/>
      <c r="KN23" s="16"/>
      <c r="KO23" s="16"/>
      <c r="KP23" s="16"/>
      <c r="KQ23" s="16"/>
    </row>
    <row r="24" spans="1:303" ht="37.5" customHeight="1" x14ac:dyDescent="0.25">
      <c r="A24" s="16" t="s">
        <v>768</v>
      </c>
      <c r="B24" s="281" t="s">
        <v>2531</v>
      </c>
      <c r="C24" s="16" t="s">
        <v>780</v>
      </c>
      <c r="D24" s="16" t="s">
        <v>781</v>
      </c>
      <c r="E24" s="16" t="s">
        <v>80</v>
      </c>
      <c r="F24" s="16" t="s">
        <v>681</v>
      </c>
      <c r="G24" s="16" t="s">
        <v>782</v>
      </c>
      <c r="H24" s="16"/>
      <c r="I24" s="16" t="s">
        <v>142</v>
      </c>
      <c r="J24" s="16">
        <v>2009</v>
      </c>
      <c r="K24" s="16"/>
      <c r="L24" s="16" t="s">
        <v>684</v>
      </c>
      <c r="M24" s="16" t="s">
        <v>783</v>
      </c>
      <c r="N24" s="16" t="s">
        <v>784</v>
      </c>
      <c r="O24" s="25" t="s">
        <v>142</v>
      </c>
      <c r="P24" s="16"/>
      <c r="Q24" s="27" t="s">
        <v>706</v>
      </c>
      <c r="R24" s="16"/>
      <c r="S24" s="28" t="s">
        <v>707</v>
      </c>
      <c r="T24" s="16"/>
      <c r="U24" s="28" t="s">
        <v>707</v>
      </c>
      <c r="V24" s="16"/>
      <c r="W24" s="16"/>
      <c r="X24" s="16"/>
      <c r="Y24" s="28" t="s">
        <v>707</v>
      </c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25"/>
      <c r="AW24" s="28" t="s">
        <v>707</v>
      </c>
      <c r="AX24" s="16"/>
      <c r="AY24" s="27" t="s">
        <v>706</v>
      </c>
      <c r="AZ24" s="28" t="s">
        <v>707</v>
      </c>
      <c r="BA24" s="28" t="s">
        <v>707</v>
      </c>
      <c r="BB24" s="27" t="s">
        <v>706</v>
      </c>
      <c r="BC24" s="27" t="s">
        <v>706</v>
      </c>
      <c r="BD24" s="16"/>
      <c r="BE24" s="16"/>
      <c r="BF24" s="16"/>
      <c r="BG24" s="27" t="s">
        <v>706</v>
      </c>
      <c r="BH24" s="28" t="s">
        <v>707</v>
      </c>
      <c r="BI24" s="28" t="s">
        <v>707</v>
      </c>
      <c r="BJ24" s="27" t="s">
        <v>706</v>
      </c>
      <c r="BK24" s="27" t="s">
        <v>706</v>
      </c>
      <c r="BL24" s="16"/>
      <c r="BM24" s="28" t="s">
        <v>707</v>
      </c>
      <c r="BN24" s="16"/>
      <c r="BO24" s="27" t="s">
        <v>706</v>
      </c>
      <c r="BP24" s="16"/>
      <c r="BQ24" s="27" t="s">
        <v>706</v>
      </c>
      <c r="BR24" s="16"/>
      <c r="BS24" s="16"/>
      <c r="BT24" s="16"/>
      <c r="BU24" s="16"/>
      <c r="BV24" s="16"/>
      <c r="BW24" s="16"/>
      <c r="BX24" s="27" t="s">
        <v>706</v>
      </c>
      <c r="BY24" s="16"/>
      <c r="BZ24" s="16"/>
      <c r="CA24" s="27" t="s">
        <v>706</v>
      </c>
      <c r="CB24" s="28" t="s">
        <v>707</v>
      </c>
      <c r="CC24" s="27" t="s">
        <v>706</v>
      </c>
      <c r="CD24" s="16"/>
      <c r="CE24" s="27" t="s">
        <v>706</v>
      </c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27" t="s">
        <v>706</v>
      </c>
      <c r="CQ24" s="16"/>
      <c r="CR24" s="28" t="s">
        <v>707</v>
      </c>
      <c r="CS24" s="28" t="s">
        <v>707</v>
      </c>
      <c r="CT24" s="16"/>
      <c r="CU24" s="27" t="s">
        <v>706</v>
      </c>
      <c r="CV24" s="27" t="s">
        <v>706</v>
      </c>
      <c r="CW24" s="16"/>
      <c r="CX24" s="16"/>
      <c r="CY24" s="16"/>
      <c r="CZ24" s="16"/>
      <c r="DA24" s="16"/>
      <c r="DB24" s="16"/>
      <c r="DC24" s="16"/>
      <c r="DD24" s="27" t="s">
        <v>706</v>
      </c>
      <c r="DE24" s="16"/>
      <c r="DF24" s="16"/>
      <c r="DG24" s="16"/>
      <c r="DH24" s="28" t="s">
        <v>707</v>
      </c>
      <c r="DI24" s="28" t="s">
        <v>707</v>
      </c>
      <c r="DJ24" s="28" t="s">
        <v>707</v>
      </c>
      <c r="DK24" s="28" t="s">
        <v>707</v>
      </c>
      <c r="DL24" s="27" t="s">
        <v>706</v>
      </c>
      <c r="DM24" s="27" t="s">
        <v>706</v>
      </c>
      <c r="DN24" s="27" t="s">
        <v>706</v>
      </c>
      <c r="DO24" s="27" t="s">
        <v>706</v>
      </c>
      <c r="DP24" s="16"/>
      <c r="DQ24" s="28" t="s">
        <v>707</v>
      </c>
      <c r="DR24" s="27" t="s">
        <v>706</v>
      </c>
      <c r="DS24" s="16"/>
      <c r="DT24" s="27" t="s">
        <v>706</v>
      </c>
      <c r="DU24" s="16"/>
      <c r="DV24" s="16"/>
      <c r="DW24" s="16"/>
      <c r="DX24" s="16"/>
      <c r="DY24" s="16"/>
      <c r="DZ24" s="16"/>
      <c r="EA24" s="16"/>
      <c r="EB24" s="16"/>
      <c r="EC24" s="16"/>
      <c r="ED24" s="27" t="s">
        <v>706</v>
      </c>
      <c r="EE24" s="16"/>
      <c r="EF24" s="16"/>
      <c r="EG24" s="16"/>
      <c r="EH24" s="16"/>
      <c r="EI24" s="16"/>
      <c r="EJ24" s="16"/>
      <c r="EK24" s="16"/>
      <c r="EL24" s="16"/>
      <c r="EM24" s="16"/>
      <c r="EN24" s="16"/>
      <c r="EO24" s="16"/>
      <c r="EP24" s="16"/>
      <c r="EQ24" s="16"/>
      <c r="ER24" s="16"/>
      <c r="ES24" s="16"/>
      <c r="ET24" s="16"/>
      <c r="EU24" s="16"/>
      <c r="EV24" s="16"/>
      <c r="EW24" s="16"/>
      <c r="EX24" s="16"/>
      <c r="EY24" s="16"/>
      <c r="EZ24" s="16"/>
      <c r="FA24" s="16"/>
      <c r="FB24" s="16"/>
      <c r="FC24" s="16"/>
      <c r="FD24" s="16"/>
      <c r="FE24" s="16"/>
      <c r="FF24" s="16"/>
      <c r="FG24" s="16"/>
      <c r="FH24" s="16"/>
      <c r="FI24" s="16"/>
      <c r="FJ24" s="16"/>
      <c r="FK24" s="16"/>
      <c r="FL24" s="16"/>
      <c r="FM24" s="16"/>
      <c r="FN24" s="16"/>
      <c r="FO24" s="16"/>
      <c r="FP24" s="16"/>
      <c r="FQ24" s="16"/>
      <c r="FR24" s="16"/>
      <c r="FS24" s="16"/>
      <c r="FT24" s="16"/>
      <c r="FU24" s="16"/>
      <c r="FV24" s="16"/>
      <c r="FW24" s="16"/>
      <c r="FX24" s="16"/>
      <c r="FY24" s="16"/>
      <c r="FZ24" s="16"/>
      <c r="GA24" s="16"/>
      <c r="GB24" s="16"/>
      <c r="GC24" s="16"/>
      <c r="GD24" s="16"/>
      <c r="GE24" s="16"/>
      <c r="GF24" s="16"/>
      <c r="GG24" s="16"/>
      <c r="GH24" s="16"/>
      <c r="GI24" s="16"/>
      <c r="GJ24" s="16"/>
      <c r="GK24" s="16"/>
      <c r="GL24" s="16"/>
      <c r="GM24" s="16"/>
      <c r="GN24" s="16"/>
      <c r="GO24" s="16"/>
      <c r="GP24" s="16"/>
      <c r="GQ24" s="16"/>
      <c r="GR24" s="16"/>
      <c r="GS24" s="16"/>
      <c r="GT24" s="16"/>
      <c r="GU24" s="16"/>
      <c r="GV24" s="16"/>
      <c r="GW24" s="16"/>
      <c r="GX24" s="16"/>
      <c r="GY24" s="16"/>
      <c r="GZ24" s="16"/>
      <c r="HA24" s="16"/>
      <c r="HB24" s="16"/>
      <c r="HC24" s="16"/>
      <c r="HD24" s="16"/>
      <c r="HE24" s="16"/>
      <c r="HF24" s="16"/>
      <c r="HG24" s="16"/>
      <c r="HH24" s="16"/>
      <c r="HI24" s="16"/>
      <c r="HJ24" s="16"/>
      <c r="HK24" s="16"/>
      <c r="HL24" s="16"/>
      <c r="HM24" s="16"/>
      <c r="HN24" s="16"/>
      <c r="HO24" s="16"/>
      <c r="HP24" s="16"/>
      <c r="HQ24" s="16"/>
      <c r="HR24" s="16"/>
      <c r="HS24" s="16"/>
      <c r="HT24" s="16"/>
      <c r="HU24" s="16"/>
      <c r="HV24" s="16"/>
      <c r="HW24" s="16"/>
      <c r="HX24" s="16"/>
      <c r="HY24" s="16"/>
      <c r="HZ24" s="16"/>
      <c r="IA24" s="16"/>
      <c r="IB24" s="16"/>
      <c r="IC24" s="16"/>
      <c r="ID24" s="16"/>
      <c r="IE24" s="16"/>
      <c r="IF24" s="16"/>
      <c r="IG24" s="16"/>
      <c r="IH24" s="16"/>
      <c r="II24" s="16"/>
      <c r="IJ24" s="16"/>
      <c r="IK24" s="16"/>
      <c r="IL24" s="16"/>
      <c r="IM24" s="16"/>
      <c r="IN24" s="16"/>
      <c r="IO24" s="16"/>
      <c r="IP24" s="16"/>
      <c r="IQ24" s="16"/>
      <c r="IR24" s="16"/>
      <c r="IS24" s="16"/>
      <c r="IT24" s="16"/>
      <c r="IU24" s="16"/>
      <c r="IV24" s="16"/>
      <c r="IW24" s="16"/>
      <c r="IX24" s="16"/>
      <c r="IY24" s="16"/>
      <c r="IZ24" s="16"/>
      <c r="JA24" s="16"/>
      <c r="JB24" s="16"/>
      <c r="JC24" s="16"/>
      <c r="JD24" s="16"/>
      <c r="JE24" s="16"/>
      <c r="JF24" s="16"/>
      <c r="JG24" s="16"/>
      <c r="JH24" s="16"/>
      <c r="JI24" s="16"/>
      <c r="JJ24" s="16"/>
      <c r="JK24" s="16"/>
      <c r="JL24" s="16"/>
      <c r="JM24" s="16"/>
      <c r="JN24" s="16"/>
      <c r="JO24" s="16"/>
      <c r="JP24" s="16"/>
      <c r="JQ24" s="16"/>
      <c r="JR24" s="16"/>
      <c r="JS24" s="16"/>
      <c r="JT24" s="16"/>
      <c r="JU24" s="16"/>
      <c r="JV24" s="16"/>
      <c r="JW24" s="16"/>
      <c r="JX24" s="16"/>
      <c r="JY24" s="16"/>
      <c r="JZ24" s="16"/>
      <c r="KA24" s="16"/>
      <c r="KB24" s="16"/>
      <c r="KC24" s="16"/>
      <c r="KD24" s="16"/>
      <c r="KE24" s="16"/>
      <c r="KF24" s="16"/>
      <c r="KG24" s="16"/>
      <c r="KH24" s="16"/>
      <c r="KI24" s="16"/>
      <c r="KJ24" s="16"/>
      <c r="KK24" s="16"/>
      <c r="KL24" s="16"/>
      <c r="KM24" s="16"/>
      <c r="KN24" s="16"/>
      <c r="KO24" s="16"/>
      <c r="KP24" s="16"/>
      <c r="KQ24" s="16"/>
    </row>
    <row r="25" spans="1:303" x14ac:dyDescent="0.25">
      <c r="A25" s="16" t="s">
        <v>732</v>
      </c>
      <c r="B25" s="16">
        <v>308</v>
      </c>
      <c r="C25" s="16" t="s">
        <v>785</v>
      </c>
      <c r="D25" s="16" t="s">
        <v>786</v>
      </c>
      <c r="E25" s="29" t="s">
        <v>81</v>
      </c>
      <c r="F25" s="16" t="s">
        <v>690</v>
      </c>
      <c r="G25" s="16" t="s">
        <v>787</v>
      </c>
      <c r="H25" s="16"/>
      <c r="I25" s="16" t="s">
        <v>142</v>
      </c>
      <c r="J25" s="16">
        <v>2008</v>
      </c>
      <c r="K25" s="16"/>
      <c r="L25" s="16" t="s">
        <v>684</v>
      </c>
      <c r="M25" s="16" t="s">
        <v>788</v>
      </c>
      <c r="N25" s="16" t="s">
        <v>789</v>
      </c>
      <c r="O25" s="25" t="s">
        <v>142</v>
      </c>
      <c r="P25" s="16"/>
      <c r="Q25" s="16"/>
      <c r="R25" s="16"/>
      <c r="S25" s="27" t="s">
        <v>706</v>
      </c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25"/>
      <c r="AW25" s="27" t="s">
        <v>706</v>
      </c>
      <c r="AX25" s="16"/>
      <c r="AY25" s="16"/>
      <c r="AZ25" s="27" t="s">
        <v>706</v>
      </c>
      <c r="BA25" s="27" t="s">
        <v>706</v>
      </c>
      <c r="BB25" s="16"/>
      <c r="BC25" s="16"/>
      <c r="BD25" s="16"/>
      <c r="BE25" s="16"/>
      <c r="BF25" s="16"/>
      <c r="BG25" s="27" t="s">
        <v>706</v>
      </c>
      <c r="BH25" s="27" t="s">
        <v>706</v>
      </c>
      <c r="BI25" s="27" t="s">
        <v>706</v>
      </c>
      <c r="BJ25" s="16"/>
      <c r="BK25" s="27" t="s">
        <v>706</v>
      </c>
      <c r="BL25" s="27" t="s">
        <v>706</v>
      </c>
      <c r="BM25" s="16"/>
      <c r="BN25" s="27" t="s">
        <v>706</v>
      </c>
      <c r="BO25" s="16"/>
      <c r="BP25" s="16"/>
      <c r="BQ25" s="16"/>
      <c r="BR25" s="16"/>
      <c r="BS25" s="16"/>
      <c r="BT25" s="16"/>
      <c r="BU25" s="16"/>
      <c r="BV25" s="16"/>
      <c r="BW25" s="16"/>
      <c r="BX25" s="27" t="s">
        <v>706</v>
      </c>
      <c r="BY25" s="16"/>
      <c r="BZ25" s="16"/>
      <c r="CA25" s="16"/>
      <c r="CB25" s="27" t="s">
        <v>706</v>
      </c>
      <c r="CC25" s="27" t="s">
        <v>706</v>
      </c>
      <c r="CD25" s="16"/>
      <c r="CE25" s="27" t="s">
        <v>706</v>
      </c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  <c r="EF25" s="16"/>
      <c r="EG25" s="16"/>
      <c r="EH25" s="16"/>
      <c r="EI25" s="16"/>
      <c r="EJ25" s="16"/>
      <c r="EK25" s="16"/>
      <c r="EL25" s="16"/>
      <c r="EM25" s="16"/>
      <c r="EN25" s="16"/>
      <c r="EO25" s="16"/>
      <c r="EP25" s="16"/>
      <c r="EQ25" s="16"/>
      <c r="ER25" s="16"/>
      <c r="ES25" s="16"/>
      <c r="ET25" s="16"/>
      <c r="EU25" s="16"/>
      <c r="EV25" s="16"/>
      <c r="EW25" s="16"/>
      <c r="EX25" s="16"/>
      <c r="EY25" s="16"/>
      <c r="EZ25" s="16"/>
      <c r="FA25" s="16"/>
      <c r="FB25" s="16"/>
      <c r="FC25" s="16"/>
      <c r="FD25" s="16"/>
      <c r="FE25" s="16"/>
      <c r="FF25" s="16"/>
      <c r="FG25" s="16"/>
      <c r="FH25" s="16"/>
      <c r="FI25" s="16"/>
      <c r="FJ25" s="16"/>
      <c r="FK25" s="16"/>
      <c r="FL25" s="16"/>
      <c r="FM25" s="16"/>
      <c r="FN25" s="16"/>
      <c r="FO25" s="16"/>
      <c r="FP25" s="16"/>
      <c r="FQ25" s="16"/>
      <c r="FR25" s="16"/>
      <c r="FS25" s="16"/>
      <c r="FT25" s="16"/>
      <c r="FU25" s="16"/>
      <c r="FV25" s="16"/>
      <c r="FW25" s="16"/>
      <c r="FX25" s="16"/>
      <c r="FY25" s="16"/>
      <c r="FZ25" s="16"/>
      <c r="GA25" s="16"/>
      <c r="GB25" s="16"/>
      <c r="GC25" s="16"/>
      <c r="GD25" s="16"/>
      <c r="GE25" s="16"/>
      <c r="GF25" s="16"/>
      <c r="GG25" s="16"/>
      <c r="GH25" s="16"/>
      <c r="GI25" s="16"/>
      <c r="GJ25" s="16"/>
      <c r="GK25" s="16"/>
      <c r="GL25" s="16"/>
      <c r="GM25" s="16"/>
      <c r="GN25" s="16"/>
      <c r="GO25" s="16"/>
      <c r="GP25" s="16"/>
      <c r="GQ25" s="16"/>
      <c r="GR25" s="16"/>
      <c r="GS25" s="16"/>
      <c r="GT25" s="16"/>
      <c r="GU25" s="16"/>
      <c r="GV25" s="16"/>
      <c r="GW25" s="16"/>
      <c r="GX25" s="16"/>
      <c r="GY25" s="16"/>
      <c r="GZ25" s="16"/>
      <c r="HA25" s="16"/>
      <c r="HB25" s="16"/>
      <c r="HC25" s="16"/>
      <c r="HD25" s="16"/>
      <c r="HE25" s="16"/>
      <c r="HF25" s="16"/>
      <c r="HG25" s="16"/>
      <c r="HH25" s="16"/>
      <c r="HI25" s="16"/>
      <c r="HJ25" s="16"/>
      <c r="HK25" s="16"/>
      <c r="HL25" s="16"/>
      <c r="HM25" s="16"/>
      <c r="HN25" s="16"/>
      <c r="HO25" s="16"/>
      <c r="HP25" s="16"/>
      <c r="HQ25" s="16"/>
      <c r="HR25" s="16"/>
      <c r="HS25" s="16"/>
      <c r="HT25" s="16"/>
      <c r="HU25" s="16"/>
      <c r="HV25" s="16"/>
      <c r="HW25" s="16"/>
      <c r="HX25" s="16"/>
      <c r="HY25" s="16"/>
      <c r="HZ25" s="16"/>
      <c r="IA25" s="16"/>
      <c r="IB25" s="16"/>
      <c r="IC25" s="16"/>
      <c r="ID25" s="16"/>
      <c r="IE25" s="16"/>
      <c r="IF25" s="16"/>
      <c r="IG25" s="16"/>
      <c r="IH25" s="16"/>
      <c r="II25" s="16"/>
      <c r="IJ25" s="16"/>
      <c r="IK25" s="16"/>
      <c r="IL25" s="16"/>
      <c r="IM25" s="16"/>
      <c r="IN25" s="16"/>
      <c r="IO25" s="16"/>
      <c r="IP25" s="16"/>
      <c r="IQ25" s="16"/>
      <c r="IR25" s="16"/>
      <c r="IS25" s="16"/>
      <c r="IT25" s="16"/>
      <c r="IU25" s="16"/>
      <c r="IV25" s="16"/>
      <c r="IW25" s="16"/>
      <c r="IX25" s="16"/>
      <c r="IY25" s="16"/>
      <c r="IZ25" s="16"/>
      <c r="JA25" s="16"/>
      <c r="JB25" s="16"/>
      <c r="JC25" s="16"/>
      <c r="JD25" s="16"/>
      <c r="JE25" s="16"/>
      <c r="JF25" s="16"/>
      <c r="JG25" s="16"/>
      <c r="JH25" s="16"/>
      <c r="JI25" s="16"/>
      <c r="JJ25" s="16"/>
      <c r="JK25" s="16"/>
      <c r="JL25" s="16"/>
      <c r="JM25" s="16"/>
      <c r="JN25" s="16"/>
      <c r="JO25" s="16"/>
      <c r="JP25" s="16"/>
      <c r="JQ25" s="16"/>
      <c r="JR25" s="16"/>
      <c r="JS25" s="16"/>
      <c r="JT25" s="16"/>
      <c r="JU25" s="16"/>
      <c r="JV25" s="16"/>
      <c r="JW25" s="16"/>
      <c r="JX25" s="16"/>
      <c r="JY25" s="16"/>
      <c r="JZ25" s="16"/>
      <c r="KA25" s="16"/>
      <c r="KB25" s="16"/>
      <c r="KC25" s="16"/>
      <c r="KD25" s="16"/>
      <c r="KE25" s="16"/>
      <c r="KF25" s="16"/>
      <c r="KG25" s="16"/>
      <c r="KH25" s="16"/>
      <c r="KI25" s="16"/>
      <c r="KJ25" s="16"/>
      <c r="KK25" s="16"/>
      <c r="KL25" s="16"/>
      <c r="KM25" s="16"/>
      <c r="KN25" s="16"/>
      <c r="KO25" s="16"/>
      <c r="KP25" s="16"/>
      <c r="KQ25" s="16"/>
    </row>
    <row r="26" spans="1:303" ht="36" customHeight="1" x14ac:dyDescent="0.25">
      <c r="A26" s="16" t="s">
        <v>747</v>
      </c>
      <c r="B26" s="30" t="s">
        <v>790</v>
      </c>
      <c r="C26" s="16" t="s">
        <v>791</v>
      </c>
      <c r="D26" s="16"/>
      <c r="E26" s="16" t="s">
        <v>80</v>
      </c>
      <c r="F26" s="16" t="s">
        <v>690</v>
      </c>
      <c r="G26" s="30" t="s">
        <v>792</v>
      </c>
      <c r="H26" s="16"/>
      <c r="I26" s="16" t="s">
        <v>701</v>
      </c>
      <c r="J26" s="24"/>
      <c r="K26" s="16"/>
      <c r="L26" s="16" t="s">
        <v>684</v>
      </c>
      <c r="M26" s="16" t="s">
        <v>793</v>
      </c>
      <c r="N26" s="16" t="s">
        <v>794</v>
      </c>
      <c r="O26" s="25" t="s">
        <v>142</v>
      </c>
      <c r="P26" s="16"/>
      <c r="Q26" s="27" t="s">
        <v>706</v>
      </c>
      <c r="R26" s="16"/>
      <c r="S26" s="27" t="s">
        <v>706</v>
      </c>
      <c r="T26" s="16"/>
      <c r="U26" s="27" t="s">
        <v>706</v>
      </c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25"/>
      <c r="AW26" s="27" t="s">
        <v>706</v>
      </c>
      <c r="AX26" s="16"/>
      <c r="AY26" s="16"/>
      <c r="AZ26" s="27" t="s">
        <v>706</v>
      </c>
      <c r="BA26" s="27" t="s">
        <v>706</v>
      </c>
      <c r="BB26" s="16"/>
      <c r="BC26" s="16"/>
      <c r="BD26" s="16"/>
      <c r="BE26" s="16"/>
      <c r="BF26" s="16"/>
      <c r="BG26" s="27" t="s">
        <v>706</v>
      </c>
      <c r="BH26" s="27" t="s">
        <v>706</v>
      </c>
      <c r="BI26" s="27" t="s">
        <v>706</v>
      </c>
      <c r="BJ26" s="16"/>
      <c r="BK26" s="27" t="s">
        <v>706</v>
      </c>
      <c r="BL26" s="27" t="s">
        <v>706</v>
      </c>
      <c r="BM26" s="27" t="s">
        <v>706</v>
      </c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27" t="s">
        <v>706</v>
      </c>
      <c r="BY26" s="16"/>
      <c r="BZ26" s="16"/>
      <c r="CA26" s="16"/>
      <c r="CB26" s="27" t="s">
        <v>706</v>
      </c>
      <c r="CC26" s="27" t="s">
        <v>706</v>
      </c>
      <c r="CD26" s="16"/>
      <c r="CE26" s="27" t="s">
        <v>706</v>
      </c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27" t="s">
        <v>706</v>
      </c>
      <c r="CS26" s="27" t="s">
        <v>706</v>
      </c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  <c r="EF26" s="16"/>
      <c r="EG26" s="16"/>
      <c r="EH26" s="16"/>
      <c r="EI26" s="16"/>
      <c r="EJ26" s="16"/>
      <c r="EK26" s="16"/>
      <c r="EL26" s="16"/>
      <c r="EM26" s="16"/>
      <c r="EN26" s="16"/>
      <c r="EO26" s="16"/>
      <c r="EP26" s="16"/>
      <c r="EQ26" s="16"/>
      <c r="ER26" s="16"/>
      <c r="ES26" s="16"/>
      <c r="ET26" s="16"/>
      <c r="EU26" s="16"/>
      <c r="EV26" s="16"/>
      <c r="EW26" s="16"/>
      <c r="EX26" s="16"/>
      <c r="EY26" s="16"/>
      <c r="EZ26" s="16"/>
      <c r="FA26" s="16"/>
      <c r="FB26" s="16"/>
      <c r="FC26" s="16"/>
      <c r="FD26" s="16"/>
      <c r="FE26" s="16"/>
      <c r="FF26" s="16"/>
      <c r="FG26" s="16"/>
      <c r="FH26" s="16"/>
      <c r="FI26" s="16"/>
      <c r="FJ26" s="16"/>
      <c r="FK26" s="16"/>
      <c r="FL26" s="16"/>
      <c r="FM26" s="16"/>
      <c r="FN26" s="16"/>
      <c r="FO26" s="16"/>
      <c r="FP26" s="16"/>
      <c r="FQ26" s="16"/>
      <c r="FR26" s="16"/>
      <c r="FS26" s="16"/>
      <c r="FT26" s="16"/>
      <c r="FU26" s="16"/>
      <c r="FV26" s="16"/>
      <c r="FW26" s="16"/>
      <c r="FX26" s="16"/>
      <c r="FY26" s="16"/>
      <c r="FZ26" s="16"/>
      <c r="GA26" s="16"/>
      <c r="GB26" s="16"/>
      <c r="GC26" s="16"/>
      <c r="GD26" s="16"/>
      <c r="GE26" s="16"/>
      <c r="GF26" s="16"/>
      <c r="GG26" s="16"/>
      <c r="GH26" s="16"/>
      <c r="GI26" s="16"/>
      <c r="GJ26" s="16"/>
      <c r="GK26" s="16"/>
      <c r="GL26" s="16"/>
      <c r="GM26" s="16"/>
      <c r="GN26" s="16"/>
      <c r="GO26" s="16"/>
      <c r="GP26" s="16"/>
      <c r="GQ26" s="16"/>
      <c r="GR26" s="16"/>
      <c r="GS26" s="16"/>
      <c r="GT26" s="16"/>
      <c r="GU26" s="16"/>
      <c r="GV26" s="16"/>
      <c r="GW26" s="16"/>
      <c r="GX26" s="16"/>
      <c r="GY26" s="16"/>
      <c r="GZ26" s="16"/>
      <c r="HA26" s="16"/>
      <c r="HB26" s="16"/>
      <c r="HC26" s="16"/>
      <c r="HD26" s="16"/>
      <c r="HE26" s="16"/>
      <c r="HF26" s="16"/>
      <c r="HG26" s="16"/>
      <c r="HH26" s="16"/>
      <c r="HI26" s="16"/>
      <c r="HJ26" s="16"/>
      <c r="HK26" s="16"/>
      <c r="HL26" s="16"/>
      <c r="HM26" s="16"/>
      <c r="HN26" s="16"/>
      <c r="HO26" s="16"/>
      <c r="HP26" s="16"/>
      <c r="HQ26" s="16"/>
      <c r="HR26" s="16"/>
      <c r="HS26" s="16"/>
      <c r="HT26" s="16"/>
      <c r="HU26" s="16"/>
      <c r="HV26" s="16"/>
      <c r="HW26" s="16"/>
      <c r="HX26" s="16"/>
      <c r="HY26" s="16"/>
      <c r="HZ26" s="16"/>
      <c r="IA26" s="16"/>
      <c r="IB26" s="16"/>
      <c r="IC26" s="16"/>
      <c r="ID26" s="16"/>
      <c r="IE26" s="16"/>
      <c r="IF26" s="16"/>
      <c r="IG26" s="16"/>
      <c r="IH26" s="16"/>
      <c r="II26" s="16"/>
      <c r="IJ26" s="16"/>
      <c r="IK26" s="16"/>
      <c r="IL26" s="16"/>
      <c r="IM26" s="16"/>
      <c r="IN26" s="16"/>
      <c r="IO26" s="16"/>
      <c r="IP26" s="16"/>
      <c r="IQ26" s="16"/>
      <c r="IR26" s="16"/>
      <c r="IS26" s="16"/>
      <c r="IT26" s="16"/>
      <c r="IU26" s="16"/>
      <c r="IV26" s="16"/>
      <c r="IW26" s="16"/>
      <c r="IX26" s="16"/>
      <c r="IY26" s="16"/>
      <c r="IZ26" s="16"/>
      <c r="JA26" s="16"/>
      <c r="JB26" s="16"/>
      <c r="JC26" s="16"/>
      <c r="JD26" s="16"/>
      <c r="JE26" s="16"/>
      <c r="JF26" s="16"/>
      <c r="JG26" s="16"/>
      <c r="JH26" s="16"/>
      <c r="JI26" s="16"/>
      <c r="JJ26" s="16"/>
      <c r="JK26" s="16"/>
      <c r="JL26" s="16"/>
      <c r="JM26" s="16"/>
      <c r="JN26" s="16"/>
      <c r="JO26" s="16"/>
      <c r="JP26" s="16"/>
      <c r="JQ26" s="16"/>
      <c r="JR26" s="16"/>
      <c r="JS26" s="16"/>
      <c r="JT26" s="16"/>
      <c r="JU26" s="16"/>
      <c r="JV26" s="16"/>
      <c r="JW26" s="16"/>
      <c r="JX26" s="16"/>
      <c r="JY26" s="16"/>
      <c r="JZ26" s="16"/>
      <c r="KA26" s="16"/>
      <c r="KB26" s="16"/>
      <c r="KC26" s="16"/>
      <c r="KD26" s="16"/>
      <c r="KE26" s="16"/>
      <c r="KF26" s="16"/>
      <c r="KG26" s="16"/>
      <c r="KH26" s="16"/>
      <c r="KI26" s="16"/>
      <c r="KJ26" s="16"/>
      <c r="KK26" s="16"/>
      <c r="KL26" s="16"/>
      <c r="KM26" s="16"/>
      <c r="KN26" s="16"/>
      <c r="KO26" s="16"/>
      <c r="KP26" s="16"/>
      <c r="KQ26" s="16"/>
    </row>
    <row r="27" spans="1:303" x14ac:dyDescent="0.25">
      <c r="A27" s="16" t="s">
        <v>795</v>
      </c>
      <c r="B27" s="16" t="s">
        <v>617</v>
      </c>
      <c r="C27" s="16" t="s">
        <v>136</v>
      </c>
      <c r="D27" s="16" t="s">
        <v>135</v>
      </c>
      <c r="E27" s="16" t="s">
        <v>81</v>
      </c>
      <c r="F27" s="16" t="s">
        <v>690</v>
      </c>
      <c r="G27" s="16" t="s">
        <v>796</v>
      </c>
      <c r="H27" s="16"/>
      <c r="I27" s="16" t="s">
        <v>142</v>
      </c>
      <c r="J27" s="24">
        <v>40387</v>
      </c>
      <c r="K27" s="16"/>
      <c r="L27" s="16" t="s">
        <v>684</v>
      </c>
      <c r="M27" s="16" t="s">
        <v>797</v>
      </c>
      <c r="N27" s="16" t="s">
        <v>798</v>
      </c>
      <c r="O27" s="25" t="s">
        <v>142</v>
      </c>
      <c r="P27" s="16"/>
      <c r="Q27" s="16"/>
      <c r="R27" s="16"/>
      <c r="S27" s="27" t="s">
        <v>706</v>
      </c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25"/>
      <c r="AW27" s="27" t="s">
        <v>706</v>
      </c>
      <c r="AX27" s="16"/>
      <c r="AY27" s="16"/>
      <c r="AZ27" s="27" t="s">
        <v>706</v>
      </c>
      <c r="BA27" s="27" t="s">
        <v>706</v>
      </c>
      <c r="BB27" s="16"/>
      <c r="BC27" s="16"/>
      <c r="BD27" s="16"/>
      <c r="BE27" s="16"/>
      <c r="BF27" s="16"/>
      <c r="BG27" s="27" t="s">
        <v>706</v>
      </c>
      <c r="BH27" s="27" t="s">
        <v>706</v>
      </c>
      <c r="BI27" s="27" t="s">
        <v>706</v>
      </c>
      <c r="BJ27" s="16"/>
      <c r="BK27" s="27" t="s">
        <v>706</v>
      </c>
      <c r="BL27" s="27" t="s">
        <v>706</v>
      </c>
      <c r="BM27" s="16"/>
      <c r="BN27" s="27" t="s">
        <v>706</v>
      </c>
      <c r="BO27" s="16"/>
      <c r="BP27" s="16"/>
      <c r="BQ27" s="16"/>
      <c r="BR27" s="16"/>
      <c r="BS27" s="16"/>
      <c r="BT27" s="16"/>
      <c r="BU27" s="16"/>
      <c r="BV27" s="16"/>
      <c r="BW27" s="16"/>
      <c r="BX27" s="27" t="s">
        <v>706</v>
      </c>
      <c r="BY27" s="16"/>
      <c r="BZ27" s="16"/>
      <c r="CA27" s="16"/>
      <c r="CB27" s="27" t="s">
        <v>706</v>
      </c>
      <c r="CC27" s="27" t="s">
        <v>706</v>
      </c>
      <c r="CD27" s="16"/>
      <c r="CE27" s="27" t="s">
        <v>706</v>
      </c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  <c r="EF27" s="16"/>
      <c r="EG27" s="16"/>
      <c r="EH27" s="16"/>
      <c r="EI27" s="16"/>
      <c r="EJ27" s="16"/>
      <c r="EK27" s="16"/>
      <c r="EL27" s="16"/>
      <c r="EM27" s="16"/>
      <c r="EN27" s="16"/>
      <c r="EO27" s="16"/>
      <c r="EP27" s="16"/>
      <c r="EQ27" s="16"/>
      <c r="ER27" s="16"/>
      <c r="ES27" s="16"/>
      <c r="ET27" s="16"/>
      <c r="EU27" s="16"/>
      <c r="EV27" s="16"/>
      <c r="EW27" s="16"/>
      <c r="EX27" s="16"/>
      <c r="EY27" s="16"/>
      <c r="EZ27" s="16"/>
      <c r="FA27" s="16"/>
      <c r="FB27" s="16"/>
      <c r="FC27" s="16"/>
      <c r="FD27" s="16"/>
      <c r="FE27" s="16"/>
      <c r="FF27" s="16"/>
      <c r="FG27" s="16"/>
      <c r="FH27" s="16"/>
      <c r="FI27" s="16"/>
      <c r="FJ27" s="16"/>
      <c r="FK27" s="16"/>
      <c r="FL27" s="16"/>
      <c r="FM27" s="16"/>
      <c r="FN27" s="16"/>
      <c r="FO27" s="16"/>
      <c r="FP27" s="16"/>
      <c r="FQ27" s="16"/>
      <c r="FR27" s="16"/>
      <c r="FS27" s="16"/>
      <c r="FT27" s="16"/>
      <c r="FU27" s="16"/>
      <c r="FV27" s="16"/>
      <c r="FW27" s="16"/>
      <c r="FX27" s="16"/>
      <c r="FY27" s="16"/>
      <c r="FZ27" s="16"/>
      <c r="GA27" s="16"/>
      <c r="GB27" s="16"/>
      <c r="GC27" s="16"/>
      <c r="GD27" s="16"/>
      <c r="GE27" s="16"/>
      <c r="GF27" s="16"/>
      <c r="GG27" s="16"/>
      <c r="GH27" s="16"/>
      <c r="GI27" s="16"/>
      <c r="GJ27" s="16"/>
      <c r="GK27" s="16"/>
      <c r="GL27" s="16"/>
      <c r="GM27" s="16"/>
      <c r="GN27" s="16"/>
      <c r="GO27" s="16"/>
      <c r="GP27" s="16"/>
      <c r="GQ27" s="16"/>
      <c r="GR27" s="16"/>
      <c r="GS27" s="16"/>
      <c r="GT27" s="16"/>
      <c r="GU27" s="16"/>
      <c r="GV27" s="16"/>
      <c r="GW27" s="16"/>
      <c r="GX27" s="16"/>
      <c r="GY27" s="16"/>
      <c r="GZ27" s="16"/>
      <c r="HA27" s="16"/>
      <c r="HB27" s="16"/>
      <c r="HC27" s="16"/>
      <c r="HD27" s="16"/>
      <c r="HE27" s="16"/>
      <c r="HF27" s="16"/>
      <c r="HG27" s="16"/>
      <c r="HH27" s="16"/>
      <c r="HI27" s="16"/>
      <c r="HJ27" s="16"/>
      <c r="HK27" s="16"/>
      <c r="HL27" s="16"/>
      <c r="HM27" s="16"/>
      <c r="HN27" s="16"/>
      <c r="HO27" s="16"/>
      <c r="HP27" s="16"/>
      <c r="HQ27" s="16"/>
      <c r="HR27" s="16"/>
      <c r="HS27" s="16"/>
      <c r="HT27" s="16"/>
      <c r="HU27" s="16"/>
      <c r="HV27" s="16"/>
      <c r="HW27" s="16"/>
      <c r="HX27" s="16"/>
      <c r="HY27" s="16"/>
      <c r="HZ27" s="16"/>
      <c r="IA27" s="16"/>
      <c r="IB27" s="16"/>
      <c r="IC27" s="16"/>
      <c r="ID27" s="16"/>
      <c r="IE27" s="16"/>
      <c r="IF27" s="16"/>
      <c r="IG27" s="16"/>
      <c r="IH27" s="16"/>
      <c r="II27" s="16"/>
      <c r="IJ27" s="16"/>
      <c r="IK27" s="16"/>
      <c r="IL27" s="16"/>
      <c r="IM27" s="16"/>
      <c r="IN27" s="16"/>
      <c r="IO27" s="16"/>
      <c r="IP27" s="16"/>
      <c r="IQ27" s="16"/>
      <c r="IR27" s="16"/>
      <c r="IS27" s="16"/>
      <c r="IT27" s="16"/>
      <c r="IU27" s="16"/>
      <c r="IV27" s="16"/>
      <c r="IW27" s="16"/>
      <c r="IX27" s="16"/>
      <c r="IY27" s="16"/>
      <c r="IZ27" s="16"/>
      <c r="JA27" s="16"/>
      <c r="JB27" s="16"/>
      <c r="JC27" s="16"/>
      <c r="JD27" s="16"/>
      <c r="JE27" s="16"/>
      <c r="JF27" s="16"/>
      <c r="JG27" s="16"/>
      <c r="JH27" s="16"/>
      <c r="JI27" s="16"/>
      <c r="JJ27" s="16"/>
      <c r="JK27" s="16"/>
      <c r="JL27" s="16"/>
      <c r="JM27" s="16"/>
      <c r="JN27" s="16"/>
      <c r="JO27" s="16"/>
      <c r="JP27" s="16"/>
      <c r="JQ27" s="16"/>
      <c r="JR27" s="16"/>
      <c r="JS27" s="16"/>
      <c r="JT27" s="16"/>
      <c r="JU27" s="16"/>
      <c r="JV27" s="16"/>
      <c r="JW27" s="16"/>
      <c r="JX27" s="16"/>
      <c r="JY27" s="16"/>
      <c r="JZ27" s="16"/>
      <c r="KA27" s="16"/>
      <c r="KB27" s="16"/>
      <c r="KC27" s="16"/>
      <c r="KD27" s="16"/>
      <c r="KE27" s="16"/>
      <c r="KF27" s="16"/>
      <c r="KG27" s="16"/>
      <c r="KH27" s="16"/>
      <c r="KI27" s="16"/>
      <c r="KJ27" s="16"/>
      <c r="KK27" s="16"/>
      <c r="KL27" s="16"/>
      <c r="KM27" s="16"/>
      <c r="KN27" s="16"/>
      <c r="KO27" s="16"/>
      <c r="KP27" s="16"/>
      <c r="KQ27" s="16"/>
    </row>
    <row r="28" spans="1:303" x14ac:dyDescent="0.25">
      <c r="A28" s="16" t="s">
        <v>799</v>
      </c>
      <c r="B28" s="30" t="s">
        <v>800</v>
      </c>
      <c r="C28" s="16" t="s">
        <v>801</v>
      </c>
      <c r="D28" s="16" t="s">
        <v>802</v>
      </c>
      <c r="E28" s="16" t="s">
        <v>81</v>
      </c>
      <c r="F28" s="16" t="s">
        <v>803</v>
      </c>
      <c r="G28" s="16"/>
      <c r="H28" s="16"/>
      <c r="I28" s="16"/>
      <c r="J28" s="24">
        <v>40940</v>
      </c>
      <c r="K28" s="16" t="s">
        <v>804</v>
      </c>
      <c r="L28" s="16" t="s">
        <v>755</v>
      </c>
      <c r="M28" s="16" t="s">
        <v>805</v>
      </c>
      <c r="N28" s="16" t="s">
        <v>806</v>
      </c>
      <c r="O28" s="25" t="s">
        <v>142</v>
      </c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25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  <c r="EF28" s="16"/>
      <c r="EG28" s="16"/>
      <c r="EH28" s="16"/>
      <c r="EI28" s="16"/>
      <c r="EJ28" s="16"/>
      <c r="EK28" s="16"/>
      <c r="EL28" s="16"/>
      <c r="EM28" s="16"/>
      <c r="EN28" s="16"/>
      <c r="EO28" s="16"/>
      <c r="EP28" s="16"/>
      <c r="EQ28" s="16"/>
      <c r="ER28" s="16"/>
      <c r="ES28" s="16"/>
      <c r="ET28" s="16"/>
      <c r="EU28" s="16"/>
      <c r="EV28" s="16"/>
      <c r="EW28" s="16"/>
      <c r="EX28" s="16"/>
      <c r="EY28" s="16"/>
      <c r="EZ28" s="16"/>
      <c r="FA28" s="16"/>
      <c r="FB28" s="16"/>
      <c r="FC28" s="16"/>
      <c r="FD28" s="16"/>
      <c r="FE28" s="16"/>
      <c r="FF28" s="16"/>
      <c r="FG28" s="16"/>
      <c r="FH28" s="16"/>
      <c r="FI28" s="16"/>
      <c r="FJ28" s="16"/>
      <c r="FK28" s="16"/>
      <c r="FL28" s="16"/>
      <c r="FM28" s="16"/>
      <c r="FN28" s="16"/>
      <c r="FO28" s="16"/>
      <c r="FP28" s="16"/>
      <c r="FQ28" s="16"/>
      <c r="FR28" s="16"/>
      <c r="FS28" s="16"/>
      <c r="FT28" s="16"/>
      <c r="FU28" s="16"/>
      <c r="FV28" s="16"/>
      <c r="FW28" s="16"/>
      <c r="FX28" s="16"/>
      <c r="FY28" s="16"/>
      <c r="FZ28" s="16"/>
      <c r="GA28" s="16"/>
      <c r="GB28" s="16"/>
      <c r="GC28" s="16"/>
      <c r="GD28" s="16"/>
      <c r="GE28" s="16"/>
      <c r="GF28" s="16"/>
      <c r="GG28" s="16"/>
      <c r="GH28" s="16"/>
      <c r="GI28" s="16"/>
      <c r="GJ28" s="16"/>
      <c r="GK28" s="16"/>
      <c r="GL28" s="16"/>
      <c r="GM28" s="16"/>
      <c r="GN28" s="16"/>
      <c r="GO28" s="16"/>
      <c r="GP28" s="16"/>
      <c r="GQ28" s="16"/>
      <c r="GR28" s="16"/>
      <c r="GS28" s="16"/>
      <c r="GT28" s="16"/>
      <c r="GU28" s="16"/>
      <c r="GV28" s="16"/>
      <c r="GW28" s="16"/>
      <c r="GX28" s="16"/>
      <c r="GY28" s="16"/>
      <c r="GZ28" s="16"/>
      <c r="HA28" s="16"/>
      <c r="HB28" s="16"/>
      <c r="HC28" s="16"/>
      <c r="HD28" s="16"/>
      <c r="HE28" s="16"/>
      <c r="HF28" s="16"/>
      <c r="HG28" s="16"/>
      <c r="HH28" s="16"/>
      <c r="HI28" s="16"/>
      <c r="HJ28" s="16"/>
      <c r="HK28" s="16"/>
      <c r="HL28" s="16"/>
      <c r="HM28" s="16"/>
      <c r="HN28" s="16"/>
      <c r="HO28" s="16"/>
      <c r="HP28" s="16"/>
      <c r="HQ28" s="16"/>
      <c r="HR28" s="16"/>
      <c r="HS28" s="16"/>
      <c r="HT28" s="16"/>
      <c r="HU28" s="16"/>
      <c r="HV28" s="16"/>
      <c r="HW28" s="16"/>
      <c r="HX28" s="16"/>
      <c r="HY28" s="16"/>
      <c r="HZ28" s="16"/>
      <c r="IA28" s="16"/>
      <c r="IB28" s="16"/>
      <c r="IC28" s="16"/>
      <c r="ID28" s="16"/>
      <c r="IE28" s="16"/>
      <c r="IF28" s="16"/>
      <c r="IG28" s="16"/>
      <c r="IH28" s="16"/>
      <c r="II28" s="16"/>
      <c r="IJ28" s="16"/>
      <c r="IK28" s="16"/>
      <c r="IL28" s="16"/>
      <c r="IM28" s="16"/>
      <c r="IN28" s="16"/>
      <c r="IO28" s="16"/>
      <c r="IP28" s="16"/>
      <c r="IQ28" s="16"/>
      <c r="IR28" s="16"/>
      <c r="IS28" s="16"/>
      <c r="IT28" s="16"/>
      <c r="IU28" s="16"/>
      <c r="IV28" s="16"/>
      <c r="IW28" s="16"/>
      <c r="IX28" s="16"/>
      <c r="IY28" s="16"/>
      <c r="IZ28" s="16"/>
      <c r="JA28" s="16"/>
      <c r="JB28" s="16"/>
      <c r="JC28" s="16"/>
      <c r="JD28" s="16"/>
      <c r="JE28" s="16"/>
      <c r="JF28" s="16"/>
      <c r="JG28" s="16"/>
      <c r="JH28" s="16"/>
      <c r="JI28" s="16"/>
      <c r="JJ28" s="16"/>
      <c r="JK28" s="16"/>
      <c r="JL28" s="16"/>
      <c r="JM28" s="16"/>
      <c r="JN28" s="16"/>
      <c r="JO28" s="16"/>
      <c r="JP28" s="16"/>
      <c r="JQ28" s="16"/>
      <c r="JR28" s="16"/>
      <c r="JS28" s="16"/>
      <c r="JT28" s="16"/>
      <c r="JU28" s="16"/>
      <c r="JV28" s="16"/>
      <c r="JW28" s="16"/>
      <c r="JX28" s="16"/>
      <c r="JY28" s="16"/>
      <c r="JZ28" s="16"/>
      <c r="KA28" s="16"/>
      <c r="KB28" s="16"/>
      <c r="KC28" s="16"/>
      <c r="KD28" s="16"/>
      <c r="KE28" s="16"/>
      <c r="KF28" s="16"/>
      <c r="KG28" s="16"/>
      <c r="KH28" s="16"/>
      <c r="KI28" s="16"/>
      <c r="KJ28" s="16"/>
      <c r="KK28" s="16"/>
      <c r="KL28" s="16"/>
      <c r="KM28" s="16"/>
      <c r="KN28" s="16"/>
      <c r="KO28" s="16"/>
      <c r="KP28" s="16"/>
      <c r="KQ28" s="16"/>
    </row>
    <row r="29" spans="1:303" ht="31.5" customHeight="1" x14ac:dyDescent="0.25">
      <c r="A29" s="16" t="s">
        <v>795</v>
      </c>
      <c r="B29" s="16" t="s">
        <v>807</v>
      </c>
      <c r="C29" s="16" t="s">
        <v>808</v>
      </c>
      <c r="D29" s="16" t="s">
        <v>809</v>
      </c>
      <c r="E29" s="16" t="s">
        <v>81</v>
      </c>
      <c r="F29" s="16" t="s">
        <v>690</v>
      </c>
      <c r="G29" s="16" t="s">
        <v>810</v>
      </c>
      <c r="H29" s="16"/>
      <c r="I29" s="16" t="s">
        <v>142</v>
      </c>
      <c r="J29" s="24">
        <v>39721</v>
      </c>
      <c r="K29" s="16"/>
      <c r="L29" s="16" t="s">
        <v>684</v>
      </c>
      <c r="M29" s="16" t="s">
        <v>811</v>
      </c>
      <c r="N29" s="16" t="s">
        <v>812</v>
      </c>
      <c r="O29" s="25" t="s">
        <v>142</v>
      </c>
      <c r="P29" s="16"/>
      <c r="Q29" s="16"/>
      <c r="R29" s="16"/>
      <c r="S29" s="28" t="s">
        <v>704</v>
      </c>
      <c r="T29" s="16"/>
      <c r="U29" s="27" t="s">
        <v>705</v>
      </c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25"/>
      <c r="AW29" s="28" t="s">
        <v>704</v>
      </c>
      <c r="AX29" s="16"/>
      <c r="AY29" s="16"/>
      <c r="AZ29" s="27" t="s">
        <v>706</v>
      </c>
      <c r="BA29" s="27" t="s">
        <v>706</v>
      </c>
      <c r="BB29" s="16"/>
      <c r="BC29" s="16"/>
      <c r="BD29" s="16"/>
      <c r="BE29" s="16"/>
      <c r="BF29" s="16"/>
      <c r="BG29" s="27" t="s">
        <v>706</v>
      </c>
      <c r="BH29" s="27" t="s">
        <v>706</v>
      </c>
      <c r="BI29" s="27" t="s">
        <v>706</v>
      </c>
      <c r="BJ29" s="16"/>
      <c r="BK29" s="27" t="s">
        <v>706</v>
      </c>
      <c r="BL29" s="27" t="s">
        <v>706</v>
      </c>
      <c r="BM29" s="16"/>
      <c r="BN29" s="27" t="s">
        <v>706</v>
      </c>
      <c r="BO29" s="16"/>
      <c r="BP29" s="16"/>
      <c r="BQ29" s="16"/>
      <c r="BR29" s="16"/>
      <c r="BS29" s="16"/>
      <c r="BT29" s="16"/>
      <c r="BU29" s="16"/>
      <c r="BV29" s="16"/>
      <c r="BW29" s="16"/>
      <c r="BX29" s="28" t="s">
        <v>704</v>
      </c>
      <c r="BY29" s="16"/>
      <c r="BZ29" s="16"/>
      <c r="CA29" s="16"/>
      <c r="CB29" s="28" t="s">
        <v>704</v>
      </c>
      <c r="CC29" s="27" t="s">
        <v>706</v>
      </c>
      <c r="CD29" s="16"/>
      <c r="CE29" s="27" t="s">
        <v>706</v>
      </c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</row>
    <row r="30" spans="1:303" x14ac:dyDescent="0.25">
      <c r="A30" s="16" t="s">
        <v>795</v>
      </c>
      <c r="B30" s="278" t="s">
        <v>618</v>
      </c>
      <c r="C30" s="16" t="s">
        <v>813</v>
      </c>
      <c r="D30" s="16" t="s">
        <v>814</v>
      </c>
      <c r="E30" s="16" t="s">
        <v>81</v>
      </c>
      <c r="F30" s="16" t="s">
        <v>690</v>
      </c>
      <c r="G30" s="16" t="s">
        <v>815</v>
      </c>
      <c r="H30" s="16"/>
      <c r="I30" s="16"/>
      <c r="J30" s="24">
        <v>40501</v>
      </c>
      <c r="K30" s="16"/>
      <c r="L30" s="16" t="s">
        <v>684</v>
      </c>
      <c r="M30" s="16" t="s">
        <v>816</v>
      </c>
      <c r="N30" s="16" t="s">
        <v>817</v>
      </c>
      <c r="O30" s="25" t="s">
        <v>142</v>
      </c>
      <c r="P30" s="16"/>
      <c r="Q30" s="16"/>
      <c r="R30" s="16"/>
      <c r="S30" s="27" t="s">
        <v>706</v>
      </c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25"/>
      <c r="AW30" s="27" t="s">
        <v>706</v>
      </c>
      <c r="AX30" s="16"/>
      <c r="AY30" s="16"/>
      <c r="AZ30" s="27" t="s">
        <v>706</v>
      </c>
      <c r="BA30" s="27" t="s">
        <v>706</v>
      </c>
      <c r="BB30" s="16"/>
      <c r="BC30" s="16"/>
      <c r="BD30" s="16"/>
      <c r="BE30" s="16"/>
      <c r="BF30" s="16"/>
      <c r="BG30" s="27" t="s">
        <v>706</v>
      </c>
      <c r="BH30" s="27" t="s">
        <v>706</v>
      </c>
      <c r="BI30" s="27" t="s">
        <v>706</v>
      </c>
      <c r="BJ30" s="16"/>
      <c r="BK30" s="27" t="s">
        <v>706</v>
      </c>
      <c r="BL30" s="27" t="s">
        <v>706</v>
      </c>
      <c r="BM30" s="27" t="s">
        <v>706</v>
      </c>
      <c r="BN30" s="16"/>
      <c r="BO30" s="27" t="s">
        <v>706</v>
      </c>
      <c r="BP30" s="16"/>
      <c r="BQ30" s="16"/>
      <c r="BR30" s="16"/>
      <c r="BS30" s="16"/>
      <c r="BT30" s="16"/>
      <c r="BU30" s="16"/>
      <c r="BV30" s="16"/>
      <c r="BW30" s="16"/>
      <c r="BX30" s="27" t="s">
        <v>706</v>
      </c>
      <c r="BY30" s="16"/>
      <c r="BZ30" s="16"/>
      <c r="CA30" s="16"/>
      <c r="CB30" s="27" t="s">
        <v>706</v>
      </c>
      <c r="CC30" s="27" t="s">
        <v>706</v>
      </c>
      <c r="CD30" s="16"/>
      <c r="CE30" s="27" t="s">
        <v>706</v>
      </c>
      <c r="CF30" s="27" t="s">
        <v>706</v>
      </c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27" t="s">
        <v>706</v>
      </c>
      <c r="CV30" s="27" t="s">
        <v>706</v>
      </c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27" t="s">
        <v>706</v>
      </c>
      <c r="DI30" s="16"/>
      <c r="DJ30" s="27" t="s">
        <v>706</v>
      </c>
      <c r="DK30" s="16"/>
      <c r="DL30" s="16"/>
      <c r="DM30" s="16"/>
      <c r="DN30" s="27" t="s">
        <v>706</v>
      </c>
      <c r="DO30" s="16"/>
      <c r="DP30" s="16"/>
      <c r="DQ30" s="16"/>
      <c r="DR30" s="16"/>
      <c r="DS30" s="16"/>
      <c r="DT30" s="16"/>
      <c r="DU30" s="16"/>
      <c r="DV30" s="16"/>
      <c r="DW30" s="27" t="s">
        <v>706</v>
      </c>
      <c r="DX30" s="16"/>
      <c r="DY30" s="16"/>
      <c r="DZ30" s="16"/>
      <c r="EA30" s="16"/>
      <c r="EB30" s="16"/>
      <c r="EC30" s="16"/>
      <c r="ED30" s="16"/>
      <c r="EE30" s="16"/>
      <c r="EF30" s="16"/>
      <c r="EG30" s="16"/>
      <c r="EH30" s="16"/>
      <c r="EI30" s="16"/>
      <c r="EJ30" s="16"/>
      <c r="EK30" s="16"/>
      <c r="EL30" s="16"/>
      <c r="EM30" s="16"/>
      <c r="EN30" s="16"/>
      <c r="EO30" s="16"/>
      <c r="EP30" s="16"/>
      <c r="EQ30" s="16"/>
      <c r="ER30" s="16"/>
      <c r="ES30" s="16"/>
      <c r="ET30" s="16"/>
      <c r="EU30" s="16"/>
      <c r="EV30" s="16"/>
      <c r="EW30" s="16"/>
      <c r="EX30" s="16"/>
      <c r="EY30" s="16"/>
      <c r="EZ30" s="16"/>
      <c r="FA30" s="16"/>
      <c r="FB30" s="16"/>
      <c r="FC30" s="16"/>
      <c r="FD30" s="16"/>
      <c r="FE30" s="16"/>
      <c r="FF30" s="16"/>
      <c r="FG30" s="16"/>
      <c r="FH30" s="16"/>
      <c r="FI30" s="16"/>
      <c r="FJ30" s="16"/>
      <c r="FK30" s="16"/>
      <c r="FL30" s="16"/>
      <c r="FM30" s="16"/>
      <c r="FN30" s="16"/>
      <c r="FO30" s="16"/>
      <c r="FP30" s="16"/>
      <c r="FQ30" s="16"/>
      <c r="FR30" s="16"/>
      <c r="FS30" s="16"/>
      <c r="FT30" s="16"/>
      <c r="FU30" s="16"/>
      <c r="FV30" s="16"/>
      <c r="FW30" s="16"/>
      <c r="FX30" s="16"/>
      <c r="FY30" s="16"/>
      <c r="FZ30" s="16"/>
      <c r="GA30" s="16"/>
      <c r="GB30" s="16"/>
      <c r="GC30" s="16"/>
      <c r="GD30" s="16"/>
      <c r="GE30" s="16"/>
      <c r="GF30" s="16"/>
      <c r="GG30" s="16"/>
      <c r="GH30" s="16"/>
      <c r="GI30" s="16"/>
      <c r="GJ30" s="16"/>
      <c r="GK30" s="16"/>
      <c r="GL30" s="16"/>
      <c r="GM30" s="16"/>
      <c r="GN30" s="16"/>
      <c r="GO30" s="16"/>
      <c r="GP30" s="16"/>
      <c r="GQ30" s="16"/>
      <c r="GR30" s="16"/>
      <c r="GS30" s="16"/>
      <c r="GT30" s="16"/>
      <c r="GU30" s="16"/>
      <c r="GV30" s="16"/>
      <c r="GW30" s="16"/>
      <c r="GX30" s="16"/>
      <c r="GY30" s="16"/>
      <c r="GZ30" s="16"/>
      <c r="HA30" s="16"/>
      <c r="HB30" s="16"/>
      <c r="HC30" s="16"/>
      <c r="HD30" s="16"/>
      <c r="HE30" s="16"/>
      <c r="HF30" s="16"/>
      <c r="HG30" s="16"/>
      <c r="HH30" s="16"/>
      <c r="HI30" s="16"/>
      <c r="HJ30" s="16"/>
      <c r="HK30" s="16"/>
      <c r="HL30" s="16"/>
      <c r="HM30" s="16"/>
      <c r="HN30" s="16"/>
      <c r="HO30" s="16"/>
      <c r="HP30" s="16"/>
      <c r="HQ30" s="16"/>
      <c r="HR30" s="16"/>
      <c r="HS30" s="16"/>
      <c r="HT30" s="16"/>
      <c r="HU30" s="16"/>
      <c r="HV30" s="16"/>
      <c r="HW30" s="16"/>
      <c r="HX30" s="16"/>
      <c r="HY30" s="16"/>
      <c r="HZ30" s="16"/>
      <c r="IA30" s="16"/>
      <c r="IB30" s="16"/>
      <c r="IC30" s="16"/>
      <c r="ID30" s="16"/>
      <c r="IE30" s="16"/>
      <c r="IF30" s="16"/>
      <c r="IG30" s="16"/>
      <c r="IH30" s="16"/>
      <c r="II30" s="16"/>
      <c r="IJ30" s="16"/>
      <c r="IK30" s="16"/>
      <c r="IL30" s="16"/>
      <c r="IM30" s="16"/>
      <c r="IN30" s="16"/>
      <c r="IO30" s="16"/>
      <c r="IP30" s="16"/>
      <c r="IQ30" s="16"/>
      <c r="IR30" s="16"/>
      <c r="IS30" s="16"/>
      <c r="IT30" s="16"/>
      <c r="IU30" s="16"/>
      <c r="IV30" s="16"/>
      <c r="IW30" s="16"/>
      <c r="IX30" s="16"/>
      <c r="IY30" s="16"/>
      <c r="IZ30" s="16"/>
      <c r="JA30" s="16"/>
      <c r="JB30" s="16"/>
      <c r="JC30" s="16"/>
      <c r="JD30" s="16"/>
      <c r="JE30" s="16"/>
      <c r="JF30" s="16"/>
      <c r="JG30" s="16"/>
      <c r="JH30" s="16"/>
      <c r="JI30" s="16"/>
      <c r="JJ30" s="16"/>
      <c r="JK30" s="16"/>
      <c r="JL30" s="16"/>
      <c r="JM30" s="16"/>
      <c r="JN30" s="16"/>
      <c r="JO30" s="16"/>
      <c r="JP30" s="16"/>
      <c r="JQ30" s="16"/>
      <c r="JR30" s="16"/>
      <c r="JS30" s="16"/>
      <c r="JT30" s="16"/>
      <c r="JU30" s="16"/>
      <c r="JV30" s="16"/>
      <c r="JW30" s="16"/>
      <c r="JX30" s="16"/>
      <c r="JY30" s="16"/>
      <c r="JZ30" s="16"/>
      <c r="KA30" s="16"/>
      <c r="KB30" s="16"/>
      <c r="KC30" s="16"/>
      <c r="KD30" s="16"/>
      <c r="KE30" s="16"/>
      <c r="KF30" s="16"/>
      <c r="KG30" s="16"/>
      <c r="KH30" s="16"/>
      <c r="KI30" s="16"/>
      <c r="KJ30" s="16"/>
      <c r="KK30" s="16"/>
      <c r="KL30" s="16"/>
      <c r="KM30" s="16"/>
      <c r="KN30" s="16"/>
      <c r="KO30" s="16"/>
      <c r="KP30" s="16"/>
      <c r="KQ30" s="16"/>
    </row>
    <row r="31" spans="1:303" x14ac:dyDescent="0.25">
      <c r="A31" s="16" t="s">
        <v>732</v>
      </c>
      <c r="B31" s="30">
        <v>3008</v>
      </c>
      <c r="C31" s="16" t="s">
        <v>813</v>
      </c>
      <c r="D31" s="16" t="s">
        <v>818</v>
      </c>
      <c r="E31" s="16" t="s">
        <v>81</v>
      </c>
      <c r="F31" s="16" t="s">
        <v>690</v>
      </c>
      <c r="G31" s="16" t="s">
        <v>819</v>
      </c>
      <c r="H31" s="16"/>
      <c r="I31" s="16" t="s">
        <v>142</v>
      </c>
      <c r="J31" s="24">
        <v>41290</v>
      </c>
      <c r="K31" s="16"/>
      <c r="L31" s="16" t="s">
        <v>684</v>
      </c>
      <c r="M31" s="16" t="s">
        <v>820</v>
      </c>
      <c r="N31" s="16" t="s">
        <v>821</v>
      </c>
      <c r="O31" s="25" t="s">
        <v>142</v>
      </c>
      <c r="P31" s="16"/>
      <c r="Q31" s="16"/>
      <c r="R31" s="16"/>
      <c r="S31" s="27" t="s">
        <v>706</v>
      </c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25"/>
      <c r="AW31" s="27" t="s">
        <v>706</v>
      </c>
      <c r="AX31" s="16"/>
      <c r="AY31" s="16"/>
      <c r="AZ31" s="27" t="s">
        <v>706</v>
      </c>
      <c r="BA31" s="27" t="s">
        <v>706</v>
      </c>
      <c r="BB31" s="16"/>
      <c r="BC31" s="16"/>
      <c r="BD31" s="16"/>
      <c r="BE31" s="16"/>
      <c r="BF31" s="16"/>
      <c r="BG31" s="27" t="s">
        <v>706</v>
      </c>
      <c r="BH31" s="27" t="s">
        <v>706</v>
      </c>
      <c r="BI31" s="27" t="s">
        <v>706</v>
      </c>
      <c r="BJ31" s="16"/>
      <c r="BK31" s="27" t="s">
        <v>706</v>
      </c>
      <c r="BL31" s="27" t="s">
        <v>706</v>
      </c>
      <c r="BM31" s="27" t="s">
        <v>706</v>
      </c>
      <c r="BN31" s="16"/>
      <c r="BO31" s="27" t="s">
        <v>706</v>
      </c>
      <c r="BP31" s="16"/>
      <c r="BQ31" s="16"/>
      <c r="BR31" s="16"/>
      <c r="BS31" s="16"/>
      <c r="BT31" s="16"/>
      <c r="BU31" s="16"/>
      <c r="BV31" s="16"/>
      <c r="BW31" s="16"/>
      <c r="BX31" s="27" t="s">
        <v>706</v>
      </c>
      <c r="BY31" s="16"/>
      <c r="BZ31" s="16"/>
      <c r="CA31" s="16"/>
      <c r="CB31" s="27" t="s">
        <v>706</v>
      </c>
      <c r="CC31" s="27" t="s">
        <v>706</v>
      </c>
      <c r="CD31" s="16"/>
      <c r="CE31" s="27" t="s">
        <v>706</v>
      </c>
      <c r="CF31" s="27" t="s">
        <v>706</v>
      </c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27" t="s">
        <v>706</v>
      </c>
      <c r="CV31" s="27" t="s">
        <v>706</v>
      </c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27" t="s">
        <v>706</v>
      </c>
      <c r="DI31" s="16"/>
      <c r="DJ31" s="27" t="s">
        <v>706</v>
      </c>
      <c r="DK31" s="16"/>
      <c r="DL31" s="16"/>
      <c r="DM31" s="16"/>
      <c r="DN31" s="27" t="s">
        <v>706</v>
      </c>
      <c r="DO31" s="16"/>
      <c r="DP31" s="16"/>
      <c r="DQ31" s="16"/>
      <c r="DR31" s="16"/>
      <c r="DS31" s="16"/>
      <c r="DT31" s="16"/>
      <c r="DU31" s="16"/>
      <c r="DV31" s="16"/>
      <c r="DW31" s="27" t="s">
        <v>706</v>
      </c>
      <c r="DX31" s="16"/>
      <c r="DY31" s="16"/>
      <c r="DZ31" s="16"/>
      <c r="EA31" s="16"/>
      <c r="EB31" s="16"/>
      <c r="EC31" s="16"/>
      <c r="ED31" s="16"/>
      <c r="EE31" s="16"/>
      <c r="EF31" s="16"/>
      <c r="EG31" s="16"/>
      <c r="EH31" s="16"/>
      <c r="EI31" s="16"/>
      <c r="EJ31" s="16"/>
      <c r="EK31" s="16"/>
      <c r="EL31" s="16"/>
      <c r="EM31" s="16"/>
      <c r="EN31" s="16"/>
      <c r="EO31" s="16"/>
      <c r="EP31" s="16"/>
      <c r="EQ31" s="16"/>
      <c r="ER31" s="16"/>
      <c r="ES31" s="16"/>
      <c r="ET31" s="16"/>
      <c r="EU31" s="16"/>
      <c r="EV31" s="16"/>
      <c r="EW31" s="16"/>
      <c r="EX31" s="16"/>
      <c r="EY31" s="16"/>
      <c r="EZ31" s="16"/>
      <c r="FA31" s="16"/>
      <c r="FB31" s="16"/>
      <c r="FC31" s="16"/>
      <c r="FD31" s="16"/>
      <c r="FE31" s="16"/>
      <c r="FF31" s="16"/>
      <c r="FG31" s="16"/>
      <c r="FH31" s="16"/>
      <c r="FI31" s="16"/>
      <c r="FJ31" s="16"/>
      <c r="FK31" s="16"/>
      <c r="FL31" s="16"/>
      <c r="FM31" s="16"/>
      <c r="FN31" s="16"/>
      <c r="FO31" s="16"/>
      <c r="FP31" s="16"/>
      <c r="FQ31" s="16"/>
      <c r="FR31" s="16"/>
      <c r="FS31" s="16"/>
      <c r="FT31" s="16"/>
      <c r="FU31" s="16"/>
      <c r="FV31" s="16"/>
      <c r="FW31" s="16"/>
      <c r="FX31" s="16"/>
      <c r="FY31" s="16"/>
      <c r="FZ31" s="16"/>
      <c r="GA31" s="16"/>
      <c r="GB31" s="16"/>
      <c r="GC31" s="16"/>
      <c r="GD31" s="16"/>
      <c r="GE31" s="16"/>
      <c r="GF31" s="16"/>
      <c r="GG31" s="16"/>
      <c r="GH31" s="16"/>
      <c r="GI31" s="16"/>
      <c r="GJ31" s="16"/>
      <c r="GK31" s="16"/>
      <c r="GL31" s="16"/>
      <c r="GM31" s="16"/>
      <c r="GN31" s="16"/>
      <c r="GO31" s="16"/>
      <c r="GP31" s="16"/>
      <c r="GQ31" s="16"/>
      <c r="GR31" s="16"/>
      <c r="GS31" s="16"/>
      <c r="GT31" s="16"/>
      <c r="GU31" s="16"/>
      <c r="GV31" s="16"/>
      <c r="GW31" s="16"/>
      <c r="GX31" s="16"/>
      <c r="GY31" s="16"/>
      <c r="GZ31" s="16"/>
      <c r="HA31" s="16"/>
      <c r="HB31" s="16"/>
      <c r="HC31" s="16"/>
      <c r="HD31" s="16"/>
      <c r="HE31" s="16"/>
      <c r="HF31" s="16"/>
      <c r="HG31" s="16"/>
      <c r="HH31" s="16"/>
      <c r="HI31" s="16"/>
      <c r="HJ31" s="16"/>
      <c r="HK31" s="16"/>
      <c r="HL31" s="16"/>
      <c r="HM31" s="16"/>
      <c r="HN31" s="16"/>
      <c r="HO31" s="16"/>
      <c r="HP31" s="16"/>
      <c r="HQ31" s="16"/>
      <c r="HR31" s="16"/>
      <c r="HS31" s="16"/>
      <c r="HT31" s="16"/>
      <c r="HU31" s="16"/>
      <c r="HV31" s="16"/>
      <c r="HW31" s="16"/>
      <c r="HX31" s="16"/>
      <c r="HY31" s="16"/>
      <c r="HZ31" s="16"/>
      <c r="IA31" s="16"/>
      <c r="IB31" s="16"/>
      <c r="IC31" s="16"/>
      <c r="ID31" s="16"/>
      <c r="IE31" s="16"/>
      <c r="IF31" s="16"/>
      <c r="IG31" s="16"/>
      <c r="IH31" s="16"/>
      <c r="II31" s="16"/>
      <c r="IJ31" s="16"/>
      <c r="IK31" s="16"/>
      <c r="IL31" s="16"/>
      <c r="IM31" s="16"/>
      <c r="IN31" s="16"/>
      <c r="IO31" s="16"/>
      <c r="IP31" s="16"/>
      <c r="IQ31" s="16"/>
      <c r="IR31" s="16"/>
      <c r="IS31" s="16"/>
      <c r="IT31" s="16"/>
      <c r="IU31" s="16"/>
      <c r="IV31" s="16"/>
      <c r="IW31" s="16"/>
      <c r="IX31" s="16"/>
      <c r="IY31" s="16"/>
      <c r="IZ31" s="16"/>
      <c r="JA31" s="16"/>
      <c r="JB31" s="16"/>
      <c r="JC31" s="16"/>
      <c r="JD31" s="16"/>
      <c r="JE31" s="16"/>
      <c r="JF31" s="16"/>
      <c r="JG31" s="16"/>
      <c r="JH31" s="16"/>
      <c r="JI31" s="16"/>
      <c r="JJ31" s="16"/>
      <c r="JK31" s="16"/>
      <c r="JL31" s="16"/>
      <c r="JM31" s="16"/>
      <c r="JN31" s="16"/>
      <c r="JO31" s="16"/>
      <c r="JP31" s="16"/>
      <c r="JQ31" s="16"/>
      <c r="JR31" s="16"/>
      <c r="JS31" s="16"/>
      <c r="JT31" s="16"/>
      <c r="JU31" s="16"/>
      <c r="JV31" s="16"/>
      <c r="JW31" s="16"/>
      <c r="JX31" s="16"/>
      <c r="JY31" s="16"/>
      <c r="JZ31" s="16"/>
      <c r="KA31" s="16"/>
      <c r="KB31" s="16"/>
      <c r="KC31" s="16"/>
      <c r="KD31" s="16"/>
      <c r="KE31" s="16"/>
      <c r="KF31" s="16"/>
      <c r="KG31" s="16"/>
      <c r="KH31" s="16"/>
      <c r="KI31" s="16"/>
      <c r="KJ31" s="16"/>
      <c r="KK31" s="16"/>
      <c r="KL31" s="16"/>
      <c r="KM31" s="16"/>
      <c r="KN31" s="16"/>
      <c r="KO31" s="16"/>
      <c r="KP31" s="16"/>
      <c r="KQ31" s="16"/>
    </row>
    <row r="32" spans="1:303" ht="52.8" x14ac:dyDescent="0.25">
      <c r="A32" s="16" t="s">
        <v>822</v>
      </c>
      <c r="B32" s="30" t="s">
        <v>823</v>
      </c>
      <c r="C32" s="16" t="s">
        <v>813</v>
      </c>
      <c r="D32" s="16"/>
      <c r="E32" s="16" t="s">
        <v>81</v>
      </c>
      <c r="F32" s="16" t="s">
        <v>690</v>
      </c>
      <c r="G32" s="16" t="s">
        <v>824</v>
      </c>
      <c r="H32" s="16"/>
      <c r="I32" s="16" t="s">
        <v>142</v>
      </c>
      <c r="J32" s="24">
        <v>38380</v>
      </c>
      <c r="K32" s="16"/>
      <c r="L32" s="16" t="s">
        <v>684</v>
      </c>
      <c r="M32" s="16" t="s">
        <v>825</v>
      </c>
      <c r="N32" s="16" t="s">
        <v>826</v>
      </c>
      <c r="O32" s="25" t="s">
        <v>142</v>
      </c>
      <c r="P32" s="16"/>
      <c r="Q32" s="16"/>
      <c r="R32" s="16"/>
      <c r="S32" s="27" t="s">
        <v>706</v>
      </c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25"/>
      <c r="AW32" s="27" t="s">
        <v>706</v>
      </c>
      <c r="AX32" s="16"/>
      <c r="AY32" s="16"/>
      <c r="AZ32" s="27" t="s">
        <v>706</v>
      </c>
      <c r="BA32" s="27" t="s">
        <v>706</v>
      </c>
      <c r="BB32" s="16"/>
      <c r="BC32" s="16"/>
      <c r="BD32" s="16"/>
      <c r="BE32" s="16"/>
      <c r="BF32" s="16"/>
      <c r="BG32" s="27" t="s">
        <v>706</v>
      </c>
      <c r="BH32" s="27" t="s">
        <v>706</v>
      </c>
      <c r="BI32" s="27" t="s">
        <v>706</v>
      </c>
      <c r="BJ32" s="16"/>
      <c r="BK32" s="27" t="s">
        <v>706</v>
      </c>
      <c r="BL32" s="27" t="s">
        <v>706</v>
      </c>
      <c r="BM32" s="16"/>
      <c r="BN32" s="16"/>
      <c r="BO32" s="27" t="s">
        <v>706</v>
      </c>
      <c r="BP32" s="16"/>
      <c r="BQ32" s="16"/>
      <c r="BR32" s="16"/>
      <c r="BS32" s="16"/>
      <c r="BT32" s="16"/>
      <c r="BU32" s="16"/>
      <c r="BV32" s="16"/>
      <c r="BW32" s="16"/>
      <c r="BX32" s="27" t="s">
        <v>706</v>
      </c>
      <c r="BY32" s="16"/>
      <c r="BZ32" s="16"/>
      <c r="CA32" s="27" t="s">
        <v>706</v>
      </c>
      <c r="CB32" s="27" t="s">
        <v>706</v>
      </c>
      <c r="CC32" s="27" t="s">
        <v>706</v>
      </c>
      <c r="CD32" s="16"/>
      <c r="CE32" s="27" t="s">
        <v>706</v>
      </c>
      <c r="CF32" s="27" t="s">
        <v>706</v>
      </c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27" t="s">
        <v>706</v>
      </c>
      <c r="CS32" s="27" t="s">
        <v>706</v>
      </c>
      <c r="CT32" s="16"/>
      <c r="CU32" s="27" t="s">
        <v>706</v>
      </c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27" t="s">
        <v>706</v>
      </c>
      <c r="DI32" s="16"/>
      <c r="DJ32" s="27" t="s">
        <v>706</v>
      </c>
      <c r="DK32" s="16"/>
      <c r="DL32" s="16"/>
      <c r="DM32" s="16"/>
      <c r="DN32" s="27" t="s">
        <v>706</v>
      </c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EF32" s="16"/>
      <c r="EG32" s="16"/>
      <c r="EH32" s="16"/>
      <c r="EI32" s="16"/>
      <c r="EJ32" s="16"/>
      <c r="EK32" s="16"/>
      <c r="EL32" s="16"/>
      <c r="EM32" s="16"/>
      <c r="EN32" s="16"/>
      <c r="EO32" s="16"/>
      <c r="EP32" s="16"/>
      <c r="EQ32" s="16"/>
      <c r="ER32" s="16"/>
      <c r="ES32" s="16"/>
      <c r="ET32" s="16"/>
      <c r="EU32" s="16"/>
      <c r="EV32" s="16"/>
      <c r="EW32" s="16"/>
      <c r="EX32" s="16"/>
      <c r="EY32" s="16"/>
      <c r="EZ32" s="16"/>
      <c r="FA32" s="16"/>
      <c r="FB32" s="16"/>
      <c r="FC32" s="16"/>
      <c r="FD32" s="16"/>
      <c r="FE32" s="16"/>
      <c r="FF32" s="16"/>
      <c r="FG32" s="16"/>
      <c r="FH32" s="16"/>
      <c r="FI32" s="16"/>
      <c r="FJ32" s="16"/>
      <c r="FK32" s="16"/>
      <c r="FL32" s="16"/>
      <c r="FM32" s="16"/>
      <c r="FN32" s="16"/>
      <c r="FO32" s="16"/>
      <c r="FP32" s="16"/>
      <c r="FQ32" s="16"/>
      <c r="FR32" s="16"/>
      <c r="FS32" s="16"/>
      <c r="FT32" s="16"/>
      <c r="FU32" s="16"/>
      <c r="FV32" s="16"/>
      <c r="FW32" s="16"/>
      <c r="FX32" s="16"/>
      <c r="FY32" s="16"/>
      <c r="FZ32" s="16"/>
      <c r="GA32" s="16"/>
      <c r="GB32" s="16"/>
      <c r="GC32" s="16"/>
      <c r="GD32" s="16"/>
      <c r="GE32" s="16"/>
      <c r="GF32" s="16"/>
      <c r="GG32" s="16"/>
      <c r="GH32" s="16"/>
      <c r="GI32" s="16"/>
      <c r="GJ32" s="16"/>
      <c r="GK32" s="16"/>
      <c r="GL32" s="16"/>
      <c r="GM32" s="16"/>
      <c r="GN32" s="16"/>
      <c r="GO32" s="16"/>
      <c r="GP32" s="16"/>
      <c r="GQ32" s="16"/>
      <c r="GR32" s="16"/>
      <c r="GS32" s="16"/>
      <c r="GT32" s="16"/>
      <c r="GU32" s="16"/>
      <c r="GV32" s="16"/>
      <c r="GW32" s="16"/>
      <c r="GX32" s="16"/>
      <c r="GY32" s="16"/>
      <c r="GZ32" s="16"/>
      <c r="HA32" s="16"/>
      <c r="HB32" s="16"/>
      <c r="HC32" s="16"/>
      <c r="HD32" s="16"/>
      <c r="HE32" s="16"/>
      <c r="HF32" s="16"/>
      <c r="HG32" s="16"/>
      <c r="HH32" s="16"/>
      <c r="HI32" s="16"/>
      <c r="HJ32" s="16"/>
      <c r="HK32" s="16"/>
      <c r="HL32" s="16"/>
      <c r="HM32" s="16"/>
      <c r="HN32" s="16"/>
      <c r="HO32" s="16"/>
      <c r="HP32" s="16"/>
      <c r="HQ32" s="16"/>
      <c r="HR32" s="16"/>
      <c r="HS32" s="16"/>
      <c r="HT32" s="16"/>
      <c r="HU32" s="16"/>
      <c r="HV32" s="16"/>
      <c r="HW32" s="16"/>
      <c r="HX32" s="16"/>
      <c r="HY32" s="16"/>
      <c r="HZ32" s="16"/>
      <c r="IA32" s="16"/>
      <c r="IB32" s="16"/>
      <c r="IC32" s="16"/>
      <c r="ID32" s="16"/>
      <c r="IE32" s="16"/>
      <c r="IF32" s="16"/>
      <c r="IG32" s="16"/>
      <c r="IH32" s="16"/>
      <c r="II32" s="16"/>
      <c r="IJ32" s="16"/>
      <c r="IK32" s="16"/>
      <c r="IL32" s="16"/>
      <c r="IM32" s="16"/>
      <c r="IN32" s="16"/>
      <c r="IO32" s="16"/>
      <c r="IP32" s="16"/>
      <c r="IQ32" s="16"/>
      <c r="IR32" s="16"/>
      <c r="IS32" s="16"/>
      <c r="IT32" s="16"/>
      <c r="IU32" s="16"/>
      <c r="IV32" s="16"/>
      <c r="IW32" s="16"/>
      <c r="IX32" s="16"/>
      <c r="IY32" s="16"/>
      <c r="IZ32" s="16"/>
      <c r="JA32" s="16"/>
      <c r="JB32" s="16"/>
      <c r="JC32" s="16"/>
      <c r="JD32" s="16"/>
      <c r="JE32" s="16"/>
      <c r="JF32" s="16"/>
      <c r="JG32" s="16"/>
      <c r="JH32" s="16"/>
      <c r="JI32" s="16"/>
      <c r="JJ32" s="16"/>
      <c r="JK32" s="16"/>
      <c r="JL32" s="16"/>
      <c r="JM32" s="16"/>
      <c r="JN32" s="16"/>
      <c r="JO32" s="16"/>
      <c r="JP32" s="16"/>
      <c r="JQ32" s="16"/>
      <c r="JR32" s="16"/>
      <c r="JS32" s="16"/>
      <c r="JT32" s="16"/>
      <c r="JU32" s="16"/>
      <c r="JV32" s="16"/>
      <c r="JW32" s="16"/>
      <c r="JX32" s="16"/>
      <c r="JY32" s="16"/>
      <c r="JZ32" s="16"/>
      <c r="KA32" s="16"/>
      <c r="KB32" s="16"/>
      <c r="KC32" s="16"/>
      <c r="KD32" s="16"/>
      <c r="KE32" s="16"/>
      <c r="KF32" s="16"/>
      <c r="KG32" s="16"/>
      <c r="KH32" s="16"/>
      <c r="KI32" s="16"/>
      <c r="KJ32" s="16"/>
      <c r="KK32" s="16"/>
      <c r="KL32" s="16"/>
      <c r="KM32" s="16"/>
      <c r="KN32" s="16"/>
      <c r="KO32" s="16"/>
      <c r="KP32" s="16"/>
      <c r="KQ32" s="16"/>
    </row>
    <row r="33" spans="1:303" ht="26.4" x14ac:dyDescent="0.25">
      <c r="A33" s="16" t="s">
        <v>747</v>
      </c>
      <c r="B33" s="30" t="s">
        <v>827</v>
      </c>
      <c r="C33" s="16" t="s">
        <v>813</v>
      </c>
      <c r="D33" s="16" t="s">
        <v>828</v>
      </c>
      <c r="E33" s="16" t="s">
        <v>80</v>
      </c>
      <c r="F33" s="16" t="s">
        <v>681</v>
      </c>
      <c r="G33" s="16"/>
      <c r="H33" s="16"/>
      <c r="I33" s="16" t="s">
        <v>142</v>
      </c>
      <c r="J33" s="16"/>
      <c r="K33" s="16"/>
      <c r="L33" s="16" t="s">
        <v>684</v>
      </c>
      <c r="M33" s="16" t="s">
        <v>829</v>
      </c>
      <c r="N33" s="16" t="s">
        <v>830</v>
      </c>
      <c r="O33" s="25" t="s">
        <v>142</v>
      </c>
      <c r="P33" s="16"/>
      <c r="Q33" s="27" t="s">
        <v>706</v>
      </c>
      <c r="R33" s="16"/>
      <c r="S33" s="27" t="s">
        <v>706</v>
      </c>
      <c r="T33" s="16"/>
      <c r="U33" s="27" t="s">
        <v>706</v>
      </c>
      <c r="V33" s="16"/>
      <c r="W33" s="27" t="s">
        <v>706</v>
      </c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25"/>
      <c r="AW33" s="27" t="s">
        <v>706</v>
      </c>
      <c r="AX33" s="16"/>
      <c r="AY33" s="27" t="s">
        <v>706</v>
      </c>
      <c r="AZ33" s="27" t="s">
        <v>706</v>
      </c>
      <c r="BA33" s="27" t="s">
        <v>706</v>
      </c>
      <c r="BB33" s="27" t="s">
        <v>706</v>
      </c>
      <c r="BC33" s="27" t="s">
        <v>706</v>
      </c>
      <c r="BD33" s="16"/>
      <c r="BE33" s="16"/>
      <c r="BF33" s="16"/>
      <c r="BG33" s="27" t="s">
        <v>706</v>
      </c>
      <c r="BH33" s="27" t="s">
        <v>706</v>
      </c>
      <c r="BI33" s="27" t="s">
        <v>706</v>
      </c>
      <c r="BJ33" s="27" t="s">
        <v>706</v>
      </c>
      <c r="BK33" s="27" t="s">
        <v>706</v>
      </c>
      <c r="BL33" s="16"/>
      <c r="BM33" s="27" t="s">
        <v>706</v>
      </c>
      <c r="BN33" s="16"/>
      <c r="BO33" s="27" t="s">
        <v>706</v>
      </c>
      <c r="BP33" s="27" t="s">
        <v>706</v>
      </c>
      <c r="BQ33" s="27" t="s">
        <v>706</v>
      </c>
      <c r="BR33" s="16"/>
      <c r="BS33" s="16"/>
      <c r="BT33" s="16"/>
      <c r="BU33" s="16"/>
      <c r="BV33" s="16"/>
      <c r="BW33" s="16"/>
      <c r="BX33" s="27" t="s">
        <v>706</v>
      </c>
      <c r="BY33" s="16"/>
      <c r="BZ33" s="16"/>
      <c r="CA33" s="16"/>
      <c r="CB33" s="27" t="s">
        <v>706</v>
      </c>
      <c r="CC33" s="27" t="s">
        <v>706</v>
      </c>
      <c r="CD33" s="16"/>
      <c r="CE33" s="27" t="s">
        <v>706</v>
      </c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27" t="s">
        <v>706</v>
      </c>
      <c r="CS33" s="27" t="s">
        <v>706</v>
      </c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27" t="s">
        <v>706</v>
      </c>
      <c r="DI33" s="27" t="s">
        <v>706</v>
      </c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EF33" s="16"/>
      <c r="EG33" s="16"/>
      <c r="EH33" s="16"/>
      <c r="EI33" s="16"/>
      <c r="EJ33" s="16"/>
      <c r="EK33" s="16"/>
      <c r="EL33" s="16"/>
      <c r="EM33" s="16"/>
      <c r="EN33" s="16"/>
      <c r="EO33" s="16"/>
      <c r="EP33" s="16"/>
      <c r="EQ33" s="16"/>
      <c r="ER33" s="16"/>
      <c r="ES33" s="16"/>
      <c r="ET33" s="16"/>
      <c r="EU33" s="16"/>
      <c r="EV33" s="16"/>
      <c r="EW33" s="16"/>
      <c r="EX33" s="16"/>
      <c r="EY33" s="16"/>
      <c r="EZ33" s="16"/>
      <c r="FA33" s="16"/>
      <c r="FB33" s="16"/>
      <c r="FC33" s="16"/>
      <c r="FD33" s="16"/>
      <c r="FE33" s="16"/>
      <c r="FF33" s="16"/>
      <c r="FG33" s="16"/>
      <c r="FH33" s="16"/>
      <c r="FI33" s="16"/>
      <c r="FJ33" s="16"/>
      <c r="FK33" s="16"/>
      <c r="FL33" s="16"/>
      <c r="FM33" s="16"/>
      <c r="FN33" s="16"/>
      <c r="FO33" s="16"/>
      <c r="FP33" s="16"/>
      <c r="FQ33" s="16"/>
      <c r="FR33" s="16"/>
      <c r="FS33" s="16"/>
      <c r="FT33" s="16"/>
      <c r="FU33" s="16"/>
      <c r="FV33" s="16"/>
      <c r="FW33" s="16"/>
      <c r="FX33" s="16"/>
      <c r="FY33" s="16"/>
      <c r="FZ33" s="16"/>
      <c r="GA33" s="16"/>
      <c r="GB33" s="16"/>
      <c r="GC33" s="16"/>
      <c r="GD33" s="16"/>
      <c r="GE33" s="16"/>
      <c r="GF33" s="16"/>
      <c r="GG33" s="16"/>
      <c r="GH33" s="16"/>
      <c r="GI33" s="16"/>
      <c r="GJ33" s="16"/>
      <c r="GK33" s="16"/>
      <c r="GL33" s="16"/>
      <c r="GM33" s="16"/>
      <c r="GN33" s="16"/>
      <c r="GO33" s="16"/>
      <c r="GP33" s="16"/>
      <c r="GQ33" s="16"/>
      <c r="GR33" s="16"/>
      <c r="GS33" s="16"/>
      <c r="GT33" s="16"/>
      <c r="GU33" s="16"/>
      <c r="GV33" s="16"/>
      <c r="GW33" s="16"/>
      <c r="GX33" s="16"/>
      <c r="GY33" s="16"/>
      <c r="GZ33" s="16"/>
      <c r="HA33" s="16"/>
      <c r="HB33" s="16"/>
      <c r="HC33" s="16"/>
      <c r="HD33" s="16"/>
      <c r="HE33" s="16"/>
      <c r="HF33" s="16"/>
      <c r="HG33" s="16"/>
      <c r="HH33" s="16"/>
      <c r="HI33" s="16"/>
      <c r="HJ33" s="16"/>
      <c r="HK33" s="16"/>
      <c r="HL33" s="16"/>
      <c r="HM33" s="16"/>
      <c r="HN33" s="16"/>
      <c r="HO33" s="16"/>
      <c r="HP33" s="16"/>
      <c r="HQ33" s="16"/>
      <c r="HR33" s="16"/>
      <c r="HS33" s="16"/>
      <c r="HT33" s="16"/>
      <c r="HU33" s="16"/>
      <c r="HV33" s="16"/>
      <c r="HW33" s="16"/>
      <c r="HX33" s="16"/>
      <c r="HY33" s="16"/>
      <c r="HZ33" s="16"/>
      <c r="IA33" s="16"/>
      <c r="IB33" s="16"/>
      <c r="IC33" s="16"/>
      <c r="ID33" s="16"/>
      <c r="IE33" s="16"/>
      <c r="IF33" s="16"/>
      <c r="IG33" s="16"/>
      <c r="IH33" s="16"/>
      <c r="II33" s="16"/>
      <c r="IJ33" s="16"/>
      <c r="IK33" s="16"/>
      <c r="IL33" s="16"/>
      <c r="IM33" s="16"/>
      <c r="IN33" s="16"/>
      <c r="IO33" s="16"/>
      <c r="IP33" s="16"/>
      <c r="IQ33" s="16"/>
      <c r="IR33" s="16"/>
      <c r="IS33" s="16"/>
      <c r="IT33" s="16"/>
      <c r="IU33" s="16"/>
      <c r="IV33" s="16"/>
      <c r="IW33" s="16"/>
      <c r="IX33" s="16"/>
      <c r="IY33" s="16"/>
      <c r="IZ33" s="16"/>
      <c r="JA33" s="16"/>
      <c r="JB33" s="16"/>
      <c r="JC33" s="16"/>
      <c r="JD33" s="16"/>
      <c r="JE33" s="16"/>
      <c r="JF33" s="16"/>
      <c r="JG33" s="16"/>
      <c r="JH33" s="16"/>
      <c r="JI33" s="16"/>
      <c r="JJ33" s="16"/>
      <c r="JK33" s="16"/>
      <c r="JL33" s="16"/>
      <c r="JM33" s="16"/>
      <c r="JN33" s="16"/>
      <c r="JO33" s="16"/>
      <c r="JP33" s="16"/>
      <c r="JQ33" s="16"/>
      <c r="JR33" s="16"/>
      <c r="JS33" s="16"/>
      <c r="JT33" s="16"/>
      <c r="JU33" s="16"/>
      <c r="JV33" s="16"/>
      <c r="JW33" s="16"/>
      <c r="JX33" s="16"/>
      <c r="JY33" s="16"/>
      <c r="JZ33" s="16"/>
      <c r="KA33" s="16"/>
      <c r="KB33" s="16"/>
      <c r="KC33" s="16"/>
      <c r="KD33" s="16"/>
      <c r="KE33" s="16"/>
      <c r="KF33" s="16"/>
      <c r="KG33" s="16"/>
      <c r="KH33" s="16"/>
      <c r="KI33" s="16"/>
      <c r="KJ33" s="16"/>
      <c r="KK33" s="16"/>
      <c r="KL33" s="16"/>
      <c r="KM33" s="16"/>
      <c r="KN33" s="16"/>
      <c r="KO33" s="16"/>
      <c r="KP33" s="16"/>
      <c r="KQ33" s="16"/>
    </row>
    <row r="34" spans="1:303" x14ac:dyDescent="0.25">
      <c r="A34" s="29" t="s">
        <v>831</v>
      </c>
      <c r="B34" s="31" t="s">
        <v>832</v>
      </c>
      <c r="C34" s="29" t="s">
        <v>833</v>
      </c>
      <c r="D34" s="16"/>
      <c r="E34" s="29" t="s">
        <v>81</v>
      </c>
      <c r="F34" s="16" t="s">
        <v>681</v>
      </c>
      <c r="G34" s="16"/>
      <c r="H34" s="16"/>
      <c r="I34" s="29" t="s">
        <v>701</v>
      </c>
      <c r="J34" s="16"/>
      <c r="K34" s="16"/>
      <c r="L34" s="16" t="s">
        <v>834</v>
      </c>
      <c r="M34" s="16" t="s">
        <v>835</v>
      </c>
      <c r="N34" s="16" t="s">
        <v>836</v>
      </c>
      <c r="O34" s="25" t="s">
        <v>142</v>
      </c>
      <c r="P34" s="27" t="s">
        <v>837</v>
      </c>
      <c r="Q34" s="27" t="s">
        <v>837</v>
      </c>
      <c r="R34" s="27" t="s">
        <v>837</v>
      </c>
      <c r="S34" s="27" t="s">
        <v>837</v>
      </c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25"/>
      <c r="AW34" s="27" t="s">
        <v>837</v>
      </c>
      <c r="AX34" s="16"/>
      <c r="AY34" s="27" t="s">
        <v>837</v>
      </c>
      <c r="AZ34" s="27" t="s">
        <v>837</v>
      </c>
      <c r="BA34" s="27" t="s">
        <v>837</v>
      </c>
      <c r="BB34" s="27" t="s">
        <v>837</v>
      </c>
      <c r="BC34" s="27" t="s">
        <v>837</v>
      </c>
      <c r="BD34" s="16"/>
      <c r="BE34" s="16"/>
      <c r="BF34" s="16"/>
      <c r="BG34" s="27" t="s">
        <v>837</v>
      </c>
      <c r="BH34" s="27" t="s">
        <v>837</v>
      </c>
      <c r="BI34" s="27" t="s">
        <v>837</v>
      </c>
      <c r="BJ34" s="27" t="s">
        <v>837</v>
      </c>
      <c r="BK34" s="27" t="s">
        <v>837</v>
      </c>
      <c r="BL34" s="16"/>
      <c r="BM34" s="27" t="s">
        <v>837</v>
      </c>
      <c r="BN34" s="16"/>
      <c r="BO34" s="27" t="s">
        <v>837</v>
      </c>
      <c r="BP34" s="27" t="s">
        <v>837</v>
      </c>
      <c r="BQ34" s="27" t="s">
        <v>837</v>
      </c>
      <c r="BR34" s="16"/>
      <c r="BS34" s="16"/>
      <c r="BT34" s="16"/>
      <c r="BU34" s="16"/>
      <c r="BV34" s="16"/>
      <c r="BW34" s="16"/>
      <c r="BX34" s="27" t="s">
        <v>837</v>
      </c>
      <c r="BY34" s="16"/>
      <c r="BZ34" s="16"/>
      <c r="CA34" s="16"/>
      <c r="CB34" s="27" t="s">
        <v>837</v>
      </c>
      <c r="CC34" s="27" t="s">
        <v>837</v>
      </c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27" t="s">
        <v>837</v>
      </c>
      <c r="CR34" s="16"/>
      <c r="CS34" s="16"/>
      <c r="CT34" s="16"/>
      <c r="CU34" s="27" t="s">
        <v>837</v>
      </c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27" t="s">
        <v>837</v>
      </c>
      <c r="DI34" s="27" t="s">
        <v>837</v>
      </c>
      <c r="DJ34" s="27" t="s">
        <v>837</v>
      </c>
      <c r="DK34" s="16"/>
      <c r="DL34" s="16"/>
      <c r="DM34" s="16"/>
      <c r="DN34" s="16"/>
      <c r="DO34" s="16"/>
      <c r="DP34" s="16"/>
      <c r="DQ34" s="27" t="s">
        <v>837</v>
      </c>
      <c r="DR34" s="27" t="s">
        <v>837</v>
      </c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  <c r="EF34" s="16"/>
      <c r="EG34" s="16"/>
      <c r="EH34" s="16"/>
      <c r="EI34" s="16"/>
      <c r="EJ34" s="16"/>
      <c r="EK34" s="16"/>
      <c r="EL34" s="16"/>
      <c r="EM34" s="16"/>
      <c r="EN34" s="16"/>
      <c r="EO34" s="16"/>
      <c r="EP34" s="16"/>
      <c r="EQ34" s="16"/>
      <c r="ER34" s="16"/>
      <c r="ES34" s="16"/>
      <c r="ET34" s="16"/>
      <c r="EU34" s="16"/>
      <c r="EV34" s="16"/>
      <c r="EW34" s="16"/>
      <c r="EX34" s="16"/>
      <c r="EY34" s="16"/>
      <c r="EZ34" s="16"/>
      <c r="FA34" s="16"/>
      <c r="FB34" s="16"/>
      <c r="FC34" s="16"/>
      <c r="FD34" s="16"/>
      <c r="FE34" s="16"/>
      <c r="FF34" s="16"/>
      <c r="FG34" s="16"/>
      <c r="FH34" s="16"/>
      <c r="FI34" s="16"/>
      <c r="FJ34" s="16"/>
      <c r="FK34" s="16"/>
      <c r="FL34" s="16"/>
      <c r="FM34" s="16"/>
      <c r="FN34" s="16"/>
      <c r="FO34" s="16"/>
      <c r="FP34" s="16"/>
      <c r="FQ34" s="16"/>
      <c r="FR34" s="16"/>
      <c r="FS34" s="16"/>
      <c r="FT34" s="16"/>
      <c r="FU34" s="16"/>
      <c r="FV34" s="16"/>
      <c r="FW34" s="16"/>
      <c r="FX34" s="16"/>
      <c r="FY34" s="16"/>
      <c r="FZ34" s="16"/>
      <c r="GA34" s="16"/>
      <c r="GB34" s="16"/>
      <c r="GC34" s="16"/>
      <c r="GD34" s="16"/>
      <c r="GE34" s="16"/>
      <c r="GF34" s="16"/>
      <c r="GG34" s="16"/>
      <c r="GH34" s="16"/>
      <c r="GI34" s="16"/>
      <c r="GJ34" s="16"/>
      <c r="GK34" s="16"/>
      <c r="GL34" s="16"/>
      <c r="GM34" s="16"/>
      <c r="GN34" s="16"/>
      <c r="GO34" s="16"/>
      <c r="GP34" s="16"/>
      <c r="GQ34" s="16"/>
      <c r="GR34" s="16"/>
      <c r="GS34" s="16"/>
      <c r="GT34" s="16"/>
      <c r="GU34" s="16"/>
      <c r="GV34" s="16"/>
      <c r="GW34" s="16"/>
      <c r="GX34" s="16"/>
      <c r="GY34" s="16"/>
      <c r="GZ34" s="16"/>
      <c r="HA34" s="16"/>
      <c r="HB34" s="16"/>
      <c r="HC34" s="16"/>
      <c r="HD34" s="16"/>
      <c r="HE34" s="16"/>
      <c r="HF34" s="16"/>
      <c r="HG34" s="16"/>
      <c r="HH34" s="16"/>
      <c r="HI34" s="16"/>
      <c r="HJ34" s="16"/>
      <c r="HK34" s="16"/>
      <c r="HL34" s="16"/>
      <c r="HM34" s="16"/>
      <c r="HN34" s="16"/>
      <c r="HO34" s="16"/>
      <c r="HP34" s="16"/>
      <c r="HQ34" s="16"/>
      <c r="HR34" s="16"/>
      <c r="HS34" s="16"/>
      <c r="HT34" s="16"/>
      <c r="HU34" s="16"/>
      <c r="HV34" s="16"/>
      <c r="HW34" s="16"/>
      <c r="HX34" s="16"/>
      <c r="HY34" s="16"/>
      <c r="HZ34" s="16"/>
      <c r="IA34" s="16"/>
      <c r="IB34" s="16"/>
      <c r="IC34" s="16"/>
      <c r="ID34" s="16"/>
      <c r="IE34" s="16"/>
      <c r="IF34" s="16"/>
      <c r="IG34" s="16"/>
      <c r="IH34" s="16"/>
      <c r="II34" s="16"/>
      <c r="IJ34" s="16"/>
      <c r="IK34" s="16"/>
      <c r="IL34" s="16"/>
      <c r="IM34" s="16"/>
      <c r="IN34" s="16"/>
      <c r="IO34" s="16"/>
      <c r="IP34" s="16"/>
      <c r="IQ34" s="16"/>
      <c r="IR34" s="16"/>
      <c r="IS34" s="16"/>
      <c r="IT34" s="16"/>
      <c r="IU34" s="16"/>
      <c r="IV34" s="16"/>
      <c r="IW34" s="16"/>
      <c r="IX34" s="16"/>
      <c r="IY34" s="16"/>
      <c r="IZ34" s="16"/>
      <c r="JA34" s="16"/>
      <c r="JB34" s="16"/>
      <c r="JC34" s="16"/>
      <c r="JD34" s="16"/>
      <c r="JE34" s="16"/>
      <c r="JF34" s="16"/>
      <c r="JG34" s="16"/>
      <c r="JH34" s="16"/>
      <c r="JI34" s="16"/>
      <c r="JJ34" s="16"/>
      <c r="JK34" s="16"/>
      <c r="JL34" s="16"/>
      <c r="JM34" s="16"/>
      <c r="JN34" s="16"/>
      <c r="JO34" s="16"/>
      <c r="JP34" s="16"/>
      <c r="JQ34" s="16"/>
      <c r="JR34" s="16"/>
      <c r="JS34" s="16"/>
      <c r="JT34" s="16"/>
      <c r="JU34" s="16"/>
      <c r="JV34" s="16"/>
      <c r="JW34" s="16"/>
      <c r="JX34" s="16"/>
      <c r="JY34" s="16"/>
      <c r="JZ34" s="16"/>
      <c r="KA34" s="16"/>
      <c r="KB34" s="16"/>
      <c r="KC34" s="16"/>
      <c r="KD34" s="16"/>
      <c r="KE34" s="16"/>
      <c r="KF34" s="16"/>
      <c r="KG34" s="16"/>
      <c r="KH34" s="16"/>
      <c r="KI34" s="16"/>
      <c r="KJ34" s="16"/>
      <c r="KK34" s="16"/>
      <c r="KL34" s="16"/>
      <c r="KM34" s="16"/>
      <c r="KN34" s="16"/>
      <c r="KO34" s="16"/>
      <c r="KP34" s="16"/>
      <c r="KQ34" s="16"/>
    </row>
    <row r="35" spans="1:303" x14ac:dyDescent="0.25">
      <c r="A35" s="267" t="s">
        <v>732</v>
      </c>
      <c r="B35" s="16">
        <v>5008</v>
      </c>
      <c r="C35" s="267" t="s">
        <v>1545</v>
      </c>
      <c r="D35" s="16"/>
      <c r="E35" s="267" t="s">
        <v>81</v>
      </c>
      <c r="F35" s="267" t="s">
        <v>690</v>
      </c>
      <c r="G35" s="16"/>
      <c r="H35" s="16"/>
      <c r="I35" s="267" t="s">
        <v>142</v>
      </c>
      <c r="J35" s="16"/>
      <c r="K35" s="16"/>
      <c r="L35" s="16" t="s">
        <v>684</v>
      </c>
      <c r="M35" s="16"/>
      <c r="N35" s="267" t="s">
        <v>1546</v>
      </c>
      <c r="O35" s="25"/>
      <c r="P35" s="16"/>
      <c r="Q35" s="16"/>
      <c r="R35" s="16"/>
      <c r="S35" s="27" t="s">
        <v>706</v>
      </c>
      <c r="T35" s="16"/>
      <c r="U35" s="16"/>
      <c r="V35" s="16"/>
      <c r="W35" s="16"/>
      <c r="X35" s="16"/>
      <c r="Y35" s="16"/>
      <c r="Z35" s="27" t="s">
        <v>706</v>
      </c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25"/>
      <c r="AW35" s="27" t="s">
        <v>706</v>
      </c>
      <c r="AX35" s="16"/>
      <c r="AY35" s="16"/>
      <c r="AZ35" s="27" t="s">
        <v>706</v>
      </c>
      <c r="BA35" s="27" t="s">
        <v>706</v>
      </c>
      <c r="BB35" s="16"/>
      <c r="BC35" s="16"/>
      <c r="BD35" s="16"/>
      <c r="BE35" s="16"/>
      <c r="BF35" s="16"/>
      <c r="BG35" s="27" t="s">
        <v>706</v>
      </c>
      <c r="BH35" s="27" t="s">
        <v>706</v>
      </c>
      <c r="BI35" s="27" t="s">
        <v>706</v>
      </c>
      <c r="BJ35" s="27"/>
      <c r="BK35" s="27" t="s">
        <v>706</v>
      </c>
      <c r="BL35" s="27" t="s">
        <v>706</v>
      </c>
      <c r="BM35" s="27" t="s">
        <v>706</v>
      </c>
      <c r="BN35" s="16"/>
      <c r="BO35" s="27" t="s">
        <v>706</v>
      </c>
      <c r="BP35" s="16"/>
      <c r="BQ35" s="16"/>
      <c r="BR35" s="16"/>
      <c r="BS35" s="16"/>
      <c r="BT35" s="16"/>
      <c r="BU35" s="16"/>
      <c r="BV35" s="16"/>
      <c r="BW35" s="16"/>
      <c r="BX35" s="27" t="s">
        <v>706</v>
      </c>
      <c r="BY35" s="16"/>
      <c r="BZ35" s="16"/>
      <c r="CA35" s="16"/>
      <c r="CB35" s="27" t="s">
        <v>706</v>
      </c>
      <c r="CC35" s="27" t="s">
        <v>706</v>
      </c>
      <c r="CD35" s="16"/>
      <c r="CE35" s="27" t="s">
        <v>706</v>
      </c>
      <c r="CF35" s="27" t="s">
        <v>706</v>
      </c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27" t="s">
        <v>706</v>
      </c>
      <c r="CV35" s="27" t="s">
        <v>706</v>
      </c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27" t="s">
        <v>706</v>
      </c>
      <c r="DI35" s="16"/>
      <c r="DJ35" s="27" t="s">
        <v>706</v>
      </c>
      <c r="DK35" s="16"/>
      <c r="DL35" s="16"/>
      <c r="DM35" s="16"/>
      <c r="DN35" s="27" t="s">
        <v>706</v>
      </c>
      <c r="DO35" s="16"/>
      <c r="DP35" s="16"/>
      <c r="DQ35" s="16"/>
      <c r="DR35" s="16"/>
      <c r="DS35" s="16"/>
      <c r="DT35" s="16"/>
      <c r="DU35" s="16"/>
      <c r="DV35" s="16"/>
      <c r="DW35" s="27" t="s">
        <v>706</v>
      </c>
      <c r="DX35" s="16"/>
      <c r="DY35" s="16"/>
      <c r="DZ35" s="16"/>
      <c r="EA35" s="16"/>
      <c r="EB35" s="16"/>
      <c r="EC35" s="16"/>
      <c r="ED35" s="16"/>
      <c r="EE35" s="16"/>
      <c r="EF35" s="16"/>
      <c r="EG35" s="16"/>
      <c r="EH35" s="16"/>
      <c r="EI35" s="16"/>
      <c r="EJ35" s="16"/>
      <c r="EK35" s="16"/>
      <c r="EL35" s="16"/>
      <c r="EM35" s="16"/>
      <c r="EN35" s="16"/>
      <c r="EO35" s="16"/>
      <c r="EP35" s="16"/>
      <c r="EQ35" s="16"/>
      <c r="ER35" s="16"/>
      <c r="ES35" s="16"/>
      <c r="ET35" s="16"/>
      <c r="EU35" s="16"/>
      <c r="EV35" s="16"/>
      <c r="EW35" s="16"/>
      <c r="EX35" s="16"/>
      <c r="EY35" s="16"/>
      <c r="EZ35" s="16"/>
      <c r="FA35" s="16"/>
      <c r="FB35" s="16"/>
      <c r="FC35" s="16"/>
      <c r="FD35" s="16"/>
      <c r="FE35" s="16"/>
      <c r="FF35" s="16"/>
      <c r="FG35" s="16"/>
      <c r="FH35" s="16"/>
      <c r="FI35" s="16"/>
      <c r="FJ35" s="16"/>
      <c r="FK35" s="16"/>
      <c r="FL35" s="16"/>
      <c r="FM35" s="16"/>
      <c r="FN35" s="16"/>
      <c r="FO35" s="16"/>
      <c r="FP35" s="16"/>
      <c r="FQ35" s="16"/>
      <c r="FR35" s="16"/>
      <c r="FS35" s="16"/>
      <c r="FT35" s="16"/>
      <c r="FU35" s="16"/>
      <c r="FV35" s="16"/>
      <c r="FW35" s="16"/>
      <c r="FX35" s="16"/>
      <c r="FY35" s="16"/>
      <c r="FZ35" s="16"/>
      <c r="GA35" s="16"/>
      <c r="GB35" s="16"/>
      <c r="GC35" s="16"/>
      <c r="GD35" s="16"/>
      <c r="GE35" s="16"/>
      <c r="GF35" s="16"/>
      <c r="GG35" s="16"/>
      <c r="GH35" s="16"/>
      <c r="GI35" s="16"/>
      <c r="GJ35" s="16"/>
      <c r="GK35" s="16"/>
      <c r="GL35" s="16"/>
      <c r="GM35" s="16"/>
      <c r="GN35" s="16"/>
      <c r="GO35" s="16"/>
      <c r="GP35" s="16"/>
      <c r="GQ35" s="16"/>
      <c r="GR35" s="16"/>
      <c r="GS35" s="16"/>
      <c r="GT35" s="16"/>
      <c r="GU35" s="16"/>
      <c r="GV35" s="16"/>
      <c r="GW35" s="16"/>
      <c r="GX35" s="16"/>
      <c r="GY35" s="16"/>
      <c r="GZ35" s="16"/>
      <c r="HA35" s="16"/>
      <c r="HB35" s="16"/>
      <c r="HC35" s="16"/>
      <c r="HD35" s="16"/>
      <c r="HE35" s="16"/>
      <c r="HF35" s="16"/>
      <c r="HG35" s="16"/>
      <c r="HH35" s="16"/>
      <c r="HI35" s="16"/>
      <c r="HJ35" s="16"/>
      <c r="HK35" s="16"/>
      <c r="HL35" s="16"/>
      <c r="HM35" s="16"/>
      <c r="HN35" s="16"/>
      <c r="HO35" s="16"/>
      <c r="HP35" s="16"/>
      <c r="HQ35" s="16"/>
      <c r="HR35" s="16"/>
      <c r="HS35" s="16"/>
      <c r="HT35" s="16"/>
      <c r="HU35" s="16"/>
      <c r="HV35" s="16"/>
      <c r="HW35" s="16"/>
      <c r="HX35" s="16"/>
      <c r="HY35" s="16"/>
      <c r="HZ35" s="16"/>
      <c r="IA35" s="16"/>
      <c r="IB35" s="16"/>
      <c r="IC35" s="16"/>
      <c r="ID35" s="16"/>
      <c r="IE35" s="16"/>
      <c r="IF35" s="16"/>
      <c r="IG35" s="16"/>
      <c r="IH35" s="16"/>
      <c r="II35" s="16"/>
      <c r="IJ35" s="16"/>
      <c r="IK35" s="16"/>
      <c r="IL35" s="16"/>
      <c r="IM35" s="16"/>
      <c r="IN35" s="16"/>
      <c r="IO35" s="16"/>
      <c r="IP35" s="16"/>
      <c r="IQ35" s="16"/>
      <c r="IR35" s="16"/>
      <c r="IS35" s="16"/>
      <c r="IT35" s="16"/>
      <c r="IU35" s="16"/>
      <c r="IV35" s="16"/>
      <c r="IW35" s="16"/>
      <c r="IX35" s="16"/>
      <c r="IY35" s="16"/>
      <c r="IZ35" s="16"/>
      <c r="JA35" s="16"/>
      <c r="JB35" s="16"/>
      <c r="JC35" s="16"/>
      <c r="JD35" s="16"/>
      <c r="JE35" s="16"/>
      <c r="JF35" s="16"/>
      <c r="JG35" s="16"/>
      <c r="JH35" s="16"/>
      <c r="JI35" s="16"/>
      <c r="JJ35" s="16"/>
      <c r="JK35" s="16"/>
      <c r="JL35" s="16"/>
      <c r="JM35" s="16"/>
      <c r="JN35" s="16"/>
      <c r="JO35" s="16"/>
      <c r="JP35" s="16"/>
      <c r="JQ35" s="16"/>
      <c r="JR35" s="16"/>
      <c r="JS35" s="16"/>
      <c r="JT35" s="16"/>
      <c r="JU35" s="16"/>
      <c r="JV35" s="16"/>
      <c r="JW35" s="16"/>
      <c r="JX35" s="16"/>
      <c r="JY35" s="16"/>
      <c r="JZ35" s="16"/>
      <c r="KA35" s="16"/>
      <c r="KB35" s="16"/>
      <c r="KC35" s="16"/>
      <c r="KD35" s="16"/>
      <c r="KE35" s="16"/>
      <c r="KF35" s="16"/>
      <c r="KG35" s="16"/>
      <c r="KH35" s="16"/>
      <c r="KI35" s="16"/>
      <c r="KJ35" s="16"/>
      <c r="KK35" s="16"/>
      <c r="KL35" s="16"/>
      <c r="KM35" s="16"/>
      <c r="KN35" s="16"/>
      <c r="KO35" s="16"/>
      <c r="KP35" s="16"/>
      <c r="KQ35" s="16"/>
    </row>
    <row r="36" spans="1:303" x14ac:dyDescent="0.25">
      <c r="A36" s="1" t="s">
        <v>747</v>
      </c>
      <c r="B36" s="279" t="s">
        <v>2338</v>
      </c>
      <c r="C36" s="1" t="s">
        <v>2339</v>
      </c>
      <c r="D36" s="1" t="s">
        <v>2381</v>
      </c>
      <c r="E36" s="1" t="s">
        <v>80</v>
      </c>
      <c r="F36" s="1" t="s">
        <v>690</v>
      </c>
      <c r="G36" s="1" t="s">
        <v>2340</v>
      </c>
      <c r="H36" s="1"/>
      <c r="I36" s="1" t="s">
        <v>701</v>
      </c>
      <c r="J36" s="280">
        <v>41023</v>
      </c>
      <c r="K36" s="280">
        <v>41716</v>
      </c>
      <c r="L36" s="16" t="s">
        <v>684</v>
      </c>
      <c r="M36" s="16" t="s">
        <v>2364</v>
      </c>
      <c r="N36" s="16" t="s">
        <v>2371</v>
      </c>
      <c r="O36" s="25" t="s">
        <v>142</v>
      </c>
      <c r="P36" s="16"/>
      <c r="Q36" s="27" t="s">
        <v>706</v>
      </c>
      <c r="R36" s="16"/>
      <c r="S36" s="27" t="s">
        <v>706</v>
      </c>
      <c r="T36" s="16"/>
      <c r="U36" s="27" t="s">
        <v>706</v>
      </c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25"/>
      <c r="AW36" s="27" t="s">
        <v>706</v>
      </c>
      <c r="AX36" s="16"/>
      <c r="AY36" s="16"/>
      <c r="AZ36" s="27" t="s">
        <v>706</v>
      </c>
      <c r="BA36" s="27" t="s">
        <v>706</v>
      </c>
      <c r="BB36" s="16"/>
      <c r="BC36" s="16"/>
      <c r="BD36" s="16"/>
      <c r="BE36" s="16"/>
      <c r="BF36" s="16"/>
      <c r="BG36" s="27" t="s">
        <v>706</v>
      </c>
      <c r="BH36" s="27" t="s">
        <v>706</v>
      </c>
      <c r="BI36" s="27" t="s">
        <v>706</v>
      </c>
      <c r="BJ36" s="16"/>
      <c r="BK36" s="27" t="s">
        <v>706</v>
      </c>
      <c r="BL36" s="27" t="s">
        <v>706</v>
      </c>
      <c r="BM36" s="27" t="s">
        <v>706</v>
      </c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27" t="s">
        <v>706</v>
      </c>
      <c r="BY36" s="16"/>
      <c r="BZ36" s="16"/>
      <c r="CA36" s="16"/>
      <c r="CB36" s="27" t="s">
        <v>706</v>
      </c>
      <c r="CC36" s="27" t="s">
        <v>706</v>
      </c>
      <c r="CD36" s="16"/>
      <c r="CE36" s="27" t="s">
        <v>706</v>
      </c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27" t="s">
        <v>706</v>
      </c>
      <c r="CS36" s="27" t="s">
        <v>706</v>
      </c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16"/>
      <c r="EJ36" s="16"/>
      <c r="EK36" s="16"/>
      <c r="EL36" s="16"/>
      <c r="EM36" s="16"/>
      <c r="EN36" s="16"/>
      <c r="EO36" s="16"/>
      <c r="EP36" s="16"/>
      <c r="EQ36" s="16"/>
      <c r="ER36" s="16"/>
      <c r="ES36" s="16"/>
      <c r="ET36" s="16"/>
      <c r="EU36" s="16"/>
      <c r="EV36" s="16"/>
      <c r="EW36" s="16"/>
      <c r="EX36" s="16"/>
      <c r="EY36" s="16"/>
      <c r="EZ36" s="16"/>
      <c r="FA36" s="16"/>
      <c r="FB36" s="16"/>
      <c r="FC36" s="16"/>
      <c r="FD36" s="16"/>
      <c r="FE36" s="16"/>
      <c r="FF36" s="16"/>
      <c r="FG36" s="16"/>
      <c r="FH36" s="16"/>
      <c r="FI36" s="16"/>
      <c r="FJ36" s="16"/>
      <c r="FK36" s="16"/>
      <c r="FL36" s="16"/>
      <c r="FM36" s="16"/>
      <c r="FN36" s="16"/>
      <c r="FO36" s="16"/>
      <c r="FP36" s="16"/>
      <c r="FQ36" s="16"/>
      <c r="FR36" s="16"/>
      <c r="FS36" s="16"/>
      <c r="FT36" s="16"/>
      <c r="FU36" s="16"/>
      <c r="FV36" s="16"/>
      <c r="FW36" s="16"/>
      <c r="FX36" s="16"/>
      <c r="FY36" s="16"/>
      <c r="FZ36" s="16"/>
      <c r="GA36" s="16"/>
      <c r="GB36" s="16"/>
      <c r="GC36" s="16"/>
      <c r="GD36" s="16"/>
      <c r="GE36" s="16"/>
      <c r="GF36" s="16"/>
      <c r="GG36" s="16"/>
      <c r="GH36" s="16"/>
      <c r="GI36" s="16"/>
      <c r="GJ36" s="16"/>
      <c r="GK36" s="16"/>
      <c r="GL36" s="16"/>
      <c r="GM36" s="16"/>
      <c r="GN36" s="16"/>
      <c r="GO36" s="16"/>
      <c r="GP36" s="16"/>
      <c r="GQ36" s="16"/>
      <c r="GR36" s="16"/>
      <c r="GS36" s="16"/>
      <c r="GT36" s="16"/>
      <c r="GU36" s="16"/>
      <c r="GV36" s="16"/>
      <c r="GW36" s="16"/>
      <c r="GX36" s="16"/>
      <c r="GY36" s="16"/>
      <c r="GZ36" s="16"/>
      <c r="HA36" s="16"/>
      <c r="HB36" s="16"/>
      <c r="HC36" s="16"/>
      <c r="HD36" s="16"/>
      <c r="HE36" s="16"/>
      <c r="HF36" s="16"/>
      <c r="HG36" s="16"/>
      <c r="HH36" s="16"/>
      <c r="HI36" s="16"/>
      <c r="HJ36" s="16"/>
      <c r="HK36" s="16"/>
      <c r="HL36" s="16"/>
      <c r="HM36" s="16"/>
      <c r="HN36" s="16"/>
      <c r="HO36" s="16"/>
      <c r="HP36" s="16"/>
      <c r="HQ36" s="16"/>
      <c r="HR36" s="16"/>
      <c r="HS36" s="16"/>
      <c r="HT36" s="16"/>
      <c r="HU36" s="16"/>
      <c r="HV36" s="16"/>
      <c r="HW36" s="16"/>
      <c r="HX36" s="16"/>
      <c r="HY36" s="16"/>
      <c r="HZ36" s="16"/>
      <c r="IA36" s="16"/>
      <c r="IB36" s="16"/>
      <c r="IC36" s="16"/>
      <c r="ID36" s="16"/>
      <c r="IE36" s="16"/>
      <c r="IF36" s="16"/>
      <c r="IG36" s="16"/>
      <c r="IH36" s="16"/>
      <c r="II36" s="16"/>
      <c r="IJ36" s="16"/>
      <c r="IK36" s="16"/>
      <c r="IL36" s="16"/>
      <c r="IM36" s="16"/>
      <c r="IN36" s="16"/>
      <c r="IO36" s="16"/>
      <c r="IP36" s="16"/>
      <c r="IQ36" s="16"/>
      <c r="IR36" s="16"/>
      <c r="IS36" s="16"/>
      <c r="IT36" s="16"/>
      <c r="IU36" s="16"/>
      <c r="IV36" s="16"/>
      <c r="IW36" s="16"/>
      <c r="IX36" s="16"/>
      <c r="IY36" s="16"/>
      <c r="IZ36" s="16"/>
      <c r="JA36" s="16"/>
      <c r="JB36" s="16"/>
      <c r="JC36" s="16"/>
      <c r="JD36" s="16"/>
      <c r="JE36" s="16"/>
      <c r="JF36" s="16"/>
      <c r="JG36" s="16"/>
      <c r="JH36" s="16"/>
      <c r="JI36" s="16"/>
      <c r="JJ36" s="16"/>
      <c r="JK36" s="16"/>
      <c r="JL36" s="16"/>
      <c r="JM36" s="16"/>
      <c r="JN36" s="16"/>
      <c r="JO36" s="16"/>
      <c r="JP36" s="16"/>
      <c r="JQ36" s="16"/>
      <c r="JR36" s="16"/>
      <c r="JS36" s="16"/>
      <c r="JT36" s="16"/>
      <c r="JU36" s="16"/>
      <c r="JV36" s="16"/>
      <c r="JW36" s="16"/>
      <c r="JX36" s="16"/>
      <c r="JY36" s="16"/>
      <c r="JZ36" s="16"/>
      <c r="KA36" s="16"/>
      <c r="KB36" s="16"/>
      <c r="KC36" s="16"/>
      <c r="KD36" s="16"/>
      <c r="KE36" s="16"/>
      <c r="KF36" s="16"/>
      <c r="KG36" s="16"/>
      <c r="KH36" s="16"/>
      <c r="KI36" s="16"/>
      <c r="KJ36" s="16"/>
      <c r="KK36" s="16"/>
      <c r="KL36" s="16"/>
      <c r="KM36" s="16"/>
      <c r="KN36" s="16"/>
      <c r="KO36" s="16"/>
      <c r="KP36" s="16"/>
      <c r="KQ36" s="16"/>
    </row>
    <row r="37" spans="1:303" ht="43.5" customHeight="1" x14ac:dyDescent="0.25">
      <c r="A37" s="1" t="s">
        <v>1661</v>
      </c>
      <c r="B37" s="279" t="s">
        <v>2341</v>
      </c>
      <c r="C37" s="1" t="s">
        <v>2342</v>
      </c>
      <c r="D37" s="1" t="s">
        <v>2382</v>
      </c>
      <c r="E37" s="1" t="s">
        <v>80</v>
      </c>
      <c r="F37" s="1" t="s">
        <v>690</v>
      </c>
      <c r="G37" s="1" t="s">
        <v>2343</v>
      </c>
      <c r="H37" s="1"/>
      <c r="I37" s="1" t="s">
        <v>701</v>
      </c>
      <c r="J37" s="1">
        <v>2012</v>
      </c>
      <c r="K37" s="280"/>
      <c r="L37" s="16" t="s">
        <v>684</v>
      </c>
      <c r="M37" s="16" t="s">
        <v>2366</v>
      </c>
      <c r="N37" s="16" t="s">
        <v>2373</v>
      </c>
      <c r="O37" s="25" t="s">
        <v>142</v>
      </c>
      <c r="P37" s="16"/>
      <c r="Q37" s="27" t="s">
        <v>706</v>
      </c>
      <c r="R37" s="16"/>
      <c r="S37" s="28" t="s">
        <v>2374</v>
      </c>
      <c r="T37" s="16"/>
      <c r="U37" s="28" t="s">
        <v>2374</v>
      </c>
      <c r="V37" s="16"/>
      <c r="W37" s="16"/>
      <c r="X37" s="16"/>
      <c r="Y37" s="28" t="s">
        <v>2374</v>
      </c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25"/>
      <c r="AW37" s="28" t="s">
        <v>2375</v>
      </c>
      <c r="AX37" s="16"/>
      <c r="AY37" s="16"/>
      <c r="AZ37" s="28" t="s">
        <v>2375</v>
      </c>
      <c r="BA37" s="28" t="s">
        <v>2375</v>
      </c>
      <c r="BB37" s="16"/>
      <c r="BC37" s="16"/>
      <c r="BD37" s="16"/>
      <c r="BE37" s="16"/>
      <c r="BF37" s="16"/>
      <c r="BG37" s="27" t="s">
        <v>706</v>
      </c>
      <c r="BH37" s="28" t="s">
        <v>2375</v>
      </c>
      <c r="BI37" s="28" t="s">
        <v>2375</v>
      </c>
      <c r="BJ37" s="16"/>
      <c r="BK37" s="27" t="s">
        <v>706</v>
      </c>
      <c r="BL37" s="27" t="s">
        <v>706</v>
      </c>
      <c r="BM37" s="28" t="s">
        <v>2375</v>
      </c>
      <c r="BN37" s="16"/>
      <c r="BO37" s="27" t="s">
        <v>706</v>
      </c>
      <c r="BP37" s="16"/>
      <c r="BQ37" s="16"/>
      <c r="BR37" s="16"/>
      <c r="BS37" s="16"/>
      <c r="BT37" s="16"/>
      <c r="BU37" s="16"/>
      <c r="BV37" s="16"/>
      <c r="BW37" s="16"/>
      <c r="BX37" s="28" t="s">
        <v>2375</v>
      </c>
      <c r="BY37" s="16"/>
      <c r="BZ37" s="16"/>
      <c r="CA37" s="27" t="s">
        <v>706</v>
      </c>
      <c r="CB37" s="28" t="s">
        <v>2375</v>
      </c>
      <c r="CC37" s="28" t="s">
        <v>2375</v>
      </c>
      <c r="CD37" s="16"/>
      <c r="CE37" s="27" t="s">
        <v>706</v>
      </c>
      <c r="CF37" s="27" t="s">
        <v>706</v>
      </c>
      <c r="CG37" s="16"/>
      <c r="CH37" s="16"/>
      <c r="CI37" s="16"/>
      <c r="CJ37" s="16"/>
      <c r="CK37" s="16"/>
      <c r="CL37" s="16"/>
      <c r="CM37" s="16"/>
      <c r="CN37" s="27" t="s">
        <v>706</v>
      </c>
      <c r="CO37" s="27" t="s">
        <v>706</v>
      </c>
      <c r="CP37" s="16"/>
      <c r="CQ37" s="16"/>
      <c r="CR37" s="28" t="s">
        <v>2375</v>
      </c>
      <c r="CS37" s="28" t="s">
        <v>2375</v>
      </c>
      <c r="CT37" s="16"/>
      <c r="CU37" s="27" t="s">
        <v>706</v>
      </c>
      <c r="CV37" s="16"/>
      <c r="CW37" s="16"/>
      <c r="CX37" s="16"/>
      <c r="CY37" s="16"/>
      <c r="CZ37" s="16"/>
      <c r="DA37" s="16"/>
      <c r="DB37" s="16"/>
      <c r="DC37" s="16"/>
      <c r="DD37" s="27" t="s">
        <v>706</v>
      </c>
      <c r="DE37" s="16"/>
      <c r="DF37" s="16"/>
      <c r="DG37" s="16"/>
      <c r="DH37" s="28" t="s">
        <v>2375</v>
      </c>
      <c r="DI37" s="28" t="s">
        <v>2375</v>
      </c>
      <c r="DJ37" s="28" t="s">
        <v>2375</v>
      </c>
      <c r="DK37" s="16"/>
      <c r="DL37" s="16"/>
      <c r="DM37" s="27" t="s">
        <v>706</v>
      </c>
      <c r="DN37" s="27" t="s">
        <v>706</v>
      </c>
      <c r="DO37" s="16"/>
      <c r="DP37" s="16"/>
      <c r="DQ37" s="27" t="s">
        <v>706</v>
      </c>
      <c r="DR37" s="27" t="s">
        <v>706</v>
      </c>
      <c r="DS37" s="16"/>
      <c r="DT37" s="27" t="s">
        <v>706</v>
      </c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  <c r="EF37" s="16"/>
      <c r="EG37" s="16"/>
      <c r="EH37" s="16"/>
      <c r="EI37" s="16"/>
      <c r="EJ37" s="16"/>
      <c r="EK37" s="16"/>
      <c r="EL37" s="16"/>
      <c r="EM37" s="16"/>
      <c r="EN37" s="16"/>
      <c r="EO37" s="16"/>
      <c r="EP37" s="16"/>
      <c r="EQ37" s="16"/>
      <c r="ER37" s="16"/>
      <c r="ES37" s="16"/>
      <c r="ET37" s="16"/>
      <c r="EU37" s="16"/>
      <c r="EV37" s="16"/>
      <c r="EW37" s="16"/>
      <c r="EX37" s="16"/>
      <c r="EY37" s="16"/>
      <c r="EZ37" s="16"/>
      <c r="FA37" s="16"/>
      <c r="FB37" s="16"/>
      <c r="FC37" s="16"/>
      <c r="FD37" s="16"/>
      <c r="FE37" s="16"/>
      <c r="FF37" s="16"/>
      <c r="FG37" s="16"/>
      <c r="FH37" s="16"/>
      <c r="FI37" s="16"/>
      <c r="FJ37" s="16"/>
      <c r="FK37" s="16"/>
      <c r="FL37" s="16"/>
      <c r="FM37" s="16"/>
      <c r="FN37" s="16"/>
      <c r="FO37" s="16"/>
      <c r="FP37" s="16"/>
      <c r="FQ37" s="16"/>
      <c r="FR37" s="16"/>
      <c r="FS37" s="16"/>
      <c r="FT37" s="16"/>
      <c r="FU37" s="16"/>
      <c r="FV37" s="16"/>
      <c r="FW37" s="16"/>
      <c r="FX37" s="16"/>
      <c r="FY37" s="16"/>
      <c r="FZ37" s="16"/>
      <c r="GA37" s="16"/>
      <c r="GB37" s="16"/>
      <c r="GC37" s="16"/>
      <c r="GD37" s="16"/>
      <c r="GE37" s="16"/>
      <c r="GF37" s="16"/>
      <c r="GG37" s="16"/>
      <c r="GH37" s="16"/>
      <c r="GI37" s="16"/>
      <c r="GJ37" s="16"/>
      <c r="GK37" s="16"/>
      <c r="GL37" s="16"/>
      <c r="GM37" s="16"/>
      <c r="GN37" s="16"/>
      <c r="GO37" s="16"/>
      <c r="GP37" s="16"/>
      <c r="GQ37" s="16"/>
      <c r="GR37" s="16"/>
      <c r="GS37" s="16"/>
      <c r="GT37" s="16"/>
      <c r="GU37" s="16"/>
      <c r="GV37" s="16"/>
      <c r="GW37" s="16"/>
      <c r="GX37" s="16"/>
      <c r="GY37" s="16"/>
      <c r="GZ37" s="16"/>
      <c r="HA37" s="16"/>
      <c r="HB37" s="16"/>
      <c r="HC37" s="16"/>
      <c r="HD37" s="16"/>
      <c r="HE37" s="16"/>
      <c r="HF37" s="16"/>
      <c r="HG37" s="16"/>
      <c r="HH37" s="16"/>
      <c r="HI37" s="16"/>
      <c r="HJ37" s="16"/>
      <c r="HK37" s="16"/>
      <c r="HL37" s="16"/>
      <c r="HM37" s="16"/>
      <c r="HN37" s="16"/>
      <c r="HO37" s="16"/>
      <c r="HP37" s="16"/>
      <c r="HQ37" s="16"/>
      <c r="HR37" s="16"/>
      <c r="HS37" s="16"/>
      <c r="HT37" s="16"/>
      <c r="HU37" s="16"/>
      <c r="HV37" s="16"/>
      <c r="HW37" s="16"/>
      <c r="HX37" s="16"/>
      <c r="HY37" s="16"/>
      <c r="HZ37" s="16"/>
      <c r="IA37" s="16"/>
      <c r="IB37" s="16"/>
      <c r="IC37" s="16"/>
      <c r="ID37" s="16"/>
      <c r="IE37" s="16"/>
      <c r="IF37" s="16"/>
      <c r="IG37" s="16"/>
      <c r="IH37" s="16"/>
      <c r="II37" s="16"/>
      <c r="IJ37" s="16"/>
      <c r="IK37" s="16"/>
      <c r="IL37" s="16"/>
      <c r="IM37" s="16"/>
      <c r="IN37" s="16"/>
      <c r="IO37" s="16"/>
      <c r="IP37" s="16"/>
      <c r="IQ37" s="16"/>
      <c r="IR37" s="16"/>
      <c r="IS37" s="16"/>
      <c r="IT37" s="16"/>
      <c r="IU37" s="16"/>
      <c r="IV37" s="16"/>
      <c r="IW37" s="16"/>
      <c r="IX37" s="16"/>
      <c r="IY37" s="16"/>
      <c r="IZ37" s="16"/>
      <c r="JA37" s="16"/>
      <c r="JB37" s="16"/>
      <c r="JC37" s="16"/>
      <c r="JD37" s="16"/>
      <c r="JE37" s="16"/>
      <c r="JF37" s="16"/>
      <c r="JG37" s="16"/>
      <c r="JH37" s="16"/>
      <c r="JI37" s="16"/>
      <c r="JJ37" s="16"/>
      <c r="JK37" s="16"/>
      <c r="JL37" s="16"/>
      <c r="JM37" s="16"/>
      <c r="JN37" s="16"/>
      <c r="JO37" s="16"/>
      <c r="JP37" s="16"/>
      <c r="JQ37" s="16"/>
      <c r="JR37" s="16"/>
      <c r="JS37" s="16"/>
      <c r="JT37" s="16"/>
      <c r="JU37" s="16"/>
      <c r="JV37" s="16"/>
      <c r="JW37" s="16"/>
      <c r="JX37" s="16"/>
      <c r="JY37" s="16"/>
      <c r="JZ37" s="16"/>
      <c r="KA37" s="16"/>
      <c r="KB37" s="16"/>
      <c r="KC37" s="16"/>
      <c r="KD37" s="16"/>
      <c r="KE37" s="16"/>
      <c r="KF37" s="16"/>
      <c r="KG37" s="16"/>
      <c r="KH37" s="16"/>
      <c r="KI37" s="16"/>
      <c r="KJ37" s="16"/>
      <c r="KK37" s="16"/>
      <c r="KL37" s="16"/>
      <c r="KM37" s="16"/>
      <c r="KN37" s="16"/>
      <c r="KO37" s="16"/>
      <c r="KP37" s="16"/>
      <c r="KQ37" s="16"/>
    </row>
    <row r="38" spans="1:303" x14ac:dyDescent="0.25">
      <c r="A38" s="1" t="s">
        <v>732</v>
      </c>
      <c r="B38" s="279">
        <v>206</v>
      </c>
      <c r="C38" s="1" t="s">
        <v>2344</v>
      </c>
      <c r="D38" s="1" t="s">
        <v>2345</v>
      </c>
      <c r="E38" s="1" t="s">
        <v>685</v>
      </c>
      <c r="F38" s="1" t="s">
        <v>690</v>
      </c>
      <c r="G38" s="1" t="s">
        <v>2346</v>
      </c>
      <c r="H38" s="1"/>
      <c r="I38" s="1" t="s">
        <v>142</v>
      </c>
      <c r="J38" s="280">
        <v>37364</v>
      </c>
      <c r="K38" s="1" t="s">
        <v>804</v>
      </c>
      <c r="L38" s="16"/>
      <c r="M38" s="16"/>
      <c r="N38" s="281" t="s">
        <v>142</v>
      </c>
      <c r="O38" s="16"/>
      <c r="P38" s="25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25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</row>
    <row r="39" spans="1:303" x14ac:dyDescent="0.25">
      <c r="A39" s="1" t="s">
        <v>747</v>
      </c>
      <c r="B39" s="279" t="s">
        <v>2347</v>
      </c>
      <c r="C39" s="1" t="s">
        <v>2348</v>
      </c>
      <c r="D39" s="1" t="s">
        <v>142</v>
      </c>
      <c r="E39" s="1" t="s">
        <v>80</v>
      </c>
      <c r="F39" s="1" t="s">
        <v>690</v>
      </c>
      <c r="G39" s="1" t="s">
        <v>2349</v>
      </c>
      <c r="H39" s="1"/>
      <c r="I39" s="1" t="s">
        <v>142</v>
      </c>
      <c r="J39" s="1" t="s">
        <v>2350</v>
      </c>
      <c r="K39" s="280">
        <v>41716</v>
      </c>
      <c r="L39" s="16" t="s">
        <v>684</v>
      </c>
      <c r="M39" s="16" t="s">
        <v>2365</v>
      </c>
      <c r="N39" s="16" t="s">
        <v>2372</v>
      </c>
      <c r="O39" s="25" t="s">
        <v>142</v>
      </c>
      <c r="P39" s="16"/>
      <c r="Q39" s="27" t="s">
        <v>706</v>
      </c>
      <c r="R39" s="16"/>
      <c r="S39" s="27" t="s">
        <v>706</v>
      </c>
      <c r="T39" s="16"/>
      <c r="U39" s="27" t="s">
        <v>706</v>
      </c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25"/>
      <c r="AW39" s="27" t="s">
        <v>706</v>
      </c>
      <c r="AX39" s="16"/>
      <c r="AY39" s="16"/>
      <c r="AZ39" s="27" t="s">
        <v>706</v>
      </c>
      <c r="BA39" s="27" t="s">
        <v>706</v>
      </c>
      <c r="BB39" s="16"/>
      <c r="BC39" s="16"/>
      <c r="BD39" s="16"/>
      <c r="BE39" s="16"/>
      <c r="BF39" s="16"/>
      <c r="BG39" s="27" t="s">
        <v>706</v>
      </c>
      <c r="BH39" s="27" t="s">
        <v>706</v>
      </c>
      <c r="BI39" s="27" t="s">
        <v>706</v>
      </c>
      <c r="BJ39" s="16"/>
      <c r="BK39" s="27" t="s">
        <v>706</v>
      </c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27" t="s">
        <v>706</v>
      </c>
      <c r="BY39" s="16"/>
      <c r="BZ39" s="16"/>
      <c r="CA39" s="16"/>
      <c r="CB39" s="27" t="s">
        <v>706</v>
      </c>
      <c r="CC39" s="27" t="s">
        <v>706</v>
      </c>
      <c r="CD39" s="16"/>
      <c r="CE39" s="27" t="s">
        <v>706</v>
      </c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27" t="s">
        <v>706</v>
      </c>
      <c r="CS39" s="27" t="s">
        <v>706</v>
      </c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</row>
    <row r="40" spans="1:303" x14ac:dyDescent="0.25">
      <c r="A40" s="1" t="s">
        <v>768</v>
      </c>
      <c r="B40" s="1" t="s">
        <v>2351</v>
      </c>
      <c r="C40" s="1" t="s">
        <v>2352</v>
      </c>
      <c r="D40" s="1" t="s">
        <v>2383</v>
      </c>
      <c r="E40" s="1" t="s">
        <v>80</v>
      </c>
      <c r="F40" s="1" t="s">
        <v>690</v>
      </c>
      <c r="G40" s="1" t="s">
        <v>2353</v>
      </c>
      <c r="H40" s="1"/>
      <c r="I40" s="1" t="s">
        <v>142</v>
      </c>
      <c r="J40" s="280">
        <v>38896</v>
      </c>
      <c r="K40" s="280">
        <v>41718</v>
      </c>
      <c r="L40" s="16" t="s">
        <v>723</v>
      </c>
      <c r="M40" s="16" t="s">
        <v>2367</v>
      </c>
      <c r="N40" s="16" t="s">
        <v>2376</v>
      </c>
      <c r="O40" s="25" t="s">
        <v>142</v>
      </c>
      <c r="P40" s="16"/>
      <c r="Q40" s="16"/>
      <c r="R40" s="16"/>
      <c r="S40" s="16"/>
      <c r="T40" s="16"/>
      <c r="U40" s="16"/>
      <c r="V40" s="16"/>
      <c r="W40" s="27" t="s">
        <v>697</v>
      </c>
      <c r="X40" s="27" t="s">
        <v>697</v>
      </c>
      <c r="Y40" s="27" t="s">
        <v>697</v>
      </c>
      <c r="Z40" s="27" t="s">
        <v>697</v>
      </c>
      <c r="AA40" s="27" t="s">
        <v>697</v>
      </c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25"/>
      <c r="AW40" s="27" t="s">
        <v>697</v>
      </c>
      <c r="AX40" s="16"/>
      <c r="AY40" s="16"/>
      <c r="AZ40" s="27" t="s">
        <v>697</v>
      </c>
      <c r="BA40" s="27" t="s">
        <v>697</v>
      </c>
      <c r="BB40" s="16"/>
      <c r="BC40" s="16"/>
      <c r="BD40" s="16"/>
      <c r="BE40" s="16"/>
      <c r="BF40" s="16"/>
      <c r="BG40" s="27" t="s">
        <v>697</v>
      </c>
      <c r="BH40" s="27" t="s">
        <v>697</v>
      </c>
      <c r="BI40" s="27" t="s">
        <v>697</v>
      </c>
      <c r="BJ40" s="16"/>
      <c r="BK40" s="27" t="s">
        <v>697</v>
      </c>
      <c r="BL40" s="27" t="s">
        <v>697</v>
      </c>
      <c r="BM40" s="27" t="s">
        <v>697</v>
      </c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27" t="s">
        <v>697</v>
      </c>
      <c r="BY40" s="16"/>
      <c r="BZ40" s="16"/>
      <c r="CA40" s="16"/>
      <c r="CB40" s="27" t="s">
        <v>697</v>
      </c>
      <c r="CC40" s="27" t="s">
        <v>697</v>
      </c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</row>
    <row r="41" spans="1:303" x14ac:dyDescent="0.25">
      <c r="A41" s="1" t="s">
        <v>795</v>
      </c>
      <c r="B41" s="1" t="s">
        <v>2354</v>
      </c>
      <c r="C41" s="1" t="s">
        <v>2355</v>
      </c>
      <c r="D41" s="1" t="s">
        <v>2356</v>
      </c>
      <c r="E41" s="1" t="s">
        <v>81</v>
      </c>
      <c r="F41" s="1" t="s">
        <v>690</v>
      </c>
      <c r="G41" s="1" t="s">
        <v>2346</v>
      </c>
      <c r="H41" s="1"/>
      <c r="I41" s="1" t="s">
        <v>142</v>
      </c>
      <c r="J41" s="1">
        <v>2005</v>
      </c>
      <c r="K41" s="280"/>
      <c r="L41" s="16" t="s">
        <v>694</v>
      </c>
      <c r="M41" s="16" t="s">
        <v>2368</v>
      </c>
      <c r="N41" s="16" t="s">
        <v>2377</v>
      </c>
      <c r="O41" s="25" t="s">
        <v>142</v>
      </c>
      <c r="P41" s="16"/>
      <c r="Q41" s="16"/>
      <c r="R41" s="16"/>
      <c r="S41" s="16"/>
      <c r="T41" s="16"/>
      <c r="U41" s="16"/>
      <c r="V41" s="16"/>
      <c r="W41" s="27" t="s">
        <v>697</v>
      </c>
      <c r="X41" s="16"/>
      <c r="Y41" s="16"/>
      <c r="Z41" s="27" t="s">
        <v>697</v>
      </c>
      <c r="AA41" s="27" t="s">
        <v>697</v>
      </c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25"/>
      <c r="AW41" s="27" t="s">
        <v>697</v>
      </c>
      <c r="AX41" s="16"/>
      <c r="AY41" s="16"/>
      <c r="AZ41" s="27" t="s">
        <v>697</v>
      </c>
      <c r="BA41" s="27" t="s">
        <v>697</v>
      </c>
      <c r="BB41" s="16"/>
      <c r="BC41" s="16"/>
      <c r="BD41" s="16"/>
      <c r="BE41" s="16"/>
      <c r="BF41" s="16"/>
      <c r="BG41" s="16"/>
      <c r="BH41" s="27" t="s">
        <v>697</v>
      </c>
      <c r="BI41" s="27" t="s">
        <v>697</v>
      </c>
      <c r="BJ41" s="16"/>
      <c r="BK41" s="27" t="s">
        <v>697</v>
      </c>
      <c r="BL41" s="27" t="s">
        <v>697</v>
      </c>
      <c r="BM41" s="16"/>
      <c r="BN41" s="27" t="s">
        <v>697</v>
      </c>
      <c r="BO41" s="16"/>
      <c r="BP41" s="16"/>
      <c r="BQ41" s="16"/>
      <c r="BR41" s="16"/>
      <c r="BS41" s="16"/>
      <c r="BT41" s="16"/>
      <c r="BU41" s="16"/>
      <c r="BV41" s="16"/>
      <c r="BW41" s="16"/>
      <c r="BX41" s="27" t="s">
        <v>697</v>
      </c>
      <c r="BY41" s="16"/>
      <c r="BZ41" s="16"/>
      <c r="CA41" s="16"/>
      <c r="CB41" s="27" t="s">
        <v>697</v>
      </c>
      <c r="CC41" s="27" t="s">
        <v>697</v>
      </c>
      <c r="CD41" s="16"/>
      <c r="CE41" s="27" t="s">
        <v>697</v>
      </c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</row>
    <row r="42" spans="1:303" x14ac:dyDescent="0.25">
      <c r="A42" s="1" t="s">
        <v>708</v>
      </c>
      <c r="B42" s="1" t="s">
        <v>2357</v>
      </c>
      <c r="C42" s="1" t="s">
        <v>2358</v>
      </c>
      <c r="D42" s="1" t="s">
        <v>2384</v>
      </c>
      <c r="E42" s="1" t="s">
        <v>80</v>
      </c>
      <c r="F42" s="1" t="s">
        <v>681</v>
      </c>
      <c r="G42" s="1" t="s">
        <v>2359</v>
      </c>
      <c r="H42" s="1"/>
      <c r="I42" s="1" t="s">
        <v>142</v>
      </c>
      <c r="J42" s="282">
        <v>38626</v>
      </c>
      <c r="K42" s="280"/>
      <c r="L42" s="16" t="s">
        <v>684</v>
      </c>
      <c r="M42" s="16" t="s">
        <v>2369</v>
      </c>
      <c r="N42" s="16" t="s">
        <v>2378</v>
      </c>
      <c r="O42" s="25" t="s">
        <v>142</v>
      </c>
      <c r="P42" s="16"/>
      <c r="Q42" s="27" t="s">
        <v>706</v>
      </c>
      <c r="R42" s="16"/>
      <c r="S42" s="27" t="s">
        <v>706</v>
      </c>
      <c r="T42" s="16"/>
      <c r="U42" s="27" t="s">
        <v>706</v>
      </c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25"/>
      <c r="AW42" s="27" t="s">
        <v>706</v>
      </c>
      <c r="AX42" s="16"/>
      <c r="AY42" s="27" t="s">
        <v>706</v>
      </c>
      <c r="AZ42" s="27" t="s">
        <v>706</v>
      </c>
      <c r="BA42" s="27" t="s">
        <v>706</v>
      </c>
      <c r="BB42" s="27" t="s">
        <v>706</v>
      </c>
      <c r="BC42" s="27" t="s">
        <v>706</v>
      </c>
      <c r="BD42" s="27" t="s">
        <v>706</v>
      </c>
      <c r="BE42" s="27" t="s">
        <v>706</v>
      </c>
      <c r="BF42" s="16"/>
      <c r="BG42" s="16"/>
      <c r="BH42" s="27" t="s">
        <v>706</v>
      </c>
      <c r="BI42" s="27" t="s">
        <v>706</v>
      </c>
      <c r="BJ42" s="27" t="s">
        <v>706</v>
      </c>
      <c r="BK42" s="27" t="s">
        <v>706</v>
      </c>
      <c r="BL42" s="27" t="s">
        <v>706</v>
      </c>
      <c r="BM42" s="27" t="s">
        <v>706</v>
      </c>
      <c r="BN42" s="16"/>
      <c r="BO42" s="27" t="s">
        <v>706</v>
      </c>
      <c r="BP42" s="27" t="s">
        <v>706</v>
      </c>
      <c r="BQ42" s="27" t="s">
        <v>706</v>
      </c>
      <c r="BR42" s="16"/>
      <c r="BS42" s="16"/>
      <c r="BT42" s="27" t="s">
        <v>706</v>
      </c>
      <c r="BU42" s="27" t="s">
        <v>706</v>
      </c>
      <c r="BV42" s="16"/>
      <c r="BW42" s="16"/>
      <c r="BX42" s="27" t="s">
        <v>706</v>
      </c>
      <c r="BY42" s="16"/>
      <c r="BZ42" s="16"/>
      <c r="CA42" s="16"/>
      <c r="CB42" s="27" t="s">
        <v>706</v>
      </c>
      <c r="CC42" s="27" t="s">
        <v>706</v>
      </c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27" t="s">
        <v>706</v>
      </c>
      <c r="CQ42" s="27" t="s">
        <v>706</v>
      </c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27" t="s">
        <v>706</v>
      </c>
      <c r="DI42" s="16"/>
      <c r="DJ42" s="27" t="s">
        <v>706</v>
      </c>
      <c r="DK42" s="16"/>
      <c r="DL42" s="27" t="s">
        <v>706</v>
      </c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</row>
    <row r="43" spans="1:303" x14ac:dyDescent="0.25">
      <c r="A43" s="1" t="s">
        <v>2360</v>
      </c>
      <c r="B43" s="1" t="s">
        <v>2361</v>
      </c>
      <c r="C43" s="1" t="s">
        <v>2362</v>
      </c>
      <c r="D43" s="1" t="s">
        <v>2385</v>
      </c>
      <c r="E43" s="1" t="s">
        <v>80</v>
      </c>
      <c r="F43" s="1" t="s">
        <v>690</v>
      </c>
      <c r="G43" s="1" t="s">
        <v>2363</v>
      </c>
      <c r="H43" s="1"/>
      <c r="I43" s="1" t="s">
        <v>142</v>
      </c>
      <c r="J43" s="282">
        <v>37865</v>
      </c>
      <c r="K43" s="280">
        <v>41718</v>
      </c>
      <c r="L43" s="16" t="s">
        <v>723</v>
      </c>
      <c r="M43" s="16" t="s">
        <v>2370</v>
      </c>
      <c r="N43" s="16" t="s">
        <v>2379</v>
      </c>
      <c r="O43" s="25" t="s">
        <v>142</v>
      </c>
      <c r="P43" s="16"/>
      <c r="Q43" s="16"/>
      <c r="R43" s="16"/>
      <c r="S43" s="16"/>
      <c r="T43" s="16"/>
      <c r="U43" s="16"/>
      <c r="V43" s="16"/>
      <c r="W43" s="27" t="s">
        <v>2380</v>
      </c>
      <c r="X43" s="27" t="s">
        <v>2380</v>
      </c>
      <c r="Y43" s="27" t="s">
        <v>2380</v>
      </c>
      <c r="Z43" s="27" t="s">
        <v>2380</v>
      </c>
      <c r="AA43" s="27" t="s">
        <v>2380</v>
      </c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25"/>
      <c r="AW43" s="27" t="s">
        <v>2380</v>
      </c>
      <c r="AX43" s="16"/>
      <c r="AY43" s="16"/>
      <c r="AZ43" s="27" t="s">
        <v>2380</v>
      </c>
      <c r="BA43" s="27" t="s">
        <v>2380</v>
      </c>
      <c r="BB43" s="16"/>
      <c r="BC43" s="16"/>
      <c r="BD43" s="16"/>
      <c r="BE43" s="16"/>
      <c r="BF43" s="16"/>
      <c r="BG43" s="27" t="s">
        <v>2380</v>
      </c>
      <c r="BH43" s="27" t="s">
        <v>2380</v>
      </c>
      <c r="BI43" s="27" t="s">
        <v>2380</v>
      </c>
      <c r="BJ43" s="16"/>
      <c r="BK43" s="27" t="s">
        <v>2380</v>
      </c>
      <c r="BL43" s="27" t="s">
        <v>2380</v>
      </c>
      <c r="BM43" s="27" t="s">
        <v>2380</v>
      </c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27" t="s">
        <v>2380</v>
      </c>
      <c r="BY43" s="16"/>
      <c r="BZ43" s="16"/>
      <c r="CA43" s="16"/>
      <c r="CB43" s="27" t="s">
        <v>2380</v>
      </c>
      <c r="CC43" s="27" t="s">
        <v>2380</v>
      </c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</row>
    <row r="44" spans="1:303" x14ac:dyDescent="0.25">
      <c r="A44" s="353" t="s">
        <v>2545</v>
      </c>
      <c r="B44" s="353" t="s">
        <v>2546</v>
      </c>
      <c r="C44" s="353" t="s">
        <v>2547</v>
      </c>
      <c r="D44" s="353" t="s">
        <v>685</v>
      </c>
      <c r="E44" s="353" t="s">
        <v>81</v>
      </c>
      <c r="F44" s="353" t="s">
        <v>690</v>
      </c>
      <c r="G44" s="354"/>
      <c r="H44" s="354"/>
      <c r="I44" s="354"/>
      <c r="J44" s="353" t="s">
        <v>685</v>
      </c>
      <c r="K44" s="354"/>
      <c r="L44" s="354"/>
      <c r="M44" s="353" t="s">
        <v>2548</v>
      </c>
      <c r="N44" t="s">
        <v>2544</v>
      </c>
      <c r="O44" s="355"/>
      <c r="P44" s="353" t="s">
        <v>2549</v>
      </c>
      <c r="Q44" s="353" t="s">
        <v>2549</v>
      </c>
      <c r="R44" s="353" t="s">
        <v>2549</v>
      </c>
      <c r="S44" s="353" t="s">
        <v>2549</v>
      </c>
      <c r="T44" s="354"/>
      <c r="U44" s="354"/>
      <c r="V44" s="354"/>
      <c r="W44" s="354"/>
      <c r="X44" s="354"/>
      <c r="Y44" s="354"/>
      <c r="Z44" s="353" t="s">
        <v>2549</v>
      </c>
      <c r="AA44" s="354"/>
      <c r="AB44" s="354"/>
      <c r="AC44" s="354"/>
      <c r="AD44" s="354"/>
      <c r="AE44" s="354"/>
      <c r="AF44" s="354"/>
      <c r="AG44" s="354"/>
      <c r="AH44" s="354"/>
      <c r="AI44" s="354"/>
      <c r="AJ44" s="354"/>
      <c r="AK44" s="354"/>
      <c r="AL44" s="354"/>
      <c r="AM44" s="354"/>
      <c r="AN44" s="354"/>
      <c r="AO44" s="354"/>
      <c r="AP44" s="354"/>
      <c r="AQ44" s="354"/>
      <c r="AR44" s="354"/>
      <c r="AS44" s="354"/>
      <c r="AT44" s="354"/>
      <c r="AU44" s="354"/>
      <c r="AV44" s="355"/>
      <c r="AW44" s="353" t="s">
        <v>2549</v>
      </c>
      <c r="AX44" s="354"/>
      <c r="AY44" s="354"/>
      <c r="AZ44" s="353" t="s">
        <v>2549</v>
      </c>
      <c r="BA44" s="353" t="s">
        <v>2549</v>
      </c>
      <c r="BB44" s="354"/>
      <c r="BC44" s="354"/>
      <c r="BD44" s="354"/>
      <c r="BE44" s="354"/>
      <c r="BF44" s="354"/>
      <c r="BG44" s="353" t="s">
        <v>2549</v>
      </c>
      <c r="BH44" s="353" t="s">
        <v>2549</v>
      </c>
      <c r="BI44" s="353" t="s">
        <v>2549</v>
      </c>
      <c r="BJ44" s="354"/>
      <c r="BK44" s="353" t="s">
        <v>2549</v>
      </c>
      <c r="BL44" s="353" t="s">
        <v>2549</v>
      </c>
      <c r="BM44" s="354"/>
      <c r="BN44" s="354"/>
      <c r="BO44" s="354"/>
      <c r="BP44" s="354"/>
      <c r="BQ44" s="354"/>
      <c r="BR44" s="354"/>
      <c r="BS44" s="354"/>
      <c r="BT44" s="354"/>
      <c r="BU44" s="354"/>
      <c r="BV44" s="354"/>
      <c r="BW44" s="354"/>
      <c r="BX44" s="353" t="s">
        <v>2549</v>
      </c>
      <c r="BY44" s="354"/>
      <c r="BZ44" s="354"/>
      <c r="CA44" s="354"/>
      <c r="CB44" s="353" t="s">
        <v>2549</v>
      </c>
      <c r="CC44" s="353" t="s">
        <v>2549</v>
      </c>
      <c r="CD44" s="354"/>
      <c r="CE44" s="353" t="s">
        <v>2549</v>
      </c>
      <c r="CF44" s="354"/>
      <c r="CG44" s="354"/>
      <c r="CH44" s="354"/>
      <c r="CI44" s="354"/>
      <c r="CJ44" s="354"/>
      <c r="CK44" s="354"/>
      <c r="CL44" s="354"/>
      <c r="CM44" s="354"/>
      <c r="CN44" s="353" t="s">
        <v>2549</v>
      </c>
      <c r="CO44" s="354"/>
      <c r="CP44" s="354"/>
      <c r="CQ44" s="353" t="s">
        <v>2549</v>
      </c>
      <c r="CR44" s="354"/>
      <c r="CS44" s="354"/>
      <c r="CT44" s="354"/>
      <c r="CU44" s="353" t="s">
        <v>2549</v>
      </c>
      <c r="CV44" s="354"/>
      <c r="CW44" s="354"/>
      <c r="CX44" s="354"/>
      <c r="CY44" s="354"/>
      <c r="CZ44" s="354"/>
      <c r="DA44" s="354"/>
      <c r="DB44" s="354"/>
      <c r="DC44" s="354"/>
      <c r="DD44" s="354"/>
      <c r="DE44" s="354"/>
      <c r="DF44" s="354"/>
      <c r="DG44" s="354"/>
      <c r="DH44" s="353" t="s">
        <v>2549</v>
      </c>
      <c r="DI44" s="353" t="s">
        <v>2549</v>
      </c>
      <c r="DJ44" s="354"/>
      <c r="DK44" s="354"/>
      <c r="DL44" s="354"/>
      <c r="DM44" s="354"/>
      <c r="DN44" s="354"/>
      <c r="DO44" s="354"/>
      <c r="DP44" s="354"/>
      <c r="DQ44" s="353" t="s">
        <v>2549</v>
      </c>
      <c r="DR44" s="353" t="s">
        <v>2549</v>
      </c>
      <c r="DS44" s="354"/>
      <c r="DT44" s="354"/>
      <c r="DU44" s="354"/>
      <c r="DV44" s="354"/>
      <c r="DW44" s="354"/>
      <c r="DX44" s="354"/>
      <c r="DY44" s="354"/>
      <c r="DZ44" s="354"/>
      <c r="EA44" s="354"/>
      <c r="EB44" s="354"/>
      <c r="EC44" s="354"/>
      <c r="ED44" s="354"/>
      <c r="EE44" s="354"/>
      <c r="EF44" s="354"/>
      <c r="EG44" s="354"/>
      <c r="EH44" s="354"/>
      <c r="EI44" s="354"/>
      <c r="EJ44" s="354"/>
      <c r="EK44" s="354"/>
      <c r="EL44" s="354"/>
      <c r="EM44" s="354"/>
      <c r="EN44" s="354"/>
      <c r="EO44" s="354"/>
      <c r="EP44" s="354"/>
      <c r="EQ44" s="354"/>
      <c r="ER44" s="354"/>
      <c r="ES44" s="354"/>
      <c r="ET44" s="354"/>
      <c r="EU44" s="354"/>
      <c r="EV44" s="354"/>
      <c r="EW44" s="354"/>
      <c r="EX44" s="354"/>
      <c r="EY44" s="354"/>
      <c r="EZ44" s="354"/>
      <c r="FA44" s="354"/>
      <c r="FB44" s="354"/>
      <c r="FC44" s="354"/>
      <c r="FD44" s="354"/>
      <c r="FE44" s="354"/>
      <c r="FF44" s="354"/>
      <c r="FG44" s="354"/>
      <c r="FH44" s="354"/>
      <c r="FI44" s="354"/>
      <c r="FJ44" s="354"/>
      <c r="FK44" s="354"/>
      <c r="FL44" s="354"/>
      <c r="FM44" s="354"/>
      <c r="FN44" s="354"/>
      <c r="FO44" s="354"/>
      <c r="FP44" s="354"/>
      <c r="FQ44" s="354"/>
      <c r="FR44" s="354"/>
      <c r="FS44" s="354"/>
      <c r="FT44" s="354"/>
      <c r="FU44" s="354"/>
      <c r="FV44" s="354"/>
      <c r="FW44" s="354"/>
      <c r="FX44" s="354"/>
      <c r="FY44" s="354"/>
      <c r="FZ44" s="354"/>
      <c r="GA44" s="354"/>
      <c r="GB44" s="354"/>
      <c r="GC44" s="354"/>
      <c r="GD44" s="354"/>
      <c r="GE44" s="354"/>
      <c r="GF44" s="354"/>
      <c r="GG44" s="354"/>
      <c r="GH44" s="354"/>
      <c r="GI44" s="354"/>
      <c r="GJ44" s="354"/>
      <c r="GK44" s="354"/>
      <c r="GL44" s="354"/>
      <c r="GM44" s="354"/>
      <c r="GN44" s="354"/>
      <c r="GO44" s="354"/>
      <c r="GP44" s="354"/>
      <c r="GQ44" s="354"/>
      <c r="GR44" s="354"/>
      <c r="GS44" s="354"/>
      <c r="GT44" s="354"/>
      <c r="GU44" s="354"/>
      <c r="GV44" s="354"/>
      <c r="GW44" s="354"/>
      <c r="GX44" s="354"/>
      <c r="GY44" s="354"/>
      <c r="GZ44" s="354"/>
      <c r="HA44" s="354"/>
      <c r="HB44" s="354"/>
      <c r="HC44" s="354"/>
      <c r="HD44" s="354"/>
      <c r="HE44" s="354"/>
      <c r="HF44" s="354"/>
      <c r="HG44" s="354"/>
      <c r="HH44" s="354"/>
      <c r="HI44" s="354"/>
      <c r="HJ44" s="354"/>
      <c r="HK44" s="354"/>
      <c r="HL44" s="354"/>
      <c r="HM44" s="354"/>
      <c r="HN44" s="354"/>
      <c r="HO44" s="354"/>
      <c r="HP44" s="354"/>
      <c r="HQ44" s="354"/>
      <c r="HR44" s="354"/>
      <c r="HS44" s="354"/>
      <c r="HT44" s="354"/>
      <c r="HU44" s="354"/>
      <c r="HV44" s="354"/>
      <c r="HW44" s="354"/>
      <c r="HX44" s="354"/>
      <c r="HY44" s="354"/>
      <c r="HZ44" s="354"/>
      <c r="IA44" s="354"/>
      <c r="IB44" s="354"/>
      <c r="IC44" s="354"/>
      <c r="ID44" s="354"/>
      <c r="IE44" s="354"/>
      <c r="IF44" s="354"/>
      <c r="IG44" s="354"/>
      <c r="IH44" s="354"/>
      <c r="II44" s="354"/>
      <c r="IJ44" s="354"/>
      <c r="IK44" s="354"/>
      <c r="IL44" s="354"/>
      <c r="IM44" s="354"/>
      <c r="IN44" s="354"/>
      <c r="IO44" s="354"/>
      <c r="IP44" s="354"/>
      <c r="IQ44" s="354"/>
      <c r="IR44" s="354"/>
      <c r="IS44" s="354"/>
      <c r="IT44" s="354"/>
      <c r="IU44" s="354"/>
      <c r="IV44" s="354"/>
      <c r="IW44" s="354"/>
      <c r="IX44" s="354"/>
      <c r="IY44" s="354"/>
      <c r="IZ44" s="354"/>
      <c r="JA44" s="354"/>
      <c r="JB44" s="354"/>
      <c r="JC44" s="354"/>
      <c r="JD44" s="354"/>
      <c r="JE44" s="354"/>
      <c r="JF44" s="354"/>
      <c r="JG44" s="354"/>
      <c r="JH44" s="354"/>
      <c r="JI44" s="354"/>
      <c r="JJ44" s="354"/>
      <c r="JK44" s="354"/>
      <c r="JL44" s="354"/>
      <c r="JM44" s="354"/>
      <c r="JN44" s="354"/>
      <c r="JO44" s="354"/>
      <c r="JP44" s="354"/>
      <c r="JQ44" s="354"/>
      <c r="JR44" s="354"/>
      <c r="JS44" s="354"/>
      <c r="JT44" s="354"/>
      <c r="JU44" s="354"/>
      <c r="JV44" s="354"/>
      <c r="JW44" s="354"/>
      <c r="JX44" s="354"/>
      <c r="JY44" s="354"/>
      <c r="JZ44" s="354"/>
      <c r="KA44" s="354"/>
      <c r="KB44" s="354"/>
      <c r="KC44" s="354"/>
      <c r="KD44" s="354"/>
      <c r="KE44" s="354"/>
      <c r="KF44" s="354"/>
      <c r="KG44" s="354"/>
      <c r="KH44" s="354"/>
      <c r="KI44" s="354"/>
      <c r="KJ44" s="354"/>
      <c r="KK44" s="354"/>
      <c r="KL44" s="354"/>
      <c r="KM44" s="354"/>
      <c r="KN44" s="354"/>
      <c r="KO44" s="354"/>
      <c r="KP44" s="354"/>
      <c r="KQ44" s="354"/>
    </row>
    <row r="45" spans="1:303" x14ac:dyDescent="0.25">
      <c r="A45" s="281" t="s">
        <v>747</v>
      </c>
      <c r="B45" s="281" t="s">
        <v>2560</v>
      </c>
      <c r="C45" s="281" t="s">
        <v>2547</v>
      </c>
      <c r="D45" s="337" t="s">
        <v>2559</v>
      </c>
      <c r="E45" s="281" t="s">
        <v>80</v>
      </c>
      <c r="F45" s="281" t="s">
        <v>690</v>
      </c>
      <c r="G45" s="16"/>
      <c r="H45" s="16"/>
      <c r="I45" s="29" t="s">
        <v>701</v>
      </c>
      <c r="J45" s="281" t="s">
        <v>685</v>
      </c>
      <c r="K45" s="16"/>
      <c r="L45" s="16"/>
      <c r="M45" s="281" t="s">
        <v>2561</v>
      </c>
      <c r="N45" s="1" t="s">
        <v>2558</v>
      </c>
      <c r="O45" s="25"/>
      <c r="P45" s="281" t="s">
        <v>142</v>
      </c>
      <c r="Q45" s="27" t="s">
        <v>706</v>
      </c>
      <c r="R45" s="16"/>
      <c r="S45" s="27" t="s">
        <v>706</v>
      </c>
      <c r="T45" s="16"/>
      <c r="U45" s="27" t="s">
        <v>706</v>
      </c>
      <c r="V45" s="16"/>
      <c r="W45" s="16"/>
      <c r="X45" s="16"/>
      <c r="Y45" s="27" t="s">
        <v>706</v>
      </c>
      <c r="Z45" s="27" t="s">
        <v>706</v>
      </c>
      <c r="AA45" s="16"/>
      <c r="AB45" s="16"/>
      <c r="AC45" s="16"/>
      <c r="AD45" s="27" t="s">
        <v>706</v>
      </c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25"/>
      <c r="AW45" s="27" t="s">
        <v>706</v>
      </c>
      <c r="AX45" s="16"/>
      <c r="AY45" s="16"/>
      <c r="AZ45" s="27" t="s">
        <v>706</v>
      </c>
      <c r="BA45" s="27" t="s">
        <v>706</v>
      </c>
      <c r="BB45" s="16"/>
      <c r="BC45" s="16"/>
      <c r="BD45" s="16"/>
      <c r="BE45" s="16"/>
      <c r="BF45" s="16"/>
      <c r="BG45" s="27" t="s">
        <v>706</v>
      </c>
      <c r="BH45" s="27" t="s">
        <v>706</v>
      </c>
      <c r="BI45" s="27" t="s">
        <v>706</v>
      </c>
      <c r="BJ45" s="16"/>
      <c r="BK45" s="27" t="s">
        <v>706</v>
      </c>
      <c r="BL45" s="27" t="s">
        <v>706</v>
      </c>
      <c r="BM45" s="27" t="s">
        <v>706</v>
      </c>
      <c r="BN45" s="16"/>
      <c r="BO45" s="27" t="s">
        <v>706</v>
      </c>
      <c r="BP45" s="16"/>
      <c r="BQ45" s="16"/>
      <c r="BR45" s="16"/>
      <c r="BS45" s="16"/>
      <c r="BT45" s="16"/>
      <c r="BU45" s="16"/>
      <c r="BV45" s="16"/>
      <c r="BW45" s="16"/>
      <c r="BX45" s="27" t="s">
        <v>706</v>
      </c>
      <c r="BY45" s="16"/>
      <c r="BZ45" s="16"/>
      <c r="CA45" s="16"/>
      <c r="CB45" s="27" t="s">
        <v>706</v>
      </c>
      <c r="CC45" s="27" t="s">
        <v>706</v>
      </c>
      <c r="CD45" s="16"/>
      <c r="CE45" s="27" t="s">
        <v>706</v>
      </c>
      <c r="CF45" s="27" t="s">
        <v>706</v>
      </c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27" t="s">
        <v>706</v>
      </c>
      <c r="CS45" s="27" t="s">
        <v>706</v>
      </c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27" t="s">
        <v>706</v>
      </c>
      <c r="DI45" s="27" t="s">
        <v>706</v>
      </c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  <c r="EF45" s="16"/>
      <c r="EG45" s="16"/>
      <c r="EH45" s="16"/>
      <c r="EI45" s="16"/>
      <c r="EJ45" s="16"/>
      <c r="EK45" s="16"/>
      <c r="EL45" s="16"/>
      <c r="EM45" s="16"/>
      <c r="EN45" s="16"/>
      <c r="EO45" s="16"/>
      <c r="EP45" s="16"/>
      <c r="EQ45" s="16"/>
      <c r="ER45" s="16"/>
      <c r="ES45" s="16"/>
      <c r="ET45" s="16"/>
      <c r="EU45" s="16"/>
      <c r="EV45" s="16"/>
      <c r="EW45" s="16"/>
      <c r="EX45" s="16"/>
      <c r="EY45" s="16"/>
      <c r="EZ45" s="16"/>
      <c r="FA45" s="16"/>
      <c r="FB45" s="16"/>
      <c r="FC45" s="16"/>
      <c r="FD45" s="16"/>
      <c r="FE45" s="16"/>
      <c r="FF45" s="16"/>
      <c r="FG45" s="16"/>
      <c r="FH45" s="16"/>
      <c r="FI45" s="16"/>
      <c r="FJ45" s="16"/>
      <c r="FK45" s="16"/>
      <c r="FL45" s="16"/>
      <c r="FM45" s="16"/>
      <c r="FN45" s="16"/>
      <c r="FO45" s="16"/>
      <c r="FP45" s="16"/>
      <c r="FQ45" s="16"/>
      <c r="FR45" s="16"/>
      <c r="FS45" s="16"/>
      <c r="FT45" s="16"/>
      <c r="FU45" s="16"/>
      <c r="FV45" s="16"/>
      <c r="FW45" s="16"/>
      <c r="FX45" s="16"/>
      <c r="FY45" s="16"/>
      <c r="FZ45" s="16"/>
      <c r="GA45" s="16"/>
      <c r="GB45" s="16"/>
      <c r="GC45" s="16"/>
      <c r="GD45" s="16"/>
      <c r="GE45" s="16"/>
      <c r="GF45" s="16"/>
      <c r="GG45" s="16"/>
      <c r="GH45" s="16"/>
      <c r="GI45" s="16"/>
      <c r="GJ45" s="16"/>
      <c r="GK45" s="16"/>
      <c r="GL45" s="16"/>
      <c r="GM45" s="16"/>
      <c r="GN45" s="16"/>
      <c r="GO45" s="16"/>
      <c r="GP45" s="16"/>
      <c r="GQ45" s="16"/>
      <c r="GR45" s="16"/>
      <c r="GS45" s="16"/>
      <c r="GT45" s="16"/>
      <c r="GU45" s="16"/>
      <c r="GV45" s="16"/>
      <c r="GW45" s="16"/>
      <c r="GX45" s="16"/>
      <c r="GY45" s="16"/>
      <c r="GZ45" s="16"/>
      <c r="HA45" s="16"/>
      <c r="HB45" s="16"/>
      <c r="HC45" s="16"/>
      <c r="HD45" s="16"/>
      <c r="HE45" s="16"/>
      <c r="HF45" s="16"/>
      <c r="HG45" s="16"/>
      <c r="HH45" s="16"/>
      <c r="HI45" s="16"/>
      <c r="HJ45" s="16"/>
      <c r="HK45" s="16"/>
      <c r="HL45" s="16"/>
      <c r="HM45" s="16"/>
      <c r="HN45" s="16"/>
      <c r="HO45" s="16"/>
      <c r="HP45" s="16"/>
      <c r="HQ45" s="16"/>
      <c r="HR45" s="16"/>
      <c r="HS45" s="16"/>
      <c r="HT45" s="16"/>
      <c r="HU45" s="16"/>
      <c r="HV45" s="16"/>
      <c r="HW45" s="16"/>
      <c r="HX45" s="16"/>
      <c r="HY45" s="16"/>
      <c r="HZ45" s="16"/>
      <c r="IA45" s="16"/>
      <c r="IB45" s="16"/>
      <c r="IC45" s="16"/>
      <c r="ID45" s="16"/>
      <c r="IE45" s="16"/>
      <c r="IF45" s="16"/>
      <c r="IG45" s="16"/>
      <c r="IH45" s="16"/>
      <c r="II45" s="16"/>
      <c r="IJ45" s="16"/>
      <c r="IK45" s="16"/>
      <c r="IL45" s="16"/>
      <c r="IM45" s="16"/>
      <c r="IN45" s="16"/>
      <c r="IO45" s="16"/>
      <c r="IP45" s="16"/>
      <c r="IQ45" s="16"/>
      <c r="IR45" s="16"/>
      <c r="IS45" s="16"/>
      <c r="IT45" s="16"/>
      <c r="IU45" s="16"/>
      <c r="IV45" s="16"/>
      <c r="IW45" s="16"/>
      <c r="IX45" s="16"/>
      <c r="IY45" s="16"/>
      <c r="IZ45" s="16"/>
      <c r="JA45" s="16"/>
      <c r="JB45" s="16"/>
      <c r="JC45" s="16"/>
      <c r="JD45" s="16"/>
      <c r="JE45" s="16"/>
      <c r="JF45" s="16"/>
      <c r="JG45" s="16"/>
      <c r="JH45" s="16"/>
      <c r="JI45" s="16"/>
      <c r="JJ45" s="16"/>
      <c r="JK45" s="16"/>
      <c r="JL45" s="16"/>
      <c r="JM45" s="16"/>
      <c r="JN45" s="16"/>
      <c r="JO45" s="16"/>
      <c r="JP45" s="16"/>
      <c r="JQ45" s="16"/>
      <c r="JR45" s="16"/>
      <c r="JS45" s="16"/>
      <c r="JT45" s="16"/>
      <c r="JU45" s="16"/>
      <c r="JV45" s="16"/>
      <c r="JW45" s="16"/>
      <c r="JX45" s="16"/>
      <c r="JY45" s="16"/>
      <c r="JZ45" s="16"/>
      <c r="KA45" s="16"/>
      <c r="KB45" s="16"/>
      <c r="KC45" s="16"/>
      <c r="KD45" s="16"/>
      <c r="KE45" s="16"/>
      <c r="KF45" s="16"/>
      <c r="KG45" s="16"/>
      <c r="KH45" s="16"/>
      <c r="KI45" s="16"/>
      <c r="KJ45" s="16"/>
      <c r="KK45" s="16"/>
      <c r="KL45" s="16"/>
      <c r="KM45" s="16"/>
      <c r="KN45" s="16"/>
      <c r="KO45" s="16"/>
      <c r="KP45" s="16"/>
      <c r="KQ45" s="16"/>
    </row>
    <row r="46" spans="1:303" x14ac:dyDescent="0.25">
      <c r="A46" s="16" t="s">
        <v>768</v>
      </c>
      <c r="B46" s="281" t="s">
        <v>2565</v>
      </c>
      <c r="C46" s="281" t="s">
        <v>2580</v>
      </c>
      <c r="D46" s="337" t="s">
        <v>2564</v>
      </c>
      <c r="E46" s="281" t="s">
        <v>80</v>
      </c>
      <c r="F46" s="281" t="s">
        <v>690</v>
      </c>
      <c r="G46" s="16"/>
      <c r="H46" s="16"/>
      <c r="I46" s="16"/>
      <c r="J46" s="16"/>
      <c r="K46" s="16"/>
      <c r="L46" s="16"/>
      <c r="M46" s="1" t="s">
        <v>2566</v>
      </c>
      <c r="N46" s="1" t="s">
        <v>2563</v>
      </c>
      <c r="O46" s="25"/>
      <c r="P46" s="16"/>
      <c r="Q46" s="281" t="s">
        <v>2488</v>
      </c>
      <c r="R46" s="16"/>
      <c r="S46" s="281" t="s">
        <v>2488</v>
      </c>
      <c r="T46" s="16"/>
      <c r="U46" s="281" t="s">
        <v>2488</v>
      </c>
      <c r="V46" s="16"/>
      <c r="W46" s="16"/>
      <c r="X46" s="16"/>
      <c r="Y46" s="281" t="s">
        <v>2488</v>
      </c>
      <c r="Z46" s="281" t="s">
        <v>2488</v>
      </c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25"/>
      <c r="AW46" s="281" t="s">
        <v>2488</v>
      </c>
      <c r="AX46" s="16"/>
      <c r="AY46" s="16"/>
      <c r="AZ46" s="281" t="s">
        <v>2488</v>
      </c>
      <c r="BA46" s="281" t="s">
        <v>2488</v>
      </c>
      <c r="BB46" s="16"/>
      <c r="BC46" s="16"/>
      <c r="BD46" s="16"/>
      <c r="BE46" s="16"/>
      <c r="BF46" s="16"/>
      <c r="BG46" s="281" t="s">
        <v>2488</v>
      </c>
      <c r="BH46" s="281" t="s">
        <v>2488</v>
      </c>
      <c r="BI46" s="281" t="s">
        <v>2488</v>
      </c>
      <c r="BJ46" s="16"/>
      <c r="BK46" s="281" t="s">
        <v>2488</v>
      </c>
      <c r="BL46" s="281" t="s">
        <v>2488</v>
      </c>
      <c r="BM46" s="281" t="s">
        <v>2488</v>
      </c>
      <c r="BN46" s="16"/>
      <c r="BO46" s="281" t="s">
        <v>2488</v>
      </c>
      <c r="BP46" s="16"/>
      <c r="BQ46" s="16"/>
      <c r="BR46" s="16"/>
      <c r="BS46" s="16"/>
      <c r="BT46" s="16"/>
      <c r="BU46" s="16"/>
      <c r="BV46" s="16"/>
      <c r="BW46" s="16"/>
      <c r="BX46" s="281" t="s">
        <v>2488</v>
      </c>
      <c r="BY46" s="16"/>
      <c r="BZ46" s="16"/>
      <c r="CA46" s="281" t="s">
        <v>2488</v>
      </c>
      <c r="CB46" s="281" t="s">
        <v>2488</v>
      </c>
      <c r="CC46" s="281" t="s">
        <v>2488</v>
      </c>
      <c r="CD46" s="16"/>
      <c r="CE46" s="281" t="s">
        <v>2488</v>
      </c>
      <c r="CF46" s="281" t="s">
        <v>2488</v>
      </c>
      <c r="CG46" s="16"/>
      <c r="CH46" s="16"/>
      <c r="CI46" s="16"/>
      <c r="CJ46" s="16"/>
      <c r="CK46" s="16"/>
      <c r="CL46" s="16"/>
      <c r="CM46" s="16"/>
      <c r="CN46" s="281" t="s">
        <v>2488</v>
      </c>
      <c r="CO46" s="281" t="s">
        <v>2488</v>
      </c>
      <c r="CP46" s="16"/>
      <c r="CQ46" s="16"/>
      <c r="CR46" s="281" t="s">
        <v>2488</v>
      </c>
      <c r="CS46" s="281" t="s">
        <v>2488</v>
      </c>
      <c r="CT46" s="16"/>
      <c r="CU46" s="281" t="s">
        <v>2488</v>
      </c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281" t="s">
        <v>2488</v>
      </c>
      <c r="DI46" s="281" t="s">
        <v>2488</v>
      </c>
      <c r="DJ46" s="281" t="s">
        <v>2488</v>
      </c>
      <c r="DK46" s="16"/>
      <c r="DL46" s="16"/>
      <c r="DM46" s="281" t="s">
        <v>2488</v>
      </c>
      <c r="DN46" s="281" t="s">
        <v>2488</v>
      </c>
      <c r="DO46" s="16"/>
      <c r="DP46" s="16"/>
      <c r="DQ46" s="281" t="s">
        <v>2488</v>
      </c>
      <c r="DR46" s="281" t="s">
        <v>2488</v>
      </c>
      <c r="DS46" s="16"/>
      <c r="DT46" s="281" t="s">
        <v>2488</v>
      </c>
      <c r="DU46" s="16"/>
      <c r="DV46" s="16"/>
      <c r="DW46" s="281" t="s">
        <v>2488</v>
      </c>
      <c r="DX46" s="16"/>
      <c r="DY46" s="16"/>
      <c r="DZ46" s="16"/>
      <c r="EA46" s="16"/>
      <c r="EB46" s="16"/>
      <c r="EC46" s="16"/>
      <c r="ED46" s="16"/>
      <c r="EE46" s="16"/>
      <c r="EF46" s="16"/>
      <c r="EG46" s="16"/>
      <c r="EH46" s="16"/>
      <c r="EI46" s="16"/>
      <c r="EJ46" s="16"/>
      <c r="EK46" s="16"/>
      <c r="EL46" s="16"/>
      <c r="EM46" s="16"/>
      <c r="EN46" s="16"/>
      <c r="EO46" s="16"/>
      <c r="EP46" s="16"/>
      <c r="EQ46" s="16"/>
      <c r="ER46" s="16"/>
      <c r="ES46" s="16"/>
      <c r="ET46" s="16"/>
      <c r="EU46" s="16"/>
      <c r="EV46" s="16"/>
      <c r="EW46" s="16"/>
      <c r="EX46" s="16"/>
      <c r="EY46" s="16"/>
      <c r="EZ46" s="16"/>
      <c r="FA46" s="16"/>
      <c r="FB46" s="16"/>
      <c r="FC46" s="16"/>
      <c r="FD46" s="16"/>
      <c r="FE46" s="16"/>
      <c r="FF46" s="16"/>
      <c r="FG46" s="16"/>
      <c r="FH46" s="16"/>
      <c r="FI46" s="16"/>
      <c r="FJ46" s="16"/>
      <c r="FK46" s="16"/>
      <c r="FL46" s="16"/>
      <c r="FM46" s="16"/>
      <c r="FN46" s="16"/>
      <c r="FO46" s="16"/>
      <c r="FP46" s="16"/>
      <c r="FQ46" s="16"/>
      <c r="FR46" s="16"/>
      <c r="FS46" s="16"/>
      <c r="FT46" s="16"/>
      <c r="FU46" s="16"/>
      <c r="FV46" s="16"/>
      <c r="FW46" s="16"/>
      <c r="FX46" s="16"/>
      <c r="FY46" s="16"/>
      <c r="FZ46" s="16"/>
      <c r="GA46" s="16"/>
      <c r="GB46" s="16"/>
      <c r="GC46" s="16"/>
      <c r="GD46" s="16"/>
      <c r="GE46" s="16"/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16"/>
      <c r="GV46" s="16"/>
      <c r="GW46" s="16"/>
      <c r="GX46" s="16"/>
      <c r="GY46" s="16"/>
      <c r="GZ46" s="16"/>
      <c r="HA46" s="16"/>
      <c r="HB46" s="16"/>
      <c r="HC46" s="16"/>
      <c r="HD46" s="16"/>
      <c r="HE46" s="16"/>
      <c r="HF46" s="16"/>
      <c r="HG46" s="16"/>
      <c r="HH46" s="16"/>
      <c r="HI46" s="16"/>
      <c r="HJ46" s="16"/>
      <c r="HK46" s="16"/>
      <c r="HL46" s="16"/>
      <c r="HM46" s="16"/>
      <c r="HN46" s="16"/>
      <c r="HO46" s="16"/>
      <c r="HP46" s="16"/>
      <c r="HQ46" s="16"/>
      <c r="HR46" s="16"/>
      <c r="HS46" s="16"/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6"/>
      <c r="IF46" s="16"/>
      <c r="IG46" s="16"/>
      <c r="IH46" s="16"/>
      <c r="II46" s="16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16"/>
      <c r="IU46" s="16"/>
      <c r="IV46" s="16"/>
      <c r="IW46" s="16"/>
      <c r="IX46" s="16"/>
      <c r="IY46" s="16"/>
      <c r="IZ46" s="16"/>
      <c r="JA46" s="16"/>
      <c r="JB46" s="16"/>
      <c r="JC46" s="16"/>
      <c r="JD46" s="16"/>
      <c r="JE46" s="16"/>
      <c r="JF46" s="16"/>
      <c r="JG46" s="16"/>
      <c r="JH46" s="16"/>
      <c r="JI46" s="16"/>
      <c r="JJ46" s="16"/>
      <c r="JK46" s="16"/>
      <c r="JL46" s="16"/>
      <c r="JM46" s="16"/>
      <c r="JN46" s="16"/>
      <c r="JO46" s="16"/>
      <c r="JP46" s="16"/>
      <c r="JQ46" s="16"/>
      <c r="JR46" s="16"/>
      <c r="JS46" s="16"/>
      <c r="JT46" s="16"/>
      <c r="JU46" s="16"/>
      <c r="JV46" s="16"/>
      <c r="JW46" s="16"/>
      <c r="JX46" s="16"/>
      <c r="JY46" s="16"/>
      <c r="JZ46" s="16"/>
      <c r="KA46" s="16"/>
      <c r="KB46" s="16"/>
      <c r="KC46" s="16"/>
      <c r="KD46" s="16"/>
      <c r="KE46" s="16"/>
      <c r="KF46" s="16"/>
      <c r="KG46" s="16"/>
      <c r="KH46" s="16"/>
      <c r="KI46" s="16"/>
      <c r="KJ46" s="16"/>
      <c r="KK46" s="16"/>
      <c r="KL46" s="16"/>
      <c r="KM46" s="16"/>
      <c r="KN46" s="16"/>
      <c r="KO46" s="16"/>
      <c r="KP46" s="16"/>
      <c r="KQ46" s="16"/>
    </row>
    <row r="47" spans="1:303" x14ac:dyDescent="0.25">
      <c r="A47" s="281" t="s">
        <v>1661</v>
      </c>
      <c r="B47" s="281" t="s">
        <v>2578</v>
      </c>
      <c r="C47" s="281" t="s">
        <v>2579</v>
      </c>
      <c r="D47" s="16" t="s">
        <v>2581</v>
      </c>
      <c r="E47" s="281" t="s">
        <v>80</v>
      </c>
      <c r="F47" s="281" t="s">
        <v>690</v>
      </c>
      <c r="G47" s="281" t="s">
        <v>2582</v>
      </c>
      <c r="H47" s="16"/>
      <c r="I47" s="16"/>
      <c r="J47" s="16"/>
      <c r="K47" s="16"/>
      <c r="L47" s="16"/>
      <c r="M47" s="281" t="s">
        <v>2583</v>
      </c>
      <c r="N47" s="281" t="s">
        <v>2576</v>
      </c>
      <c r="O47" s="25"/>
      <c r="P47" s="281" t="s">
        <v>142</v>
      </c>
      <c r="Q47" s="27" t="s">
        <v>706</v>
      </c>
      <c r="R47" s="16"/>
      <c r="S47" s="27" t="s">
        <v>706</v>
      </c>
      <c r="T47" s="16"/>
      <c r="U47" s="27" t="s">
        <v>706</v>
      </c>
      <c r="V47" s="16"/>
      <c r="W47" s="16"/>
      <c r="X47" s="16"/>
      <c r="Y47" s="27" t="s">
        <v>706</v>
      </c>
      <c r="Z47" s="27" t="s">
        <v>706</v>
      </c>
      <c r="AA47" s="16"/>
      <c r="AB47" s="16"/>
      <c r="AC47" s="16"/>
      <c r="AD47" s="27" t="s">
        <v>706</v>
      </c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25"/>
      <c r="AW47" s="27" t="s">
        <v>706</v>
      </c>
      <c r="AX47" s="16"/>
      <c r="AY47" s="16"/>
      <c r="AZ47" s="27" t="s">
        <v>706</v>
      </c>
      <c r="BA47" s="27" t="s">
        <v>706</v>
      </c>
      <c r="BB47" s="16"/>
      <c r="BC47" s="16"/>
      <c r="BD47" s="16"/>
      <c r="BE47" s="16"/>
      <c r="BF47" s="16"/>
      <c r="BG47" s="27" t="s">
        <v>706</v>
      </c>
      <c r="BH47" s="27" t="s">
        <v>706</v>
      </c>
      <c r="BI47" s="27" t="s">
        <v>706</v>
      </c>
      <c r="BJ47" s="16"/>
      <c r="BK47" s="27" t="s">
        <v>706</v>
      </c>
      <c r="BL47" s="27" t="s">
        <v>706</v>
      </c>
      <c r="BM47" s="27" t="s">
        <v>706</v>
      </c>
      <c r="BN47" s="16"/>
      <c r="BO47" s="27" t="s">
        <v>706</v>
      </c>
      <c r="BP47" s="16"/>
      <c r="BQ47" s="16"/>
      <c r="BR47" s="16"/>
      <c r="BS47" s="16"/>
      <c r="BT47" s="16"/>
      <c r="BU47" s="16"/>
      <c r="BV47" s="16"/>
      <c r="BW47" s="16"/>
      <c r="BX47" s="27" t="s">
        <v>706</v>
      </c>
      <c r="BY47" s="16"/>
      <c r="BZ47" s="16"/>
      <c r="CA47" s="27" t="s">
        <v>706</v>
      </c>
      <c r="CB47" s="27" t="s">
        <v>706</v>
      </c>
      <c r="CC47" s="27" t="s">
        <v>706</v>
      </c>
      <c r="CD47" s="16"/>
      <c r="CE47" s="27" t="s">
        <v>706</v>
      </c>
      <c r="CF47" s="27" t="s">
        <v>706</v>
      </c>
      <c r="CG47" s="16"/>
      <c r="CH47" s="16"/>
      <c r="CI47" s="16"/>
      <c r="CJ47" s="16"/>
      <c r="CK47" s="16"/>
      <c r="CL47" s="16"/>
      <c r="CM47" s="16"/>
      <c r="CN47" s="27" t="s">
        <v>706</v>
      </c>
      <c r="CO47" s="27" t="s">
        <v>706</v>
      </c>
      <c r="CP47" s="16"/>
      <c r="CQ47" s="16"/>
      <c r="CR47" s="27" t="s">
        <v>706</v>
      </c>
      <c r="CS47" s="27" t="s">
        <v>706</v>
      </c>
      <c r="CT47" s="16"/>
      <c r="CU47" s="27" t="s">
        <v>706</v>
      </c>
      <c r="CV47" s="16"/>
      <c r="CW47" s="16"/>
      <c r="CX47" s="16"/>
      <c r="CY47" s="16"/>
      <c r="CZ47" s="16"/>
      <c r="DA47" s="16"/>
      <c r="DB47" s="16"/>
      <c r="DC47" s="16"/>
      <c r="DD47" s="27" t="s">
        <v>706</v>
      </c>
      <c r="DE47" s="16"/>
      <c r="DF47" s="16"/>
      <c r="DG47" s="16"/>
      <c r="DH47" s="27" t="s">
        <v>706</v>
      </c>
      <c r="DI47" s="27" t="s">
        <v>706</v>
      </c>
      <c r="DJ47" s="27" t="s">
        <v>706</v>
      </c>
      <c r="DK47" s="16"/>
      <c r="DL47" s="16"/>
      <c r="DM47" s="27" t="s">
        <v>706</v>
      </c>
      <c r="DN47" s="27" t="s">
        <v>706</v>
      </c>
      <c r="DO47" s="16"/>
      <c r="DP47" s="16"/>
      <c r="DQ47" s="27" t="s">
        <v>706</v>
      </c>
      <c r="DR47" s="27" t="s">
        <v>706</v>
      </c>
      <c r="DS47" s="16"/>
      <c r="DT47" s="27" t="s">
        <v>706</v>
      </c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  <c r="EF47" s="16"/>
      <c r="EG47" s="16"/>
      <c r="EH47" s="16"/>
      <c r="EI47" s="16"/>
      <c r="EJ47" s="16"/>
      <c r="EK47" s="16"/>
      <c r="EL47" s="16"/>
      <c r="EM47" s="16"/>
      <c r="EN47" s="16"/>
      <c r="EO47" s="16"/>
      <c r="EP47" s="16"/>
      <c r="EQ47" s="16"/>
      <c r="ER47" s="16"/>
      <c r="ES47" s="16"/>
      <c r="ET47" s="16"/>
      <c r="EU47" s="16"/>
      <c r="EV47" s="16"/>
      <c r="EW47" s="16"/>
      <c r="EX47" s="16"/>
      <c r="EY47" s="16"/>
      <c r="EZ47" s="16"/>
      <c r="FA47" s="16"/>
      <c r="FB47" s="16"/>
      <c r="FC47" s="16"/>
      <c r="FD47" s="16"/>
      <c r="FE47" s="16"/>
      <c r="FF47" s="16"/>
      <c r="FG47" s="16"/>
      <c r="FH47" s="16"/>
      <c r="FI47" s="16"/>
      <c r="FJ47" s="16"/>
      <c r="FK47" s="16"/>
      <c r="FL47" s="16"/>
      <c r="FM47" s="16"/>
      <c r="FN47" s="16"/>
      <c r="FO47" s="16"/>
      <c r="FP47" s="16"/>
      <c r="FQ47" s="16"/>
      <c r="FR47" s="16"/>
      <c r="FS47" s="16"/>
      <c r="FT47" s="16"/>
      <c r="FU47" s="16"/>
      <c r="FV47" s="16"/>
      <c r="FW47" s="16"/>
      <c r="FX47" s="16"/>
      <c r="FY47" s="16"/>
      <c r="FZ47" s="16"/>
      <c r="GA47" s="16"/>
      <c r="GB47" s="16"/>
      <c r="GC47" s="16"/>
      <c r="GD47" s="16"/>
      <c r="GE47" s="16"/>
      <c r="GF47" s="16"/>
      <c r="GG47" s="16"/>
      <c r="GH47" s="16"/>
      <c r="GI47" s="16"/>
      <c r="GJ47" s="16"/>
      <c r="GK47" s="16"/>
      <c r="GL47" s="16"/>
      <c r="GM47" s="16"/>
      <c r="GN47" s="16"/>
      <c r="GO47" s="16"/>
      <c r="GP47" s="16"/>
      <c r="GQ47" s="16"/>
      <c r="GR47" s="16"/>
      <c r="GS47" s="16"/>
      <c r="GT47" s="16"/>
      <c r="GU47" s="16"/>
      <c r="GV47" s="16"/>
      <c r="GW47" s="16"/>
      <c r="GX47" s="16"/>
      <c r="GY47" s="16"/>
      <c r="GZ47" s="16"/>
      <c r="HA47" s="16"/>
      <c r="HB47" s="16"/>
      <c r="HC47" s="16"/>
      <c r="HD47" s="16"/>
      <c r="HE47" s="16"/>
      <c r="HF47" s="16"/>
      <c r="HG47" s="16"/>
      <c r="HH47" s="16"/>
      <c r="HI47" s="16"/>
      <c r="HJ47" s="16"/>
      <c r="HK47" s="16"/>
      <c r="HL47" s="16"/>
      <c r="HM47" s="16"/>
      <c r="HN47" s="16"/>
      <c r="HO47" s="16"/>
      <c r="HP47" s="16"/>
      <c r="HQ47" s="16"/>
      <c r="HR47" s="16"/>
      <c r="HS47" s="16"/>
      <c r="HT47" s="16"/>
      <c r="HU47" s="16"/>
      <c r="HV47" s="16"/>
      <c r="HW47" s="16"/>
      <c r="HX47" s="16"/>
      <c r="HY47" s="16"/>
      <c r="HZ47" s="16"/>
      <c r="IA47" s="16"/>
      <c r="IB47" s="16"/>
      <c r="IC47" s="16"/>
      <c r="ID47" s="16"/>
      <c r="IE47" s="16"/>
      <c r="IF47" s="16"/>
      <c r="IG47" s="16"/>
      <c r="IH47" s="16"/>
      <c r="II47" s="16"/>
      <c r="IJ47" s="16"/>
      <c r="IK47" s="16"/>
      <c r="IL47" s="16"/>
      <c r="IM47" s="16"/>
      <c r="IN47" s="16"/>
      <c r="IO47" s="16"/>
      <c r="IP47" s="16"/>
      <c r="IQ47" s="16"/>
      <c r="IR47" s="16"/>
      <c r="IS47" s="16"/>
      <c r="IT47" s="16"/>
      <c r="IU47" s="16"/>
      <c r="IV47" s="16"/>
      <c r="IW47" s="16"/>
      <c r="IX47" s="16"/>
      <c r="IY47" s="16"/>
      <c r="IZ47" s="16"/>
      <c r="JA47" s="16"/>
      <c r="JB47" s="16"/>
      <c r="JC47" s="16"/>
      <c r="JD47" s="16"/>
      <c r="JE47" s="16"/>
      <c r="JF47" s="16"/>
      <c r="JG47" s="16"/>
      <c r="JH47" s="16"/>
      <c r="JI47" s="16"/>
      <c r="JJ47" s="16"/>
      <c r="JK47" s="16"/>
      <c r="JL47" s="16"/>
      <c r="JM47" s="16"/>
      <c r="JN47" s="16"/>
      <c r="JO47" s="16"/>
      <c r="JP47" s="16"/>
      <c r="JQ47" s="16"/>
      <c r="JR47" s="16"/>
      <c r="JS47" s="16"/>
      <c r="JT47" s="16"/>
      <c r="JU47" s="16"/>
      <c r="JV47" s="16"/>
      <c r="JW47" s="16"/>
      <c r="JX47" s="16"/>
      <c r="JY47" s="16"/>
      <c r="JZ47" s="16"/>
      <c r="KA47" s="16"/>
      <c r="KB47" s="16"/>
      <c r="KC47" s="16"/>
      <c r="KD47" s="16"/>
      <c r="KE47" s="16"/>
      <c r="KF47" s="16"/>
      <c r="KG47" s="16"/>
      <c r="KH47" s="16"/>
      <c r="KI47" s="16"/>
      <c r="KJ47" s="16"/>
      <c r="KK47" s="16"/>
      <c r="KL47" s="16"/>
      <c r="KM47" s="16"/>
      <c r="KN47" s="16"/>
      <c r="KO47" s="16"/>
      <c r="KP47" s="16"/>
      <c r="KQ47" s="16"/>
    </row>
    <row r="48" spans="1:303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25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25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  <c r="EF48" s="16"/>
      <c r="EG48" s="16"/>
      <c r="EH48" s="16"/>
      <c r="EI48" s="16"/>
      <c r="EJ48" s="16"/>
      <c r="EK48" s="16"/>
      <c r="EL48" s="16"/>
      <c r="EM48" s="16"/>
      <c r="EN48" s="16"/>
      <c r="EO48" s="16"/>
      <c r="EP48" s="16"/>
      <c r="EQ48" s="16"/>
      <c r="ER48" s="16"/>
      <c r="ES48" s="16"/>
      <c r="ET48" s="16"/>
      <c r="EU48" s="16"/>
      <c r="EV48" s="16"/>
      <c r="EW48" s="16"/>
      <c r="EX48" s="16"/>
      <c r="EY48" s="16"/>
      <c r="EZ48" s="16"/>
      <c r="FA48" s="16"/>
      <c r="FB48" s="16"/>
      <c r="FC48" s="16"/>
      <c r="FD48" s="16"/>
      <c r="FE48" s="16"/>
      <c r="FF48" s="16"/>
      <c r="FG48" s="16"/>
      <c r="FH48" s="16"/>
      <c r="FI48" s="16"/>
      <c r="FJ48" s="16"/>
      <c r="FK48" s="16"/>
      <c r="FL48" s="16"/>
      <c r="FM48" s="16"/>
      <c r="FN48" s="16"/>
      <c r="FO48" s="16"/>
      <c r="FP48" s="16"/>
      <c r="FQ48" s="16"/>
      <c r="FR48" s="16"/>
      <c r="FS48" s="16"/>
      <c r="FT48" s="16"/>
      <c r="FU48" s="16"/>
      <c r="FV48" s="16"/>
      <c r="FW48" s="16"/>
      <c r="FX48" s="16"/>
      <c r="FY48" s="16"/>
      <c r="FZ48" s="16"/>
      <c r="GA48" s="16"/>
      <c r="GB48" s="16"/>
      <c r="GC48" s="16"/>
      <c r="GD48" s="16"/>
      <c r="GE48" s="16"/>
      <c r="GF48" s="16"/>
      <c r="GG48" s="16"/>
      <c r="GH48" s="16"/>
      <c r="GI48" s="16"/>
      <c r="GJ48" s="16"/>
      <c r="GK48" s="16"/>
      <c r="GL48" s="16"/>
      <c r="GM48" s="16"/>
      <c r="GN48" s="16"/>
      <c r="GO48" s="16"/>
      <c r="GP48" s="16"/>
      <c r="GQ48" s="16"/>
      <c r="GR48" s="16"/>
      <c r="GS48" s="16"/>
      <c r="GT48" s="16"/>
      <c r="GU48" s="16"/>
      <c r="GV48" s="16"/>
      <c r="GW48" s="16"/>
      <c r="GX48" s="16"/>
      <c r="GY48" s="16"/>
      <c r="GZ48" s="16"/>
      <c r="HA48" s="16"/>
      <c r="HB48" s="16"/>
      <c r="HC48" s="16"/>
      <c r="HD48" s="16"/>
      <c r="HE48" s="16"/>
      <c r="HF48" s="16"/>
      <c r="HG48" s="16"/>
      <c r="HH48" s="16"/>
      <c r="HI48" s="16"/>
      <c r="HJ48" s="16"/>
      <c r="HK48" s="16"/>
      <c r="HL48" s="16"/>
      <c r="HM48" s="16"/>
      <c r="HN48" s="16"/>
      <c r="HO48" s="16"/>
      <c r="HP48" s="16"/>
      <c r="HQ48" s="16"/>
      <c r="HR48" s="16"/>
      <c r="HS48" s="16"/>
      <c r="HT48" s="16"/>
      <c r="HU48" s="16"/>
      <c r="HV48" s="16"/>
      <c r="HW48" s="16"/>
      <c r="HX48" s="16"/>
      <c r="HY48" s="16"/>
      <c r="HZ48" s="16"/>
      <c r="IA48" s="16"/>
      <c r="IB48" s="16"/>
      <c r="IC48" s="16"/>
      <c r="ID48" s="16"/>
      <c r="IE48" s="16"/>
      <c r="IF48" s="16"/>
      <c r="IG48" s="16"/>
      <c r="IH48" s="16"/>
      <c r="II48" s="16"/>
      <c r="IJ48" s="16"/>
      <c r="IK48" s="16"/>
      <c r="IL48" s="16"/>
      <c r="IM48" s="16"/>
      <c r="IN48" s="16"/>
      <c r="IO48" s="16"/>
      <c r="IP48" s="16"/>
      <c r="IQ48" s="16"/>
      <c r="IR48" s="16"/>
      <c r="IS48" s="16"/>
      <c r="IT48" s="16"/>
      <c r="IU48" s="16"/>
      <c r="IV48" s="16"/>
      <c r="IW48" s="16"/>
      <c r="IX48" s="16"/>
      <c r="IY48" s="16"/>
      <c r="IZ48" s="16"/>
      <c r="JA48" s="16"/>
      <c r="JB48" s="16"/>
      <c r="JC48" s="16"/>
      <c r="JD48" s="16"/>
      <c r="JE48" s="16"/>
      <c r="JF48" s="16"/>
      <c r="JG48" s="16"/>
      <c r="JH48" s="16"/>
      <c r="JI48" s="16"/>
      <c r="JJ48" s="16"/>
      <c r="JK48" s="16"/>
      <c r="JL48" s="16"/>
      <c r="JM48" s="16"/>
      <c r="JN48" s="16"/>
      <c r="JO48" s="16"/>
      <c r="JP48" s="16"/>
      <c r="JQ48" s="16"/>
      <c r="JR48" s="16"/>
      <c r="JS48" s="16"/>
      <c r="JT48" s="16"/>
      <c r="JU48" s="16"/>
      <c r="JV48" s="16"/>
      <c r="JW48" s="16"/>
      <c r="JX48" s="16"/>
      <c r="JY48" s="16"/>
      <c r="JZ48" s="16"/>
      <c r="KA48" s="16"/>
      <c r="KB48" s="16"/>
      <c r="KC48" s="16"/>
      <c r="KD48" s="16"/>
      <c r="KE48" s="16"/>
      <c r="KF48" s="16"/>
      <c r="KG48" s="16"/>
      <c r="KH48" s="16"/>
      <c r="KI48" s="16"/>
      <c r="KJ48" s="16"/>
      <c r="KK48" s="16"/>
      <c r="KL48" s="16"/>
      <c r="KM48" s="16"/>
      <c r="KN48" s="16"/>
      <c r="KO48" s="16"/>
      <c r="KP48" s="16"/>
      <c r="KQ48" s="16"/>
    </row>
    <row r="49" spans="1:303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25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25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  <c r="EF49" s="16"/>
      <c r="EG49" s="16"/>
      <c r="EH49" s="16"/>
      <c r="EI49" s="16"/>
      <c r="EJ49" s="16"/>
      <c r="EK49" s="16"/>
      <c r="EL49" s="16"/>
      <c r="EM49" s="16"/>
      <c r="EN49" s="16"/>
      <c r="EO49" s="16"/>
      <c r="EP49" s="16"/>
      <c r="EQ49" s="16"/>
      <c r="ER49" s="16"/>
      <c r="ES49" s="16"/>
      <c r="ET49" s="16"/>
      <c r="EU49" s="16"/>
      <c r="EV49" s="16"/>
      <c r="EW49" s="16"/>
      <c r="EX49" s="16"/>
      <c r="EY49" s="16"/>
      <c r="EZ49" s="16"/>
      <c r="FA49" s="16"/>
      <c r="FB49" s="16"/>
      <c r="FC49" s="16"/>
      <c r="FD49" s="16"/>
      <c r="FE49" s="16"/>
      <c r="FF49" s="16"/>
      <c r="FG49" s="16"/>
      <c r="FH49" s="16"/>
      <c r="FI49" s="16"/>
      <c r="FJ49" s="16"/>
      <c r="FK49" s="16"/>
      <c r="FL49" s="16"/>
      <c r="FM49" s="16"/>
      <c r="FN49" s="16"/>
      <c r="FO49" s="16"/>
      <c r="FP49" s="16"/>
      <c r="FQ49" s="16"/>
      <c r="FR49" s="16"/>
      <c r="FS49" s="16"/>
      <c r="FT49" s="16"/>
      <c r="FU49" s="16"/>
      <c r="FV49" s="16"/>
      <c r="FW49" s="16"/>
      <c r="FX49" s="16"/>
      <c r="FY49" s="16"/>
      <c r="FZ49" s="16"/>
      <c r="GA49" s="16"/>
      <c r="GB49" s="16"/>
      <c r="GC49" s="16"/>
      <c r="GD49" s="16"/>
      <c r="GE49" s="16"/>
      <c r="GF49" s="16"/>
      <c r="GG49" s="16"/>
      <c r="GH49" s="16"/>
      <c r="GI49" s="16"/>
      <c r="GJ49" s="16"/>
      <c r="GK49" s="16"/>
      <c r="GL49" s="16"/>
      <c r="GM49" s="16"/>
      <c r="GN49" s="16"/>
      <c r="GO49" s="16"/>
      <c r="GP49" s="16"/>
      <c r="GQ49" s="16"/>
      <c r="GR49" s="16"/>
      <c r="GS49" s="16"/>
      <c r="GT49" s="16"/>
      <c r="GU49" s="16"/>
      <c r="GV49" s="16"/>
      <c r="GW49" s="16"/>
      <c r="GX49" s="16"/>
      <c r="GY49" s="16"/>
      <c r="GZ49" s="16"/>
      <c r="HA49" s="16"/>
      <c r="HB49" s="16"/>
      <c r="HC49" s="16"/>
      <c r="HD49" s="16"/>
      <c r="HE49" s="16"/>
      <c r="HF49" s="16"/>
      <c r="HG49" s="16"/>
      <c r="HH49" s="16"/>
      <c r="HI49" s="16"/>
      <c r="HJ49" s="16"/>
      <c r="HK49" s="16"/>
      <c r="HL49" s="16"/>
      <c r="HM49" s="16"/>
      <c r="HN49" s="16"/>
      <c r="HO49" s="16"/>
      <c r="HP49" s="16"/>
      <c r="HQ49" s="16"/>
      <c r="HR49" s="16"/>
      <c r="HS49" s="16"/>
      <c r="HT49" s="16"/>
      <c r="HU49" s="16"/>
      <c r="HV49" s="16"/>
      <c r="HW49" s="16"/>
      <c r="HX49" s="16"/>
      <c r="HY49" s="16"/>
      <c r="HZ49" s="16"/>
      <c r="IA49" s="16"/>
      <c r="IB49" s="16"/>
      <c r="IC49" s="16"/>
      <c r="ID49" s="16"/>
      <c r="IE49" s="16"/>
      <c r="IF49" s="16"/>
      <c r="IG49" s="16"/>
      <c r="IH49" s="16"/>
      <c r="II49" s="16"/>
      <c r="IJ49" s="16"/>
      <c r="IK49" s="16"/>
      <c r="IL49" s="16"/>
      <c r="IM49" s="16"/>
      <c r="IN49" s="16"/>
      <c r="IO49" s="16"/>
      <c r="IP49" s="16"/>
      <c r="IQ49" s="16"/>
      <c r="IR49" s="16"/>
      <c r="IS49" s="16"/>
      <c r="IT49" s="16"/>
      <c r="IU49" s="16"/>
      <c r="IV49" s="16"/>
      <c r="IW49" s="16"/>
      <c r="IX49" s="16"/>
      <c r="IY49" s="16"/>
      <c r="IZ49" s="16"/>
      <c r="JA49" s="16"/>
      <c r="JB49" s="16"/>
      <c r="JC49" s="16"/>
      <c r="JD49" s="16"/>
      <c r="JE49" s="16"/>
      <c r="JF49" s="16"/>
      <c r="JG49" s="16"/>
      <c r="JH49" s="16"/>
      <c r="JI49" s="16"/>
      <c r="JJ49" s="16"/>
      <c r="JK49" s="16"/>
      <c r="JL49" s="16"/>
      <c r="JM49" s="16"/>
      <c r="JN49" s="16"/>
      <c r="JO49" s="16"/>
      <c r="JP49" s="16"/>
      <c r="JQ49" s="16"/>
      <c r="JR49" s="16"/>
      <c r="JS49" s="16"/>
      <c r="JT49" s="16"/>
      <c r="JU49" s="16"/>
      <c r="JV49" s="16"/>
      <c r="JW49" s="16"/>
      <c r="JX49" s="16"/>
      <c r="JY49" s="16"/>
      <c r="JZ49" s="16"/>
      <c r="KA49" s="16"/>
      <c r="KB49" s="16"/>
      <c r="KC49" s="16"/>
      <c r="KD49" s="16"/>
      <c r="KE49" s="16"/>
      <c r="KF49" s="16"/>
      <c r="KG49" s="16"/>
      <c r="KH49" s="16"/>
      <c r="KI49" s="16"/>
      <c r="KJ49" s="16"/>
      <c r="KK49" s="16"/>
      <c r="KL49" s="16"/>
      <c r="KM49" s="16"/>
      <c r="KN49" s="16"/>
      <c r="KO49" s="16"/>
      <c r="KP49" s="16"/>
      <c r="KQ49" s="16"/>
    </row>
    <row r="50" spans="1:303" x14ac:dyDescent="0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25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25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  <c r="EF50" s="16"/>
      <c r="EG50" s="16"/>
      <c r="EH50" s="16"/>
      <c r="EI50" s="16"/>
      <c r="EJ50" s="16"/>
      <c r="EK50" s="16"/>
      <c r="EL50" s="16"/>
      <c r="EM50" s="16"/>
      <c r="EN50" s="16"/>
      <c r="EO50" s="16"/>
      <c r="EP50" s="16"/>
      <c r="EQ50" s="16"/>
      <c r="ER50" s="16"/>
      <c r="ES50" s="16"/>
      <c r="ET50" s="16"/>
      <c r="EU50" s="16"/>
      <c r="EV50" s="16"/>
      <c r="EW50" s="16"/>
      <c r="EX50" s="16"/>
      <c r="EY50" s="16"/>
      <c r="EZ50" s="16"/>
      <c r="FA50" s="16"/>
      <c r="FB50" s="16"/>
      <c r="FC50" s="16"/>
      <c r="FD50" s="16"/>
      <c r="FE50" s="16"/>
      <c r="FF50" s="16"/>
      <c r="FG50" s="16"/>
      <c r="FH50" s="16"/>
      <c r="FI50" s="16"/>
      <c r="FJ50" s="16"/>
      <c r="FK50" s="16"/>
      <c r="FL50" s="16"/>
      <c r="FM50" s="16"/>
      <c r="FN50" s="16"/>
      <c r="FO50" s="16"/>
      <c r="FP50" s="16"/>
      <c r="FQ50" s="16"/>
      <c r="FR50" s="16"/>
      <c r="FS50" s="16"/>
      <c r="FT50" s="16"/>
      <c r="FU50" s="16"/>
      <c r="FV50" s="16"/>
      <c r="FW50" s="16"/>
      <c r="FX50" s="16"/>
      <c r="FY50" s="16"/>
      <c r="FZ50" s="16"/>
      <c r="GA50" s="16"/>
      <c r="GB50" s="16"/>
      <c r="GC50" s="16"/>
      <c r="GD50" s="16"/>
      <c r="GE50" s="16"/>
      <c r="GF50" s="16"/>
      <c r="GG50" s="16"/>
      <c r="GH50" s="16"/>
      <c r="GI50" s="16"/>
      <c r="GJ50" s="16"/>
      <c r="GK50" s="16"/>
      <c r="GL50" s="16"/>
      <c r="GM50" s="16"/>
      <c r="GN50" s="16"/>
      <c r="GO50" s="16"/>
      <c r="GP50" s="16"/>
      <c r="GQ50" s="16"/>
      <c r="GR50" s="16"/>
      <c r="GS50" s="16"/>
      <c r="GT50" s="16"/>
      <c r="GU50" s="16"/>
      <c r="GV50" s="16"/>
      <c r="GW50" s="16"/>
      <c r="GX50" s="16"/>
      <c r="GY50" s="16"/>
      <c r="GZ50" s="16"/>
      <c r="HA50" s="16"/>
      <c r="HB50" s="16"/>
      <c r="HC50" s="16"/>
      <c r="HD50" s="16"/>
      <c r="HE50" s="16"/>
      <c r="HF50" s="16"/>
      <c r="HG50" s="16"/>
      <c r="HH50" s="16"/>
      <c r="HI50" s="16"/>
      <c r="HJ50" s="16"/>
      <c r="HK50" s="16"/>
      <c r="HL50" s="16"/>
      <c r="HM50" s="16"/>
      <c r="HN50" s="16"/>
      <c r="HO50" s="16"/>
      <c r="HP50" s="16"/>
      <c r="HQ50" s="16"/>
      <c r="HR50" s="16"/>
      <c r="HS50" s="16"/>
      <c r="HT50" s="16"/>
      <c r="HU50" s="16"/>
      <c r="HV50" s="16"/>
      <c r="HW50" s="16"/>
      <c r="HX50" s="16"/>
      <c r="HY50" s="16"/>
      <c r="HZ50" s="16"/>
      <c r="IA50" s="16"/>
      <c r="IB50" s="16"/>
      <c r="IC50" s="16"/>
      <c r="ID50" s="16"/>
      <c r="IE50" s="16"/>
      <c r="IF50" s="16"/>
      <c r="IG50" s="16"/>
      <c r="IH50" s="16"/>
      <c r="II50" s="16"/>
      <c r="IJ50" s="16"/>
      <c r="IK50" s="16"/>
      <c r="IL50" s="16"/>
      <c r="IM50" s="16"/>
      <c r="IN50" s="16"/>
      <c r="IO50" s="16"/>
      <c r="IP50" s="16"/>
      <c r="IQ50" s="16"/>
      <c r="IR50" s="16"/>
      <c r="IS50" s="16"/>
      <c r="IT50" s="16"/>
      <c r="IU50" s="16"/>
      <c r="IV50" s="16"/>
      <c r="IW50" s="16"/>
      <c r="IX50" s="16"/>
      <c r="IY50" s="16"/>
      <c r="IZ50" s="16"/>
      <c r="JA50" s="16"/>
      <c r="JB50" s="16"/>
      <c r="JC50" s="16"/>
      <c r="JD50" s="16"/>
      <c r="JE50" s="16"/>
      <c r="JF50" s="16"/>
      <c r="JG50" s="16"/>
      <c r="JH50" s="16"/>
      <c r="JI50" s="16"/>
      <c r="JJ50" s="16"/>
      <c r="JK50" s="16"/>
      <c r="JL50" s="16"/>
      <c r="JM50" s="16"/>
      <c r="JN50" s="16"/>
      <c r="JO50" s="16"/>
      <c r="JP50" s="16"/>
      <c r="JQ50" s="16"/>
      <c r="JR50" s="16"/>
      <c r="JS50" s="16"/>
      <c r="JT50" s="16"/>
      <c r="JU50" s="16"/>
      <c r="JV50" s="16"/>
      <c r="JW50" s="16"/>
      <c r="JX50" s="16"/>
      <c r="JY50" s="16"/>
      <c r="JZ50" s="16"/>
      <c r="KA50" s="16"/>
      <c r="KB50" s="16"/>
      <c r="KC50" s="16"/>
      <c r="KD50" s="16"/>
      <c r="KE50" s="16"/>
      <c r="KF50" s="16"/>
      <c r="KG50" s="16"/>
      <c r="KH50" s="16"/>
      <c r="KI50" s="16"/>
      <c r="KJ50" s="16"/>
      <c r="KK50" s="16"/>
      <c r="KL50" s="16"/>
      <c r="KM50" s="16"/>
      <c r="KN50" s="16"/>
      <c r="KO50" s="16"/>
      <c r="KP50" s="16"/>
      <c r="KQ50" s="16"/>
    </row>
    <row r="51" spans="1:303" x14ac:dyDescent="0.2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25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25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16"/>
      <c r="EJ51" s="16"/>
      <c r="EK51" s="16"/>
      <c r="EL51" s="16"/>
      <c r="EM51" s="16"/>
      <c r="EN51" s="16"/>
      <c r="EO51" s="16"/>
      <c r="EP51" s="16"/>
      <c r="EQ51" s="16"/>
      <c r="ER51" s="16"/>
      <c r="ES51" s="16"/>
      <c r="ET51" s="16"/>
      <c r="EU51" s="16"/>
      <c r="EV51" s="16"/>
      <c r="EW51" s="16"/>
      <c r="EX51" s="16"/>
      <c r="EY51" s="16"/>
      <c r="EZ51" s="16"/>
      <c r="FA51" s="16"/>
      <c r="FB51" s="16"/>
      <c r="FC51" s="16"/>
      <c r="FD51" s="16"/>
      <c r="FE51" s="16"/>
      <c r="FF51" s="16"/>
      <c r="FG51" s="16"/>
      <c r="FH51" s="16"/>
      <c r="FI51" s="16"/>
      <c r="FJ51" s="16"/>
      <c r="FK51" s="16"/>
      <c r="FL51" s="16"/>
      <c r="FM51" s="16"/>
      <c r="FN51" s="16"/>
      <c r="FO51" s="16"/>
      <c r="FP51" s="16"/>
      <c r="FQ51" s="16"/>
      <c r="FR51" s="16"/>
      <c r="FS51" s="16"/>
      <c r="FT51" s="16"/>
      <c r="FU51" s="16"/>
      <c r="FV51" s="16"/>
      <c r="FW51" s="16"/>
      <c r="FX51" s="16"/>
      <c r="FY51" s="16"/>
      <c r="FZ51" s="16"/>
      <c r="GA51" s="16"/>
      <c r="GB51" s="16"/>
      <c r="GC51" s="16"/>
      <c r="GD51" s="16"/>
      <c r="GE51" s="16"/>
      <c r="GF51" s="16"/>
      <c r="GG51" s="16"/>
      <c r="GH51" s="16"/>
      <c r="GI51" s="16"/>
      <c r="GJ51" s="16"/>
      <c r="GK51" s="16"/>
      <c r="GL51" s="16"/>
      <c r="GM51" s="16"/>
      <c r="GN51" s="16"/>
      <c r="GO51" s="16"/>
      <c r="GP51" s="16"/>
      <c r="GQ51" s="16"/>
      <c r="GR51" s="16"/>
      <c r="GS51" s="16"/>
      <c r="GT51" s="16"/>
      <c r="GU51" s="16"/>
      <c r="GV51" s="16"/>
      <c r="GW51" s="16"/>
      <c r="GX51" s="16"/>
      <c r="GY51" s="16"/>
      <c r="GZ51" s="16"/>
      <c r="HA51" s="16"/>
      <c r="HB51" s="16"/>
      <c r="HC51" s="16"/>
      <c r="HD51" s="16"/>
      <c r="HE51" s="16"/>
      <c r="HF51" s="16"/>
      <c r="HG51" s="16"/>
      <c r="HH51" s="16"/>
      <c r="HI51" s="16"/>
      <c r="HJ51" s="16"/>
      <c r="HK51" s="16"/>
      <c r="HL51" s="16"/>
      <c r="HM51" s="16"/>
      <c r="HN51" s="16"/>
      <c r="HO51" s="16"/>
      <c r="HP51" s="16"/>
      <c r="HQ51" s="16"/>
      <c r="HR51" s="16"/>
      <c r="HS51" s="16"/>
      <c r="HT51" s="16"/>
      <c r="HU51" s="16"/>
      <c r="HV51" s="16"/>
      <c r="HW51" s="16"/>
      <c r="HX51" s="16"/>
      <c r="HY51" s="16"/>
      <c r="HZ51" s="16"/>
      <c r="IA51" s="16"/>
      <c r="IB51" s="16"/>
      <c r="IC51" s="16"/>
      <c r="ID51" s="16"/>
      <c r="IE51" s="16"/>
      <c r="IF51" s="16"/>
      <c r="IG51" s="16"/>
      <c r="IH51" s="16"/>
      <c r="II51" s="16"/>
      <c r="IJ51" s="16"/>
      <c r="IK51" s="16"/>
      <c r="IL51" s="16"/>
      <c r="IM51" s="16"/>
      <c r="IN51" s="16"/>
      <c r="IO51" s="16"/>
      <c r="IP51" s="16"/>
      <c r="IQ51" s="16"/>
      <c r="IR51" s="16"/>
      <c r="IS51" s="16"/>
      <c r="IT51" s="16"/>
      <c r="IU51" s="16"/>
      <c r="IV51" s="16"/>
      <c r="IW51" s="16"/>
      <c r="IX51" s="16"/>
      <c r="IY51" s="16"/>
      <c r="IZ51" s="16"/>
      <c r="JA51" s="16"/>
      <c r="JB51" s="16"/>
      <c r="JC51" s="16"/>
      <c r="JD51" s="16"/>
      <c r="JE51" s="16"/>
      <c r="JF51" s="16"/>
      <c r="JG51" s="16"/>
      <c r="JH51" s="16"/>
      <c r="JI51" s="16"/>
      <c r="JJ51" s="16"/>
      <c r="JK51" s="16"/>
      <c r="JL51" s="16"/>
      <c r="JM51" s="16"/>
      <c r="JN51" s="16"/>
      <c r="JO51" s="16"/>
      <c r="JP51" s="16"/>
      <c r="JQ51" s="16"/>
      <c r="JR51" s="16"/>
      <c r="JS51" s="16"/>
      <c r="JT51" s="16"/>
      <c r="JU51" s="16"/>
      <c r="JV51" s="16"/>
      <c r="JW51" s="16"/>
      <c r="JX51" s="16"/>
      <c r="JY51" s="16"/>
      <c r="JZ51" s="16"/>
      <c r="KA51" s="16"/>
      <c r="KB51" s="16"/>
      <c r="KC51" s="16"/>
      <c r="KD51" s="16"/>
      <c r="KE51" s="16"/>
      <c r="KF51" s="16"/>
      <c r="KG51" s="16"/>
      <c r="KH51" s="16"/>
      <c r="KI51" s="16"/>
      <c r="KJ51" s="16"/>
      <c r="KK51" s="16"/>
      <c r="KL51" s="16"/>
      <c r="KM51" s="16"/>
      <c r="KN51" s="16"/>
      <c r="KO51" s="16"/>
      <c r="KP51" s="16"/>
      <c r="KQ51" s="16"/>
    </row>
    <row r="52" spans="1:303" x14ac:dyDescent="0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25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25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  <c r="EF52" s="16"/>
      <c r="EG52" s="16"/>
      <c r="EH52" s="16"/>
      <c r="EI52" s="16"/>
      <c r="EJ52" s="16"/>
      <c r="EK52" s="16"/>
      <c r="EL52" s="16"/>
      <c r="EM52" s="16"/>
      <c r="EN52" s="16"/>
      <c r="EO52" s="16"/>
      <c r="EP52" s="16"/>
      <c r="EQ52" s="16"/>
      <c r="ER52" s="16"/>
      <c r="ES52" s="16"/>
      <c r="ET52" s="16"/>
      <c r="EU52" s="16"/>
      <c r="EV52" s="16"/>
      <c r="EW52" s="16"/>
      <c r="EX52" s="16"/>
      <c r="EY52" s="16"/>
      <c r="EZ52" s="16"/>
      <c r="FA52" s="16"/>
      <c r="FB52" s="16"/>
      <c r="FC52" s="16"/>
      <c r="FD52" s="16"/>
      <c r="FE52" s="16"/>
      <c r="FF52" s="16"/>
      <c r="FG52" s="16"/>
      <c r="FH52" s="16"/>
      <c r="FI52" s="16"/>
      <c r="FJ52" s="16"/>
      <c r="FK52" s="16"/>
      <c r="FL52" s="16"/>
      <c r="FM52" s="16"/>
      <c r="FN52" s="16"/>
      <c r="FO52" s="16"/>
      <c r="FP52" s="16"/>
      <c r="FQ52" s="16"/>
      <c r="FR52" s="16"/>
      <c r="FS52" s="16"/>
      <c r="FT52" s="16"/>
      <c r="FU52" s="16"/>
      <c r="FV52" s="16"/>
      <c r="FW52" s="16"/>
      <c r="FX52" s="16"/>
      <c r="FY52" s="16"/>
      <c r="FZ52" s="16"/>
      <c r="GA52" s="16"/>
      <c r="GB52" s="16"/>
      <c r="GC52" s="16"/>
      <c r="GD52" s="16"/>
      <c r="GE52" s="16"/>
      <c r="GF52" s="16"/>
      <c r="GG52" s="16"/>
      <c r="GH52" s="16"/>
      <c r="GI52" s="16"/>
      <c r="GJ52" s="16"/>
      <c r="GK52" s="16"/>
      <c r="GL52" s="16"/>
      <c r="GM52" s="16"/>
      <c r="GN52" s="16"/>
      <c r="GO52" s="16"/>
      <c r="GP52" s="16"/>
      <c r="GQ52" s="16"/>
      <c r="GR52" s="16"/>
      <c r="GS52" s="16"/>
      <c r="GT52" s="16"/>
      <c r="GU52" s="16"/>
      <c r="GV52" s="16"/>
      <c r="GW52" s="16"/>
      <c r="GX52" s="16"/>
      <c r="GY52" s="16"/>
      <c r="GZ52" s="16"/>
      <c r="HA52" s="16"/>
      <c r="HB52" s="16"/>
      <c r="HC52" s="16"/>
      <c r="HD52" s="16"/>
      <c r="HE52" s="16"/>
      <c r="HF52" s="16"/>
      <c r="HG52" s="16"/>
      <c r="HH52" s="16"/>
      <c r="HI52" s="16"/>
      <c r="HJ52" s="16"/>
      <c r="HK52" s="16"/>
      <c r="HL52" s="16"/>
      <c r="HM52" s="16"/>
      <c r="HN52" s="16"/>
      <c r="HO52" s="16"/>
      <c r="HP52" s="16"/>
      <c r="HQ52" s="16"/>
      <c r="HR52" s="16"/>
      <c r="HS52" s="16"/>
      <c r="HT52" s="16"/>
      <c r="HU52" s="16"/>
      <c r="HV52" s="16"/>
      <c r="HW52" s="16"/>
      <c r="HX52" s="16"/>
      <c r="HY52" s="16"/>
      <c r="HZ52" s="16"/>
      <c r="IA52" s="16"/>
      <c r="IB52" s="16"/>
      <c r="IC52" s="16"/>
      <c r="ID52" s="16"/>
      <c r="IE52" s="16"/>
      <c r="IF52" s="16"/>
      <c r="IG52" s="16"/>
      <c r="IH52" s="16"/>
      <c r="II52" s="16"/>
      <c r="IJ52" s="16"/>
      <c r="IK52" s="16"/>
      <c r="IL52" s="16"/>
      <c r="IM52" s="16"/>
      <c r="IN52" s="16"/>
      <c r="IO52" s="16"/>
      <c r="IP52" s="16"/>
      <c r="IQ52" s="16"/>
      <c r="IR52" s="16"/>
      <c r="IS52" s="16"/>
      <c r="IT52" s="16"/>
      <c r="IU52" s="16"/>
      <c r="IV52" s="16"/>
      <c r="IW52" s="16"/>
      <c r="IX52" s="16"/>
      <c r="IY52" s="16"/>
      <c r="IZ52" s="16"/>
      <c r="JA52" s="16"/>
      <c r="JB52" s="16"/>
      <c r="JC52" s="16"/>
      <c r="JD52" s="16"/>
      <c r="JE52" s="16"/>
      <c r="JF52" s="16"/>
      <c r="JG52" s="16"/>
      <c r="JH52" s="16"/>
      <c r="JI52" s="16"/>
      <c r="JJ52" s="16"/>
      <c r="JK52" s="16"/>
      <c r="JL52" s="16"/>
      <c r="JM52" s="16"/>
      <c r="JN52" s="16"/>
      <c r="JO52" s="16"/>
      <c r="JP52" s="16"/>
      <c r="JQ52" s="16"/>
      <c r="JR52" s="16"/>
      <c r="JS52" s="16"/>
      <c r="JT52" s="16"/>
      <c r="JU52" s="16"/>
      <c r="JV52" s="16"/>
      <c r="JW52" s="16"/>
      <c r="JX52" s="16"/>
      <c r="JY52" s="16"/>
      <c r="JZ52" s="16"/>
      <c r="KA52" s="16"/>
      <c r="KB52" s="16"/>
      <c r="KC52" s="16"/>
      <c r="KD52" s="16"/>
      <c r="KE52" s="16"/>
      <c r="KF52" s="16"/>
      <c r="KG52" s="16"/>
      <c r="KH52" s="16"/>
      <c r="KI52" s="16"/>
      <c r="KJ52" s="16"/>
      <c r="KK52" s="16"/>
      <c r="KL52" s="16"/>
      <c r="KM52" s="16"/>
      <c r="KN52" s="16"/>
      <c r="KO52" s="16"/>
      <c r="KP52" s="16"/>
      <c r="KQ52" s="16"/>
    </row>
    <row r="53" spans="1:303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25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25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  <c r="EF53" s="16"/>
      <c r="EG53" s="16"/>
      <c r="EH53" s="16"/>
      <c r="EI53" s="16"/>
      <c r="EJ53" s="16"/>
      <c r="EK53" s="16"/>
      <c r="EL53" s="16"/>
      <c r="EM53" s="16"/>
      <c r="EN53" s="16"/>
      <c r="EO53" s="16"/>
      <c r="EP53" s="16"/>
      <c r="EQ53" s="16"/>
      <c r="ER53" s="16"/>
      <c r="ES53" s="16"/>
      <c r="ET53" s="16"/>
      <c r="EU53" s="16"/>
      <c r="EV53" s="16"/>
      <c r="EW53" s="16"/>
      <c r="EX53" s="16"/>
      <c r="EY53" s="16"/>
      <c r="EZ53" s="16"/>
      <c r="FA53" s="16"/>
      <c r="FB53" s="16"/>
      <c r="FC53" s="16"/>
      <c r="FD53" s="16"/>
      <c r="FE53" s="16"/>
      <c r="FF53" s="16"/>
      <c r="FG53" s="16"/>
      <c r="FH53" s="16"/>
      <c r="FI53" s="16"/>
      <c r="FJ53" s="16"/>
      <c r="FK53" s="16"/>
      <c r="FL53" s="16"/>
      <c r="FM53" s="16"/>
      <c r="FN53" s="16"/>
      <c r="FO53" s="16"/>
      <c r="FP53" s="16"/>
      <c r="FQ53" s="16"/>
      <c r="FR53" s="16"/>
      <c r="FS53" s="16"/>
      <c r="FT53" s="16"/>
      <c r="FU53" s="16"/>
      <c r="FV53" s="16"/>
      <c r="FW53" s="16"/>
      <c r="FX53" s="16"/>
      <c r="FY53" s="16"/>
      <c r="FZ53" s="16"/>
      <c r="GA53" s="16"/>
      <c r="GB53" s="16"/>
      <c r="GC53" s="16"/>
      <c r="GD53" s="16"/>
      <c r="GE53" s="16"/>
      <c r="GF53" s="16"/>
      <c r="GG53" s="16"/>
      <c r="GH53" s="16"/>
      <c r="GI53" s="16"/>
      <c r="GJ53" s="16"/>
      <c r="GK53" s="16"/>
      <c r="GL53" s="16"/>
      <c r="GM53" s="16"/>
      <c r="GN53" s="16"/>
      <c r="GO53" s="16"/>
      <c r="GP53" s="16"/>
      <c r="GQ53" s="16"/>
      <c r="GR53" s="16"/>
      <c r="GS53" s="16"/>
      <c r="GT53" s="16"/>
      <c r="GU53" s="16"/>
      <c r="GV53" s="16"/>
      <c r="GW53" s="16"/>
      <c r="GX53" s="16"/>
      <c r="GY53" s="16"/>
      <c r="GZ53" s="16"/>
      <c r="HA53" s="16"/>
      <c r="HB53" s="16"/>
      <c r="HC53" s="16"/>
      <c r="HD53" s="16"/>
      <c r="HE53" s="16"/>
      <c r="HF53" s="16"/>
      <c r="HG53" s="16"/>
      <c r="HH53" s="16"/>
      <c r="HI53" s="16"/>
      <c r="HJ53" s="16"/>
      <c r="HK53" s="16"/>
      <c r="HL53" s="16"/>
      <c r="HM53" s="16"/>
      <c r="HN53" s="16"/>
      <c r="HO53" s="16"/>
      <c r="HP53" s="16"/>
      <c r="HQ53" s="16"/>
      <c r="HR53" s="16"/>
      <c r="HS53" s="16"/>
      <c r="HT53" s="16"/>
      <c r="HU53" s="16"/>
      <c r="HV53" s="16"/>
      <c r="HW53" s="16"/>
      <c r="HX53" s="16"/>
      <c r="HY53" s="16"/>
      <c r="HZ53" s="16"/>
      <c r="IA53" s="16"/>
      <c r="IB53" s="16"/>
      <c r="IC53" s="16"/>
      <c r="ID53" s="16"/>
      <c r="IE53" s="16"/>
      <c r="IF53" s="16"/>
      <c r="IG53" s="16"/>
      <c r="IH53" s="16"/>
      <c r="II53" s="16"/>
      <c r="IJ53" s="16"/>
      <c r="IK53" s="16"/>
      <c r="IL53" s="16"/>
      <c r="IM53" s="16"/>
      <c r="IN53" s="16"/>
      <c r="IO53" s="16"/>
      <c r="IP53" s="16"/>
      <c r="IQ53" s="16"/>
      <c r="IR53" s="16"/>
      <c r="IS53" s="16"/>
      <c r="IT53" s="16"/>
      <c r="IU53" s="16"/>
      <c r="IV53" s="16"/>
      <c r="IW53" s="16"/>
      <c r="IX53" s="16"/>
      <c r="IY53" s="16"/>
      <c r="IZ53" s="16"/>
      <c r="JA53" s="16"/>
      <c r="JB53" s="16"/>
      <c r="JC53" s="16"/>
      <c r="JD53" s="16"/>
      <c r="JE53" s="16"/>
      <c r="JF53" s="16"/>
      <c r="JG53" s="16"/>
      <c r="JH53" s="16"/>
      <c r="JI53" s="16"/>
      <c r="JJ53" s="16"/>
      <c r="JK53" s="16"/>
      <c r="JL53" s="16"/>
      <c r="JM53" s="16"/>
      <c r="JN53" s="16"/>
      <c r="JO53" s="16"/>
      <c r="JP53" s="16"/>
      <c r="JQ53" s="16"/>
      <c r="JR53" s="16"/>
      <c r="JS53" s="16"/>
      <c r="JT53" s="16"/>
      <c r="JU53" s="16"/>
      <c r="JV53" s="16"/>
      <c r="JW53" s="16"/>
      <c r="JX53" s="16"/>
      <c r="JY53" s="16"/>
      <c r="JZ53" s="16"/>
      <c r="KA53" s="16"/>
      <c r="KB53" s="16"/>
      <c r="KC53" s="16"/>
      <c r="KD53" s="16"/>
      <c r="KE53" s="16"/>
      <c r="KF53" s="16"/>
      <c r="KG53" s="16"/>
      <c r="KH53" s="16"/>
      <c r="KI53" s="16"/>
      <c r="KJ53" s="16"/>
      <c r="KK53" s="16"/>
      <c r="KL53" s="16"/>
      <c r="KM53" s="16"/>
      <c r="KN53" s="16"/>
      <c r="KO53" s="16"/>
      <c r="KP53" s="16"/>
      <c r="KQ53" s="16"/>
    </row>
    <row r="54" spans="1:303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25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25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  <c r="EF54" s="16"/>
      <c r="EG54" s="16"/>
      <c r="EH54" s="16"/>
      <c r="EI54" s="16"/>
      <c r="EJ54" s="16"/>
      <c r="EK54" s="16"/>
      <c r="EL54" s="16"/>
      <c r="EM54" s="16"/>
      <c r="EN54" s="16"/>
      <c r="EO54" s="16"/>
      <c r="EP54" s="16"/>
      <c r="EQ54" s="16"/>
      <c r="ER54" s="16"/>
      <c r="ES54" s="16"/>
      <c r="ET54" s="16"/>
      <c r="EU54" s="16"/>
      <c r="EV54" s="16"/>
      <c r="EW54" s="16"/>
      <c r="EX54" s="16"/>
      <c r="EY54" s="16"/>
      <c r="EZ54" s="16"/>
      <c r="FA54" s="16"/>
      <c r="FB54" s="16"/>
      <c r="FC54" s="16"/>
      <c r="FD54" s="16"/>
      <c r="FE54" s="16"/>
      <c r="FF54" s="16"/>
      <c r="FG54" s="16"/>
      <c r="FH54" s="16"/>
      <c r="FI54" s="16"/>
      <c r="FJ54" s="16"/>
      <c r="FK54" s="16"/>
      <c r="FL54" s="16"/>
      <c r="FM54" s="16"/>
      <c r="FN54" s="16"/>
      <c r="FO54" s="16"/>
      <c r="FP54" s="16"/>
      <c r="FQ54" s="16"/>
      <c r="FR54" s="16"/>
      <c r="FS54" s="16"/>
      <c r="FT54" s="16"/>
      <c r="FU54" s="16"/>
      <c r="FV54" s="16"/>
      <c r="FW54" s="16"/>
      <c r="FX54" s="16"/>
      <c r="FY54" s="16"/>
      <c r="FZ54" s="16"/>
      <c r="GA54" s="16"/>
      <c r="GB54" s="16"/>
      <c r="GC54" s="16"/>
      <c r="GD54" s="16"/>
      <c r="GE54" s="16"/>
      <c r="GF54" s="16"/>
      <c r="GG54" s="16"/>
      <c r="GH54" s="16"/>
      <c r="GI54" s="16"/>
      <c r="GJ54" s="16"/>
      <c r="GK54" s="16"/>
      <c r="GL54" s="16"/>
      <c r="GM54" s="16"/>
      <c r="GN54" s="16"/>
      <c r="GO54" s="16"/>
      <c r="GP54" s="16"/>
      <c r="GQ54" s="16"/>
      <c r="GR54" s="16"/>
      <c r="GS54" s="16"/>
      <c r="GT54" s="16"/>
      <c r="GU54" s="16"/>
      <c r="GV54" s="16"/>
      <c r="GW54" s="16"/>
      <c r="GX54" s="16"/>
      <c r="GY54" s="16"/>
      <c r="GZ54" s="16"/>
      <c r="HA54" s="16"/>
      <c r="HB54" s="16"/>
      <c r="HC54" s="16"/>
      <c r="HD54" s="16"/>
      <c r="HE54" s="16"/>
      <c r="HF54" s="16"/>
      <c r="HG54" s="16"/>
      <c r="HH54" s="16"/>
      <c r="HI54" s="16"/>
      <c r="HJ54" s="16"/>
      <c r="HK54" s="16"/>
      <c r="HL54" s="16"/>
      <c r="HM54" s="16"/>
      <c r="HN54" s="16"/>
      <c r="HO54" s="16"/>
      <c r="HP54" s="16"/>
      <c r="HQ54" s="16"/>
      <c r="HR54" s="16"/>
      <c r="HS54" s="16"/>
      <c r="HT54" s="16"/>
      <c r="HU54" s="16"/>
      <c r="HV54" s="16"/>
      <c r="HW54" s="16"/>
      <c r="HX54" s="16"/>
      <c r="HY54" s="16"/>
      <c r="HZ54" s="16"/>
      <c r="IA54" s="16"/>
      <c r="IB54" s="16"/>
      <c r="IC54" s="16"/>
      <c r="ID54" s="16"/>
      <c r="IE54" s="16"/>
      <c r="IF54" s="16"/>
      <c r="IG54" s="16"/>
      <c r="IH54" s="16"/>
      <c r="II54" s="16"/>
      <c r="IJ54" s="16"/>
      <c r="IK54" s="16"/>
      <c r="IL54" s="16"/>
      <c r="IM54" s="16"/>
      <c r="IN54" s="16"/>
      <c r="IO54" s="16"/>
      <c r="IP54" s="16"/>
      <c r="IQ54" s="16"/>
      <c r="IR54" s="16"/>
      <c r="IS54" s="16"/>
      <c r="IT54" s="16"/>
      <c r="IU54" s="16"/>
      <c r="IV54" s="16"/>
      <c r="IW54" s="16"/>
      <c r="IX54" s="16"/>
      <c r="IY54" s="16"/>
      <c r="IZ54" s="16"/>
      <c r="JA54" s="16"/>
      <c r="JB54" s="16"/>
      <c r="JC54" s="16"/>
      <c r="JD54" s="16"/>
      <c r="JE54" s="16"/>
      <c r="JF54" s="16"/>
      <c r="JG54" s="16"/>
      <c r="JH54" s="16"/>
      <c r="JI54" s="16"/>
      <c r="JJ54" s="16"/>
      <c r="JK54" s="16"/>
      <c r="JL54" s="16"/>
      <c r="JM54" s="16"/>
      <c r="JN54" s="16"/>
      <c r="JO54" s="16"/>
      <c r="JP54" s="16"/>
      <c r="JQ54" s="16"/>
      <c r="JR54" s="16"/>
      <c r="JS54" s="16"/>
      <c r="JT54" s="16"/>
      <c r="JU54" s="16"/>
      <c r="JV54" s="16"/>
      <c r="JW54" s="16"/>
      <c r="JX54" s="16"/>
      <c r="JY54" s="16"/>
      <c r="JZ54" s="16"/>
      <c r="KA54" s="16"/>
      <c r="KB54" s="16"/>
      <c r="KC54" s="16"/>
      <c r="KD54" s="16"/>
      <c r="KE54" s="16"/>
      <c r="KF54" s="16"/>
      <c r="KG54" s="16"/>
      <c r="KH54" s="16"/>
      <c r="KI54" s="16"/>
      <c r="KJ54" s="16"/>
      <c r="KK54" s="16"/>
      <c r="KL54" s="16"/>
      <c r="KM54" s="16"/>
      <c r="KN54" s="16"/>
      <c r="KO54" s="16"/>
      <c r="KP54" s="16"/>
      <c r="KQ54" s="16"/>
    </row>
    <row r="55" spans="1:303" x14ac:dyDescent="0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25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25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16"/>
      <c r="EJ55" s="16"/>
      <c r="EK55" s="16"/>
      <c r="EL55" s="16"/>
      <c r="EM55" s="16"/>
      <c r="EN55" s="16"/>
      <c r="EO55" s="16"/>
      <c r="EP55" s="16"/>
      <c r="EQ55" s="16"/>
      <c r="ER55" s="16"/>
      <c r="ES55" s="16"/>
      <c r="ET55" s="16"/>
      <c r="EU55" s="16"/>
      <c r="EV55" s="16"/>
      <c r="EW55" s="16"/>
      <c r="EX55" s="16"/>
      <c r="EY55" s="16"/>
      <c r="EZ55" s="16"/>
      <c r="FA55" s="16"/>
      <c r="FB55" s="16"/>
      <c r="FC55" s="16"/>
      <c r="FD55" s="16"/>
      <c r="FE55" s="16"/>
      <c r="FF55" s="16"/>
      <c r="FG55" s="16"/>
      <c r="FH55" s="16"/>
      <c r="FI55" s="16"/>
      <c r="FJ55" s="16"/>
      <c r="FK55" s="16"/>
      <c r="FL55" s="16"/>
      <c r="FM55" s="16"/>
      <c r="FN55" s="16"/>
      <c r="FO55" s="16"/>
      <c r="FP55" s="16"/>
      <c r="FQ55" s="16"/>
      <c r="FR55" s="16"/>
      <c r="FS55" s="16"/>
      <c r="FT55" s="16"/>
      <c r="FU55" s="16"/>
      <c r="FV55" s="16"/>
      <c r="FW55" s="16"/>
      <c r="FX55" s="16"/>
      <c r="FY55" s="16"/>
      <c r="FZ55" s="16"/>
      <c r="GA55" s="16"/>
      <c r="GB55" s="16"/>
      <c r="GC55" s="16"/>
      <c r="GD55" s="16"/>
      <c r="GE55" s="16"/>
      <c r="GF55" s="16"/>
      <c r="GG55" s="16"/>
      <c r="GH55" s="16"/>
      <c r="GI55" s="16"/>
      <c r="GJ55" s="16"/>
      <c r="GK55" s="16"/>
      <c r="GL55" s="16"/>
      <c r="GM55" s="16"/>
      <c r="GN55" s="16"/>
      <c r="GO55" s="16"/>
      <c r="GP55" s="16"/>
      <c r="GQ55" s="16"/>
      <c r="GR55" s="16"/>
      <c r="GS55" s="16"/>
      <c r="GT55" s="16"/>
      <c r="GU55" s="16"/>
      <c r="GV55" s="16"/>
      <c r="GW55" s="16"/>
      <c r="GX55" s="16"/>
      <c r="GY55" s="16"/>
      <c r="GZ55" s="16"/>
      <c r="HA55" s="16"/>
      <c r="HB55" s="16"/>
      <c r="HC55" s="16"/>
      <c r="HD55" s="16"/>
      <c r="HE55" s="16"/>
      <c r="HF55" s="16"/>
      <c r="HG55" s="16"/>
      <c r="HH55" s="16"/>
      <c r="HI55" s="16"/>
      <c r="HJ55" s="16"/>
      <c r="HK55" s="16"/>
      <c r="HL55" s="16"/>
      <c r="HM55" s="16"/>
      <c r="HN55" s="16"/>
      <c r="HO55" s="16"/>
      <c r="HP55" s="16"/>
      <c r="HQ55" s="16"/>
      <c r="HR55" s="16"/>
      <c r="HS55" s="16"/>
      <c r="HT55" s="16"/>
      <c r="HU55" s="16"/>
      <c r="HV55" s="16"/>
      <c r="HW55" s="16"/>
      <c r="HX55" s="16"/>
      <c r="HY55" s="16"/>
      <c r="HZ55" s="16"/>
      <c r="IA55" s="16"/>
      <c r="IB55" s="16"/>
      <c r="IC55" s="16"/>
      <c r="ID55" s="16"/>
      <c r="IE55" s="16"/>
      <c r="IF55" s="16"/>
      <c r="IG55" s="16"/>
      <c r="IH55" s="16"/>
      <c r="II55" s="16"/>
      <c r="IJ55" s="16"/>
      <c r="IK55" s="16"/>
      <c r="IL55" s="16"/>
      <c r="IM55" s="16"/>
      <c r="IN55" s="16"/>
      <c r="IO55" s="16"/>
      <c r="IP55" s="16"/>
      <c r="IQ55" s="16"/>
      <c r="IR55" s="16"/>
      <c r="IS55" s="16"/>
      <c r="IT55" s="16"/>
      <c r="IU55" s="16"/>
      <c r="IV55" s="16"/>
      <c r="IW55" s="16"/>
      <c r="IX55" s="16"/>
      <c r="IY55" s="16"/>
      <c r="IZ55" s="16"/>
      <c r="JA55" s="16"/>
      <c r="JB55" s="16"/>
      <c r="JC55" s="16"/>
      <c r="JD55" s="16"/>
      <c r="JE55" s="16"/>
      <c r="JF55" s="16"/>
      <c r="JG55" s="16"/>
      <c r="JH55" s="16"/>
      <c r="JI55" s="16"/>
      <c r="JJ55" s="16"/>
      <c r="JK55" s="16"/>
      <c r="JL55" s="16"/>
      <c r="JM55" s="16"/>
      <c r="JN55" s="16"/>
      <c r="JO55" s="16"/>
      <c r="JP55" s="16"/>
      <c r="JQ55" s="16"/>
      <c r="JR55" s="16"/>
      <c r="JS55" s="16"/>
      <c r="JT55" s="16"/>
      <c r="JU55" s="16"/>
      <c r="JV55" s="16"/>
      <c r="JW55" s="16"/>
      <c r="JX55" s="16"/>
      <c r="JY55" s="16"/>
      <c r="JZ55" s="16"/>
      <c r="KA55" s="16"/>
      <c r="KB55" s="16"/>
      <c r="KC55" s="16"/>
      <c r="KD55" s="16"/>
      <c r="KE55" s="16"/>
      <c r="KF55" s="16"/>
      <c r="KG55" s="16"/>
      <c r="KH55" s="16"/>
      <c r="KI55" s="16"/>
      <c r="KJ55" s="16"/>
      <c r="KK55" s="16"/>
      <c r="KL55" s="16"/>
      <c r="KM55" s="16"/>
      <c r="KN55" s="16"/>
      <c r="KO55" s="16"/>
      <c r="KP55" s="16"/>
      <c r="KQ55" s="16"/>
    </row>
    <row r="56" spans="1:303" x14ac:dyDescent="0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25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25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  <c r="EF56" s="16"/>
      <c r="EG56" s="16"/>
      <c r="EH56" s="16"/>
      <c r="EI56" s="16"/>
      <c r="EJ56" s="16"/>
      <c r="EK56" s="16"/>
      <c r="EL56" s="16"/>
      <c r="EM56" s="16"/>
      <c r="EN56" s="16"/>
      <c r="EO56" s="16"/>
      <c r="EP56" s="16"/>
      <c r="EQ56" s="16"/>
      <c r="ER56" s="16"/>
      <c r="ES56" s="16"/>
      <c r="ET56" s="16"/>
      <c r="EU56" s="16"/>
      <c r="EV56" s="16"/>
      <c r="EW56" s="16"/>
      <c r="EX56" s="16"/>
      <c r="EY56" s="16"/>
      <c r="EZ56" s="16"/>
      <c r="FA56" s="16"/>
      <c r="FB56" s="16"/>
      <c r="FC56" s="16"/>
      <c r="FD56" s="16"/>
      <c r="FE56" s="16"/>
      <c r="FF56" s="16"/>
      <c r="FG56" s="16"/>
      <c r="FH56" s="16"/>
      <c r="FI56" s="16"/>
      <c r="FJ56" s="16"/>
      <c r="FK56" s="16"/>
      <c r="FL56" s="16"/>
      <c r="FM56" s="16"/>
      <c r="FN56" s="16"/>
      <c r="FO56" s="16"/>
      <c r="FP56" s="16"/>
      <c r="FQ56" s="16"/>
      <c r="FR56" s="16"/>
      <c r="FS56" s="16"/>
      <c r="FT56" s="16"/>
      <c r="FU56" s="16"/>
      <c r="FV56" s="16"/>
      <c r="FW56" s="16"/>
      <c r="FX56" s="16"/>
      <c r="FY56" s="16"/>
      <c r="FZ56" s="16"/>
      <c r="GA56" s="16"/>
      <c r="GB56" s="16"/>
      <c r="GC56" s="16"/>
      <c r="GD56" s="16"/>
      <c r="GE56" s="16"/>
      <c r="GF56" s="16"/>
      <c r="GG56" s="16"/>
      <c r="GH56" s="16"/>
      <c r="GI56" s="16"/>
      <c r="GJ56" s="16"/>
      <c r="GK56" s="16"/>
      <c r="GL56" s="16"/>
      <c r="GM56" s="16"/>
      <c r="GN56" s="16"/>
      <c r="GO56" s="16"/>
      <c r="GP56" s="16"/>
      <c r="GQ56" s="16"/>
      <c r="GR56" s="16"/>
      <c r="GS56" s="16"/>
      <c r="GT56" s="16"/>
      <c r="GU56" s="16"/>
      <c r="GV56" s="16"/>
      <c r="GW56" s="16"/>
      <c r="GX56" s="16"/>
      <c r="GY56" s="16"/>
      <c r="GZ56" s="16"/>
      <c r="HA56" s="16"/>
      <c r="HB56" s="16"/>
      <c r="HC56" s="16"/>
      <c r="HD56" s="16"/>
      <c r="HE56" s="16"/>
      <c r="HF56" s="16"/>
      <c r="HG56" s="16"/>
      <c r="HH56" s="16"/>
      <c r="HI56" s="16"/>
      <c r="HJ56" s="16"/>
      <c r="HK56" s="16"/>
      <c r="HL56" s="16"/>
      <c r="HM56" s="16"/>
      <c r="HN56" s="16"/>
      <c r="HO56" s="16"/>
      <c r="HP56" s="16"/>
      <c r="HQ56" s="16"/>
      <c r="HR56" s="16"/>
      <c r="HS56" s="16"/>
      <c r="HT56" s="16"/>
      <c r="HU56" s="16"/>
      <c r="HV56" s="16"/>
      <c r="HW56" s="16"/>
      <c r="HX56" s="16"/>
      <c r="HY56" s="16"/>
      <c r="HZ56" s="16"/>
      <c r="IA56" s="16"/>
      <c r="IB56" s="16"/>
      <c r="IC56" s="16"/>
      <c r="ID56" s="16"/>
      <c r="IE56" s="16"/>
      <c r="IF56" s="16"/>
      <c r="IG56" s="16"/>
      <c r="IH56" s="16"/>
      <c r="II56" s="16"/>
      <c r="IJ56" s="16"/>
      <c r="IK56" s="16"/>
      <c r="IL56" s="16"/>
      <c r="IM56" s="16"/>
      <c r="IN56" s="16"/>
      <c r="IO56" s="16"/>
      <c r="IP56" s="16"/>
      <c r="IQ56" s="16"/>
      <c r="IR56" s="16"/>
      <c r="IS56" s="16"/>
      <c r="IT56" s="16"/>
      <c r="IU56" s="16"/>
      <c r="IV56" s="16"/>
      <c r="IW56" s="16"/>
      <c r="IX56" s="16"/>
      <c r="IY56" s="16"/>
      <c r="IZ56" s="16"/>
      <c r="JA56" s="16"/>
      <c r="JB56" s="16"/>
      <c r="JC56" s="16"/>
      <c r="JD56" s="16"/>
      <c r="JE56" s="16"/>
      <c r="JF56" s="16"/>
      <c r="JG56" s="16"/>
      <c r="JH56" s="16"/>
      <c r="JI56" s="16"/>
      <c r="JJ56" s="16"/>
      <c r="JK56" s="16"/>
      <c r="JL56" s="16"/>
      <c r="JM56" s="16"/>
      <c r="JN56" s="16"/>
      <c r="JO56" s="16"/>
      <c r="JP56" s="16"/>
      <c r="JQ56" s="16"/>
      <c r="JR56" s="16"/>
      <c r="JS56" s="16"/>
      <c r="JT56" s="16"/>
      <c r="JU56" s="16"/>
      <c r="JV56" s="16"/>
      <c r="JW56" s="16"/>
      <c r="JX56" s="16"/>
      <c r="JY56" s="16"/>
      <c r="JZ56" s="16"/>
      <c r="KA56" s="16"/>
      <c r="KB56" s="16"/>
      <c r="KC56" s="16"/>
      <c r="KD56" s="16"/>
      <c r="KE56" s="16"/>
      <c r="KF56" s="16"/>
      <c r="KG56" s="16"/>
      <c r="KH56" s="16"/>
      <c r="KI56" s="16"/>
      <c r="KJ56" s="16"/>
      <c r="KK56" s="16"/>
      <c r="KL56" s="16"/>
      <c r="KM56" s="16"/>
      <c r="KN56" s="16"/>
      <c r="KO56" s="16"/>
      <c r="KP56" s="16"/>
      <c r="KQ56" s="16"/>
    </row>
  </sheetData>
  <autoFilter ref="A7:KR47">
    <filterColumn colId="6" showButton="0"/>
    <sortState ref="A9:KT55">
      <sortCondition ref="O7"/>
    </sortState>
  </autoFilter>
  <mergeCells count="16">
    <mergeCell ref="N6:N7"/>
    <mergeCell ref="A5:K5"/>
    <mergeCell ref="P5:AU5"/>
    <mergeCell ref="AW5:BT5"/>
    <mergeCell ref="A6:A7"/>
    <mergeCell ref="B6:B7"/>
    <mergeCell ref="C6:C7"/>
    <mergeCell ref="D6:D7"/>
    <mergeCell ref="E6:E7"/>
    <mergeCell ref="F6:F7"/>
    <mergeCell ref="G6:H7"/>
    <mergeCell ref="I6:I7"/>
    <mergeCell ref="J6:J7"/>
    <mergeCell ref="K6:K7"/>
    <mergeCell ref="L6:L7"/>
    <mergeCell ref="M6:M7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nvoi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571500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ecrypt_traces">
                <anchor moveWithCells="1" sizeWithCells="1">
                  <from>
                    <xdr:col>3</xdr:col>
                    <xdr:colOff>419100</xdr:colOff>
                    <xdr:row>0</xdr:row>
                    <xdr:rowOff>106680</xdr:rowOff>
                  </from>
                  <to>
                    <xdr:col>3</xdr:col>
                    <xdr:colOff>1432560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ouvrir_dossier_traces">
                <anchor moveWithCells="1" sizeWithCells="1">
                  <from>
                    <xdr:col>7</xdr:col>
                    <xdr:colOff>327660</xdr:colOff>
                    <xdr:row>0</xdr:row>
                    <xdr:rowOff>83820</xdr:rowOff>
                  </from>
                  <to>
                    <xdr:col>9</xdr:col>
                    <xdr:colOff>160020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I502"/>
  <sheetViews>
    <sheetView workbookViewId="0">
      <selection activeCell="L25" sqref="L25"/>
    </sheetView>
  </sheetViews>
  <sheetFormatPr baseColWidth="10" defaultRowHeight="13.2" x14ac:dyDescent="0.25"/>
  <cols>
    <col min="1" max="1" width="18.33203125" customWidth="1"/>
    <col min="2" max="2" width="22.88671875" customWidth="1"/>
    <col min="8" max="8" width="17" customWidth="1"/>
  </cols>
  <sheetData>
    <row r="1" spans="1:9" x14ac:dyDescent="0.25">
      <c r="A1" t="s">
        <v>1552</v>
      </c>
      <c r="E1" t="s">
        <v>2337</v>
      </c>
    </row>
    <row r="2" spans="1:9" ht="26.4" x14ac:dyDescent="0.25">
      <c r="A2" s="272" t="s">
        <v>287</v>
      </c>
      <c r="B2" s="272" t="s">
        <v>1553</v>
      </c>
      <c r="C2" s="272" t="s">
        <v>1554</v>
      </c>
      <c r="E2" s="272" t="s">
        <v>287</v>
      </c>
      <c r="F2" s="272" t="s">
        <v>1553</v>
      </c>
      <c r="G2" s="273" t="s">
        <v>2055</v>
      </c>
      <c r="H2" s="274" t="s">
        <v>2056</v>
      </c>
      <c r="I2" s="274" t="s">
        <v>2057</v>
      </c>
    </row>
    <row r="3" spans="1:9" x14ac:dyDescent="0.25">
      <c r="A3" t="s">
        <v>1555</v>
      </c>
      <c r="B3" t="s">
        <v>1556</v>
      </c>
      <c r="C3" s="271">
        <v>560</v>
      </c>
      <c r="E3" s="275" t="s">
        <v>1558</v>
      </c>
      <c r="F3" s="275" t="s">
        <v>1693</v>
      </c>
      <c r="G3" s="276">
        <v>93577</v>
      </c>
      <c r="H3" s="277">
        <v>4.7805392404533027E-2</v>
      </c>
      <c r="I3" s="277">
        <v>4.7805392404533027E-2</v>
      </c>
    </row>
    <row r="4" spans="1:9" x14ac:dyDescent="0.25">
      <c r="A4" t="s">
        <v>1555</v>
      </c>
      <c r="B4" t="s">
        <v>1557</v>
      </c>
      <c r="C4" s="271">
        <v>241</v>
      </c>
      <c r="E4" s="275" t="s">
        <v>1555</v>
      </c>
      <c r="F4" s="275" t="s">
        <v>1614</v>
      </c>
      <c r="G4" s="276">
        <v>82297</v>
      </c>
      <c r="H4" s="277">
        <v>4.2042813711872087E-2</v>
      </c>
      <c r="I4" s="277">
        <v>8.9848206116405122E-2</v>
      </c>
    </row>
    <row r="5" spans="1:9" x14ac:dyDescent="0.25">
      <c r="A5" t="s">
        <v>1558</v>
      </c>
      <c r="B5" t="s">
        <v>1559</v>
      </c>
      <c r="C5" s="271">
        <v>156</v>
      </c>
      <c r="E5" s="275" t="s">
        <v>1558</v>
      </c>
      <c r="F5" s="275" t="s">
        <v>1626</v>
      </c>
      <c r="G5" s="276">
        <v>62359</v>
      </c>
      <c r="H5" s="277">
        <v>3.1857149352450653E-2</v>
      </c>
      <c r="I5" s="277">
        <v>0.12170535546885577</v>
      </c>
    </row>
    <row r="6" spans="1:9" x14ac:dyDescent="0.25">
      <c r="A6" t="s">
        <v>1560</v>
      </c>
      <c r="B6" t="s">
        <v>1561</v>
      </c>
      <c r="C6" s="271">
        <v>139</v>
      </c>
      <c r="E6" s="275" t="s">
        <v>1555</v>
      </c>
      <c r="F6" s="275" t="s">
        <v>1556</v>
      </c>
      <c r="G6" s="276">
        <v>55691</v>
      </c>
      <c r="H6" s="277">
        <v>2.8450688827391865E-2</v>
      </c>
      <c r="I6" s="277">
        <v>0.15015604429624763</v>
      </c>
    </row>
    <row r="7" spans="1:9" x14ac:dyDescent="0.25">
      <c r="A7" t="s">
        <v>1558</v>
      </c>
      <c r="B7" t="s">
        <v>1562</v>
      </c>
      <c r="C7" s="271">
        <v>138</v>
      </c>
      <c r="E7" s="275" t="s">
        <v>1558</v>
      </c>
      <c r="F7" s="275" t="s">
        <v>1559</v>
      </c>
      <c r="G7" s="276">
        <v>51332</v>
      </c>
      <c r="H7" s="277">
        <v>2.6223819986850284E-2</v>
      </c>
      <c r="I7" s="277">
        <v>0.1763798642830979</v>
      </c>
    </row>
    <row r="8" spans="1:9" x14ac:dyDescent="0.25">
      <c r="A8" t="s">
        <v>1555</v>
      </c>
      <c r="B8" t="s">
        <v>1563</v>
      </c>
      <c r="C8" s="271">
        <v>123</v>
      </c>
      <c r="E8" s="275" t="s">
        <v>1555</v>
      </c>
      <c r="F8" s="275" t="s">
        <v>1629</v>
      </c>
      <c r="G8" s="276">
        <v>46925</v>
      </c>
      <c r="H8" s="277">
        <v>2.3972429534850574E-2</v>
      </c>
      <c r="I8" s="277">
        <v>0.20035229381794847</v>
      </c>
    </row>
    <row r="9" spans="1:9" x14ac:dyDescent="0.25">
      <c r="A9" t="s">
        <v>1555</v>
      </c>
      <c r="B9" t="s">
        <v>1564</v>
      </c>
      <c r="C9" s="271">
        <v>120</v>
      </c>
      <c r="E9" s="275" t="s">
        <v>1555</v>
      </c>
      <c r="F9" s="275" t="s">
        <v>1605</v>
      </c>
      <c r="G9" s="276">
        <v>41179</v>
      </c>
      <c r="H9" s="277">
        <v>2.1036988296550065E-2</v>
      </c>
      <c r="I9" s="277">
        <v>0.22138928211449854</v>
      </c>
    </row>
    <row r="10" spans="1:9" x14ac:dyDescent="0.25">
      <c r="A10" t="s">
        <v>1555</v>
      </c>
      <c r="B10" t="s">
        <v>1565</v>
      </c>
      <c r="C10" s="271">
        <v>112</v>
      </c>
      <c r="E10" s="275" t="s">
        <v>1555</v>
      </c>
      <c r="F10" s="275" t="s">
        <v>1583</v>
      </c>
      <c r="G10" s="276">
        <v>37168</v>
      </c>
      <c r="H10" s="277">
        <v>1.898790113907994E-2</v>
      </c>
      <c r="I10" s="277">
        <v>0.24037718325357849</v>
      </c>
    </row>
    <row r="11" spans="1:9" x14ac:dyDescent="0.25">
      <c r="A11" t="s">
        <v>1555</v>
      </c>
      <c r="B11" t="s">
        <v>1566</v>
      </c>
      <c r="C11" s="271">
        <v>110</v>
      </c>
      <c r="E11" s="275" t="s">
        <v>1579</v>
      </c>
      <c r="F11" s="275" t="s">
        <v>1609</v>
      </c>
      <c r="G11" s="276">
        <v>34245</v>
      </c>
      <c r="H11" s="277">
        <v>1.7494637174660797E-2</v>
      </c>
      <c r="I11" s="277">
        <v>0.25787182042823931</v>
      </c>
    </row>
    <row r="12" spans="1:9" x14ac:dyDescent="0.25">
      <c r="A12" t="s">
        <v>1567</v>
      </c>
      <c r="B12" t="s">
        <v>1568</v>
      </c>
      <c r="C12" s="271">
        <v>109</v>
      </c>
      <c r="E12" s="275" t="s">
        <v>1579</v>
      </c>
      <c r="F12" s="275" t="s">
        <v>1688</v>
      </c>
      <c r="G12" s="276">
        <v>32891</v>
      </c>
      <c r="H12" s="277">
        <v>1.6802923384779334E-2</v>
      </c>
      <c r="I12" s="277">
        <v>0.27467474381301865</v>
      </c>
    </row>
    <row r="13" spans="1:9" x14ac:dyDescent="0.25">
      <c r="A13" t="s">
        <v>1555</v>
      </c>
      <c r="B13" t="s">
        <v>1569</v>
      </c>
      <c r="C13" s="271">
        <v>106</v>
      </c>
      <c r="E13" s="275" t="s">
        <v>1555</v>
      </c>
      <c r="F13" s="275" t="s">
        <v>2058</v>
      </c>
      <c r="G13" s="276">
        <v>26840</v>
      </c>
      <c r="H13" s="277">
        <v>1.3711667740338614E-2</v>
      </c>
      <c r="I13" s="277">
        <v>0.28838641155335726</v>
      </c>
    </row>
    <row r="14" spans="1:9" x14ac:dyDescent="0.25">
      <c r="A14" t="s">
        <v>1558</v>
      </c>
      <c r="B14" t="s">
        <v>1570</v>
      </c>
      <c r="C14" s="271">
        <v>90</v>
      </c>
      <c r="E14" s="275" t="s">
        <v>1558</v>
      </c>
      <c r="F14" s="275" t="s">
        <v>2059</v>
      </c>
      <c r="G14" s="276">
        <v>24395</v>
      </c>
      <c r="H14" s="277">
        <v>1.2462598156690033E-2</v>
      </c>
      <c r="I14" s="277">
        <v>0.3008490097100473</v>
      </c>
    </row>
    <row r="15" spans="1:9" x14ac:dyDescent="0.25">
      <c r="A15" t="s">
        <v>1555</v>
      </c>
      <c r="B15" t="s">
        <v>1571</v>
      </c>
      <c r="C15" s="271">
        <v>75</v>
      </c>
      <c r="E15" s="275" t="s">
        <v>1579</v>
      </c>
      <c r="F15" s="275" t="s">
        <v>1687</v>
      </c>
      <c r="G15" s="276">
        <v>22771</v>
      </c>
      <c r="H15" s="277">
        <v>1.1632950302356579E-2</v>
      </c>
      <c r="I15" s="277">
        <v>0.31248196001240386</v>
      </c>
    </row>
    <row r="16" spans="1:9" x14ac:dyDescent="0.25">
      <c r="A16" t="s">
        <v>1560</v>
      </c>
      <c r="B16" t="s">
        <v>1572</v>
      </c>
      <c r="C16" s="271">
        <v>72</v>
      </c>
      <c r="E16" s="275" t="s">
        <v>1558</v>
      </c>
      <c r="F16" s="275" t="s">
        <v>1562</v>
      </c>
      <c r="G16" s="276">
        <v>22419</v>
      </c>
      <c r="H16" s="277">
        <v>1.1453125151663612E-2</v>
      </c>
      <c r="I16" s="277">
        <v>0.32393508516406749</v>
      </c>
    </row>
    <row r="17" spans="1:9" x14ac:dyDescent="0.25">
      <c r="A17" t="s">
        <v>1555</v>
      </c>
      <c r="B17" t="s">
        <v>1573</v>
      </c>
      <c r="C17" s="271">
        <v>72</v>
      </c>
      <c r="E17" s="275" t="s">
        <v>1579</v>
      </c>
      <c r="F17" s="275" t="s">
        <v>1580</v>
      </c>
      <c r="G17" s="276">
        <v>22118</v>
      </c>
      <c r="H17" s="277">
        <v>1.1299354213144912E-2</v>
      </c>
      <c r="I17" s="277">
        <v>0.33523443937721242</v>
      </c>
    </row>
    <row r="18" spans="1:9" x14ac:dyDescent="0.25">
      <c r="A18" t="s">
        <v>1560</v>
      </c>
      <c r="B18" t="s">
        <v>617</v>
      </c>
      <c r="C18" s="271">
        <v>67</v>
      </c>
      <c r="E18" s="275" t="s">
        <v>1555</v>
      </c>
      <c r="F18" s="275" t="s">
        <v>1634</v>
      </c>
      <c r="G18" s="276">
        <v>21875</v>
      </c>
      <c r="H18" s="277">
        <v>1.1175213555138121E-2</v>
      </c>
      <c r="I18" s="277">
        <v>0.34640965293235054</v>
      </c>
    </row>
    <row r="19" spans="1:9" x14ac:dyDescent="0.25">
      <c r="A19" t="s">
        <v>1574</v>
      </c>
      <c r="B19" t="s">
        <v>1575</v>
      </c>
      <c r="C19" s="271">
        <v>67</v>
      </c>
      <c r="E19" s="275" t="s">
        <v>1558</v>
      </c>
      <c r="F19" s="275" t="s">
        <v>1739</v>
      </c>
      <c r="G19" s="276">
        <v>20578</v>
      </c>
      <c r="H19" s="277">
        <v>1.0512619178863189E-2</v>
      </c>
      <c r="I19" s="277">
        <v>0.35692227211121375</v>
      </c>
    </row>
    <row r="20" spans="1:9" x14ac:dyDescent="0.25">
      <c r="A20" t="s">
        <v>1555</v>
      </c>
      <c r="B20" t="s">
        <v>1576</v>
      </c>
      <c r="C20" s="271">
        <v>67</v>
      </c>
      <c r="E20" s="275" t="s">
        <v>1558</v>
      </c>
      <c r="F20" s="275" t="s">
        <v>1548</v>
      </c>
      <c r="G20" s="276">
        <v>19912</v>
      </c>
      <c r="H20" s="277">
        <v>1.0172381819881612E-2</v>
      </c>
      <c r="I20" s="277">
        <v>0.36709465393109536</v>
      </c>
    </row>
    <row r="21" spans="1:9" x14ac:dyDescent="0.25">
      <c r="A21" t="s">
        <v>1558</v>
      </c>
      <c r="B21" t="s">
        <v>1577</v>
      </c>
      <c r="C21" s="271">
        <v>60</v>
      </c>
      <c r="E21" s="275" t="s">
        <v>1567</v>
      </c>
      <c r="F21" s="275" t="s">
        <v>2041</v>
      </c>
      <c r="G21" s="276">
        <v>19850</v>
      </c>
      <c r="H21" s="277">
        <v>1.0140708071748192E-2</v>
      </c>
      <c r="I21" s="277">
        <v>0.37723536200284358</v>
      </c>
    </row>
    <row r="22" spans="1:9" x14ac:dyDescent="0.25">
      <c r="A22" t="s">
        <v>1560</v>
      </c>
      <c r="B22" t="s">
        <v>1578</v>
      </c>
      <c r="C22" s="271">
        <v>59</v>
      </c>
      <c r="E22" s="275" t="s">
        <v>1555</v>
      </c>
      <c r="F22" s="275" t="s">
        <v>1744</v>
      </c>
      <c r="G22" s="276">
        <v>19770</v>
      </c>
      <c r="H22" s="277">
        <v>1.0099838719317973E-2</v>
      </c>
      <c r="I22" s="277">
        <v>0.38733520072216154</v>
      </c>
    </row>
    <row r="23" spans="1:9" x14ac:dyDescent="0.25">
      <c r="A23" t="s">
        <v>1579</v>
      </c>
      <c r="B23" t="s">
        <v>1580</v>
      </c>
      <c r="C23" s="271">
        <v>57</v>
      </c>
      <c r="E23" s="275" t="s">
        <v>1567</v>
      </c>
      <c r="F23" s="275" t="s">
        <v>1752</v>
      </c>
      <c r="G23" s="276">
        <v>19723</v>
      </c>
      <c r="H23" s="277">
        <v>1.0075827974765219E-2</v>
      </c>
      <c r="I23" s="277">
        <v>0.39741102869692674</v>
      </c>
    </row>
    <row r="24" spans="1:9" x14ac:dyDescent="0.25">
      <c r="A24" t="s">
        <v>1567</v>
      </c>
      <c r="B24" t="s">
        <v>1581</v>
      </c>
      <c r="C24" s="271">
        <v>53</v>
      </c>
      <c r="E24" s="275" t="s">
        <v>1579</v>
      </c>
      <c r="F24" s="275" t="s">
        <v>1700</v>
      </c>
      <c r="G24" s="276">
        <v>19680</v>
      </c>
      <c r="H24" s="277">
        <v>1.0053860697833976E-2</v>
      </c>
      <c r="I24" s="277">
        <v>0.40746488939476072</v>
      </c>
    </row>
    <row r="25" spans="1:9" x14ac:dyDescent="0.25">
      <c r="A25" t="s">
        <v>1558</v>
      </c>
      <c r="B25" t="s">
        <v>1582</v>
      </c>
      <c r="C25" s="271">
        <v>51</v>
      </c>
      <c r="E25" s="275" t="s">
        <v>1555</v>
      </c>
      <c r="F25" s="275" t="s">
        <v>1633</v>
      </c>
      <c r="G25" s="276">
        <v>19297</v>
      </c>
      <c r="H25" s="277">
        <v>9.8581986730742997E-3</v>
      </c>
      <c r="I25" s="277">
        <v>0.41732308806783502</v>
      </c>
    </row>
    <row r="26" spans="1:9" x14ac:dyDescent="0.25">
      <c r="A26" t="s">
        <v>1555</v>
      </c>
      <c r="B26" t="s">
        <v>1583</v>
      </c>
      <c r="C26" s="271">
        <v>48</v>
      </c>
      <c r="E26" s="275" t="s">
        <v>1661</v>
      </c>
      <c r="F26" s="275" t="s">
        <v>2060</v>
      </c>
      <c r="G26" s="276">
        <v>19224</v>
      </c>
      <c r="H26" s="277">
        <v>9.8209053889817249E-3</v>
      </c>
      <c r="I26" s="277">
        <v>0.42714399345681675</v>
      </c>
    </row>
    <row r="27" spans="1:9" x14ac:dyDescent="0.25">
      <c r="A27" t="s">
        <v>1579</v>
      </c>
      <c r="B27" t="s">
        <v>1584</v>
      </c>
      <c r="C27" s="271">
        <v>47</v>
      </c>
      <c r="E27" s="275" t="s">
        <v>1555</v>
      </c>
      <c r="F27" s="275" t="s">
        <v>2061</v>
      </c>
      <c r="G27" s="276">
        <v>17939</v>
      </c>
      <c r="H27" s="277">
        <v>9.1644414155713262E-3</v>
      </c>
      <c r="I27" s="277">
        <v>0.43630843487238807</v>
      </c>
    </row>
    <row r="28" spans="1:9" x14ac:dyDescent="0.25">
      <c r="A28" t="s">
        <v>1560</v>
      </c>
      <c r="B28" t="s">
        <v>807</v>
      </c>
      <c r="C28" s="271">
        <v>47</v>
      </c>
      <c r="E28" s="275" t="s">
        <v>1558</v>
      </c>
      <c r="F28" s="275" t="s">
        <v>1672</v>
      </c>
      <c r="G28" s="276">
        <v>16704</v>
      </c>
      <c r="H28" s="277">
        <v>8.5335207874298134E-3</v>
      </c>
      <c r="I28" s="277">
        <v>0.44484195565981788</v>
      </c>
    </row>
    <row r="29" spans="1:9" x14ac:dyDescent="0.25">
      <c r="A29" t="s">
        <v>1560</v>
      </c>
      <c r="B29" t="s">
        <v>616</v>
      </c>
      <c r="C29" s="271">
        <v>45</v>
      </c>
      <c r="E29" s="275" t="s">
        <v>1579</v>
      </c>
      <c r="F29" s="275" t="s">
        <v>1726</v>
      </c>
      <c r="G29" s="276">
        <v>15918</v>
      </c>
      <c r="H29" s="277">
        <v>8.131979399802907E-3</v>
      </c>
      <c r="I29" s="277">
        <v>0.4529739350596208</v>
      </c>
    </row>
    <row r="30" spans="1:9" x14ac:dyDescent="0.25">
      <c r="A30" t="s">
        <v>1555</v>
      </c>
      <c r="B30" t="s">
        <v>1585</v>
      </c>
      <c r="C30" s="271">
        <v>45</v>
      </c>
      <c r="E30" s="275" t="s">
        <v>1579</v>
      </c>
      <c r="F30" s="275" t="s">
        <v>1699</v>
      </c>
      <c r="G30" s="276">
        <v>15647</v>
      </c>
      <c r="H30" s="277">
        <v>7.9935344684455394E-3</v>
      </c>
      <c r="I30" s="277">
        <v>0.46096746952806633</v>
      </c>
    </row>
    <row r="31" spans="1:9" x14ac:dyDescent="0.25">
      <c r="A31" t="s">
        <v>1567</v>
      </c>
      <c r="B31" t="s">
        <v>1586</v>
      </c>
      <c r="C31" s="271">
        <v>45</v>
      </c>
      <c r="E31" s="275" t="s">
        <v>1725</v>
      </c>
      <c r="F31" s="275" t="s">
        <v>1725</v>
      </c>
      <c r="G31" s="276">
        <v>15307</v>
      </c>
      <c r="H31" s="277">
        <v>7.8198397206171062E-3</v>
      </c>
      <c r="I31" s="277">
        <v>0.46878730924868345</v>
      </c>
    </row>
    <row r="32" spans="1:9" x14ac:dyDescent="0.25">
      <c r="A32" t="s">
        <v>1555</v>
      </c>
      <c r="B32" t="s">
        <v>1587</v>
      </c>
      <c r="C32" s="271">
        <v>43</v>
      </c>
      <c r="E32" s="275" t="s">
        <v>1555</v>
      </c>
      <c r="F32" s="275" t="s">
        <v>2007</v>
      </c>
      <c r="G32" s="276">
        <v>15239</v>
      </c>
      <c r="H32" s="277">
        <v>7.7851007710514203E-3</v>
      </c>
      <c r="I32" s="277">
        <v>0.47657241001973488</v>
      </c>
    </row>
    <row r="33" spans="1:9" x14ac:dyDescent="0.25">
      <c r="A33" t="s">
        <v>1567</v>
      </c>
      <c r="B33" t="s">
        <v>1588</v>
      </c>
      <c r="C33" s="271">
        <v>40</v>
      </c>
      <c r="E33" s="275" t="s">
        <v>1558</v>
      </c>
      <c r="F33" s="275" t="s">
        <v>2062</v>
      </c>
      <c r="G33" s="276">
        <v>15209</v>
      </c>
      <c r="H33" s="277">
        <v>7.7697747638900876E-3</v>
      </c>
      <c r="I33" s="277">
        <v>0.48434218478362495</v>
      </c>
    </row>
    <row r="34" spans="1:9" x14ac:dyDescent="0.25">
      <c r="A34" t="s">
        <v>1567</v>
      </c>
      <c r="B34" t="s">
        <v>1589</v>
      </c>
      <c r="C34" s="271">
        <v>39</v>
      </c>
      <c r="E34" s="275" t="s">
        <v>1567</v>
      </c>
      <c r="F34" s="275" t="s">
        <v>1595</v>
      </c>
      <c r="G34" s="276">
        <v>14822</v>
      </c>
      <c r="H34" s="277">
        <v>7.572069271508902E-3</v>
      </c>
      <c r="I34" s="277">
        <v>0.49191425405513384</v>
      </c>
    </row>
    <row r="35" spans="1:9" x14ac:dyDescent="0.25">
      <c r="A35" t="s">
        <v>1555</v>
      </c>
      <c r="B35" t="s">
        <v>1590</v>
      </c>
      <c r="C35" s="271">
        <v>37</v>
      </c>
      <c r="E35" s="275" t="s">
        <v>1603</v>
      </c>
      <c r="F35" s="275" t="s">
        <v>1653</v>
      </c>
      <c r="G35" s="276">
        <v>14497</v>
      </c>
      <c r="H35" s="277">
        <v>7.4060375272611357E-3</v>
      </c>
      <c r="I35" s="277">
        <v>0.49932029158239499</v>
      </c>
    </row>
    <row r="36" spans="1:9" x14ac:dyDescent="0.25">
      <c r="A36" t="s">
        <v>1579</v>
      </c>
      <c r="B36" t="s">
        <v>1591</v>
      </c>
      <c r="C36" s="271">
        <v>36</v>
      </c>
      <c r="E36" s="275" t="s">
        <v>1567</v>
      </c>
      <c r="F36" s="275" t="s">
        <v>1684</v>
      </c>
      <c r="G36" s="276">
        <v>13829</v>
      </c>
      <c r="H36" s="277">
        <v>7.0647784344688028E-3</v>
      </c>
      <c r="I36" s="277">
        <v>0.50638507001686384</v>
      </c>
    </row>
    <row r="37" spans="1:9" x14ac:dyDescent="0.25">
      <c r="A37" t="s">
        <v>1558</v>
      </c>
      <c r="B37" t="s">
        <v>1592</v>
      </c>
      <c r="C37" s="271">
        <v>36</v>
      </c>
      <c r="E37" s="275" t="s">
        <v>1606</v>
      </c>
      <c r="F37" s="275" t="s">
        <v>1631</v>
      </c>
      <c r="G37" s="276">
        <v>13677</v>
      </c>
      <c r="H37" s="277">
        <v>6.9871266648513864E-3</v>
      </c>
      <c r="I37" s="277">
        <v>0.51337219668171519</v>
      </c>
    </row>
    <row r="38" spans="1:9" x14ac:dyDescent="0.25">
      <c r="A38" t="s">
        <v>1558</v>
      </c>
      <c r="B38" t="s">
        <v>1593</v>
      </c>
      <c r="C38" s="271">
        <v>35</v>
      </c>
      <c r="E38" s="275" t="s">
        <v>1555</v>
      </c>
      <c r="F38" s="275" t="s">
        <v>1846</v>
      </c>
      <c r="G38" s="276">
        <v>13294</v>
      </c>
      <c r="H38" s="277">
        <v>6.7914646400917111E-3</v>
      </c>
      <c r="I38" s="277">
        <v>0.52016366132180691</v>
      </c>
    </row>
    <row r="39" spans="1:9" x14ac:dyDescent="0.25">
      <c r="A39" t="s">
        <v>1558</v>
      </c>
      <c r="B39" t="s">
        <v>1594</v>
      </c>
      <c r="C39" s="271">
        <v>35</v>
      </c>
      <c r="E39" s="275" t="s">
        <v>1607</v>
      </c>
      <c r="F39" s="275" t="s">
        <v>1986</v>
      </c>
      <c r="G39" s="276">
        <v>13216</v>
      </c>
      <c r="H39" s="277">
        <v>6.7516170214722473E-3</v>
      </c>
      <c r="I39" s="277">
        <v>0.52691527834327911</v>
      </c>
    </row>
    <row r="40" spans="1:9" x14ac:dyDescent="0.25">
      <c r="A40" t="s">
        <v>1567</v>
      </c>
      <c r="B40" t="s">
        <v>1595</v>
      </c>
      <c r="C40" s="271">
        <v>35</v>
      </c>
      <c r="E40" s="275" t="s">
        <v>1555</v>
      </c>
      <c r="F40" s="275" t="s">
        <v>1566</v>
      </c>
      <c r="G40" s="276">
        <v>13092</v>
      </c>
      <c r="H40" s="277">
        <v>6.6882695252054071E-3</v>
      </c>
      <c r="I40" s="277">
        <v>0.53360354786848452</v>
      </c>
    </row>
    <row r="41" spans="1:9" x14ac:dyDescent="0.25">
      <c r="A41" t="s">
        <v>1579</v>
      </c>
      <c r="B41" t="s">
        <v>1596</v>
      </c>
      <c r="C41" s="271">
        <v>34</v>
      </c>
      <c r="E41" s="275" t="s">
        <v>1579</v>
      </c>
      <c r="F41" s="275" t="s">
        <v>2063</v>
      </c>
      <c r="G41" s="276">
        <v>12888</v>
      </c>
      <c r="H41" s="277">
        <v>6.5840526765083476E-3</v>
      </c>
      <c r="I41" s="277">
        <v>0.54018760054499282</v>
      </c>
    </row>
    <row r="42" spans="1:9" x14ac:dyDescent="0.25">
      <c r="A42" t="s">
        <v>1555</v>
      </c>
      <c r="B42" t="s">
        <v>1597</v>
      </c>
      <c r="C42" s="271">
        <v>34</v>
      </c>
      <c r="E42" s="275" t="s">
        <v>1607</v>
      </c>
      <c r="F42" s="275" t="s">
        <v>1638</v>
      </c>
      <c r="G42" s="276">
        <v>12811</v>
      </c>
      <c r="H42" s="277">
        <v>6.5447159247942607E-3</v>
      </c>
      <c r="I42" s="277">
        <v>0.54673231646978704</v>
      </c>
    </row>
    <row r="43" spans="1:9" x14ac:dyDescent="0.25">
      <c r="A43" t="s">
        <v>1598</v>
      </c>
      <c r="B43" t="s">
        <v>1599</v>
      </c>
      <c r="C43" s="271">
        <v>33</v>
      </c>
      <c r="E43" s="275" t="s">
        <v>1703</v>
      </c>
      <c r="F43" s="275" t="s">
        <v>1765</v>
      </c>
      <c r="G43" s="276">
        <v>12448</v>
      </c>
      <c r="H43" s="277">
        <v>6.3592712381421402E-3</v>
      </c>
      <c r="I43" s="277">
        <v>0.55309158770792921</v>
      </c>
    </row>
    <row r="44" spans="1:9" x14ac:dyDescent="0.25">
      <c r="A44" t="s">
        <v>1574</v>
      </c>
      <c r="B44" t="s">
        <v>1600</v>
      </c>
      <c r="C44" s="271">
        <v>31</v>
      </c>
      <c r="E44" s="275" t="s">
        <v>1603</v>
      </c>
      <c r="F44" s="275" t="s">
        <v>2064</v>
      </c>
      <c r="G44" s="276">
        <v>11845</v>
      </c>
      <c r="H44" s="277">
        <v>6.0512184941993617E-3</v>
      </c>
      <c r="I44" s="277">
        <v>0.55914280620212853</v>
      </c>
    </row>
    <row r="45" spans="1:9" x14ac:dyDescent="0.25">
      <c r="A45" t="s">
        <v>1601</v>
      </c>
      <c r="B45" t="s">
        <v>1602</v>
      </c>
      <c r="C45" s="271">
        <v>31</v>
      </c>
      <c r="E45" s="275" t="s">
        <v>1567</v>
      </c>
      <c r="F45" s="275" t="s">
        <v>1787</v>
      </c>
      <c r="G45" s="276">
        <v>11594</v>
      </c>
      <c r="H45" s="277">
        <v>5.922990900949548E-3</v>
      </c>
      <c r="I45" s="277">
        <v>0.56506579710307803</v>
      </c>
    </row>
    <row r="46" spans="1:9" x14ac:dyDescent="0.25">
      <c r="A46" t="s">
        <v>1603</v>
      </c>
      <c r="B46" t="s">
        <v>1604</v>
      </c>
      <c r="C46" s="271">
        <v>30</v>
      </c>
      <c r="E46" s="275" t="s">
        <v>1603</v>
      </c>
      <c r="F46" s="275" t="s">
        <v>1620</v>
      </c>
      <c r="G46" s="276">
        <v>11523</v>
      </c>
      <c r="H46" s="277">
        <v>5.8867193506677287E-3</v>
      </c>
      <c r="I46" s="277">
        <v>0.57095251645374578</v>
      </c>
    </row>
    <row r="47" spans="1:9" x14ac:dyDescent="0.25">
      <c r="A47" t="s">
        <v>1555</v>
      </c>
      <c r="B47" t="s">
        <v>1605</v>
      </c>
      <c r="C47" s="271">
        <v>30</v>
      </c>
      <c r="E47" s="275" t="s">
        <v>1574</v>
      </c>
      <c r="F47" s="275" t="s">
        <v>2065</v>
      </c>
      <c r="G47" s="276">
        <v>10896</v>
      </c>
      <c r="H47" s="277">
        <v>5.5664058009958842E-3</v>
      </c>
      <c r="I47" s="277">
        <v>0.57651892225474166</v>
      </c>
    </row>
    <row r="48" spans="1:9" x14ac:dyDescent="0.25">
      <c r="A48" t="s">
        <v>1606</v>
      </c>
      <c r="B48" t="s">
        <v>584</v>
      </c>
      <c r="C48" s="271">
        <v>29</v>
      </c>
      <c r="E48" s="275" t="s">
        <v>1601</v>
      </c>
      <c r="F48" s="275" t="s">
        <v>2036</v>
      </c>
      <c r="G48" s="276">
        <v>10228</v>
      </c>
      <c r="H48" s="277">
        <v>5.2251467082035522E-3</v>
      </c>
      <c r="I48" s="277">
        <v>0.58174406896294517</v>
      </c>
    </row>
    <row r="49" spans="1:9" x14ac:dyDescent="0.25">
      <c r="A49" t="s">
        <v>1607</v>
      </c>
      <c r="B49" t="s">
        <v>1608</v>
      </c>
      <c r="C49" s="271">
        <v>29</v>
      </c>
      <c r="E49" s="275" t="s">
        <v>1567</v>
      </c>
      <c r="F49" s="275" t="s">
        <v>2066</v>
      </c>
      <c r="G49" s="276">
        <v>10036</v>
      </c>
      <c r="H49" s="277">
        <v>5.1270602623710252E-3</v>
      </c>
      <c r="I49" s="277">
        <v>0.58687112922531615</v>
      </c>
    </row>
    <row r="50" spans="1:9" x14ac:dyDescent="0.25">
      <c r="A50" t="s">
        <v>1606</v>
      </c>
      <c r="B50" t="s">
        <v>585</v>
      </c>
      <c r="C50" s="271">
        <v>28</v>
      </c>
      <c r="E50" s="275" t="s">
        <v>1555</v>
      </c>
      <c r="F50" s="275" t="s">
        <v>1668</v>
      </c>
      <c r="G50" s="276">
        <v>9929</v>
      </c>
      <c r="H50" s="277">
        <v>5.0723975034956065E-3</v>
      </c>
      <c r="I50" s="277">
        <v>0.59194352672881179</v>
      </c>
    </row>
    <row r="51" spans="1:9" x14ac:dyDescent="0.25">
      <c r="A51" t="s">
        <v>1579</v>
      </c>
      <c r="B51" t="s">
        <v>1609</v>
      </c>
      <c r="C51" s="271">
        <v>28</v>
      </c>
      <c r="E51" s="275" t="s">
        <v>1703</v>
      </c>
      <c r="F51" s="275" t="s">
        <v>1734</v>
      </c>
      <c r="G51" s="276">
        <v>9700</v>
      </c>
      <c r="H51" s="277">
        <v>4.9554089821641041E-3</v>
      </c>
      <c r="I51" s="277">
        <v>0.59689893571097585</v>
      </c>
    </row>
    <row r="52" spans="1:9" x14ac:dyDescent="0.25">
      <c r="A52" t="s">
        <v>1579</v>
      </c>
      <c r="B52" t="s">
        <v>1610</v>
      </c>
      <c r="C52" s="271">
        <v>28</v>
      </c>
      <c r="E52" s="275" t="s">
        <v>1623</v>
      </c>
      <c r="F52" s="275" t="s">
        <v>1807</v>
      </c>
      <c r="G52" s="276">
        <v>9608</v>
      </c>
      <c r="H52" s="277">
        <v>4.9084092268693513E-3</v>
      </c>
      <c r="I52" s="277">
        <v>0.60180734493784516</v>
      </c>
    </row>
    <row r="53" spans="1:9" x14ac:dyDescent="0.25">
      <c r="A53" t="s">
        <v>1611</v>
      </c>
      <c r="B53" t="s">
        <v>1612</v>
      </c>
      <c r="C53" s="271">
        <v>27</v>
      </c>
      <c r="E53" s="275" t="s">
        <v>1558</v>
      </c>
      <c r="F53" s="275" t="s">
        <v>2067</v>
      </c>
      <c r="G53" s="276">
        <v>9404</v>
      </c>
      <c r="H53" s="277">
        <v>4.8041923781722918E-3</v>
      </c>
      <c r="I53" s="277">
        <v>0.60661153731601747</v>
      </c>
    </row>
    <row r="54" spans="1:9" x14ac:dyDescent="0.25">
      <c r="A54" t="s">
        <v>1555</v>
      </c>
      <c r="B54" t="s">
        <v>1613</v>
      </c>
      <c r="C54" s="271">
        <v>27</v>
      </c>
      <c r="E54" s="275" t="s">
        <v>1579</v>
      </c>
      <c r="F54" s="275" t="s">
        <v>615</v>
      </c>
      <c r="G54" s="276">
        <v>9105</v>
      </c>
      <c r="H54" s="277">
        <v>4.651443173464347E-3</v>
      </c>
      <c r="I54" s="277">
        <v>0.6112629804894818</v>
      </c>
    </row>
    <row r="55" spans="1:9" x14ac:dyDescent="0.25">
      <c r="A55" t="s">
        <v>1555</v>
      </c>
      <c r="B55" t="s">
        <v>1614</v>
      </c>
      <c r="C55" s="271">
        <v>26</v>
      </c>
      <c r="E55" s="275" t="s">
        <v>1579</v>
      </c>
      <c r="F55" s="275" t="s">
        <v>1806</v>
      </c>
      <c r="G55" s="276">
        <v>9101</v>
      </c>
      <c r="H55" s="277">
        <v>4.6493997058428358E-3</v>
      </c>
      <c r="I55" s="277">
        <v>0.61591238019532468</v>
      </c>
    </row>
    <row r="56" spans="1:9" x14ac:dyDescent="0.25">
      <c r="A56" t="s">
        <v>1560</v>
      </c>
      <c r="B56" t="s">
        <v>1615</v>
      </c>
      <c r="C56" s="271">
        <v>25</v>
      </c>
      <c r="E56" s="275" t="s">
        <v>1555</v>
      </c>
      <c r="F56" s="275" t="s">
        <v>1628</v>
      </c>
      <c r="G56" s="276">
        <v>9029</v>
      </c>
      <c r="H56" s="277">
        <v>4.6126172886556387E-3</v>
      </c>
      <c r="I56" s="277">
        <v>0.62052499748398027</v>
      </c>
    </row>
    <row r="57" spans="1:9" x14ac:dyDescent="0.25">
      <c r="A57" t="s">
        <v>1555</v>
      </c>
      <c r="B57" t="s">
        <v>1616</v>
      </c>
      <c r="C57" s="271">
        <v>25</v>
      </c>
      <c r="E57" s="275" t="s">
        <v>1607</v>
      </c>
      <c r="F57" s="275" t="s">
        <v>2068</v>
      </c>
      <c r="G57" s="276">
        <v>9020</v>
      </c>
      <c r="H57" s="277">
        <v>4.6080194865072387E-3</v>
      </c>
      <c r="I57" s="277">
        <v>0.62513301697048751</v>
      </c>
    </row>
    <row r="58" spans="1:9" x14ac:dyDescent="0.25">
      <c r="A58" t="s">
        <v>1598</v>
      </c>
      <c r="B58" t="s">
        <v>1617</v>
      </c>
      <c r="C58" s="271">
        <v>24</v>
      </c>
      <c r="E58" s="275" t="s">
        <v>1607</v>
      </c>
      <c r="F58" s="275" t="s">
        <v>2069</v>
      </c>
      <c r="G58" s="276">
        <v>8842</v>
      </c>
      <c r="H58" s="277">
        <v>4.5170851773500007E-3</v>
      </c>
      <c r="I58" s="277">
        <v>0.62965010214783756</v>
      </c>
    </row>
    <row r="59" spans="1:9" x14ac:dyDescent="0.25">
      <c r="A59" t="s">
        <v>1601</v>
      </c>
      <c r="B59" t="s">
        <v>1618</v>
      </c>
      <c r="C59" s="271">
        <v>24</v>
      </c>
      <c r="E59" s="275" t="s">
        <v>1607</v>
      </c>
      <c r="F59" s="275" t="s">
        <v>1692</v>
      </c>
      <c r="G59" s="276">
        <v>8649</v>
      </c>
      <c r="H59" s="277">
        <v>4.4184878646120959E-3</v>
      </c>
      <c r="I59" s="277">
        <v>0.63406859001244964</v>
      </c>
    </row>
    <row r="60" spans="1:9" x14ac:dyDescent="0.25">
      <c r="A60" t="s">
        <v>1567</v>
      </c>
      <c r="B60" t="s">
        <v>1619</v>
      </c>
      <c r="C60" s="271">
        <v>24</v>
      </c>
      <c r="E60" s="275" t="s">
        <v>1607</v>
      </c>
      <c r="F60" s="275" t="s">
        <v>1828</v>
      </c>
      <c r="G60" s="276">
        <v>8518</v>
      </c>
      <c r="H60" s="277">
        <v>4.3515643000076121E-3</v>
      </c>
      <c r="I60" s="277">
        <v>0.63842015431245724</v>
      </c>
    </row>
    <row r="61" spans="1:9" x14ac:dyDescent="0.25">
      <c r="A61" t="s">
        <v>1603</v>
      </c>
      <c r="B61" t="s">
        <v>1620</v>
      </c>
      <c r="C61" s="271">
        <v>23</v>
      </c>
      <c r="E61" s="275" t="s">
        <v>1555</v>
      </c>
      <c r="F61" s="275" t="s">
        <v>1721</v>
      </c>
      <c r="G61" s="276">
        <v>8445</v>
      </c>
      <c r="H61" s="277">
        <v>4.3142710159150364E-3</v>
      </c>
      <c r="I61" s="277">
        <v>0.64273442532837233</v>
      </c>
    </row>
    <row r="62" spans="1:9" x14ac:dyDescent="0.25">
      <c r="A62" t="s">
        <v>1560</v>
      </c>
      <c r="B62" t="s">
        <v>618</v>
      </c>
      <c r="C62" s="271">
        <v>22</v>
      </c>
      <c r="E62" s="275" t="s">
        <v>1607</v>
      </c>
      <c r="F62" s="275" t="s">
        <v>2070</v>
      </c>
      <c r="G62" s="276">
        <v>8423</v>
      </c>
      <c r="H62" s="277">
        <v>4.303031943996726E-3</v>
      </c>
      <c r="I62" s="277">
        <v>0.64703745727236905</v>
      </c>
    </row>
    <row r="63" spans="1:9" x14ac:dyDescent="0.25">
      <c r="A63" t="s">
        <v>1574</v>
      </c>
      <c r="B63" t="s">
        <v>1621</v>
      </c>
      <c r="C63" s="271">
        <v>21</v>
      </c>
      <c r="E63" s="275" t="s">
        <v>1611</v>
      </c>
      <c r="F63" s="275" t="s">
        <v>1625</v>
      </c>
      <c r="G63" s="276">
        <v>8299</v>
      </c>
      <c r="H63" s="277">
        <v>4.2396844477298867E-3</v>
      </c>
      <c r="I63" s="277">
        <v>0.65127714172009898</v>
      </c>
    </row>
    <row r="64" spans="1:9" x14ac:dyDescent="0.25">
      <c r="A64" t="s">
        <v>1560</v>
      </c>
      <c r="B64" t="s">
        <v>1622</v>
      </c>
      <c r="C64" s="271">
        <v>20</v>
      </c>
      <c r="E64" s="275" t="s">
        <v>1674</v>
      </c>
      <c r="F64" s="275" t="s">
        <v>1778</v>
      </c>
      <c r="G64" s="276">
        <v>8162</v>
      </c>
      <c r="H64" s="277">
        <v>4.1696956816931353E-3</v>
      </c>
      <c r="I64" s="277">
        <v>0.6554468374017921</v>
      </c>
    </row>
    <row r="65" spans="1:9" x14ac:dyDescent="0.25">
      <c r="A65" t="s">
        <v>1623</v>
      </c>
      <c r="B65" t="s">
        <v>1624</v>
      </c>
      <c r="C65" s="271">
        <v>20</v>
      </c>
      <c r="E65" s="275" t="s">
        <v>1606</v>
      </c>
      <c r="F65" s="275" t="s">
        <v>1794</v>
      </c>
      <c r="G65" s="276">
        <v>7768</v>
      </c>
      <c r="H65" s="277">
        <v>3.9684141209743052E-3</v>
      </c>
      <c r="I65" s="277">
        <v>0.65941525152276637</v>
      </c>
    </row>
    <row r="66" spans="1:9" x14ac:dyDescent="0.25">
      <c r="A66" t="s">
        <v>1611</v>
      </c>
      <c r="B66" t="s">
        <v>1625</v>
      </c>
      <c r="C66" s="271">
        <v>20</v>
      </c>
      <c r="E66" s="275" t="s">
        <v>1567</v>
      </c>
      <c r="F66" s="275" t="s">
        <v>1750</v>
      </c>
      <c r="G66" s="276">
        <v>7737</v>
      </c>
      <c r="H66" s="277">
        <v>3.9525772469075947E-3</v>
      </c>
      <c r="I66" s="277">
        <v>0.66336782876967393</v>
      </c>
    </row>
    <row r="67" spans="1:9" x14ac:dyDescent="0.25">
      <c r="A67" t="s">
        <v>1558</v>
      </c>
      <c r="B67" t="s">
        <v>1626</v>
      </c>
      <c r="C67" s="271">
        <v>19</v>
      </c>
      <c r="E67" s="275" t="s">
        <v>1607</v>
      </c>
      <c r="F67" s="275" t="s">
        <v>2071</v>
      </c>
      <c r="G67" s="276">
        <v>7617</v>
      </c>
      <c r="H67" s="277">
        <v>3.8912732182622657E-3</v>
      </c>
      <c r="I67" s="277">
        <v>0.66725910198793614</v>
      </c>
    </row>
    <row r="68" spans="1:9" x14ac:dyDescent="0.25">
      <c r="A68" t="s">
        <v>1558</v>
      </c>
      <c r="B68" t="s">
        <v>1627</v>
      </c>
      <c r="C68" s="271">
        <v>19</v>
      </c>
      <c r="E68" s="275" t="s">
        <v>1558</v>
      </c>
      <c r="F68" s="275" t="s">
        <v>1570</v>
      </c>
      <c r="G68" s="276">
        <v>7599</v>
      </c>
      <c r="H68" s="277">
        <v>3.8820776139654664E-3</v>
      </c>
      <c r="I68" s="277">
        <v>0.67114117960190156</v>
      </c>
    </row>
    <row r="69" spans="1:9" x14ac:dyDescent="0.25">
      <c r="A69" t="s">
        <v>1555</v>
      </c>
      <c r="B69" t="s">
        <v>1628</v>
      </c>
      <c r="C69" s="271">
        <v>19</v>
      </c>
      <c r="E69" s="275" t="s">
        <v>1603</v>
      </c>
      <c r="F69" s="275" t="s">
        <v>2072</v>
      </c>
      <c r="G69" s="276">
        <v>7421</v>
      </c>
      <c r="H69" s="277">
        <v>3.7911433048082284E-3</v>
      </c>
      <c r="I69" s="277">
        <v>0.67493232290670979</v>
      </c>
    </row>
    <row r="70" spans="1:9" x14ac:dyDescent="0.25">
      <c r="A70" t="s">
        <v>1555</v>
      </c>
      <c r="B70" t="s">
        <v>1629</v>
      </c>
      <c r="C70" s="271">
        <v>19</v>
      </c>
      <c r="E70" s="275" t="s">
        <v>1674</v>
      </c>
      <c r="F70" s="275" t="s">
        <v>1682</v>
      </c>
      <c r="G70" s="276">
        <v>7139</v>
      </c>
      <c r="H70" s="277">
        <v>3.6470788374917047E-3</v>
      </c>
      <c r="I70" s="277">
        <v>0.6785794017442015</v>
      </c>
    </row>
    <row r="71" spans="1:9" x14ac:dyDescent="0.25">
      <c r="A71" t="s">
        <v>1555</v>
      </c>
      <c r="B71" t="s">
        <v>1630</v>
      </c>
      <c r="C71" s="271">
        <v>19</v>
      </c>
      <c r="E71" s="275" t="s">
        <v>1603</v>
      </c>
      <c r="F71" s="275" t="s">
        <v>1652</v>
      </c>
      <c r="G71" s="276">
        <v>7106</v>
      </c>
      <c r="H71" s="277">
        <v>3.6302202296142395E-3</v>
      </c>
      <c r="I71" s="277">
        <v>0.68220962197381574</v>
      </c>
    </row>
    <row r="72" spans="1:9" x14ac:dyDescent="0.25">
      <c r="A72" t="s">
        <v>1606</v>
      </c>
      <c r="B72" t="s">
        <v>1631</v>
      </c>
      <c r="C72" s="271">
        <v>17</v>
      </c>
      <c r="E72" s="275" t="s">
        <v>1574</v>
      </c>
      <c r="F72" s="275" t="s">
        <v>2073</v>
      </c>
      <c r="G72" s="276">
        <v>6969</v>
      </c>
      <c r="H72" s="277">
        <v>3.5602314635774885E-3</v>
      </c>
      <c r="I72" s="277">
        <v>0.68576985343739327</v>
      </c>
    </row>
    <row r="73" spans="1:9" x14ac:dyDescent="0.25">
      <c r="A73" t="s">
        <v>1606</v>
      </c>
      <c r="B73" t="s">
        <v>1632</v>
      </c>
      <c r="C73" s="271">
        <v>17</v>
      </c>
      <c r="E73" s="275" t="s">
        <v>1606</v>
      </c>
      <c r="F73" s="275" t="s">
        <v>2074</v>
      </c>
      <c r="G73" s="276">
        <v>6875</v>
      </c>
      <c r="H73" s="277">
        <v>3.5122099744719806E-3</v>
      </c>
      <c r="I73" s="277">
        <v>0.68928206341186526</v>
      </c>
    </row>
    <row r="74" spans="1:9" x14ac:dyDescent="0.25">
      <c r="A74" t="s">
        <v>1560</v>
      </c>
      <c r="B74" t="s">
        <v>1550</v>
      </c>
      <c r="C74" s="271">
        <v>17</v>
      </c>
      <c r="E74" s="275" t="s">
        <v>1558</v>
      </c>
      <c r="F74" s="275" t="s">
        <v>1770</v>
      </c>
      <c r="G74" s="276">
        <v>6854</v>
      </c>
      <c r="H74" s="277">
        <v>3.501481769459048E-3</v>
      </c>
      <c r="I74" s="277">
        <v>0.69278354518132435</v>
      </c>
    </row>
    <row r="75" spans="1:9" x14ac:dyDescent="0.25">
      <c r="A75" t="s">
        <v>1555</v>
      </c>
      <c r="B75" t="s">
        <v>1633</v>
      </c>
      <c r="C75" s="271">
        <v>17</v>
      </c>
      <c r="E75" s="275" t="s">
        <v>1661</v>
      </c>
      <c r="F75" s="275" t="s">
        <v>2075</v>
      </c>
      <c r="G75" s="276">
        <v>6787</v>
      </c>
      <c r="H75" s="277">
        <v>3.4672536867987394E-3</v>
      </c>
      <c r="I75" s="277">
        <v>0.69625079886812313</v>
      </c>
    </row>
    <row r="76" spans="1:9" x14ac:dyDescent="0.25">
      <c r="A76" t="s">
        <v>1555</v>
      </c>
      <c r="B76" t="s">
        <v>1634</v>
      </c>
      <c r="C76" s="271">
        <v>17</v>
      </c>
      <c r="E76" s="275" t="s">
        <v>1623</v>
      </c>
      <c r="F76" s="275" t="s">
        <v>1905</v>
      </c>
      <c r="G76" s="276">
        <v>6758</v>
      </c>
      <c r="H76" s="277">
        <v>3.4524385465427849E-3</v>
      </c>
      <c r="I76" s="277">
        <v>0.69970323741466589</v>
      </c>
    </row>
    <row r="77" spans="1:9" x14ac:dyDescent="0.25">
      <c r="A77" t="s">
        <v>1606</v>
      </c>
      <c r="B77" t="s">
        <v>1635</v>
      </c>
      <c r="C77" s="271">
        <v>16</v>
      </c>
      <c r="E77" s="275" t="s">
        <v>1567</v>
      </c>
      <c r="F77" s="275" t="s">
        <v>1568</v>
      </c>
      <c r="G77" s="276">
        <v>6484</v>
      </c>
      <c r="H77" s="277">
        <v>3.3124610144692835E-3</v>
      </c>
      <c r="I77" s="277">
        <v>0.70301569842913514</v>
      </c>
    </row>
    <row r="78" spans="1:9" x14ac:dyDescent="0.25">
      <c r="A78" t="s">
        <v>1579</v>
      </c>
      <c r="B78" t="s">
        <v>1636</v>
      </c>
      <c r="C78" s="271">
        <v>16</v>
      </c>
      <c r="E78" s="275" t="s">
        <v>1555</v>
      </c>
      <c r="F78" s="275" t="s">
        <v>2076</v>
      </c>
      <c r="G78" s="276">
        <v>6359</v>
      </c>
      <c r="H78" s="277">
        <v>3.2486026512970655E-3</v>
      </c>
      <c r="I78" s="277">
        <v>0.70626430108043226</v>
      </c>
    </row>
    <row r="79" spans="1:9" x14ac:dyDescent="0.25">
      <c r="A79" t="s">
        <v>1560</v>
      </c>
      <c r="B79" t="s">
        <v>1637</v>
      </c>
      <c r="C79" s="271">
        <v>16</v>
      </c>
      <c r="E79" s="275" t="s">
        <v>1601</v>
      </c>
      <c r="F79" s="275" t="s">
        <v>1859</v>
      </c>
      <c r="G79" s="276">
        <v>6329</v>
      </c>
      <c r="H79" s="277">
        <v>3.2332766441357332E-3</v>
      </c>
      <c r="I79" s="277">
        <v>0.70949757772456801</v>
      </c>
    </row>
    <row r="80" spans="1:9" x14ac:dyDescent="0.25">
      <c r="A80" t="s">
        <v>1607</v>
      </c>
      <c r="B80" t="s">
        <v>1638</v>
      </c>
      <c r="C80" s="271">
        <v>16</v>
      </c>
      <c r="E80" s="275" t="s">
        <v>1579</v>
      </c>
      <c r="F80" s="275" t="s">
        <v>614</v>
      </c>
      <c r="G80" s="276">
        <v>6318</v>
      </c>
      <c r="H80" s="277">
        <v>3.227657108176578E-3</v>
      </c>
      <c r="I80" s="277">
        <v>0.71272523483274464</v>
      </c>
    </row>
    <row r="81" spans="1:9" x14ac:dyDescent="0.25">
      <c r="A81" t="s">
        <v>1607</v>
      </c>
      <c r="B81" t="s">
        <v>1639</v>
      </c>
      <c r="C81" s="271">
        <v>16</v>
      </c>
      <c r="E81" s="275" t="s">
        <v>1606</v>
      </c>
      <c r="F81" s="275" t="s">
        <v>1872</v>
      </c>
      <c r="G81" s="276">
        <v>6167</v>
      </c>
      <c r="H81" s="277">
        <v>3.150516205464539E-3</v>
      </c>
      <c r="I81" s="277">
        <v>0.71587575103820922</v>
      </c>
    </row>
    <row r="82" spans="1:9" x14ac:dyDescent="0.25">
      <c r="A82" t="s">
        <v>1558</v>
      </c>
      <c r="B82" t="s">
        <v>1640</v>
      </c>
      <c r="C82" s="271">
        <v>16</v>
      </c>
      <c r="E82" s="275" t="s">
        <v>1579</v>
      </c>
      <c r="F82" s="275" t="s">
        <v>1901</v>
      </c>
      <c r="G82" s="276">
        <v>5992</v>
      </c>
      <c r="H82" s="277">
        <v>3.0611144970234339E-3</v>
      </c>
      <c r="I82" s="277">
        <v>0.71893686553523262</v>
      </c>
    </row>
    <row r="83" spans="1:9" x14ac:dyDescent="0.25">
      <c r="A83" t="s">
        <v>1555</v>
      </c>
      <c r="B83" t="s">
        <v>1641</v>
      </c>
      <c r="C83" s="271">
        <v>16</v>
      </c>
      <c r="E83" s="275" t="s">
        <v>1574</v>
      </c>
      <c r="F83" s="275" t="s">
        <v>1810</v>
      </c>
      <c r="G83" s="276">
        <v>5958</v>
      </c>
      <c r="H83" s="277">
        <v>3.0437450222405909E-3</v>
      </c>
      <c r="I83" s="277">
        <v>0.7219806105574732</v>
      </c>
    </row>
    <row r="84" spans="1:9" x14ac:dyDescent="0.25">
      <c r="A84" t="s">
        <v>1574</v>
      </c>
      <c r="B84" t="s">
        <v>1642</v>
      </c>
      <c r="C84" s="271">
        <v>15</v>
      </c>
      <c r="E84" s="275" t="s">
        <v>1603</v>
      </c>
      <c r="F84" s="275" t="s">
        <v>1599</v>
      </c>
      <c r="G84" s="276">
        <v>5897</v>
      </c>
      <c r="H84" s="277">
        <v>3.0125821410125486E-3</v>
      </c>
      <c r="I84" s="277">
        <v>0.72499319269848572</v>
      </c>
    </row>
    <row r="85" spans="1:9" x14ac:dyDescent="0.25">
      <c r="A85" t="s">
        <v>1567</v>
      </c>
      <c r="B85" t="s">
        <v>1643</v>
      </c>
      <c r="C85" s="271">
        <v>15</v>
      </c>
      <c r="E85" s="275" t="s">
        <v>1661</v>
      </c>
      <c r="F85" s="275" t="s">
        <v>2077</v>
      </c>
      <c r="G85" s="276">
        <v>5884</v>
      </c>
      <c r="H85" s="277">
        <v>3.0059408712426378E-3</v>
      </c>
      <c r="I85" s="277">
        <v>0.72799913356972834</v>
      </c>
    </row>
    <row r="86" spans="1:9" x14ac:dyDescent="0.25">
      <c r="A86" t="s">
        <v>1567</v>
      </c>
      <c r="B86" t="s">
        <v>1644</v>
      </c>
      <c r="C86" s="271">
        <v>15</v>
      </c>
      <c r="E86" s="275" t="s">
        <v>1703</v>
      </c>
      <c r="F86" s="275" t="s">
        <v>1959</v>
      </c>
      <c r="G86" s="276">
        <v>5833</v>
      </c>
      <c r="H86" s="277">
        <v>2.979886659068373E-3</v>
      </c>
      <c r="I86" s="277">
        <v>0.73097902022879668</v>
      </c>
    </row>
    <row r="87" spans="1:9" x14ac:dyDescent="0.25">
      <c r="A87" t="s">
        <v>1567</v>
      </c>
      <c r="B87" t="s">
        <v>1645</v>
      </c>
      <c r="C87" s="271">
        <v>15</v>
      </c>
      <c r="E87" s="275" t="s">
        <v>1579</v>
      </c>
      <c r="F87" s="275" t="s">
        <v>1572</v>
      </c>
      <c r="G87" s="276">
        <v>5720</v>
      </c>
      <c r="H87" s="277">
        <v>2.922158698760688E-3</v>
      </c>
      <c r="I87" s="277">
        <v>0.73390117892755735</v>
      </c>
    </row>
    <row r="88" spans="1:9" x14ac:dyDescent="0.25">
      <c r="A88" t="s">
        <v>1606</v>
      </c>
      <c r="B88" t="s">
        <v>1646</v>
      </c>
      <c r="C88" s="271">
        <v>14</v>
      </c>
      <c r="E88" s="275" t="s">
        <v>1555</v>
      </c>
      <c r="F88" s="275" t="s">
        <v>2078</v>
      </c>
      <c r="G88" s="276">
        <v>5694</v>
      </c>
      <c r="H88" s="277">
        <v>2.9088761592208669E-3</v>
      </c>
      <c r="I88" s="277">
        <v>0.73681005508677822</v>
      </c>
    </row>
    <row r="89" spans="1:9" x14ac:dyDescent="0.25">
      <c r="A89" t="s">
        <v>1567</v>
      </c>
      <c r="B89" t="s">
        <v>1647</v>
      </c>
      <c r="C89" s="271">
        <v>14</v>
      </c>
      <c r="E89" s="275" t="s">
        <v>1611</v>
      </c>
      <c r="F89" s="275" t="s">
        <v>1691</v>
      </c>
      <c r="G89" s="276">
        <v>5630</v>
      </c>
      <c r="H89" s="277">
        <v>2.8761806772766912E-3</v>
      </c>
      <c r="I89" s="277">
        <v>0.7396862357640549</v>
      </c>
    </row>
    <row r="90" spans="1:9" x14ac:dyDescent="0.25">
      <c r="A90" t="s">
        <v>1579</v>
      </c>
      <c r="B90" t="s">
        <v>1648</v>
      </c>
      <c r="C90" s="271">
        <v>13</v>
      </c>
      <c r="E90" s="275" t="s">
        <v>1555</v>
      </c>
      <c r="F90" s="275" t="s">
        <v>1590</v>
      </c>
      <c r="G90" s="276">
        <v>5562</v>
      </c>
      <c r="H90" s="277">
        <v>2.8414417277110048E-3</v>
      </c>
      <c r="I90" s="277">
        <v>0.74252767749176596</v>
      </c>
    </row>
    <row r="91" spans="1:9" x14ac:dyDescent="0.25">
      <c r="A91" t="s">
        <v>1649</v>
      </c>
      <c r="B91" t="s">
        <v>1650</v>
      </c>
      <c r="C91" s="271">
        <v>13</v>
      </c>
      <c r="E91" s="275" t="s">
        <v>1574</v>
      </c>
      <c r="F91" s="275" t="s">
        <v>1701</v>
      </c>
      <c r="G91" s="276">
        <v>5528</v>
      </c>
      <c r="H91" s="277">
        <v>2.8240722529281614E-3</v>
      </c>
      <c r="I91" s="277">
        <v>0.74535174974469409</v>
      </c>
    </row>
    <row r="92" spans="1:9" x14ac:dyDescent="0.25">
      <c r="A92" t="s">
        <v>1567</v>
      </c>
      <c r="B92" t="s">
        <v>1651</v>
      </c>
      <c r="C92" s="271">
        <v>13</v>
      </c>
      <c r="E92" s="275" t="s">
        <v>1558</v>
      </c>
      <c r="F92" s="275" t="s">
        <v>1719</v>
      </c>
      <c r="G92" s="276">
        <v>5345</v>
      </c>
      <c r="H92" s="277">
        <v>2.7305836092440345E-3</v>
      </c>
      <c r="I92" s="277">
        <v>0.74808233335393814</v>
      </c>
    </row>
    <row r="93" spans="1:9" x14ac:dyDescent="0.25">
      <c r="A93" t="s">
        <v>1603</v>
      </c>
      <c r="B93" t="s">
        <v>1652</v>
      </c>
      <c r="C93" s="271">
        <v>12</v>
      </c>
      <c r="E93" s="275" t="s">
        <v>1567</v>
      </c>
      <c r="F93" s="275" t="s">
        <v>1685</v>
      </c>
      <c r="G93" s="276">
        <v>5134</v>
      </c>
      <c r="H93" s="277">
        <v>2.6227906922093309E-3</v>
      </c>
      <c r="I93" s="277">
        <v>0.75070512404614742</v>
      </c>
    </row>
    <row r="94" spans="1:9" x14ac:dyDescent="0.25">
      <c r="A94" t="s">
        <v>1603</v>
      </c>
      <c r="B94" t="s">
        <v>1653</v>
      </c>
      <c r="C94" s="271">
        <v>12</v>
      </c>
      <c r="E94" s="275" t="s">
        <v>1791</v>
      </c>
      <c r="F94" s="275" t="s">
        <v>1549</v>
      </c>
      <c r="G94" s="276">
        <v>5096</v>
      </c>
      <c r="H94" s="277">
        <v>2.6033777498049764E-3</v>
      </c>
      <c r="I94" s="277">
        <v>0.75330850179595243</v>
      </c>
    </row>
    <row r="95" spans="1:9" x14ac:dyDescent="0.25">
      <c r="A95" t="s">
        <v>1579</v>
      </c>
      <c r="B95" t="s">
        <v>1654</v>
      </c>
      <c r="C95" s="271">
        <v>11</v>
      </c>
      <c r="E95" s="275" t="s">
        <v>1603</v>
      </c>
      <c r="F95" s="275" t="s">
        <v>1812</v>
      </c>
      <c r="G95" s="276">
        <v>5047</v>
      </c>
      <c r="H95" s="277">
        <v>2.5783452714414671E-3</v>
      </c>
      <c r="I95" s="277">
        <v>0.75588684706739395</v>
      </c>
    </row>
    <row r="96" spans="1:9" x14ac:dyDescent="0.25">
      <c r="A96" t="s">
        <v>1598</v>
      </c>
      <c r="B96" t="s">
        <v>1655</v>
      </c>
      <c r="C96" s="271">
        <v>11</v>
      </c>
      <c r="E96" s="275" t="s">
        <v>1579</v>
      </c>
      <c r="F96" s="275" t="s">
        <v>1654</v>
      </c>
      <c r="G96" s="276">
        <v>5044</v>
      </c>
      <c r="H96" s="277">
        <v>2.5768126707253342E-3</v>
      </c>
      <c r="I96" s="277">
        <v>0.75846365973811924</v>
      </c>
    </row>
    <row r="97" spans="1:9" x14ac:dyDescent="0.25">
      <c r="A97" t="s">
        <v>1607</v>
      </c>
      <c r="B97" t="s">
        <v>1656</v>
      </c>
      <c r="C97" s="271">
        <v>11</v>
      </c>
      <c r="E97" s="275" t="s">
        <v>1579</v>
      </c>
      <c r="F97" s="275" t="s">
        <v>2079</v>
      </c>
      <c r="G97" s="276">
        <v>5029</v>
      </c>
      <c r="H97" s="277">
        <v>2.5691496671446678E-3</v>
      </c>
      <c r="I97" s="277">
        <v>0.76103280940526397</v>
      </c>
    </row>
    <row r="98" spans="1:9" x14ac:dyDescent="0.25">
      <c r="A98" t="s">
        <v>1607</v>
      </c>
      <c r="B98" t="s">
        <v>1657</v>
      </c>
      <c r="C98" s="271">
        <v>11</v>
      </c>
      <c r="E98" s="275" t="s">
        <v>1703</v>
      </c>
      <c r="F98" s="275" t="s">
        <v>1666</v>
      </c>
      <c r="G98" s="276">
        <v>4948</v>
      </c>
      <c r="H98" s="277">
        <v>2.5277694478090707E-3</v>
      </c>
      <c r="I98" s="277">
        <v>0.76356057885307305</v>
      </c>
    </row>
    <row r="99" spans="1:9" x14ac:dyDescent="0.25">
      <c r="A99" t="s">
        <v>1558</v>
      </c>
      <c r="B99" t="s">
        <v>1658</v>
      </c>
      <c r="C99" s="271">
        <v>11</v>
      </c>
      <c r="E99" s="275" t="s">
        <v>1601</v>
      </c>
      <c r="F99" s="275" t="s">
        <v>2080</v>
      </c>
      <c r="G99" s="276">
        <v>4745</v>
      </c>
      <c r="H99" s="277">
        <v>2.4240634660173889E-3</v>
      </c>
      <c r="I99" s="277">
        <v>0.76598464231909047</v>
      </c>
    </row>
    <row r="100" spans="1:9" x14ac:dyDescent="0.25">
      <c r="A100" t="s">
        <v>1558</v>
      </c>
      <c r="B100" t="s">
        <v>1659</v>
      </c>
      <c r="C100" s="271">
        <v>11</v>
      </c>
      <c r="E100" s="275" t="s">
        <v>1852</v>
      </c>
      <c r="F100" s="275" t="s">
        <v>2081</v>
      </c>
      <c r="G100" s="276">
        <v>4744</v>
      </c>
      <c r="H100" s="277">
        <v>2.4235525991120111E-3</v>
      </c>
      <c r="I100" s="277">
        <v>0.76840819491820245</v>
      </c>
    </row>
    <row r="101" spans="1:9" x14ac:dyDescent="0.25">
      <c r="A101" t="s">
        <v>1567</v>
      </c>
      <c r="B101" t="s">
        <v>1660</v>
      </c>
      <c r="C101" s="271">
        <v>11</v>
      </c>
      <c r="E101" s="275" t="s">
        <v>1706</v>
      </c>
      <c r="F101" s="275" t="s">
        <v>1706</v>
      </c>
      <c r="G101" s="276">
        <v>4721</v>
      </c>
      <c r="H101" s="277">
        <v>2.4118026602883229E-3</v>
      </c>
      <c r="I101" s="277">
        <v>0.77081999757849073</v>
      </c>
    </row>
    <row r="102" spans="1:9" x14ac:dyDescent="0.25">
      <c r="A102" t="s">
        <v>1606</v>
      </c>
      <c r="B102" t="s">
        <v>587</v>
      </c>
      <c r="C102" s="271">
        <v>10</v>
      </c>
      <c r="E102" s="275" t="s">
        <v>1603</v>
      </c>
      <c r="F102" s="275" t="s">
        <v>2082</v>
      </c>
      <c r="G102" s="276">
        <v>4558</v>
      </c>
      <c r="H102" s="277">
        <v>2.3285313547117509E-3</v>
      </c>
      <c r="I102" s="277">
        <v>0.77314852893320252</v>
      </c>
    </row>
    <row r="103" spans="1:9" x14ac:dyDescent="0.25">
      <c r="A103" t="s">
        <v>1661</v>
      </c>
      <c r="B103" t="s">
        <v>119</v>
      </c>
      <c r="C103" s="271">
        <v>10</v>
      </c>
      <c r="E103" s="275" t="s">
        <v>1601</v>
      </c>
      <c r="F103" s="275" t="s">
        <v>2083</v>
      </c>
      <c r="G103" s="276">
        <v>4552</v>
      </c>
      <c r="H103" s="277">
        <v>2.3254661532794846E-3</v>
      </c>
      <c r="I103" s="277">
        <v>0.77547399508648196</v>
      </c>
    </row>
    <row r="104" spans="1:9" x14ac:dyDescent="0.25">
      <c r="A104" t="s">
        <v>1661</v>
      </c>
      <c r="B104" t="s">
        <v>1662</v>
      </c>
      <c r="C104" s="271">
        <v>10</v>
      </c>
      <c r="E104" s="275" t="s">
        <v>1674</v>
      </c>
      <c r="F104" s="275" t="s">
        <v>2015</v>
      </c>
      <c r="G104" s="276">
        <v>4344</v>
      </c>
      <c r="H104" s="277">
        <v>2.2192058369609139E-3</v>
      </c>
      <c r="I104" s="277">
        <v>0.77769320092344285</v>
      </c>
    </row>
    <row r="105" spans="1:9" x14ac:dyDescent="0.25">
      <c r="A105" t="s">
        <v>1560</v>
      </c>
      <c r="B105" t="s">
        <v>1663</v>
      </c>
      <c r="C105" s="271">
        <v>10</v>
      </c>
      <c r="E105" s="275" t="s">
        <v>1555</v>
      </c>
      <c r="F105" s="275" t="s">
        <v>1569</v>
      </c>
      <c r="G105" s="276">
        <v>4313</v>
      </c>
      <c r="H105" s="277">
        <v>2.2033689628942039E-3</v>
      </c>
      <c r="I105" s="277">
        <v>0.77989656988633704</v>
      </c>
    </row>
    <row r="106" spans="1:9" x14ac:dyDescent="0.25">
      <c r="A106" t="s">
        <v>1574</v>
      </c>
      <c r="B106" t="s">
        <v>1664</v>
      </c>
      <c r="C106" s="271">
        <v>10</v>
      </c>
      <c r="E106" s="275" t="s">
        <v>1603</v>
      </c>
      <c r="F106" s="275" t="s">
        <v>2084</v>
      </c>
      <c r="G106" s="276">
        <v>4266</v>
      </c>
      <c r="H106" s="277">
        <v>2.1793582183414501E-3</v>
      </c>
      <c r="I106" s="277">
        <v>0.78207592810467852</v>
      </c>
    </row>
    <row r="107" spans="1:9" x14ac:dyDescent="0.25">
      <c r="A107" t="s">
        <v>1665</v>
      </c>
      <c r="B107" t="s">
        <v>1666</v>
      </c>
      <c r="C107" s="271">
        <v>10</v>
      </c>
      <c r="E107" s="275" t="s">
        <v>1558</v>
      </c>
      <c r="F107" s="275" t="s">
        <v>1577</v>
      </c>
      <c r="G107" s="276">
        <v>4164</v>
      </c>
      <c r="H107" s="277">
        <v>2.1272497939929204E-3</v>
      </c>
      <c r="I107" s="277">
        <v>0.78420317789867144</v>
      </c>
    </row>
    <row r="108" spans="1:9" x14ac:dyDescent="0.25">
      <c r="A108" t="s">
        <v>1555</v>
      </c>
      <c r="B108" t="s">
        <v>1667</v>
      </c>
      <c r="C108" s="271">
        <v>10</v>
      </c>
      <c r="E108" s="275" t="s">
        <v>1723</v>
      </c>
      <c r="F108" s="275" t="s">
        <v>1724</v>
      </c>
      <c r="G108" s="276">
        <v>4008</v>
      </c>
      <c r="H108" s="277">
        <v>2.0475545567539923E-3</v>
      </c>
      <c r="I108" s="277">
        <v>0.78625073245542543</v>
      </c>
    </row>
    <row r="109" spans="1:9" x14ac:dyDescent="0.25">
      <c r="A109" t="s">
        <v>1555</v>
      </c>
      <c r="B109" t="s">
        <v>1668</v>
      </c>
      <c r="C109" s="271">
        <v>10</v>
      </c>
      <c r="E109" s="275" t="s">
        <v>1579</v>
      </c>
      <c r="F109" s="275" t="s">
        <v>1894</v>
      </c>
      <c r="G109" s="276">
        <v>3967</v>
      </c>
      <c r="H109" s="277">
        <v>2.0266090136335053E-3</v>
      </c>
      <c r="I109" s="277">
        <v>0.78827734146905892</v>
      </c>
    </row>
    <row r="110" spans="1:9" x14ac:dyDescent="0.25">
      <c r="A110" t="s">
        <v>1579</v>
      </c>
      <c r="B110" t="s">
        <v>1669</v>
      </c>
      <c r="C110" s="271">
        <v>9</v>
      </c>
      <c r="E110" s="275" t="s">
        <v>1674</v>
      </c>
      <c r="F110" s="275" t="s">
        <v>2085</v>
      </c>
      <c r="G110" s="276">
        <v>3951</v>
      </c>
      <c r="H110" s="277">
        <v>2.0184351431474612E-3</v>
      </c>
      <c r="I110" s="277">
        <v>0.7902957766122064</v>
      </c>
    </row>
    <row r="111" spans="1:9" x14ac:dyDescent="0.25">
      <c r="A111" t="s">
        <v>1574</v>
      </c>
      <c r="B111" t="s">
        <v>1670</v>
      </c>
      <c r="C111" s="271">
        <v>9</v>
      </c>
      <c r="E111" s="275" t="s">
        <v>1579</v>
      </c>
      <c r="F111" s="275" t="s">
        <v>2086</v>
      </c>
      <c r="G111" s="276">
        <v>3800</v>
      </c>
      <c r="H111" s="277">
        <v>1.9412942404354221E-3</v>
      </c>
      <c r="I111" s="277">
        <v>0.79223707085264183</v>
      </c>
    </row>
    <row r="112" spans="1:9" x14ac:dyDescent="0.25">
      <c r="A112" t="s">
        <v>1611</v>
      </c>
      <c r="B112" t="s">
        <v>1671</v>
      </c>
      <c r="C112" s="271">
        <v>9</v>
      </c>
      <c r="E112" s="275" t="s">
        <v>1567</v>
      </c>
      <c r="F112" s="275" t="s">
        <v>2087</v>
      </c>
      <c r="G112" s="276">
        <v>3736</v>
      </c>
      <c r="H112" s="277">
        <v>1.9085987584912467E-3</v>
      </c>
      <c r="I112" s="277">
        <v>0.79414566961113309</v>
      </c>
    </row>
    <row r="113" spans="1:9" x14ac:dyDescent="0.25">
      <c r="A113" t="s">
        <v>1558</v>
      </c>
      <c r="B113" t="s">
        <v>1672</v>
      </c>
      <c r="C113" s="271">
        <v>9</v>
      </c>
      <c r="E113" s="275" t="s">
        <v>1579</v>
      </c>
      <c r="F113" s="275" t="s">
        <v>621</v>
      </c>
      <c r="G113" s="276">
        <v>3702</v>
      </c>
      <c r="H113" s="277">
        <v>1.8912292837084033E-3</v>
      </c>
      <c r="I113" s="277">
        <v>0.79603689889484153</v>
      </c>
    </row>
    <row r="114" spans="1:9" x14ac:dyDescent="0.25">
      <c r="A114" t="s">
        <v>1555</v>
      </c>
      <c r="B114" t="s">
        <v>1673</v>
      </c>
      <c r="C114" s="271">
        <v>9</v>
      </c>
      <c r="E114" s="275" t="s">
        <v>1574</v>
      </c>
      <c r="F114" s="275" t="s">
        <v>1917</v>
      </c>
      <c r="G114" s="276">
        <v>3702</v>
      </c>
      <c r="H114" s="277">
        <v>1.8912292837084033E-3</v>
      </c>
      <c r="I114" s="277">
        <v>0.79792812817854997</v>
      </c>
    </row>
    <row r="115" spans="1:9" x14ac:dyDescent="0.25">
      <c r="A115" t="s">
        <v>1674</v>
      </c>
      <c r="B115" t="s">
        <v>1675</v>
      </c>
      <c r="C115" s="271">
        <v>9</v>
      </c>
      <c r="E115" s="275" t="s">
        <v>1555</v>
      </c>
      <c r="F115" s="275" t="s">
        <v>459</v>
      </c>
      <c r="G115" s="276">
        <v>3679</v>
      </c>
      <c r="H115" s="277">
        <v>1.8794793448847153E-3</v>
      </c>
      <c r="I115" s="277">
        <v>0.79980760752343472</v>
      </c>
    </row>
    <row r="116" spans="1:9" x14ac:dyDescent="0.25">
      <c r="A116" t="s">
        <v>1574</v>
      </c>
      <c r="B116" t="s">
        <v>1676</v>
      </c>
      <c r="C116" s="271">
        <v>8</v>
      </c>
      <c r="E116" s="275" t="s">
        <v>1674</v>
      </c>
      <c r="F116" s="275" t="s">
        <v>2016</v>
      </c>
      <c r="G116" s="276">
        <v>3677</v>
      </c>
      <c r="H116" s="277">
        <v>1.8784576110739597E-3</v>
      </c>
      <c r="I116" s="277">
        <v>0.80168606513450869</v>
      </c>
    </row>
    <row r="117" spans="1:9" x14ac:dyDescent="0.25">
      <c r="A117" t="s">
        <v>1574</v>
      </c>
      <c r="B117" t="s">
        <v>1677</v>
      </c>
      <c r="C117" s="271">
        <v>8</v>
      </c>
      <c r="E117" s="275" t="s">
        <v>1601</v>
      </c>
      <c r="F117" s="275" t="s">
        <v>1618</v>
      </c>
      <c r="G117" s="276">
        <v>3630</v>
      </c>
      <c r="H117" s="277">
        <v>1.8544468665212057E-3</v>
      </c>
      <c r="I117" s="277">
        <v>0.80354051200102994</v>
      </c>
    </row>
    <row r="118" spans="1:9" x14ac:dyDescent="0.25">
      <c r="A118" t="s">
        <v>1598</v>
      </c>
      <c r="B118" t="s">
        <v>1678</v>
      </c>
      <c r="C118" s="271">
        <v>8</v>
      </c>
      <c r="E118" s="275" t="s">
        <v>1558</v>
      </c>
      <c r="F118" s="275" t="s">
        <v>1709</v>
      </c>
      <c r="G118" s="276">
        <v>3534</v>
      </c>
      <c r="H118" s="277">
        <v>1.8054036436049425E-3</v>
      </c>
      <c r="I118" s="277">
        <v>0.80534591564463487</v>
      </c>
    </row>
    <row r="119" spans="1:9" x14ac:dyDescent="0.25">
      <c r="A119" t="s">
        <v>1598</v>
      </c>
      <c r="B119" t="s">
        <v>1679</v>
      </c>
      <c r="C119" s="271">
        <v>8</v>
      </c>
      <c r="E119" s="275" t="s">
        <v>1601</v>
      </c>
      <c r="F119" s="275" t="s">
        <v>2088</v>
      </c>
      <c r="G119" s="276">
        <v>3514</v>
      </c>
      <c r="H119" s="277">
        <v>1.7951863054973876E-3</v>
      </c>
      <c r="I119" s="277">
        <v>0.80714110195013222</v>
      </c>
    </row>
    <row r="120" spans="1:9" x14ac:dyDescent="0.25">
      <c r="A120" t="s">
        <v>1611</v>
      </c>
      <c r="B120" t="s">
        <v>1680</v>
      </c>
      <c r="C120" s="271">
        <v>8</v>
      </c>
      <c r="E120" s="275" t="s">
        <v>1558</v>
      </c>
      <c r="F120" s="275" t="s">
        <v>1841</v>
      </c>
      <c r="G120" s="276">
        <v>3511</v>
      </c>
      <c r="H120" s="277">
        <v>1.7936537047812545E-3</v>
      </c>
      <c r="I120" s="277">
        <v>0.80893475565491346</v>
      </c>
    </row>
    <row r="121" spans="1:9" x14ac:dyDescent="0.25">
      <c r="A121" t="s">
        <v>1555</v>
      </c>
      <c r="B121" t="s">
        <v>1681</v>
      </c>
      <c r="C121" s="271">
        <v>8</v>
      </c>
      <c r="E121" s="275" t="s">
        <v>1558</v>
      </c>
      <c r="F121" s="275" t="s">
        <v>2089</v>
      </c>
      <c r="G121" s="276">
        <v>3509</v>
      </c>
      <c r="H121" s="277">
        <v>1.7926319709704989E-3</v>
      </c>
      <c r="I121" s="277">
        <v>0.81072738762588392</v>
      </c>
    </row>
    <row r="122" spans="1:9" x14ac:dyDescent="0.25">
      <c r="A122" t="s">
        <v>1674</v>
      </c>
      <c r="B122" t="s">
        <v>1682</v>
      </c>
      <c r="C122" s="271">
        <v>8</v>
      </c>
      <c r="E122" s="275" t="s">
        <v>1574</v>
      </c>
      <c r="F122" s="275" t="s">
        <v>1809</v>
      </c>
      <c r="G122" s="276">
        <v>3481</v>
      </c>
      <c r="H122" s="277">
        <v>1.7783276976199222E-3</v>
      </c>
      <c r="I122" s="277">
        <v>0.8125057153235038</v>
      </c>
    </row>
    <row r="123" spans="1:9" x14ac:dyDescent="0.25">
      <c r="A123" t="s">
        <v>1601</v>
      </c>
      <c r="B123" t="s">
        <v>1683</v>
      </c>
      <c r="C123" s="271">
        <v>8</v>
      </c>
      <c r="E123" s="275" t="s">
        <v>1674</v>
      </c>
      <c r="F123" s="275" t="s">
        <v>1747</v>
      </c>
      <c r="G123" s="276">
        <v>3435</v>
      </c>
      <c r="H123" s="277">
        <v>1.7548278199725461E-3</v>
      </c>
      <c r="I123" s="277">
        <v>0.81426054314347629</v>
      </c>
    </row>
    <row r="124" spans="1:9" x14ac:dyDescent="0.25">
      <c r="A124" t="s">
        <v>1567</v>
      </c>
      <c r="B124" t="s">
        <v>1684</v>
      </c>
      <c r="C124" s="271">
        <v>8</v>
      </c>
      <c r="E124" s="275" t="s">
        <v>1555</v>
      </c>
      <c r="F124" s="275" t="s">
        <v>2090</v>
      </c>
      <c r="G124" s="276">
        <v>3394</v>
      </c>
      <c r="H124" s="277">
        <v>1.7338822768520586E-3</v>
      </c>
      <c r="I124" s="277">
        <v>0.8159944254203283</v>
      </c>
    </row>
    <row r="125" spans="1:9" x14ac:dyDescent="0.25">
      <c r="A125" t="s">
        <v>1567</v>
      </c>
      <c r="B125" t="s">
        <v>1685</v>
      </c>
      <c r="C125" s="271">
        <v>8</v>
      </c>
      <c r="E125" s="275" t="s">
        <v>1555</v>
      </c>
      <c r="F125" s="275" t="s">
        <v>2091</v>
      </c>
      <c r="G125" s="276">
        <v>3356</v>
      </c>
      <c r="H125" s="277">
        <v>1.7144693344477043E-3</v>
      </c>
      <c r="I125" s="277">
        <v>0.81770889475477604</v>
      </c>
    </row>
    <row r="126" spans="1:9" x14ac:dyDescent="0.25">
      <c r="A126" t="s">
        <v>1606</v>
      </c>
      <c r="B126" t="s">
        <v>1686</v>
      </c>
      <c r="C126" s="271">
        <v>7</v>
      </c>
      <c r="E126" s="275" t="s">
        <v>1555</v>
      </c>
      <c r="F126" s="275" t="s">
        <v>2092</v>
      </c>
      <c r="G126" s="276">
        <v>3341</v>
      </c>
      <c r="H126" s="277">
        <v>1.7068063308670381E-3</v>
      </c>
      <c r="I126" s="277">
        <v>0.8194157010856431</v>
      </c>
    </row>
    <row r="127" spans="1:9" x14ac:dyDescent="0.25">
      <c r="A127" t="s">
        <v>1661</v>
      </c>
      <c r="B127" t="s">
        <v>1547</v>
      </c>
      <c r="C127" s="271">
        <v>7</v>
      </c>
      <c r="E127" s="275" t="s">
        <v>1611</v>
      </c>
      <c r="F127" s="275" t="s">
        <v>1717</v>
      </c>
      <c r="G127" s="276">
        <v>3310</v>
      </c>
      <c r="H127" s="277">
        <v>1.6909694568003281E-3</v>
      </c>
      <c r="I127" s="277">
        <v>0.82110667054244346</v>
      </c>
    </row>
    <row r="128" spans="1:9" x14ac:dyDescent="0.25">
      <c r="A128" t="s">
        <v>1579</v>
      </c>
      <c r="B128" t="s">
        <v>1687</v>
      </c>
      <c r="C128" s="271">
        <v>7</v>
      </c>
      <c r="E128" s="275" t="s">
        <v>1603</v>
      </c>
      <c r="F128" s="275" t="s">
        <v>2093</v>
      </c>
      <c r="G128" s="276">
        <v>3216</v>
      </c>
      <c r="H128" s="277">
        <v>1.6429479676948204E-3</v>
      </c>
      <c r="I128" s="277">
        <v>0.82274961851013828</v>
      </c>
    </row>
    <row r="129" spans="1:9" x14ac:dyDescent="0.25">
      <c r="A129" t="s">
        <v>1560</v>
      </c>
      <c r="B129" t="s">
        <v>1688</v>
      </c>
      <c r="C129" s="271">
        <v>7</v>
      </c>
      <c r="E129" s="275" t="s">
        <v>1567</v>
      </c>
      <c r="F129" s="275" t="s">
        <v>1643</v>
      </c>
      <c r="G129" s="276">
        <v>3172</v>
      </c>
      <c r="H129" s="277">
        <v>1.6204698238581998E-3</v>
      </c>
      <c r="I129" s="277">
        <v>0.8243700883339965</v>
      </c>
    </row>
    <row r="130" spans="1:9" x14ac:dyDescent="0.25">
      <c r="A130" t="s">
        <v>1574</v>
      </c>
      <c r="B130" t="s">
        <v>1689</v>
      </c>
      <c r="C130" s="271">
        <v>7</v>
      </c>
      <c r="E130" s="275" t="s">
        <v>1574</v>
      </c>
      <c r="F130" s="275" t="s">
        <v>2094</v>
      </c>
      <c r="G130" s="276">
        <v>3050</v>
      </c>
      <c r="H130" s="277">
        <v>1.5581440614021152E-3</v>
      </c>
      <c r="I130" s="277">
        <v>0.82592823239539859</v>
      </c>
    </row>
    <row r="131" spans="1:9" x14ac:dyDescent="0.25">
      <c r="A131" t="s">
        <v>1574</v>
      </c>
      <c r="B131" t="s">
        <v>1690</v>
      </c>
      <c r="C131" s="271">
        <v>7</v>
      </c>
      <c r="E131" s="275" t="s">
        <v>1607</v>
      </c>
      <c r="F131" s="275" t="s">
        <v>2095</v>
      </c>
      <c r="G131" s="276">
        <v>3034</v>
      </c>
      <c r="H131" s="277">
        <v>1.5499701909160713E-3</v>
      </c>
      <c r="I131" s="277">
        <v>0.82747820258631466</v>
      </c>
    </row>
    <row r="132" spans="1:9" x14ac:dyDescent="0.25">
      <c r="A132" t="s">
        <v>1598</v>
      </c>
      <c r="B132" t="s">
        <v>1620</v>
      </c>
      <c r="C132" s="271">
        <v>7</v>
      </c>
      <c r="E132" s="275" t="s">
        <v>1601</v>
      </c>
      <c r="F132" s="275" t="s">
        <v>2096</v>
      </c>
      <c r="G132" s="276">
        <v>3028</v>
      </c>
      <c r="H132" s="277">
        <v>1.5469049894838048E-3</v>
      </c>
      <c r="I132" s="277">
        <v>0.8290251075757985</v>
      </c>
    </row>
    <row r="133" spans="1:9" x14ac:dyDescent="0.25">
      <c r="A133" t="s">
        <v>1598</v>
      </c>
      <c r="B133" t="s">
        <v>1653</v>
      </c>
      <c r="C133" s="271">
        <v>7</v>
      </c>
      <c r="E133" s="275" t="s">
        <v>1623</v>
      </c>
      <c r="F133" s="275" t="s">
        <v>1624</v>
      </c>
      <c r="G133" s="276">
        <v>3008</v>
      </c>
      <c r="H133" s="277">
        <v>1.5366876513762499E-3</v>
      </c>
      <c r="I133" s="277">
        <v>0.83056179522717477</v>
      </c>
    </row>
    <row r="134" spans="1:9" x14ac:dyDescent="0.25">
      <c r="A134" t="s">
        <v>1611</v>
      </c>
      <c r="B134" t="s">
        <v>1691</v>
      </c>
      <c r="C134" s="271">
        <v>7</v>
      </c>
      <c r="E134" s="275" t="s">
        <v>1723</v>
      </c>
      <c r="F134" s="275" t="s">
        <v>2097</v>
      </c>
      <c r="G134" s="276">
        <v>2820</v>
      </c>
      <c r="H134" s="277">
        <v>1.4406446731652343E-3</v>
      </c>
      <c r="I134" s="277">
        <v>0.83200243990033995</v>
      </c>
    </row>
    <row r="135" spans="1:9" x14ac:dyDescent="0.25">
      <c r="A135" t="s">
        <v>1607</v>
      </c>
      <c r="B135" t="s">
        <v>1692</v>
      </c>
      <c r="C135" s="271">
        <v>7</v>
      </c>
      <c r="E135" s="275" t="s">
        <v>1703</v>
      </c>
      <c r="F135" s="275" t="s">
        <v>2098</v>
      </c>
      <c r="G135" s="276">
        <v>2779</v>
      </c>
      <c r="H135" s="277">
        <v>1.4196991300447469E-3</v>
      </c>
      <c r="I135" s="277">
        <v>0.83342213903038465</v>
      </c>
    </row>
    <row r="136" spans="1:9" x14ac:dyDescent="0.25">
      <c r="A136" t="s">
        <v>1558</v>
      </c>
      <c r="B136" t="s">
        <v>1693</v>
      </c>
      <c r="C136" s="271">
        <v>7</v>
      </c>
      <c r="E136" s="275" t="s">
        <v>1706</v>
      </c>
      <c r="F136" s="275" t="s">
        <v>2099</v>
      </c>
      <c r="G136" s="276">
        <v>2774</v>
      </c>
      <c r="H136" s="277">
        <v>1.4171447955178581E-3</v>
      </c>
      <c r="I136" s="277">
        <v>0.83483928382590256</v>
      </c>
    </row>
    <row r="137" spans="1:9" x14ac:dyDescent="0.25">
      <c r="A137" t="s">
        <v>1558</v>
      </c>
      <c r="B137" t="s">
        <v>1694</v>
      </c>
      <c r="C137" s="271">
        <v>7</v>
      </c>
      <c r="E137" s="275" t="s">
        <v>1601</v>
      </c>
      <c r="F137" s="275" t="s">
        <v>1855</v>
      </c>
      <c r="G137" s="276">
        <v>2727</v>
      </c>
      <c r="H137" s="277">
        <v>1.3931340509651042E-3</v>
      </c>
      <c r="I137" s="277">
        <v>0.83623241787686764</v>
      </c>
    </row>
    <row r="138" spans="1:9" x14ac:dyDescent="0.25">
      <c r="A138" t="s">
        <v>1674</v>
      </c>
      <c r="B138" t="s">
        <v>1695</v>
      </c>
      <c r="C138" s="271">
        <v>7</v>
      </c>
      <c r="E138" s="275" t="s">
        <v>1603</v>
      </c>
      <c r="F138" s="275" t="s">
        <v>1817</v>
      </c>
      <c r="G138" s="276">
        <v>2719</v>
      </c>
      <c r="H138" s="277">
        <v>1.3890471157220823E-3</v>
      </c>
      <c r="I138" s="277">
        <v>0.83762146499258971</v>
      </c>
    </row>
    <row r="139" spans="1:9" x14ac:dyDescent="0.25">
      <c r="A139" t="s">
        <v>1601</v>
      </c>
      <c r="B139" t="s">
        <v>1696</v>
      </c>
      <c r="C139" s="271">
        <v>7</v>
      </c>
      <c r="E139" s="275" t="s">
        <v>1723</v>
      </c>
      <c r="F139" s="275" t="s">
        <v>1849</v>
      </c>
      <c r="G139" s="276">
        <v>2670</v>
      </c>
      <c r="H139" s="277">
        <v>1.3640146373585728E-3</v>
      </c>
      <c r="I139" s="277">
        <v>0.83898547962994829</v>
      </c>
    </row>
    <row r="140" spans="1:9" x14ac:dyDescent="0.25">
      <c r="A140" t="s">
        <v>1567</v>
      </c>
      <c r="B140" t="s">
        <v>1697</v>
      </c>
      <c r="C140" s="271">
        <v>7</v>
      </c>
      <c r="E140" s="275" t="s">
        <v>1607</v>
      </c>
      <c r="F140" s="275" t="s">
        <v>2100</v>
      </c>
      <c r="G140" s="276">
        <v>2650</v>
      </c>
      <c r="H140" s="277">
        <v>1.353797299251018E-3</v>
      </c>
      <c r="I140" s="277">
        <v>0.8403392769291993</v>
      </c>
    </row>
    <row r="141" spans="1:9" x14ac:dyDescent="0.25">
      <c r="A141" t="s">
        <v>1661</v>
      </c>
      <c r="B141" t="s">
        <v>1698</v>
      </c>
      <c r="C141" s="271">
        <v>6</v>
      </c>
      <c r="E141" s="275" t="s">
        <v>1603</v>
      </c>
      <c r="F141" s="275" t="s">
        <v>2101</v>
      </c>
      <c r="G141" s="276">
        <v>2587</v>
      </c>
      <c r="H141" s="277">
        <v>1.3216126842122203E-3</v>
      </c>
      <c r="I141" s="277">
        <v>0.84166088961341157</v>
      </c>
    </row>
    <row r="142" spans="1:9" x14ac:dyDescent="0.25">
      <c r="A142" t="s">
        <v>1560</v>
      </c>
      <c r="B142" t="s">
        <v>1699</v>
      </c>
      <c r="C142" s="271">
        <v>6</v>
      </c>
      <c r="E142" s="275" t="s">
        <v>1791</v>
      </c>
      <c r="F142" s="275" t="s">
        <v>2102</v>
      </c>
      <c r="G142" s="276">
        <v>2555</v>
      </c>
      <c r="H142" s="277">
        <v>1.3052649432401325E-3</v>
      </c>
      <c r="I142" s="277">
        <v>0.84296615455665169</v>
      </c>
    </row>
    <row r="143" spans="1:9" x14ac:dyDescent="0.25">
      <c r="A143" t="s">
        <v>1560</v>
      </c>
      <c r="B143" t="s">
        <v>621</v>
      </c>
      <c r="C143" s="271">
        <v>6</v>
      </c>
      <c r="E143" s="275" t="s">
        <v>1579</v>
      </c>
      <c r="F143" s="275" t="s">
        <v>1804</v>
      </c>
      <c r="G143" s="276">
        <v>2459</v>
      </c>
      <c r="H143" s="277">
        <v>1.2562217203238692E-3</v>
      </c>
      <c r="I143" s="277">
        <v>0.84422237627697561</v>
      </c>
    </row>
    <row r="144" spans="1:9" x14ac:dyDescent="0.25">
      <c r="A144" t="s">
        <v>1560</v>
      </c>
      <c r="B144" t="s">
        <v>1700</v>
      </c>
      <c r="C144" s="271">
        <v>6</v>
      </c>
      <c r="E144" s="275" t="s">
        <v>1555</v>
      </c>
      <c r="F144" s="275" t="s">
        <v>1613</v>
      </c>
      <c r="G144" s="276">
        <v>2352</v>
      </c>
      <c r="H144" s="277">
        <v>1.2015589614484507E-3</v>
      </c>
      <c r="I144" s="277">
        <v>0.84542393523842407</v>
      </c>
    </row>
    <row r="145" spans="1:9" x14ac:dyDescent="0.25">
      <c r="A145" t="s">
        <v>1574</v>
      </c>
      <c r="B145" t="s">
        <v>1701</v>
      </c>
      <c r="C145" s="271">
        <v>6</v>
      </c>
      <c r="E145" s="275" t="s">
        <v>1579</v>
      </c>
      <c r="F145" s="275" t="s">
        <v>1596</v>
      </c>
      <c r="G145" s="276">
        <v>2331</v>
      </c>
      <c r="H145" s="277">
        <v>1.1908307564355181E-3</v>
      </c>
      <c r="I145" s="277">
        <v>0.84661476599485963</v>
      </c>
    </row>
    <row r="146" spans="1:9" x14ac:dyDescent="0.25">
      <c r="A146" t="s">
        <v>1603</v>
      </c>
      <c r="B146" t="s">
        <v>1702</v>
      </c>
      <c r="C146" s="271">
        <v>6</v>
      </c>
      <c r="E146" s="275" t="s">
        <v>1579</v>
      </c>
      <c r="F146" s="275" t="s">
        <v>1756</v>
      </c>
      <c r="G146" s="276">
        <v>2321</v>
      </c>
      <c r="H146" s="277">
        <v>1.1857220873817407E-3</v>
      </c>
      <c r="I146" s="277">
        <v>0.8478004880822414</v>
      </c>
    </row>
    <row r="147" spans="1:9" x14ac:dyDescent="0.25">
      <c r="A147" t="s">
        <v>1703</v>
      </c>
      <c r="B147" t="s">
        <v>1704</v>
      </c>
      <c r="C147" s="271">
        <v>6</v>
      </c>
      <c r="E147" s="275" t="s">
        <v>1821</v>
      </c>
      <c r="F147" s="275" t="s">
        <v>1930</v>
      </c>
      <c r="G147" s="276">
        <v>2292</v>
      </c>
      <c r="H147" s="277">
        <v>1.1709069471257862E-3</v>
      </c>
      <c r="I147" s="277">
        <v>0.84897139502936714</v>
      </c>
    </row>
    <row r="148" spans="1:9" x14ac:dyDescent="0.25">
      <c r="A148" t="s">
        <v>1665</v>
      </c>
      <c r="B148" t="s">
        <v>1705</v>
      </c>
      <c r="C148" s="271">
        <v>6</v>
      </c>
      <c r="E148" s="275" t="s">
        <v>1558</v>
      </c>
      <c r="F148" s="275" t="s">
        <v>2103</v>
      </c>
      <c r="G148" s="276">
        <v>2288</v>
      </c>
      <c r="H148" s="277">
        <v>1.1688634795042753E-3</v>
      </c>
      <c r="I148" s="277">
        <v>0.85014025850887143</v>
      </c>
    </row>
    <row r="149" spans="1:9" x14ac:dyDescent="0.25">
      <c r="A149" t="s">
        <v>1706</v>
      </c>
      <c r="B149" t="s">
        <v>1707</v>
      </c>
      <c r="C149" s="271">
        <v>6</v>
      </c>
      <c r="E149" s="275" t="s">
        <v>1567</v>
      </c>
      <c r="F149" s="275" t="s">
        <v>1660</v>
      </c>
      <c r="G149" s="276">
        <v>2264</v>
      </c>
      <c r="H149" s="277">
        <v>1.1566026737752093E-3</v>
      </c>
      <c r="I149" s="277">
        <v>0.85129686118264669</v>
      </c>
    </row>
    <row r="150" spans="1:9" x14ac:dyDescent="0.25">
      <c r="A150" t="s">
        <v>1607</v>
      </c>
      <c r="B150" t="s">
        <v>1708</v>
      </c>
      <c r="C150" s="271">
        <v>6</v>
      </c>
      <c r="E150" s="275" t="s">
        <v>1567</v>
      </c>
      <c r="F150" s="275" t="s">
        <v>2104</v>
      </c>
      <c r="G150" s="276">
        <v>2253</v>
      </c>
      <c r="H150" s="277">
        <v>1.1509831378160541E-3</v>
      </c>
      <c r="I150" s="277">
        <v>0.85244784432046272</v>
      </c>
    </row>
    <row r="151" spans="1:9" x14ac:dyDescent="0.25">
      <c r="A151" t="s">
        <v>1558</v>
      </c>
      <c r="B151" t="s">
        <v>1709</v>
      </c>
      <c r="C151" s="271">
        <v>6</v>
      </c>
      <c r="E151" s="275" t="s">
        <v>1607</v>
      </c>
      <c r="F151" s="275" t="s">
        <v>2105</v>
      </c>
      <c r="G151" s="276">
        <v>2186</v>
      </c>
      <c r="H151" s="277">
        <v>1.1167550551557455E-3</v>
      </c>
      <c r="I151" s="277">
        <v>0.85356459937561846</v>
      </c>
    </row>
    <row r="152" spans="1:9" x14ac:dyDescent="0.25">
      <c r="A152" t="s">
        <v>1674</v>
      </c>
      <c r="B152" t="s">
        <v>1710</v>
      </c>
      <c r="C152" s="271">
        <v>6</v>
      </c>
      <c r="E152" s="275" t="s">
        <v>1555</v>
      </c>
      <c r="F152" s="275" t="s">
        <v>467</v>
      </c>
      <c r="G152" s="276">
        <v>2159</v>
      </c>
      <c r="H152" s="277">
        <v>1.1029616487105464E-3</v>
      </c>
      <c r="I152" s="277">
        <v>0.85466756102432906</v>
      </c>
    </row>
    <row r="153" spans="1:9" x14ac:dyDescent="0.25">
      <c r="A153" t="s">
        <v>1567</v>
      </c>
      <c r="B153" t="s">
        <v>1711</v>
      </c>
      <c r="C153" s="271">
        <v>6</v>
      </c>
      <c r="E153" s="275" t="s">
        <v>1606</v>
      </c>
      <c r="F153" s="275" t="s">
        <v>1635</v>
      </c>
      <c r="G153" s="276">
        <v>2133</v>
      </c>
      <c r="H153" s="277">
        <v>1.0896791091707251E-3</v>
      </c>
      <c r="I153" s="277">
        <v>0.85575724013349974</v>
      </c>
    </row>
    <row r="154" spans="1:9" x14ac:dyDescent="0.25">
      <c r="A154" t="s">
        <v>1606</v>
      </c>
      <c r="B154" t="s">
        <v>1712</v>
      </c>
      <c r="C154" s="271">
        <v>5</v>
      </c>
      <c r="E154" s="275" t="s">
        <v>1603</v>
      </c>
      <c r="F154" s="275" t="s">
        <v>2106</v>
      </c>
      <c r="G154" s="276">
        <v>2110</v>
      </c>
      <c r="H154" s="277">
        <v>1.0779291703470371E-3</v>
      </c>
      <c r="I154" s="277">
        <v>0.85683516930384673</v>
      </c>
    </row>
    <row r="155" spans="1:9" x14ac:dyDescent="0.25">
      <c r="A155" t="s">
        <v>1560</v>
      </c>
      <c r="B155" t="s">
        <v>614</v>
      </c>
      <c r="C155" s="271">
        <v>5</v>
      </c>
      <c r="E155" s="275" t="s">
        <v>1555</v>
      </c>
      <c r="F155" s="275" t="s">
        <v>2107</v>
      </c>
      <c r="G155" s="276">
        <v>2102</v>
      </c>
      <c r="H155" s="277">
        <v>1.073842235104015E-3</v>
      </c>
      <c r="I155" s="277">
        <v>0.85790901153895072</v>
      </c>
    </row>
    <row r="156" spans="1:9" x14ac:dyDescent="0.25">
      <c r="A156" t="s">
        <v>1579</v>
      </c>
      <c r="B156" t="s">
        <v>1713</v>
      </c>
      <c r="C156" s="271">
        <v>5</v>
      </c>
      <c r="E156" s="275" t="s">
        <v>1579</v>
      </c>
      <c r="F156" s="275" t="s">
        <v>1805</v>
      </c>
      <c r="G156" s="276">
        <v>2101</v>
      </c>
      <c r="H156" s="277">
        <v>1.0733313681986372E-3</v>
      </c>
      <c r="I156" s="277">
        <v>0.85898234290714937</v>
      </c>
    </row>
    <row r="157" spans="1:9" x14ac:dyDescent="0.25">
      <c r="A157" t="s">
        <v>1574</v>
      </c>
      <c r="B157" t="s">
        <v>1714</v>
      </c>
      <c r="C157" s="271">
        <v>5</v>
      </c>
      <c r="E157" s="275" t="s">
        <v>1606</v>
      </c>
      <c r="F157" s="275" t="s">
        <v>1712</v>
      </c>
      <c r="G157" s="276">
        <v>2071</v>
      </c>
      <c r="H157" s="277">
        <v>1.058005361037305E-3</v>
      </c>
      <c r="I157" s="277">
        <v>0.86004034826818665</v>
      </c>
    </row>
    <row r="158" spans="1:9" x14ac:dyDescent="0.25">
      <c r="A158" t="s">
        <v>1603</v>
      </c>
      <c r="B158" t="s">
        <v>1715</v>
      </c>
      <c r="C158" s="271">
        <v>5</v>
      </c>
      <c r="E158" s="275" t="s">
        <v>1555</v>
      </c>
      <c r="F158" s="275" t="s">
        <v>1999</v>
      </c>
      <c r="G158" s="276">
        <v>2039</v>
      </c>
      <c r="H158" s="277">
        <v>1.0416576200652174E-3</v>
      </c>
      <c r="I158" s="277">
        <v>0.8610820058882519</v>
      </c>
    </row>
    <row r="159" spans="1:9" x14ac:dyDescent="0.25">
      <c r="A159" t="s">
        <v>1603</v>
      </c>
      <c r="B159" t="s">
        <v>1716</v>
      </c>
      <c r="C159" s="271">
        <v>5</v>
      </c>
      <c r="E159" s="275" t="s">
        <v>1574</v>
      </c>
      <c r="F159" s="275" t="s">
        <v>2108</v>
      </c>
      <c r="G159" s="276">
        <v>2028</v>
      </c>
      <c r="H159" s="277">
        <v>1.0360380841060622E-3</v>
      </c>
      <c r="I159" s="277">
        <v>0.86211804397235792</v>
      </c>
    </row>
    <row r="160" spans="1:9" x14ac:dyDescent="0.25">
      <c r="A160" t="s">
        <v>1611</v>
      </c>
      <c r="B160" t="s">
        <v>1717</v>
      </c>
      <c r="C160" s="271">
        <v>5</v>
      </c>
      <c r="E160" s="275" t="s">
        <v>1603</v>
      </c>
      <c r="F160" s="275" t="s">
        <v>1760</v>
      </c>
      <c r="G160" s="276">
        <v>2016</v>
      </c>
      <c r="H160" s="277">
        <v>1.0299076812415292E-3</v>
      </c>
      <c r="I160" s="277">
        <v>0.86314795165359948</v>
      </c>
    </row>
    <row r="161" spans="1:9" x14ac:dyDescent="0.25">
      <c r="A161" t="s">
        <v>1558</v>
      </c>
      <c r="B161" t="s">
        <v>1718</v>
      </c>
      <c r="C161" s="271">
        <v>5</v>
      </c>
      <c r="E161" s="275" t="s">
        <v>1606</v>
      </c>
      <c r="F161" s="275" t="s">
        <v>2109</v>
      </c>
      <c r="G161" s="276">
        <v>2006</v>
      </c>
      <c r="H161" s="277">
        <v>1.0247990121877517E-3</v>
      </c>
      <c r="I161" s="277">
        <v>0.86417275066578725</v>
      </c>
    </row>
    <row r="162" spans="1:9" x14ac:dyDescent="0.25">
      <c r="A162" t="s">
        <v>1558</v>
      </c>
      <c r="B162" t="s">
        <v>1719</v>
      </c>
      <c r="C162" s="271">
        <v>5</v>
      </c>
      <c r="E162" s="275" t="s">
        <v>1555</v>
      </c>
      <c r="F162" s="275" t="s">
        <v>1576</v>
      </c>
      <c r="G162" s="276">
        <v>1933</v>
      </c>
      <c r="H162" s="277">
        <v>9.8750572809517645E-4</v>
      </c>
      <c r="I162" s="277">
        <v>0.86516025639388239</v>
      </c>
    </row>
    <row r="163" spans="1:9" x14ac:dyDescent="0.25">
      <c r="A163" t="s">
        <v>1555</v>
      </c>
      <c r="B163" t="s">
        <v>1720</v>
      </c>
      <c r="C163" s="271">
        <v>5</v>
      </c>
      <c r="E163" s="275" t="s">
        <v>1703</v>
      </c>
      <c r="F163" s="275" t="s">
        <v>1962</v>
      </c>
      <c r="G163" s="276">
        <v>1900</v>
      </c>
      <c r="H163" s="277">
        <v>9.7064712021771105E-4</v>
      </c>
      <c r="I163" s="277">
        <v>0.86613090351410005</v>
      </c>
    </row>
    <row r="164" spans="1:9" x14ac:dyDescent="0.25">
      <c r="A164" t="s">
        <v>1555</v>
      </c>
      <c r="B164" t="s">
        <v>1721</v>
      </c>
      <c r="C164" s="271">
        <v>5</v>
      </c>
      <c r="E164" s="275" t="s">
        <v>1558</v>
      </c>
      <c r="F164" s="275" t="s">
        <v>1594</v>
      </c>
      <c r="G164" s="276">
        <v>1862</v>
      </c>
      <c r="H164" s="277">
        <v>9.5123417781335683E-4</v>
      </c>
      <c r="I164" s="277">
        <v>0.86708213769191345</v>
      </c>
    </row>
    <row r="165" spans="1:9" x14ac:dyDescent="0.25">
      <c r="A165" t="s">
        <v>1555</v>
      </c>
      <c r="B165" t="s">
        <v>1722</v>
      </c>
      <c r="C165" s="271">
        <v>5</v>
      </c>
      <c r="E165" s="275" t="s">
        <v>1574</v>
      </c>
      <c r="F165" s="275" t="s">
        <v>1758</v>
      </c>
      <c r="G165" s="276">
        <v>1840</v>
      </c>
      <c r="H165" s="277">
        <v>9.3999510589504653E-4</v>
      </c>
      <c r="I165" s="277">
        <v>0.86802213279780849</v>
      </c>
    </row>
    <row r="166" spans="1:9" x14ac:dyDescent="0.25">
      <c r="A166" t="s">
        <v>1723</v>
      </c>
      <c r="B166" t="s">
        <v>1724</v>
      </c>
      <c r="C166" s="271">
        <v>5</v>
      </c>
      <c r="E166" s="275" t="s">
        <v>1611</v>
      </c>
      <c r="F166" s="275" t="s">
        <v>2110</v>
      </c>
      <c r="G166" s="276">
        <v>1811</v>
      </c>
      <c r="H166" s="277">
        <v>9.2517996563909195E-4</v>
      </c>
      <c r="I166" s="277">
        <v>0.86894731276344761</v>
      </c>
    </row>
    <row r="167" spans="1:9" x14ac:dyDescent="0.25">
      <c r="A167" t="s">
        <v>1606</v>
      </c>
      <c r="B167" t="s">
        <v>582</v>
      </c>
      <c r="C167" s="271">
        <v>4</v>
      </c>
      <c r="E167" s="275" t="s">
        <v>1558</v>
      </c>
      <c r="F167" s="275" t="s">
        <v>2111</v>
      </c>
      <c r="G167" s="276">
        <v>1802</v>
      </c>
      <c r="H167" s="277">
        <v>9.2058216349069231E-4</v>
      </c>
      <c r="I167" s="277">
        <v>0.86986789492693828</v>
      </c>
    </row>
    <row r="168" spans="1:9" x14ac:dyDescent="0.25">
      <c r="A168" t="s">
        <v>1661</v>
      </c>
      <c r="B168" t="s">
        <v>1543</v>
      </c>
      <c r="C168" s="271">
        <v>4</v>
      </c>
      <c r="E168" s="275" t="s">
        <v>1791</v>
      </c>
      <c r="F168" s="275" t="s">
        <v>1790</v>
      </c>
      <c r="G168" s="276">
        <v>1793</v>
      </c>
      <c r="H168" s="277">
        <v>9.1598436134229257E-4</v>
      </c>
      <c r="I168" s="277">
        <v>0.8707838792882806</v>
      </c>
    </row>
    <row r="169" spans="1:9" x14ac:dyDescent="0.25">
      <c r="A169" t="s">
        <v>1560</v>
      </c>
      <c r="B169" t="s">
        <v>1726</v>
      </c>
      <c r="C169" s="271">
        <v>4</v>
      </c>
      <c r="E169" s="275" t="s">
        <v>1558</v>
      </c>
      <c r="F169" s="275" t="s">
        <v>1593</v>
      </c>
      <c r="G169" s="276">
        <v>1786</v>
      </c>
      <c r="H169" s="277">
        <v>9.124082930046484E-4</v>
      </c>
      <c r="I169" s="277">
        <v>0.87169628758128526</v>
      </c>
    </row>
    <row r="170" spans="1:9" x14ac:dyDescent="0.25">
      <c r="A170" t="s">
        <v>1574</v>
      </c>
      <c r="B170" t="s">
        <v>1727</v>
      </c>
      <c r="C170" s="271">
        <v>4</v>
      </c>
      <c r="E170" s="275" t="s">
        <v>1607</v>
      </c>
      <c r="F170" s="275" t="s">
        <v>1767</v>
      </c>
      <c r="G170" s="276">
        <v>1779</v>
      </c>
      <c r="H170" s="277">
        <v>9.0883222466700423E-4</v>
      </c>
      <c r="I170" s="277">
        <v>0.87260511980595223</v>
      </c>
    </row>
    <row r="171" spans="1:9" x14ac:dyDescent="0.25">
      <c r="A171" t="s">
        <v>1603</v>
      </c>
      <c r="B171" t="s">
        <v>1728</v>
      </c>
      <c r="C171" s="271">
        <v>4</v>
      </c>
      <c r="E171" s="275" t="s">
        <v>1579</v>
      </c>
      <c r="F171" s="275" t="s">
        <v>2112</v>
      </c>
      <c r="G171" s="276">
        <v>1777</v>
      </c>
      <c r="H171" s="277">
        <v>9.0781049085624866E-4</v>
      </c>
      <c r="I171" s="277">
        <v>0.87351293029680843</v>
      </c>
    </row>
    <row r="172" spans="1:9" x14ac:dyDescent="0.25">
      <c r="A172" t="s">
        <v>1603</v>
      </c>
      <c r="B172" t="s">
        <v>1729</v>
      </c>
      <c r="C172" s="271">
        <v>4</v>
      </c>
      <c r="E172" s="275" t="s">
        <v>1601</v>
      </c>
      <c r="F172" s="275" t="s">
        <v>2113</v>
      </c>
      <c r="G172" s="276">
        <v>1773</v>
      </c>
      <c r="H172" s="277">
        <v>9.0576702323473773E-4</v>
      </c>
      <c r="I172" s="277">
        <v>0.87441869732004318</v>
      </c>
    </row>
    <row r="173" spans="1:9" x14ac:dyDescent="0.25">
      <c r="A173" t="s">
        <v>1603</v>
      </c>
      <c r="B173" t="s">
        <v>1730</v>
      </c>
      <c r="C173" s="271">
        <v>4</v>
      </c>
      <c r="E173" s="275" t="s">
        <v>1567</v>
      </c>
      <c r="F173" s="275" t="s">
        <v>2114</v>
      </c>
      <c r="G173" s="276">
        <v>1757</v>
      </c>
      <c r="H173" s="277">
        <v>8.9759315274869382E-4</v>
      </c>
      <c r="I173" s="277">
        <v>0.87531629047279191</v>
      </c>
    </row>
    <row r="174" spans="1:9" x14ac:dyDescent="0.25">
      <c r="A174" t="s">
        <v>1731</v>
      </c>
      <c r="B174" t="s">
        <v>1732</v>
      </c>
      <c r="C174" s="271">
        <v>4</v>
      </c>
      <c r="E174" s="275" t="s">
        <v>1821</v>
      </c>
      <c r="F174" s="275" t="s">
        <v>1934</v>
      </c>
      <c r="G174" s="276">
        <v>1753</v>
      </c>
      <c r="H174" s="277">
        <v>8.9554968512718289E-4</v>
      </c>
      <c r="I174" s="277">
        <v>0.87621184015791909</v>
      </c>
    </row>
    <row r="175" spans="1:9" x14ac:dyDescent="0.25">
      <c r="A175" t="s">
        <v>1703</v>
      </c>
      <c r="B175" t="s">
        <v>1733</v>
      </c>
      <c r="C175" s="271">
        <v>4</v>
      </c>
      <c r="E175" s="275" t="s">
        <v>1819</v>
      </c>
      <c r="F175" s="275" t="s">
        <v>2115</v>
      </c>
      <c r="G175" s="276">
        <v>1747</v>
      </c>
      <c r="H175" s="277">
        <v>8.924844836949164E-4</v>
      </c>
      <c r="I175" s="277">
        <v>0.87710432464161403</v>
      </c>
    </row>
    <row r="176" spans="1:9" x14ac:dyDescent="0.25">
      <c r="A176" t="s">
        <v>1665</v>
      </c>
      <c r="B176" t="s">
        <v>1734</v>
      </c>
      <c r="C176" s="271">
        <v>4</v>
      </c>
      <c r="E176" s="275" t="s">
        <v>1567</v>
      </c>
      <c r="F176" s="275" t="s">
        <v>2116</v>
      </c>
      <c r="G176" s="276">
        <v>1739</v>
      </c>
      <c r="H176" s="277">
        <v>8.8839754845189444E-4</v>
      </c>
      <c r="I176" s="277">
        <v>0.87799272219006597</v>
      </c>
    </row>
    <row r="177" spans="1:9" x14ac:dyDescent="0.25">
      <c r="A177" t="s">
        <v>1706</v>
      </c>
      <c r="B177" t="s">
        <v>1706</v>
      </c>
      <c r="C177" s="271">
        <v>4</v>
      </c>
      <c r="E177" s="275" t="s">
        <v>1611</v>
      </c>
      <c r="F177" s="275" t="s">
        <v>1735</v>
      </c>
      <c r="G177" s="276">
        <v>1731</v>
      </c>
      <c r="H177" s="277">
        <v>8.8431061320887248E-4</v>
      </c>
      <c r="I177" s="277">
        <v>0.87887703280327489</v>
      </c>
    </row>
    <row r="178" spans="1:9" x14ac:dyDescent="0.25">
      <c r="A178" t="s">
        <v>1611</v>
      </c>
      <c r="B178" t="s">
        <v>1735</v>
      </c>
      <c r="C178" s="271">
        <v>4</v>
      </c>
      <c r="E178" s="275" t="s">
        <v>1780</v>
      </c>
      <c r="F178" s="275" t="s">
        <v>1780</v>
      </c>
      <c r="G178" s="276">
        <v>1717</v>
      </c>
      <c r="H178" s="277">
        <v>8.7715847653358414E-4</v>
      </c>
      <c r="I178" s="277">
        <v>0.87975419127980847</v>
      </c>
    </row>
    <row r="179" spans="1:9" x14ac:dyDescent="0.25">
      <c r="A179" t="s">
        <v>1607</v>
      </c>
      <c r="B179" t="s">
        <v>1736</v>
      </c>
      <c r="C179" s="271">
        <v>4</v>
      </c>
      <c r="E179" s="275" t="s">
        <v>1791</v>
      </c>
      <c r="F179" s="275" t="s">
        <v>1867</v>
      </c>
      <c r="G179" s="276">
        <v>1693</v>
      </c>
      <c r="H179" s="277">
        <v>8.6489767080451827E-4</v>
      </c>
      <c r="I179" s="277">
        <v>0.88061908895061303</v>
      </c>
    </row>
    <row r="180" spans="1:9" x14ac:dyDescent="0.25">
      <c r="A180" t="s">
        <v>1558</v>
      </c>
      <c r="B180" t="s">
        <v>1737</v>
      </c>
      <c r="C180" s="271">
        <v>4</v>
      </c>
      <c r="E180" s="275" t="s">
        <v>1611</v>
      </c>
      <c r="F180" s="275" t="s">
        <v>2117</v>
      </c>
      <c r="G180" s="276">
        <v>1690</v>
      </c>
      <c r="H180" s="277">
        <v>8.6336507008838513E-4</v>
      </c>
      <c r="I180" s="277">
        <v>0.88148245402070147</v>
      </c>
    </row>
    <row r="181" spans="1:9" x14ac:dyDescent="0.25">
      <c r="A181" t="s">
        <v>1558</v>
      </c>
      <c r="B181" t="s">
        <v>1738</v>
      </c>
      <c r="C181" s="271">
        <v>4</v>
      </c>
      <c r="E181" s="275" t="s">
        <v>1579</v>
      </c>
      <c r="F181" s="275" t="s">
        <v>2118</v>
      </c>
      <c r="G181" s="276">
        <v>1635</v>
      </c>
      <c r="H181" s="277">
        <v>8.3526739029260921E-4</v>
      </c>
      <c r="I181" s="277">
        <v>0.88231772141099407</v>
      </c>
    </row>
    <row r="182" spans="1:9" x14ac:dyDescent="0.25">
      <c r="A182" t="s">
        <v>1558</v>
      </c>
      <c r="B182" t="s">
        <v>1739</v>
      </c>
      <c r="C182" s="271">
        <v>4</v>
      </c>
      <c r="E182" s="275" t="s">
        <v>1567</v>
      </c>
      <c r="F182" s="275" t="s">
        <v>1645</v>
      </c>
      <c r="G182" s="276">
        <v>1593</v>
      </c>
      <c r="H182" s="277">
        <v>8.1381098026674407E-4</v>
      </c>
      <c r="I182" s="277">
        <v>0.88313153239126085</v>
      </c>
    </row>
    <row r="183" spans="1:9" x14ac:dyDescent="0.25">
      <c r="A183" t="s">
        <v>1558</v>
      </c>
      <c r="B183" t="s">
        <v>1740</v>
      </c>
      <c r="C183" s="271">
        <v>4</v>
      </c>
      <c r="E183" s="275" t="s">
        <v>1579</v>
      </c>
      <c r="F183" s="275" t="s">
        <v>1669</v>
      </c>
      <c r="G183" s="276">
        <v>1574</v>
      </c>
      <c r="H183" s="277">
        <v>8.0410450906456691E-4</v>
      </c>
      <c r="I183" s="277">
        <v>0.88393563690032539</v>
      </c>
    </row>
    <row r="184" spans="1:9" x14ac:dyDescent="0.25">
      <c r="A184" t="s">
        <v>1558</v>
      </c>
      <c r="B184" t="s">
        <v>1741</v>
      </c>
      <c r="C184" s="271">
        <v>4</v>
      </c>
      <c r="E184" s="275" t="s">
        <v>1802</v>
      </c>
      <c r="F184" s="275" t="s">
        <v>1892</v>
      </c>
      <c r="G184" s="276">
        <v>1559</v>
      </c>
      <c r="H184" s="277">
        <v>7.9644150548390078E-4</v>
      </c>
      <c r="I184" s="277">
        <v>0.88473207840580925</v>
      </c>
    </row>
    <row r="185" spans="1:9" x14ac:dyDescent="0.25">
      <c r="A185" t="s">
        <v>1558</v>
      </c>
      <c r="B185" t="s">
        <v>1742</v>
      </c>
      <c r="C185" s="271">
        <v>4</v>
      </c>
      <c r="E185" s="275" t="s">
        <v>1567</v>
      </c>
      <c r="F185" s="275" t="s">
        <v>2119</v>
      </c>
      <c r="G185" s="276">
        <v>1538</v>
      </c>
      <c r="H185" s="277">
        <v>7.8571330047096815E-4</v>
      </c>
      <c r="I185" s="277">
        <v>0.8855177917062802</v>
      </c>
    </row>
    <row r="186" spans="1:9" x14ac:dyDescent="0.25">
      <c r="A186" t="s">
        <v>1558</v>
      </c>
      <c r="B186" t="s">
        <v>1743</v>
      </c>
      <c r="C186" s="271">
        <v>4</v>
      </c>
      <c r="E186" s="275" t="s">
        <v>1674</v>
      </c>
      <c r="F186" s="275" t="s">
        <v>2120</v>
      </c>
      <c r="G186" s="276">
        <v>1479</v>
      </c>
      <c r="H186" s="277">
        <v>7.5557215305368142E-4</v>
      </c>
      <c r="I186" s="277">
        <v>0.88627336385933386</v>
      </c>
    </row>
    <row r="187" spans="1:9" x14ac:dyDescent="0.25">
      <c r="A187" t="s">
        <v>1555</v>
      </c>
      <c r="B187" t="s">
        <v>1744</v>
      </c>
      <c r="C187" s="271">
        <v>4</v>
      </c>
      <c r="E187" s="275" t="s">
        <v>1862</v>
      </c>
      <c r="F187" s="275" t="s">
        <v>2121</v>
      </c>
      <c r="G187" s="276">
        <v>1455</v>
      </c>
      <c r="H187" s="277">
        <v>7.4331134732461555E-4</v>
      </c>
      <c r="I187" s="277">
        <v>0.8870166752066585</v>
      </c>
    </row>
    <row r="188" spans="1:9" x14ac:dyDescent="0.25">
      <c r="A188" t="s">
        <v>1555</v>
      </c>
      <c r="B188" t="s">
        <v>1745</v>
      </c>
      <c r="C188" s="271">
        <v>4</v>
      </c>
      <c r="E188" s="275" t="s">
        <v>1611</v>
      </c>
      <c r="F188" s="275" t="s">
        <v>2122</v>
      </c>
      <c r="G188" s="276">
        <v>1446</v>
      </c>
      <c r="H188" s="277">
        <v>7.3871354517621591E-4</v>
      </c>
      <c r="I188" s="277">
        <v>0.88775538875183468</v>
      </c>
    </row>
    <row r="189" spans="1:9" x14ac:dyDescent="0.25">
      <c r="A189" t="s">
        <v>1555</v>
      </c>
      <c r="B189" t="s">
        <v>1746</v>
      </c>
      <c r="C189" s="271">
        <v>4</v>
      </c>
      <c r="E189" s="275" t="s">
        <v>1821</v>
      </c>
      <c r="F189" s="275" t="s">
        <v>2123</v>
      </c>
      <c r="G189" s="276">
        <v>1437</v>
      </c>
      <c r="H189" s="277">
        <v>7.3411574302781617E-4</v>
      </c>
      <c r="I189" s="277">
        <v>0.88848950449486253</v>
      </c>
    </row>
    <row r="190" spans="1:9" x14ac:dyDescent="0.25">
      <c r="A190" t="s">
        <v>1674</v>
      </c>
      <c r="B190" t="s">
        <v>1747</v>
      </c>
      <c r="C190" s="271">
        <v>4</v>
      </c>
      <c r="E190" s="275" t="s">
        <v>1603</v>
      </c>
      <c r="F190" s="275" t="s">
        <v>1920</v>
      </c>
      <c r="G190" s="276">
        <v>1403</v>
      </c>
      <c r="H190" s="277">
        <v>7.1674626824497299E-4</v>
      </c>
      <c r="I190" s="277">
        <v>0.88920625076310755</v>
      </c>
    </row>
    <row r="191" spans="1:9" x14ac:dyDescent="0.25">
      <c r="A191" t="s">
        <v>1723</v>
      </c>
      <c r="B191" t="s">
        <v>1748</v>
      </c>
      <c r="C191" s="271">
        <v>4</v>
      </c>
      <c r="E191" s="275" t="s">
        <v>1601</v>
      </c>
      <c r="F191" s="275" t="s">
        <v>1696</v>
      </c>
      <c r="G191" s="276">
        <v>1397</v>
      </c>
      <c r="H191" s="277">
        <v>7.1368106681270649E-4</v>
      </c>
      <c r="I191" s="277">
        <v>0.88991993182992024</v>
      </c>
    </row>
    <row r="192" spans="1:9" x14ac:dyDescent="0.25">
      <c r="A192" t="s">
        <v>1723</v>
      </c>
      <c r="B192" t="s">
        <v>1749</v>
      </c>
      <c r="C192" s="271">
        <v>4</v>
      </c>
      <c r="E192" s="275" t="s">
        <v>1567</v>
      </c>
      <c r="F192" s="275" t="s">
        <v>2124</v>
      </c>
      <c r="G192" s="276">
        <v>1386</v>
      </c>
      <c r="H192" s="277">
        <v>7.0806153085355128E-4</v>
      </c>
      <c r="I192" s="277">
        <v>0.89062799336077381</v>
      </c>
    </row>
    <row r="193" spans="1:9" x14ac:dyDescent="0.25">
      <c r="A193" t="s">
        <v>1567</v>
      </c>
      <c r="B193" t="s">
        <v>625</v>
      </c>
      <c r="C193" s="271">
        <v>4</v>
      </c>
      <c r="E193" s="275" t="s">
        <v>1558</v>
      </c>
      <c r="F193" s="275" t="s">
        <v>2125</v>
      </c>
      <c r="G193" s="276">
        <v>1371</v>
      </c>
      <c r="H193" s="277">
        <v>7.0039852727288516E-4</v>
      </c>
      <c r="I193" s="277">
        <v>0.89132839188804669</v>
      </c>
    </row>
    <row r="194" spans="1:9" x14ac:dyDescent="0.25">
      <c r="A194" t="s">
        <v>1567</v>
      </c>
      <c r="B194" t="s">
        <v>1750</v>
      </c>
      <c r="C194" s="271">
        <v>4</v>
      </c>
      <c r="E194" s="275" t="s">
        <v>1703</v>
      </c>
      <c r="F194" s="275" t="s">
        <v>2126</v>
      </c>
      <c r="G194" s="276">
        <v>1366</v>
      </c>
      <c r="H194" s="277">
        <v>6.9784419274599645E-4</v>
      </c>
      <c r="I194" s="277">
        <v>0.89202623608079268</v>
      </c>
    </row>
    <row r="195" spans="1:9" x14ac:dyDescent="0.25">
      <c r="A195" t="s">
        <v>1567</v>
      </c>
      <c r="B195" t="s">
        <v>1751</v>
      </c>
      <c r="C195" s="271">
        <v>4</v>
      </c>
      <c r="E195" s="275" t="s">
        <v>1603</v>
      </c>
      <c r="F195" s="275" t="s">
        <v>1816</v>
      </c>
      <c r="G195" s="276">
        <v>1361</v>
      </c>
      <c r="H195" s="277">
        <v>6.9528985821910774E-4</v>
      </c>
      <c r="I195" s="277">
        <v>0.89272152593901177</v>
      </c>
    </row>
    <row r="196" spans="1:9" x14ac:dyDescent="0.25">
      <c r="A196" t="s">
        <v>1567</v>
      </c>
      <c r="B196" t="s">
        <v>1752</v>
      </c>
      <c r="C196" s="271">
        <v>4</v>
      </c>
      <c r="E196" s="275" t="s">
        <v>1574</v>
      </c>
      <c r="F196" s="275" t="s">
        <v>2127</v>
      </c>
      <c r="G196" s="276">
        <v>1333</v>
      </c>
      <c r="H196" s="277">
        <v>6.8098558486853094E-4</v>
      </c>
      <c r="I196" s="277">
        <v>0.89340251152388028</v>
      </c>
    </row>
    <row r="197" spans="1:9" x14ac:dyDescent="0.25">
      <c r="A197" t="s">
        <v>1567</v>
      </c>
      <c r="B197" t="s">
        <v>1753</v>
      </c>
      <c r="C197" s="271">
        <v>4</v>
      </c>
      <c r="E197" s="275" t="s">
        <v>1574</v>
      </c>
      <c r="F197" s="275" t="s">
        <v>1757</v>
      </c>
      <c r="G197" s="276">
        <v>1328</v>
      </c>
      <c r="H197" s="277">
        <v>6.7843125034164223E-4</v>
      </c>
      <c r="I197" s="277">
        <v>0.8940809427742219</v>
      </c>
    </row>
    <row r="198" spans="1:9" x14ac:dyDescent="0.25">
      <c r="A198" t="s">
        <v>1606</v>
      </c>
      <c r="B198" t="s">
        <v>1754</v>
      </c>
      <c r="C198" s="271">
        <v>3</v>
      </c>
      <c r="E198" s="275" t="s">
        <v>1574</v>
      </c>
      <c r="F198" s="275" t="s">
        <v>2128</v>
      </c>
      <c r="G198" s="276">
        <v>1294</v>
      </c>
      <c r="H198" s="277">
        <v>6.6106177555879905E-4</v>
      </c>
      <c r="I198" s="277">
        <v>0.8947420045497807</v>
      </c>
    </row>
    <row r="199" spans="1:9" x14ac:dyDescent="0.25">
      <c r="A199" t="s">
        <v>1661</v>
      </c>
      <c r="B199" t="s">
        <v>1755</v>
      </c>
      <c r="C199" s="271">
        <v>3</v>
      </c>
      <c r="E199" s="275" t="s">
        <v>1567</v>
      </c>
      <c r="F199" s="275" t="s">
        <v>2040</v>
      </c>
      <c r="G199" s="276">
        <v>1274</v>
      </c>
      <c r="H199" s="277">
        <v>6.508444374512441E-4</v>
      </c>
      <c r="I199" s="277">
        <v>0.89539284898723193</v>
      </c>
    </row>
    <row r="200" spans="1:9" x14ac:dyDescent="0.25">
      <c r="A200" t="s">
        <v>1560</v>
      </c>
      <c r="B200" t="s">
        <v>1756</v>
      </c>
      <c r="C200" s="271">
        <v>3</v>
      </c>
      <c r="E200" s="275" t="s">
        <v>1579</v>
      </c>
      <c r="F200" s="275" t="s">
        <v>1648</v>
      </c>
      <c r="G200" s="276">
        <v>1268</v>
      </c>
      <c r="H200" s="277">
        <v>6.4777923601897771E-4</v>
      </c>
      <c r="I200" s="277">
        <v>0.89604062822325092</v>
      </c>
    </row>
    <row r="201" spans="1:9" x14ac:dyDescent="0.25">
      <c r="A201" t="s">
        <v>1560</v>
      </c>
      <c r="B201" t="s">
        <v>1713</v>
      </c>
      <c r="C201" s="271">
        <v>3</v>
      </c>
      <c r="E201" s="275" t="s">
        <v>1603</v>
      </c>
      <c r="F201" s="275" t="s">
        <v>2129</v>
      </c>
      <c r="G201" s="276">
        <v>1264</v>
      </c>
      <c r="H201" s="277">
        <v>6.4573576839746668E-4</v>
      </c>
      <c r="I201" s="277">
        <v>0.89668636399164836</v>
      </c>
    </row>
    <row r="202" spans="1:9" x14ac:dyDescent="0.25">
      <c r="A202" t="s">
        <v>1579</v>
      </c>
      <c r="B202" t="s">
        <v>1688</v>
      </c>
      <c r="C202" s="271">
        <v>3</v>
      </c>
      <c r="E202" s="275" t="s">
        <v>1823</v>
      </c>
      <c r="F202" s="275" t="s">
        <v>1942</v>
      </c>
      <c r="G202" s="276">
        <v>1258</v>
      </c>
      <c r="H202" s="277">
        <v>6.4267056696520029E-4</v>
      </c>
      <c r="I202" s="277">
        <v>0.89732903455861357</v>
      </c>
    </row>
    <row r="203" spans="1:9" x14ac:dyDescent="0.25">
      <c r="A203" t="s">
        <v>1574</v>
      </c>
      <c r="B203" t="s">
        <v>1757</v>
      </c>
      <c r="C203" s="271">
        <v>3</v>
      </c>
      <c r="E203" s="275" t="s">
        <v>1606</v>
      </c>
      <c r="F203" s="275" t="s">
        <v>586</v>
      </c>
      <c r="G203" s="276">
        <v>1257</v>
      </c>
      <c r="H203" s="277">
        <v>6.4215970005982251E-4</v>
      </c>
      <c r="I203" s="277">
        <v>0.89797119425867344</v>
      </c>
    </row>
    <row r="204" spans="1:9" x14ac:dyDescent="0.25">
      <c r="A204" t="s">
        <v>1574</v>
      </c>
      <c r="B204" t="s">
        <v>1758</v>
      </c>
      <c r="C204" s="271">
        <v>3</v>
      </c>
      <c r="E204" s="275" t="s">
        <v>1603</v>
      </c>
      <c r="F204" s="275" t="s">
        <v>2130</v>
      </c>
      <c r="G204" s="276">
        <v>1256</v>
      </c>
      <c r="H204" s="277">
        <v>6.4164883315444472E-4</v>
      </c>
      <c r="I204" s="277">
        <v>0.89861284309182787</v>
      </c>
    </row>
    <row r="205" spans="1:9" x14ac:dyDescent="0.25">
      <c r="A205" t="s">
        <v>1574</v>
      </c>
      <c r="B205" t="s">
        <v>1759</v>
      </c>
      <c r="C205" s="271">
        <v>3</v>
      </c>
      <c r="E205" s="275" t="s">
        <v>1607</v>
      </c>
      <c r="F205" s="275" t="s">
        <v>1736</v>
      </c>
      <c r="G205" s="276">
        <v>1223</v>
      </c>
      <c r="H205" s="277">
        <v>6.2479022527697921E-4</v>
      </c>
      <c r="I205" s="277">
        <v>0.89923763331710482</v>
      </c>
    </row>
    <row r="206" spans="1:9" x14ac:dyDescent="0.25">
      <c r="A206" t="s">
        <v>1598</v>
      </c>
      <c r="B206" t="s">
        <v>1728</v>
      </c>
      <c r="C206" s="271">
        <v>3</v>
      </c>
      <c r="E206" s="275" t="s">
        <v>1674</v>
      </c>
      <c r="F206" s="275" t="s">
        <v>1695</v>
      </c>
      <c r="G206" s="276">
        <v>1180</v>
      </c>
      <c r="H206" s="277">
        <v>6.0282294834573629E-4</v>
      </c>
      <c r="I206" s="277">
        <v>0.89984045626545051</v>
      </c>
    </row>
    <row r="207" spans="1:9" x14ac:dyDescent="0.25">
      <c r="A207" t="s">
        <v>1598</v>
      </c>
      <c r="B207" t="s">
        <v>1760</v>
      </c>
      <c r="C207" s="271">
        <v>3</v>
      </c>
      <c r="E207" s="275" t="s">
        <v>1802</v>
      </c>
      <c r="F207" s="275" t="s">
        <v>1803</v>
      </c>
      <c r="G207" s="276">
        <v>1176</v>
      </c>
      <c r="H207" s="277">
        <v>6.0077948072422536E-4</v>
      </c>
      <c r="I207" s="277">
        <v>0.90044123574617474</v>
      </c>
    </row>
    <row r="208" spans="1:9" x14ac:dyDescent="0.25">
      <c r="A208" t="s">
        <v>1603</v>
      </c>
      <c r="B208" t="s">
        <v>1761</v>
      </c>
      <c r="C208" s="271">
        <v>3</v>
      </c>
      <c r="E208" s="275" t="s">
        <v>1607</v>
      </c>
      <c r="F208" s="275" t="s">
        <v>1656</v>
      </c>
      <c r="G208" s="276">
        <v>1172</v>
      </c>
      <c r="H208" s="277">
        <v>5.9873601310271444E-4</v>
      </c>
      <c r="I208" s="277">
        <v>0.90103997175927741</v>
      </c>
    </row>
    <row r="209" spans="1:9" x14ac:dyDescent="0.25">
      <c r="A209" t="s">
        <v>1603</v>
      </c>
      <c r="B209" t="s">
        <v>1762</v>
      </c>
      <c r="C209" s="271">
        <v>3</v>
      </c>
      <c r="E209" s="275" t="s">
        <v>1607</v>
      </c>
      <c r="F209" s="275" t="s">
        <v>2131</v>
      </c>
      <c r="G209" s="276">
        <v>1170</v>
      </c>
      <c r="H209" s="277">
        <v>5.9771427929195887E-4</v>
      </c>
      <c r="I209" s="277">
        <v>0.90163768603856942</v>
      </c>
    </row>
    <row r="210" spans="1:9" x14ac:dyDescent="0.25">
      <c r="A210" t="s">
        <v>1603</v>
      </c>
      <c r="B210" t="s">
        <v>1678</v>
      </c>
      <c r="C210" s="271">
        <v>3</v>
      </c>
      <c r="E210" s="275" t="s">
        <v>1558</v>
      </c>
      <c r="F210" s="275" t="s">
        <v>1741</v>
      </c>
      <c r="G210" s="276">
        <v>1162</v>
      </c>
      <c r="H210" s="277">
        <v>5.9362734404893691E-4</v>
      </c>
      <c r="I210" s="277">
        <v>0.90223131338261831</v>
      </c>
    </row>
    <row r="211" spans="1:9" x14ac:dyDescent="0.25">
      <c r="A211" t="s">
        <v>1703</v>
      </c>
      <c r="B211" t="s">
        <v>1763</v>
      </c>
      <c r="C211" s="271">
        <v>3</v>
      </c>
      <c r="E211" s="275" t="s">
        <v>1603</v>
      </c>
      <c r="F211" s="275" t="s">
        <v>2132</v>
      </c>
      <c r="G211" s="276">
        <v>1156</v>
      </c>
      <c r="H211" s="277">
        <v>5.9056214261667052E-4</v>
      </c>
      <c r="I211" s="277">
        <v>0.90282187552523496</v>
      </c>
    </row>
    <row r="212" spans="1:9" x14ac:dyDescent="0.25">
      <c r="A212" t="s">
        <v>1703</v>
      </c>
      <c r="B212" t="s">
        <v>1764</v>
      </c>
      <c r="C212" s="271">
        <v>3</v>
      </c>
      <c r="E212" s="275" t="s">
        <v>1603</v>
      </c>
      <c r="F212" s="275" t="s">
        <v>1921</v>
      </c>
      <c r="G212" s="276">
        <v>1145</v>
      </c>
      <c r="H212" s="277">
        <v>5.8494260665751532E-4</v>
      </c>
      <c r="I212" s="277">
        <v>0.9034068181318925</v>
      </c>
    </row>
    <row r="213" spans="1:9" x14ac:dyDescent="0.25">
      <c r="A213" t="s">
        <v>1665</v>
      </c>
      <c r="B213" t="s">
        <v>1765</v>
      </c>
      <c r="C213" s="271">
        <v>3</v>
      </c>
      <c r="E213" s="275" t="s">
        <v>1703</v>
      </c>
      <c r="F213" s="275" t="s">
        <v>2133</v>
      </c>
      <c r="G213" s="276">
        <v>1121</v>
      </c>
      <c r="H213" s="277">
        <v>5.7268180092844955E-4</v>
      </c>
      <c r="I213" s="277">
        <v>0.9039794999328209</v>
      </c>
    </row>
    <row r="214" spans="1:9" x14ac:dyDescent="0.25">
      <c r="A214" t="s">
        <v>1665</v>
      </c>
      <c r="B214" t="s">
        <v>1766</v>
      </c>
      <c r="C214" s="271">
        <v>3</v>
      </c>
      <c r="E214" s="275" t="s">
        <v>1555</v>
      </c>
      <c r="F214" s="275" t="s">
        <v>2134</v>
      </c>
      <c r="G214" s="276">
        <v>1105</v>
      </c>
      <c r="H214" s="277">
        <v>5.6450793044240564E-4</v>
      </c>
      <c r="I214" s="277">
        <v>0.90454400786326328</v>
      </c>
    </row>
    <row r="215" spans="1:9" x14ac:dyDescent="0.25">
      <c r="A215" t="s">
        <v>1607</v>
      </c>
      <c r="B215" t="s">
        <v>1767</v>
      </c>
      <c r="C215" s="271">
        <v>3</v>
      </c>
      <c r="E215" s="275" t="s">
        <v>1558</v>
      </c>
      <c r="F215" s="275" t="s">
        <v>1740</v>
      </c>
      <c r="G215" s="276">
        <v>1096</v>
      </c>
      <c r="H215" s="277">
        <v>5.599101282940059E-4</v>
      </c>
      <c r="I215" s="277">
        <v>0.90510391799155732</v>
      </c>
    </row>
    <row r="216" spans="1:9" x14ac:dyDescent="0.25">
      <c r="A216" t="s">
        <v>1607</v>
      </c>
      <c r="B216" t="s">
        <v>1768</v>
      </c>
      <c r="C216" s="271">
        <v>3</v>
      </c>
      <c r="E216" s="275" t="s">
        <v>1567</v>
      </c>
      <c r="F216" s="275" t="s">
        <v>2047</v>
      </c>
      <c r="G216" s="276">
        <v>1064</v>
      </c>
      <c r="H216" s="277">
        <v>5.4356238732191817E-4</v>
      </c>
      <c r="I216" s="277">
        <v>0.90564748037887921</v>
      </c>
    </row>
    <row r="217" spans="1:9" x14ac:dyDescent="0.25">
      <c r="A217" t="s">
        <v>1607</v>
      </c>
      <c r="B217" t="s">
        <v>1769</v>
      </c>
      <c r="C217" s="271">
        <v>3</v>
      </c>
      <c r="E217" s="275" t="s">
        <v>1567</v>
      </c>
      <c r="F217" s="275" t="s">
        <v>2048</v>
      </c>
      <c r="G217" s="276">
        <v>1063</v>
      </c>
      <c r="H217" s="277">
        <v>5.4305152041654039E-4</v>
      </c>
      <c r="I217" s="277">
        <v>0.90619053189929577</v>
      </c>
    </row>
    <row r="218" spans="1:9" x14ac:dyDescent="0.25">
      <c r="A218" t="s">
        <v>1558</v>
      </c>
      <c r="B218" t="s">
        <v>1770</v>
      </c>
      <c r="C218" s="271">
        <v>3</v>
      </c>
      <c r="E218" s="275" t="s">
        <v>1823</v>
      </c>
      <c r="F218" s="275" t="s">
        <v>2135</v>
      </c>
      <c r="G218" s="276">
        <v>1059</v>
      </c>
      <c r="H218" s="277">
        <v>5.4100805279502946E-4</v>
      </c>
      <c r="I218" s="277">
        <v>0.90673153995209077</v>
      </c>
    </row>
    <row r="219" spans="1:9" x14ac:dyDescent="0.25">
      <c r="A219" t="s">
        <v>1558</v>
      </c>
      <c r="B219" t="s">
        <v>1771</v>
      </c>
      <c r="C219" s="271">
        <v>3</v>
      </c>
      <c r="E219" s="275" t="s">
        <v>1607</v>
      </c>
      <c r="F219" s="275" t="s">
        <v>2136</v>
      </c>
      <c r="G219" s="276">
        <v>1054</v>
      </c>
      <c r="H219" s="277">
        <v>5.3845371826814075E-4</v>
      </c>
      <c r="I219" s="277">
        <v>0.90726999367035888</v>
      </c>
    </row>
    <row r="220" spans="1:9" x14ac:dyDescent="0.25">
      <c r="A220" t="s">
        <v>1558</v>
      </c>
      <c r="B220" t="s">
        <v>1772</v>
      </c>
      <c r="C220" s="271">
        <v>3</v>
      </c>
      <c r="E220" s="275" t="s">
        <v>1574</v>
      </c>
      <c r="F220" s="275" t="s">
        <v>1916</v>
      </c>
      <c r="G220" s="276">
        <v>1048</v>
      </c>
      <c r="H220" s="277">
        <v>5.3538851683587426E-4</v>
      </c>
      <c r="I220" s="277">
        <v>0.90780538218719475</v>
      </c>
    </row>
    <row r="221" spans="1:9" x14ac:dyDescent="0.25">
      <c r="A221" t="s">
        <v>1558</v>
      </c>
      <c r="B221" t="s">
        <v>1773</v>
      </c>
      <c r="C221" s="271">
        <v>3</v>
      </c>
      <c r="E221" s="275" t="s">
        <v>1723</v>
      </c>
      <c r="F221" s="275" t="s">
        <v>1850</v>
      </c>
      <c r="G221" s="276">
        <v>1043</v>
      </c>
      <c r="H221" s="277">
        <v>5.3283418230898555E-4</v>
      </c>
      <c r="I221" s="277">
        <v>0.90833821636950374</v>
      </c>
    </row>
    <row r="222" spans="1:9" x14ac:dyDescent="0.25">
      <c r="A222" t="s">
        <v>1558</v>
      </c>
      <c r="B222" t="s">
        <v>1774</v>
      </c>
      <c r="C222" s="271">
        <v>3</v>
      </c>
      <c r="E222" s="275" t="s">
        <v>1661</v>
      </c>
      <c r="F222" s="275" t="s">
        <v>2137</v>
      </c>
      <c r="G222" s="276">
        <v>1017</v>
      </c>
      <c r="H222" s="277">
        <v>5.1955164276916432E-4</v>
      </c>
      <c r="I222" s="277">
        <v>0.90885776801227292</v>
      </c>
    </row>
    <row r="223" spans="1:9" x14ac:dyDescent="0.25">
      <c r="A223" t="s">
        <v>1555</v>
      </c>
      <c r="B223" t="s">
        <v>1775</v>
      </c>
      <c r="C223" s="271">
        <v>3</v>
      </c>
      <c r="E223" s="275" t="s">
        <v>1606</v>
      </c>
      <c r="F223" s="275" t="s">
        <v>2138</v>
      </c>
      <c r="G223" s="276">
        <v>1016</v>
      </c>
      <c r="H223" s="277">
        <v>5.1904077586378654E-4</v>
      </c>
      <c r="I223" s="277">
        <v>0.90937680878813665</v>
      </c>
    </row>
    <row r="224" spans="1:9" x14ac:dyDescent="0.25">
      <c r="A224" t="s">
        <v>1555</v>
      </c>
      <c r="B224" t="s">
        <v>1776</v>
      </c>
      <c r="C224" s="271">
        <v>3</v>
      </c>
      <c r="E224" s="275" t="s">
        <v>1862</v>
      </c>
      <c r="F224" s="275" t="s">
        <v>1863</v>
      </c>
      <c r="G224" s="276">
        <v>1008</v>
      </c>
      <c r="H224" s="277">
        <v>5.1495384062076458E-4</v>
      </c>
      <c r="I224" s="277">
        <v>0.90989176262875737</v>
      </c>
    </row>
    <row r="225" spans="1:9" x14ac:dyDescent="0.25">
      <c r="A225" t="s">
        <v>1555</v>
      </c>
      <c r="B225" t="s">
        <v>1777</v>
      </c>
      <c r="C225" s="271">
        <v>3</v>
      </c>
      <c r="E225" s="275" t="s">
        <v>1703</v>
      </c>
      <c r="F225" s="275" t="s">
        <v>2139</v>
      </c>
      <c r="G225" s="276">
        <v>998</v>
      </c>
      <c r="H225" s="277">
        <v>5.0984517156698716E-4</v>
      </c>
      <c r="I225" s="277">
        <v>0.91040160780032431</v>
      </c>
    </row>
    <row r="226" spans="1:9" x14ac:dyDescent="0.25">
      <c r="A226" t="s">
        <v>1674</v>
      </c>
      <c r="B226" t="s">
        <v>1778</v>
      </c>
      <c r="C226" s="271">
        <v>3</v>
      </c>
      <c r="E226" s="275" t="s">
        <v>1555</v>
      </c>
      <c r="F226" s="275" t="s">
        <v>1777</v>
      </c>
      <c r="G226" s="276">
        <v>983</v>
      </c>
      <c r="H226" s="277">
        <v>5.0218216798632103E-4</v>
      </c>
      <c r="I226" s="277">
        <v>0.91090378996831067</v>
      </c>
    </row>
    <row r="227" spans="1:9" x14ac:dyDescent="0.25">
      <c r="A227" t="s">
        <v>1723</v>
      </c>
      <c r="B227" t="s">
        <v>1779</v>
      </c>
      <c r="C227" s="271">
        <v>3</v>
      </c>
      <c r="E227" s="275" t="s">
        <v>1558</v>
      </c>
      <c r="F227" s="275" t="s">
        <v>2140</v>
      </c>
      <c r="G227" s="276">
        <v>982</v>
      </c>
      <c r="H227" s="277">
        <v>5.0167130108094325E-4</v>
      </c>
      <c r="I227" s="277">
        <v>0.91140546126939159</v>
      </c>
    </row>
    <row r="228" spans="1:9" x14ac:dyDescent="0.25">
      <c r="A228" t="s">
        <v>1780</v>
      </c>
      <c r="B228" t="s">
        <v>1781</v>
      </c>
      <c r="C228" s="271">
        <v>3</v>
      </c>
      <c r="E228" s="275" t="s">
        <v>1862</v>
      </c>
      <c r="F228" s="275" t="s">
        <v>2141</v>
      </c>
      <c r="G228" s="276">
        <v>981</v>
      </c>
      <c r="H228" s="277">
        <v>5.0116043417556557E-4</v>
      </c>
      <c r="I228" s="277">
        <v>0.91190662170356718</v>
      </c>
    </row>
    <row r="229" spans="1:9" x14ac:dyDescent="0.25">
      <c r="A229" t="s">
        <v>1601</v>
      </c>
      <c r="B229" t="s">
        <v>1782</v>
      </c>
      <c r="C229" s="271">
        <v>3</v>
      </c>
      <c r="E229" s="275" t="s">
        <v>1674</v>
      </c>
      <c r="F229" s="275" t="s">
        <v>2142</v>
      </c>
      <c r="G229" s="276">
        <v>951</v>
      </c>
      <c r="H229" s="277">
        <v>4.8583442701423326E-4</v>
      </c>
      <c r="I229" s="277">
        <v>0.9123924561305814</v>
      </c>
    </row>
    <row r="230" spans="1:9" x14ac:dyDescent="0.25">
      <c r="A230" t="s">
        <v>1601</v>
      </c>
      <c r="B230" t="s">
        <v>1783</v>
      </c>
      <c r="C230" s="271">
        <v>3</v>
      </c>
      <c r="E230" s="275" t="s">
        <v>1852</v>
      </c>
      <c r="F230" s="275" t="s">
        <v>1854</v>
      </c>
      <c r="G230" s="276">
        <v>950</v>
      </c>
      <c r="H230" s="277">
        <v>4.8532356010885552E-4</v>
      </c>
      <c r="I230" s="277">
        <v>0.91287777969069028</v>
      </c>
    </row>
    <row r="231" spans="1:9" x14ac:dyDescent="0.25">
      <c r="A231" t="s">
        <v>1784</v>
      </c>
      <c r="B231" t="s">
        <v>1656</v>
      </c>
      <c r="C231" s="271">
        <v>3</v>
      </c>
      <c r="E231" s="275" t="s">
        <v>1823</v>
      </c>
      <c r="F231" s="275" t="s">
        <v>1943</v>
      </c>
      <c r="G231" s="276">
        <v>938</v>
      </c>
      <c r="H231" s="277">
        <v>4.7919315724432259E-4</v>
      </c>
      <c r="I231" s="277">
        <v>0.9133569728479346</v>
      </c>
    </row>
    <row r="232" spans="1:9" x14ac:dyDescent="0.25">
      <c r="A232" t="s">
        <v>1567</v>
      </c>
      <c r="B232" t="s">
        <v>1785</v>
      </c>
      <c r="C232" s="271">
        <v>3</v>
      </c>
      <c r="E232" s="275" t="s">
        <v>1603</v>
      </c>
      <c r="F232" s="275" t="s">
        <v>1728</v>
      </c>
      <c r="G232" s="276">
        <v>937</v>
      </c>
      <c r="H232" s="277">
        <v>4.7868229033894486E-4</v>
      </c>
      <c r="I232" s="277">
        <v>0.91383565513827358</v>
      </c>
    </row>
    <row r="233" spans="1:9" x14ac:dyDescent="0.25">
      <c r="A233" t="s">
        <v>1567</v>
      </c>
      <c r="B233" t="s">
        <v>1786</v>
      </c>
      <c r="C233" s="271">
        <v>3</v>
      </c>
      <c r="E233" s="275" t="s">
        <v>1800</v>
      </c>
      <c r="F233" s="275" t="s">
        <v>2143</v>
      </c>
      <c r="G233" s="276">
        <v>936</v>
      </c>
      <c r="H233" s="277">
        <v>4.7817142343356713E-4</v>
      </c>
      <c r="I233" s="277">
        <v>0.91431382656170712</v>
      </c>
    </row>
    <row r="234" spans="1:9" x14ac:dyDescent="0.25">
      <c r="A234" t="s">
        <v>1567</v>
      </c>
      <c r="B234" t="s">
        <v>1787</v>
      </c>
      <c r="C234" s="271">
        <v>3</v>
      </c>
      <c r="E234" s="275" t="s">
        <v>1821</v>
      </c>
      <c r="F234" s="275" t="s">
        <v>1822</v>
      </c>
      <c r="G234" s="276">
        <v>931</v>
      </c>
      <c r="H234" s="277">
        <v>4.7561708890667842E-4</v>
      </c>
      <c r="I234" s="277">
        <v>0.91478944365061376</v>
      </c>
    </row>
    <row r="235" spans="1:9" x14ac:dyDescent="0.25">
      <c r="A235" t="s">
        <v>1567</v>
      </c>
      <c r="B235" t="s">
        <v>1788</v>
      </c>
      <c r="C235" s="271">
        <v>3</v>
      </c>
      <c r="E235" s="275" t="s">
        <v>1674</v>
      </c>
      <c r="F235" s="275" t="s">
        <v>2144</v>
      </c>
      <c r="G235" s="276">
        <v>907</v>
      </c>
      <c r="H235" s="277">
        <v>4.633562831776126E-4</v>
      </c>
      <c r="I235" s="277">
        <v>0.91525279993379138</v>
      </c>
    </row>
    <row r="236" spans="1:9" x14ac:dyDescent="0.25">
      <c r="A236" t="s">
        <v>1789</v>
      </c>
      <c r="B236" t="s">
        <v>1790</v>
      </c>
      <c r="C236" s="271">
        <v>2</v>
      </c>
      <c r="E236" s="275" t="s">
        <v>1948</v>
      </c>
      <c r="F236" s="275" t="s">
        <v>2145</v>
      </c>
      <c r="G236" s="276">
        <v>903</v>
      </c>
      <c r="H236" s="277">
        <v>4.6131281555610162E-4</v>
      </c>
      <c r="I236" s="277">
        <v>0.91571411274934744</v>
      </c>
    </row>
    <row r="237" spans="1:9" x14ac:dyDescent="0.25">
      <c r="A237" t="s">
        <v>1791</v>
      </c>
      <c r="B237" t="s">
        <v>1792</v>
      </c>
      <c r="C237" s="271">
        <v>2</v>
      </c>
      <c r="E237" s="275" t="s">
        <v>1574</v>
      </c>
      <c r="F237" s="275" t="s">
        <v>2146</v>
      </c>
      <c r="G237" s="276">
        <v>894</v>
      </c>
      <c r="H237" s="277">
        <v>4.5671501340770193E-4</v>
      </c>
      <c r="I237" s="277">
        <v>0.91617082776275516</v>
      </c>
    </row>
    <row r="238" spans="1:9" x14ac:dyDescent="0.25">
      <c r="A238" t="s">
        <v>1606</v>
      </c>
      <c r="B238" t="s">
        <v>1793</v>
      </c>
      <c r="C238" s="271">
        <v>2</v>
      </c>
      <c r="E238" s="275" t="s">
        <v>1611</v>
      </c>
      <c r="F238" s="275" t="s">
        <v>2147</v>
      </c>
      <c r="G238" s="276">
        <v>893</v>
      </c>
      <c r="H238" s="277">
        <v>4.562041465023242E-4</v>
      </c>
      <c r="I238" s="277">
        <v>0.91662703190925743</v>
      </c>
    </row>
    <row r="239" spans="1:9" x14ac:dyDescent="0.25">
      <c r="A239" t="s">
        <v>1606</v>
      </c>
      <c r="B239" t="s">
        <v>1794</v>
      </c>
      <c r="C239" s="271">
        <v>2</v>
      </c>
      <c r="E239" s="275" t="s">
        <v>1574</v>
      </c>
      <c r="F239" s="275" t="s">
        <v>1913</v>
      </c>
      <c r="G239" s="276">
        <v>887</v>
      </c>
      <c r="H239" s="277">
        <v>4.5313894507005776E-4</v>
      </c>
      <c r="I239" s="277">
        <v>0.91708017085432747</v>
      </c>
    </row>
    <row r="240" spans="1:9" x14ac:dyDescent="0.25">
      <c r="A240" t="s">
        <v>1606</v>
      </c>
      <c r="B240" t="s">
        <v>586</v>
      </c>
      <c r="C240" s="271">
        <v>2</v>
      </c>
      <c r="E240" s="275" t="s">
        <v>1607</v>
      </c>
      <c r="F240" s="275" t="s">
        <v>2148</v>
      </c>
      <c r="G240" s="276">
        <v>886</v>
      </c>
      <c r="H240" s="277">
        <v>4.5262807816467997E-4</v>
      </c>
      <c r="I240" s="277">
        <v>0.91753279893249218</v>
      </c>
    </row>
    <row r="241" spans="1:9" x14ac:dyDescent="0.25">
      <c r="A241" t="s">
        <v>1606</v>
      </c>
      <c r="B241" t="s">
        <v>588</v>
      </c>
      <c r="C241" s="271">
        <v>2</v>
      </c>
      <c r="E241" s="275" t="s">
        <v>1606</v>
      </c>
      <c r="F241" s="275" t="s">
        <v>582</v>
      </c>
      <c r="G241" s="276">
        <v>883</v>
      </c>
      <c r="H241" s="277">
        <v>4.5109547744854678E-4</v>
      </c>
      <c r="I241" s="277">
        <v>0.91798389440994077</v>
      </c>
    </row>
    <row r="242" spans="1:9" x14ac:dyDescent="0.25">
      <c r="A242" t="s">
        <v>1606</v>
      </c>
      <c r="B242" t="s">
        <v>1795</v>
      </c>
      <c r="C242" s="271">
        <v>2</v>
      </c>
      <c r="E242" s="275" t="s">
        <v>1567</v>
      </c>
      <c r="F242" s="275" t="s">
        <v>2149</v>
      </c>
      <c r="G242" s="276">
        <v>876</v>
      </c>
      <c r="H242" s="277">
        <v>4.4751940911090255E-4</v>
      </c>
      <c r="I242" s="277">
        <v>0.91843141381905169</v>
      </c>
    </row>
    <row r="243" spans="1:9" x14ac:dyDescent="0.25">
      <c r="A243" t="s">
        <v>1661</v>
      </c>
      <c r="B243" t="s">
        <v>1796</v>
      </c>
      <c r="C243" s="271">
        <v>2</v>
      </c>
      <c r="E243" s="275" t="s">
        <v>1603</v>
      </c>
      <c r="F243" s="275" t="s">
        <v>2150</v>
      </c>
      <c r="G243" s="276">
        <v>874</v>
      </c>
      <c r="H243" s="277">
        <v>4.4649767530014709E-4</v>
      </c>
      <c r="I243" s="277">
        <v>0.91887791149435183</v>
      </c>
    </row>
    <row r="244" spans="1:9" x14ac:dyDescent="0.25">
      <c r="A244" t="s">
        <v>1661</v>
      </c>
      <c r="B244" t="s">
        <v>1797</v>
      </c>
      <c r="C244" s="271">
        <v>2</v>
      </c>
      <c r="E244" s="275" t="s">
        <v>1821</v>
      </c>
      <c r="F244" s="275" t="s">
        <v>2151</v>
      </c>
      <c r="G244" s="276">
        <v>866</v>
      </c>
      <c r="H244" s="277">
        <v>4.4241074005712513E-4</v>
      </c>
      <c r="I244" s="277">
        <v>0.91932032223440896</v>
      </c>
    </row>
    <row r="245" spans="1:9" x14ac:dyDescent="0.25">
      <c r="A245" t="s">
        <v>1661</v>
      </c>
      <c r="B245" t="s">
        <v>1798</v>
      </c>
      <c r="C245" s="271">
        <v>2</v>
      </c>
      <c r="E245" s="275" t="s">
        <v>1821</v>
      </c>
      <c r="F245" s="275" t="s">
        <v>2152</v>
      </c>
      <c r="G245" s="276">
        <v>849</v>
      </c>
      <c r="H245" s="277">
        <v>4.3372600266570349E-4</v>
      </c>
      <c r="I245" s="277">
        <v>0.91975404823707463</v>
      </c>
    </row>
    <row r="246" spans="1:9" x14ac:dyDescent="0.25">
      <c r="A246" t="s">
        <v>1661</v>
      </c>
      <c r="B246" t="s">
        <v>1799</v>
      </c>
      <c r="C246" s="271">
        <v>2</v>
      </c>
      <c r="E246" s="275" t="s">
        <v>1601</v>
      </c>
      <c r="F246" s="275" t="s">
        <v>2034</v>
      </c>
      <c r="G246" s="276">
        <v>830</v>
      </c>
      <c r="H246" s="277">
        <v>4.2401953146352638E-4</v>
      </c>
      <c r="I246" s="277">
        <v>0.92017806776853817</v>
      </c>
    </row>
    <row r="247" spans="1:9" x14ac:dyDescent="0.25">
      <c r="A247" t="s">
        <v>1800</v>
      </c>
      <c r="B247" t="s">
        <v>1801</v>
      </c>
      <c r="C247" s="271">
        <v>2</v>
      </c>
      <c r="E247" s="275" t="s">
        <v>1948</v>
      </c>
      <c r="F247" s="275" t="s">
        <v>2153</v>
      </c>
      <c r="G247" s="276">
        <v>823</v>
      </c>
      <c r="H247" s="277">
        <v>4.2044346312588221E-4</v>
      </c>
      <c r="I247" s="277">
        <v>0.92059851123166403</v>
      </c>
    </row>
    <row r="248" spans="1:9" x14ac:dyDescent="0.25">
      <c r="A248" t="s">
        <v>1802</v>
      </c>
      <c r="B248" t="s">
        <v>1803</v>
      </c>
      <c r="C248" s="271">
        <v>2</v>
      </c>
      <c r="E248" s="275" t="s">
        <v>2012</v>
      </c>
      <c r="F248" s="275" t="s">
        <v>2013</v>
      </c>
      <c r="G248" s="276">
        <v>812</v>
      </c>
      <c r="H248" s="277">
        <v>4.1482392716672706E-4</v>
      </c>
      <c r="I248" s="277">
        <v>0.92101333515883077</v>
      </c>
    </row>
    <row r="249" spans="1:9" x14ac:dyDescent="0.25">
      <c r="A249" t="s">
        <v>1560</v>
      </c>
      <c r="B249" t="s">
        <v>1804</v>
      </c>
      <c r="C249" s="271">
        <v>2</v>
      </c>
      <c r="E249" s="275" t="s">
        <v>1674</v>
      </c>
      <c r="F249" s="275" t="s">
        <v>2154</v>
      </c>
      <c r="G249" s="276">
        <v>809</v>
      </c>
      <c r="H249" s="277">
        <v>4.1329132645059381E-4</v>
      </c>
      <c r="I249" s="277">
        <v>0.9214266264852814</v>
      </c>
    </row>
    <row r="250" spans="1:9" x14ac:dyDescent="0.25">
      <c r="A250" t="s">
        <v>1560</v>
      </c>
      <c r="B250" t="s">
        <v>1805</v>
      </c>
      <c r="C250" s="271">
        <v>2</v>
      </c>
      <c r="E250" s="275" t="s">
        <v>1555</v>
      </c>
      <c r="F250" s="275" t="s">
        <v>1597</v>
      </c>
      <c r="G250" s="276">
        <v>805</v>
      </c>
      <c r="H250" s="277">
        <v>4.1124785882908283E-4</v>
      </c>
      <c r="I250" s="277">
        <v>0.92183787434411046</v>
      </c>
    </row>
    <row r="251" spans="1:9" x14ac:dyDescent="0.25">
      <c r="A251" t="s">
        <v>1560</v>
      </c>
      <c r="B251" t="s">
        <v>1806</v>
      </c>
      <c r="C251" s="271">
        <v>2</v>
      </c>
      <c r="E251" s="275" t="s">
        <v>1567</v>
      </c>
      <c r="F251" s="275" t="s">
        <v>2155</v>
      </c>
      <c r="G251" s="276">
        <v>789</v>
      </c>
      <c r="H251" s="277">
        <v>4.0307398834303897E-4</v>
      </c>
      <c r="I251" s="277">
        <v>0.92224094833245351</v>
      </c>
    </row>
    <row r="252" spans="1:9" x14ac:dyDescent="0.25">
      <c r="A252" t="s">
        <v>1623</v>
      </c>
      <c r="B252" t="s">
        <v>1807</v>
      </c>
      <c r="C252" s="271">
        <v>2</v>
      </c>
      <c r="E252" s="275" t="s">
        <v>1800</v>
      </c>
      <c r="F252" s="275" t="s">
        <v>2156</v>
      </c>
      <c r="G252" s="276">
        <v>782</v>
      </c>
      <c r="H252" s="277">
        <v>3.9949792000539474E-4</v>
      </c>
      <c r="I252" s="277">
        <v>0.92264044625245889</v>
      </c>
    </row>
    <row r="253" spans="1:9" x14ac:dyDescent="0.25">
      <c r="A253" t="s">
        <v>1623</v>
      </c>
      <c r="B253" t="s">
        <v>1808</v>
      </c>
      <c r="C253" s="271">
        <v>2</v>
      </c>
      <c r="E253" s="275" t="s">
        <v>1661</v>
      </c>
      <c r="F253" s="275" t="s">
        <v>2157</v>
      </c>
      <c r="G253" s="276">
        <v>781</v>
      </c>
      <c r="H253" s="277">
        <v>3.9898705310001701E-4</v>
      </c>
      <c r="I253" s="277">
        <v>0.92303943330555893</v>
      </c>
    </row>
    <row r="254" spans="1:9" x14ac:dyDescent="0.25">
      <c r="A254" t="s">
        <v>1574</v>
      </c>
      <c r="B254" t="s">
        <v>1809</v>
      </c>
      <c r="C254" s="271">
        <v>2</v>
      </c>
      <c r="E254" s="275" t="s">
        <v>2010</v>
      </c>
      <c r="F254" s="275" t="s">
        <v>543</v>
      </c>
      <c r="G254" s="276">
        <v>778</v>
      </c>
      <c r="H254" s="277">
        <v>3.9745445238388376E-4</v>
      </c>
      <c r="I254" s="277">
        <v>0.92343688775794286</v>
      </c>
    </row>
    <row r="255" spans="1:9" x14ac:dyDescent="0.25">
      <c r="A255" t="s">
        <v>1574</v>
      </c>
      <c r="B255" t="s">
        <v>1810</v>
      </c>
      <c r="C255" s="271">
        <v>2</v>
      </c>
      <c r="E255" s="275" t="s">
        <v>1606</v>
      </c>
      <c r="F255" s="275" t="s">
        <v>2158</v>
      </c>
      <c r="G255" s="276">
        <v>776</v>
      </c>
      <c r="H255" s="277">
        <v>3.964327185731283E-4</v>
      </c>
      <c r="I255" s="277">
        <v>0.92383332047651601</v>
      </c>
    </row>
    <row r="256" spans="1:9" x14ac:dyDescent="0.25">
      <c r="A256" t="s">
        <v>1574</v>
      </c>
      <c r="B256" t="s">
        <v>1811</v>
      </c>
      <c r="C256" s="271">
        <v>2</v>
      </c>
      <c r="E256" s="275" t="s">
        <v>1607</v>
      </c>
      <c r="F256" s="275" t="s">
        <v>2159</v>
      </c>
      <c r="G256" s="276">
        <v>773</v>
      </c>
      <c r="H256" s="277">
        <v>3.9490011785699505E-4</v>
      </c>
      <c r="I256" s="277">
        <v>0.92422822059437304</v>
      </c>
    </row>
    <row r="257" spans="1:9" x14ac:dyDescent="0.25">
      <c r="A257" t="s">
        <v>1603</v>
      </c>
      <c r="B257" t="s">
        <v>1812</v>
      </c>
      <c r="C257" s="271">
        <v>2</v>
      </c>
      <c r="E257" s="275" t="s">
        <v>1574</v>
      </c>
      <c r="F257" s="275" t="s">
        <v>1727</v>
      </c>
      <c r="G257" s="276">
        <v>773</v>
      </c>
      <c r="H257" s="277">
        <v>3.9490011785699505E-4</v>
      </c>
      <c r="I257" s="277">
        <v>0.92462312071223007</v>
      </c>
    </row>
    <row r="258" spans="1:9" x14ac:dyDescent="0.25">
      <c r="A258" t="s">
        <v>1603</v>
      </c>
      <c r="B258" t="s">
        <v>1813</v>
      </c>
      <c r="C258" s="271">
        <v>2</v>
      </c>
      <c r="E258" s="275" t="s">
        <v>1579</v>
      </c>
      <c r="F258" s="275" t="s">
        <v>1713</v>
      </c>
      <c r="G258" s="276">
        <v>772</v>
      </c>
      <c r="H258" s="277">
        <v>3.9438925095161732E-4</v>
      </c>
      <c r="I258" s="277">
        <v>0.92501750996318166</v>
      </c>
    </row>
    <row r="259" spans="1:9" x14ac:dyDescent="0.25">
      <c r="A259" t="s">
        <v>1603</v>
      </c>
      <c r="B259" t="s">
        <v>1814</v>
      </c>
      <c r="C259" s="271">
        <v>2</v>
      </c>
      <c r="E259" s="275" t="s">
        <v>1819</v>
      </c>
      <c r="F259" s="275" t="s">
        <v>2160</v>
      </c>
      <c r="G259" s="276">
        <v>768</v>
      </c>
      <c r="H259" s="277">
        <v>3.9234578333010634E-4</v>
      </c>
      <c r="I259" s="277">
        <v>0.9254098557465118</v>
      </c>
    </row>
    <row r="260" spans="1:9" x14ac:dyDescent="0.25">
      <c r="A260" t="s">
        <v>1603</v>
      </c>
      <c r="B260" t="s">
        <v>1815</v>
      </c>
      <c r="C260" s="271">
        <v>2</v>
      </c>
      <c r="E260" s="275" t="s">
        <v>1574</v>
      </c>
      <c r="F260" s="275" t="s">
        <v>2161</v>
      </c>
      <c r="G260" s="276">
        <v>755</v>
      </c>
      <c r="H260" s="277">
        <v>3.8570451356019568E-4</v>
      </c>
      <c r="I260" s="277">
        <v>0.92579556026007204</v>
      </c>
    </row>
    <row r="261" spans="1:9" x14ac:dyDescent="0.25">
      <c r="A261" t="s">
        <v>1603</v>
      </c>
      <c r="B261" t="s">
        <v>1816</v>
      </c>
      <c r="C261" s="271">
        <v>2</v>
      </c>
      <c r="E261" s="275" t="s">
        <v>1579</v>
      </c>
      <c r="F261" s="275" t="s">
        <v>2162</v>
      </c>
      <c r="G261" s="276">
        <v>753</v>
      </c>
      <c r="H261" s="277">
        <v>3.8468277974944022E-4</v>
      </c>
      <c r="I261" s="277">
        <v>0.92618024303982149</v>
      </c>
    </row>
    <row r="262" spans="1:9" x14ac:dyDescent="0.25">
      <c r="A262" t="s">
        <v>1603</v>
      </c>
      <c r="B262" t="s">
        <v>1817</v>
      </c>
      <c r="C262" s="271">
        <v>2</v>
      </c>
      <c r="E262" s="275" t="s">
        <v>1823</v>
      </c>
      <c r="F262" s="275" t="s">
        <v>2163</v>
      </c>
      <c r="G262" s="276">
        <v>752</v>
      </c>
      <c r="H262" s="277">
        <v>3.8417191284406248E-4</v>
      </c>
      <c r="I262" s="277">
        <v>0.9265644149526655</v>
      </c>
    </row>
    <row r="263" spans="1:9" x14ac:dyDescent="0.25">
      <c r="A263" t="s">
        <v>1603</v>
      </c>
      <c r="B263" t="s">
        <v>1818</v>
      </c>
      <c r="C263" s="271">
        <v>2</v>
      </c>
      <c r="E263" s="275" t="s">
        <v>1611</v>
      </c>
      <c r="F263" s="275" t="s">
        <v>1972</v>
      </c>
      <c r="G263" s="276">
        <v>748</v>
      </c>
      <c r="H263" s="277">
        <v>3.8212844522255151E-4</v>
      </c>
      <c r="I263" s="277">
        <v>0.92694654339788807</v>
      </c>
    </row>
    <row r="264" spans="1:9" x14ac:dyDescent="0.25">
      <c r="A264" t="s">
        <v>1603</v>
      </c>
      <c r="B264" t="s">
        <v>1760</v>
      </c>
      <c r="C264" s="271">
        <v>2</v>
      </c>
      <c r="E264" s="275" t="s">
        <v>1852</v>
      </c>
      <c r="F264" s="275" t="s">
        <v>2023</v>
      </c>
      <c r="G264" s="276">
        <v>735</v>
      </c>
      <c r="H264" s="277">
        <v>3.7548717545264084E-4</v>
      </c>
      <c r="I264" s="277">
        <v>0.92732203057334073</v>
      </c>
    </row>
    <row r="265" spans="1:9" x14ac:dyDescent="0.25">
      <c r="A265" t="s">
        <v>1819</v>
      </c>
      <c r="B265" t="s">
        <v>1820</v>
      </c>
      <c r="C265" s="271">
        <v>2</v>
      </c>
      <c r="E265" s="275" t="s">
        <v>1800</v>
      </c>
      <c r="F265" s="275" t="s">
        <v>1887</v>
      </c>
      <c r="G265" s="276">
        <v>733</v>
      </c>
      <c r="H265" s="277">
        <v>3.7446544164188538E-4</v>
      </c>
      <c r="I265" s="277">
        <v>0.92769649601498261</v>
      </c>
    </row>
    <row r="266" spans="1:9" x14ac:dyDescent="0.25">
      <c r="A266" t="s">
        <v>1821</v>
      </c>
      <c r="B266" t="s">
        <v>1822</v>
      </c>
      <c r="C266" s="271">
        <v>2</v>
      </c>
      <c r="E266" s="275" t="s">
        <v>1852</v>
      </c>
      <c r="F266" s="275" t="s">
        <v>2024</v>
      </c>
      <c r="G266" s="276">
        <v>730</v>
      </c>
      <c r="H266" s="277">
        <v>3.7293284092575213E-4</v>
      </c>
      <c r="I266" s="277">
        <v>0.92806942885590837</v>
      </c>
    </row>
    <row r="267" spans="1:9" x14ac:dyDescent="0.25">
      <c r="A267" t="s">
        <v>1823</v>
      </c>
      <c r="B267" t="s">
        <v>1824</v>
      </c>
      <c r="C267" s="271">
        <v>2</v>
      </c>
      <c r="E267" s="275" t="s">
        <v>1606</v>
      </c>
      <c r="F267" s="275" t="s">
        <v>2164</v>
      </c>
      <c r="G267" s="276">
        <v>727</v>
      </c>
      <c r="H267" s="277">
        <v>3.7140024020961893E-4</v>
      </c>
      <c r="I267" s="277">
        <v>0.92844082909611803</v>
      </c>
    </row>
    <row r="268" spans="1:9" x14ac:dyDescent="0.25">
      <c r="A268" t="s">
        <v>1703</v>
      </c>
      <c r="B268" t="s">
        <v>1825</v>
      </c>
      <c r="C268" s="271">
        <v>2</v>
      </c>
      <c r="E268" s="275" t="s">
        <v>1574</v>
      </c>
      <c r="F268" s="275" t="s">
        <v>1676</v>
      </c>
      <c r="G268" s="276">
        <v>726</v>
      </c>
      <c r="H268" s="277">
        <v>3.7088937330424115E-4</v>
      </c>
      <c r="I268" s="277">
        <v>0.92881171846942223</v>
      </c>
    </row>
    <row r="269" spans="1:9" x14ac:dyDescent="0.25">
      <c r="A269" t="s">
        <v>1706</v>
      </c>
      <c r="B269" t="s">
        <v>1826</v>
      </c>
      <c r="C269" s="271">
        <v>2</v>
      </c>
      <c r="E269" s="275" t="s">
        <v>1948</v>
      </c>
      <c r="F269" s="275" t="s">
        <v>2165</v>
      </c>
      <c r="G269" s="276">
        <v>724</v>
      </c>
      <c r="H269" s="277">
        <v>3.6986763949348569E-4</v>
      </c>
      <c r="I269" s="277">
        <v>0.92918158610891577</v>
      </c>
    </row>
    <row r="270" spans="1:9" x14ac:dyDescent="0.25">
      <c r="A270" t="s">
        <v>1706</v>
      </c>
      <c r="B270" t="s">
        <v>1827</v>
      </c>
      <c r="C270" s="271">
        <v>2</v>
      </c>
      <c r="E270" s="275" t="s">
        <v>1606</v>
      </c>
      <c r="F270" s="275" t="s">
        <v>1686</v>
      </c>
      <c r="G270" s="276">
        <v>722</v>
      </c>
      <c r="H270" s="277">
        <v>3.6884590568273017E-4</v>
      </c>
      <c r="I270" s="277">
        <v>0.92955043201459853</v>
      </c>
    </row>
    <row r="271" spans="1:9" x14ac:dyDescent="0.25">
      <c r="A271" t="s">
        <v>1607</v>
      </c>
      <c r="B271" t="s">
        <v>1828</v>
      </c>
      <c r="C271" s="271">
        <v>2</v>
      </c>
      <c r="E271" s="275" t="s">
        <v>1800</v>
      </c>
      <c r="F271" s="275" t="s">
        <v>1890</v>
      </c>
      <c r="G271" s="276">
        <v>720</v>
      </c>
      <c r="H271" s="277">
        <v>3.6782417187197471E-4</v>
      </c>
      <c r="I271" s="277">
        <v>0.9299182561864705</v>
      </c>
    </row>
    <row r="272" spans="1:9" x14ac:dyDescent="0.25">
      <c r="A272" t="s">
        <v>1607</v>
      </c>
      <c r="B272" t="s">
        <v>1829</v>
      </c>
      <c r="C272" s="271">
        <v>2</v>
      </c>
      <c r="E272" s="275" t="s">
        <v>1601</v>
      </c>
      <c r="F272" s="275" t="s">
        <v>2031</v>
      </c>
      <c r="G272" s="276">
        <v>711</v>
      </c>
      <c r="H272" s="277">
        <v>3.6322636972357502E-4</v>
      </c>
      <c r="I272" s="277">
        <v>0.93028148255619403</v>
      </c>
    </row>
    <row r="273" spans="1:9" x14ac:dyDescent="0.25">
      <c r="A273" t="s">
        <v>1607</v>
      </c>
      <c r="B273" t="s">
        <v>1830</v>
      </c>
      <c r="C273" s="271">
        <v>2</v>
      </c>
      <c r="E273" s="275" t="s">
        <v>1567</v>
      </c>
      <c r="F273" s="275" t="s">
        <v>2166</v>
      </c>
      <c r="G273" s="276">
        <v>711</v>
      </c>
      <c r="H273" s="277">
        <v>3.6322636972357502E-4</v>
      </c>
      <c r="I273" s="277">
        <v>0.93064470892591755</v>
      </c>
    </row>
    <row r="274" spans="1:9" x14ac:dyDescent="0.25">
      <c r="A274" t="s">
        <v>1607</v>
      </c>
      <c r="B274" t="s">
        <v>1831</v>
      </c>
      <c r="C274" s="271">
        <v>2</v>
      </c>
      <c r="E274" s="275" t="s">
        <v>1948</v>
      </c>
      <c r="F274" s="275" t="s">
        <v>1950</v>
      </c>
      <c r="G274" s="276">
        <v>701</v>
      </c>
      <c r="H274" s="277">
        <v>3.581177006697976E-4</v>
      </c>
      <c r="I274" s="277">
        <v>0.9310028266265874</v>
      </c>
    </row>
    <row r="275" spans="1:9" x14ac:dyDescent="0.25">
      <c r="A275" t="s">
        <v>1607</v>
      </c>
      <c r="B275" t="s">
        <v>1832</v>
      </c>
      <c r="C275" s="271">
        <v>2</v>
      </c>
      <c r="E275" s="275" t="s">
        <v>1674</v>
      </c>
      <c r="F275" s="275" t="s">
        <v>2167</v>
      </c>
      <c r="G275" s="276">
        <v>693</v>
      </c>
      <c r="H275" s="277">
        <v>3.5403076542677564E-4</v>
      </c>
      <c r="I275" s="277">
        <v>0.93135685739201413</v>
      </c>
    </row>
    <row r="276" spans="1:9" x14ac:dyDescent="0.25">
      <c r="A276" t="s">
        <v>1607</v>
      </c>
      <c r="B276" t="s">
        <v>1833</v>
      </c>
      <c r="C276" s="271">
        <v>2</v>
      </c>
      <c r="E276" s="275" t="s">
        <v>1574</v>
      </c>
      <c r="F276" s="275" t="s">
        <v>2168</v>
      </c>
      <c r="G276" s="276">
        <v>688</v>
      </c>
      <c r="H276" s="277">
        <v>3.5147643089988693E-4</v>
      </c>
      <c r="I276" s="277">
        <v>0.93170833382291396</v>
      </c>
    </row>
    <row r="277" spans="1:9" x14ac:dyDescent="0.25">
      <c r="A277" t="s">
        <v>1607</v>
      </c>
      <c r="B277" t="s">
        <v>1834</v>
      </c>
      <c r="C277" s="271">
        <v>2</v>
      </c>
      <c r="E277" s="275" t="s">
        <v>1579</v>
      </c>
      <c r="F277" s="275" t="s">
        <v>2169</v>
      </c>
      <c r="G277" s="276">
        <v>687</v>
      </c>
      <c r="H277" s="277">
        <v>3.509655639945092E-4</v>
      </c>
      <c r="I277" s="277">
        <v>0.93205929938690846</v>
      </c>
    </row>
    <row r="278" spans="1:9" x14ac:dyDescent="0.25">
      <c r="A278" t="s">
        <v>1607</v>
      </c>
      <c r="B278" t="s">
        <v>1835</v>
      </c>
      <c r="C278" s="271">
        <v>2</v>
      </c>
      <c r="E278" s="275" t="s">
        <v>1852</v>
      </c>
      <c r="F278" s="275" t="s">
        <v>2170</v>
      </c>
      <c r="G278" s="276">
        <v>685</v>
      </c>
      <c r="H278" s="277">
        <v>3.4994383018375374E-4</v>
      </c>
      <c r="I278" s="277">
        <v>0.93240924321709218</v>
      </c>
    </row>
    <row r="279" spans="1:9" x14ac:dyDescent="0.25">
      <c r="A279" t="s">
        <v>1558</v>
      </c>
      <c r="B279" t="s">
        <v>1836</v>
      </c>
      <c r="C279" s="271">
        <v>2</v>
      </c>
      <c r="E279" s="275" t="s">
        <v>1703</v>
      </c>
      <c r="F279" s="275" t="s">
        <v>2171</v>
      </c>
      <c r="G279" s="276">
        <v>679</v>
      </c>
      <c r="H279" s="277">
        <v>3.4687862875148724E-4</v>
      </c>
      <c r="I279" s="277">
        <v>0.93275612184584367</v>
      </c>
    </row>
    <row r="280" spans="1:9" x14ac:dyDescent="0.25">
      <c r="A280" t="s">
        <v>1558</v>
      </c>
      <c r="B280" t="s">
        <v>1837</v>
      </c>
      <c r="C280" s="271">
        <v>2</v>
      </c>
      <c r="E280" s="275" t="s">
        <v>1574</v>
      </c>
      <c r="F280" s="275" t="s">
        <v>2172</v>
      </c>
      <c r="G280" s="276">
        <v>675</v>
      </c>
      <c r="H280" s="277">
        <v>3.4483516112997627E-4</v>
      </c>
      <c r="I280" s="277">
        <v>0.9331009570069736</v>
      </c>
    </row>
    <row r="281" spans="1:9" x14ac:dyDescent="0.25">
      <c r="A281" t="s">
        <v>1558</v>
      </c>
      <c r="B281" t="s">
        <v>1838</v>
      </c>
      <c r="C281" s="271">
        <v>2</v>
      </c>
      <c r="E281" s="275" t="s">
        <v>1862</v>
      </c>
      <c r="F281" s="275" t="s">
        <v>2054</v>
      </c>
      <c r="G281" s="276">
        <v>671</v>
      </c>
      <c r="H281" s="277">
        <v>3.4279169350846534E-4</v>
      </c>
      <c r="I281" s="277">
        <v>0.93344374870048208</v>
      </c>
    </row>
    <row r="282" spans="1:9" x14ac:dyDescent="0.25">
      <c r="A282" t="s">
        <v>1558</v>
      </c>
      <c r="B282" t="s">
        <v>1839</v>
      </c>
      <c r="C282" s="271">
        <v>2</v>
      </c>
      <c r="E282" s="275" t="s">
        <v>1940</v>
      </c>
      <c r="F282" s="275" t="s">
        <v>2173</v>
      </c>
      <c r="G282" s="276">
        <v>659</v>
      </c>
      <c r="H282" s="277">
        <v>3.366612906439324E-4</v>
      </c>
      <c r="I282" s="277">
        <v>0.93378040999112599</v>
      </c>
    </row>
    <row r="283" spans="1:9" x14ac:dyDescent="0.25">
      <c r="A283" t="s">
        <v>1558</v>
      </c>
      <c r="B283" t="s">
        <v>1840</v>
      </c>
      <c r="C283" s="271">
        <v>2</v>
      </c>
      <c r="E283" s="275" t="s">
        <v>1862</v>
      </c>
      <c r="F283" s="275" t="s">
        <v>2174</v>
      </c>
      <c r="G283" s="276">
        <v>652</v>
      </c>
      <c r="H283" s="277">
        <v>3.3308522230628823E-4</v>
      </c>
      <c r="I283" s="277">
        <v>0.93411349521343223</v>
      </c>
    </row>
    <row r="284" spans="1:9" x14ac:dyDescent="0.25">
      <c r="A284" t="s">
        <v>1558</v>
      </c>
      <c r="B284" t="s">
        <v>1841</v>
      </c>
      <c r="C284" s="271">
        <v>2</v>
      </c>
      <c r="E284" s="275" t="s">
        <v>1674</v>
      </c>
      <c r="F284" s="275" t="s">
        <v>2175</v>
      </c>
      <c r="G284" s="276">
        <v>644</v>
      </c>
      <c r="H284" s="277">
        <v>3.2899828706326627E-4</v>
      </c>
      <c r="I284" s="277">
        <v>0.93444249350049546</v>
      </c>
    </row>
    <row r="285" spans="1:9" x14ac:dyDescent="0.25">
      <c r="A285" t="s">
        <v>1558</v>
      </c>
      <c r="B285" t="s">
        <v>1842</v>
      </c>
      <c r="C285" s="271">
        <v>2</v>
      </c>
      <c r="E285" s="275" t="s">
        <v>1601</v>
      </c>
      <c r="F285" s="275" t="s">
        <v>1683</v>
      </c>
      <c r="G285" s="276">
        <v>631</v>
      </c>
      <c r="H285" s="277">
        <v>3.2235701729335561E-4</v>
      </c>
      <c r="I285" s="277">
        <v>0.93476485051778879</v>
      </c>
    </row>
    <row r="286" spans="1:9" x14ac:dyDescent="0.25">
      <c r="A286" t="s">
        <v>1558</v>
      </c>
      <c r="B286" t="s">
        <v>1843</v>
      </c>
      <c r="C286" s="271">
        <v>2</v>
      </c>
      <c r="E286" s="275" t="s">
        <v>1819</v>
      </c>
      <c r="F286" s="275" t="s">
        <v>2176</v>
      </c>
      <c r="G286" s="276">
        <v>629</v>
      </c>
      <c r="H286" s="277">
        <v>3.2133528348260015E-4</v>
      </c>
      <c r="I286" s="277">
        <v>0.93508618580127134</v>
      </c>
    </row>
    <row r="287" spans="1:9" x14ac:dyDescent="0.25">
      <c r="A287" t="s">
        <v>1555</v>
      </c>
      <c r="B287" t="s">
        <v>1844</v>
      </c>
      <c r="C287" s="271">
        <v>2</v>
      </c>
      <c r="E287" s="275" t="s">
        <v>1601</v>
      </c>
      <c r="F287" s="275" t="s">
        <v>2177</v>
      </c>
      <c r="G287" s="276">
        <v>629</v>
      </c>
      <c r="H287" s="277">
        <v>3.2133528348260015E-4</v>
      </c>
      <c r="I287" s="277">
        <v>0.93540752108475389</v>
      </c>
    </row>
    <row r="288" spans="1:9" x14ac:dyDescent="0.25">
      <c r="A288" t="s">
        <v>1555</v>
      </c>
      <c r="B288" t="s">
        <v>1845</v>
      </c>
      <c r="C288" s="271">
        <v>2</v>
      </c>
      <c r="E288" s="275" t="s">
        <v>1574</v>
      </c>
      <c r="F288" s="275" t="s">
        <v>2178</v>
      </c>
      <c r="G288" s="276">
        <v>628</v>
      </c>
      <c r="H288" s="277">
        <v>3.2082441657722236E-4</v>
      </c>
      <c r="I288" s="277">
        <v>0.9357283455013311</v>
      </c>
    </row>
    <row r="289" spans="1:9" x14ac:dyDescent="0.25">
      <c r="A289" t="s">
        <v>1555</v>
      </c>
      <c r="B289" t="s">
        <v>1846</v>
      </c>
      <c r="C289" s="271">
        <v>2</v>
      </c>
      <c r="E289" s="275" t="s">
        <v>1611</v>
      </c>
      <c r="F289" s="275" t="s">
        <v>2179</v>
      </c>
      <c r="G289" s="276">
        <v>627</v>
      </c>
      <c r="H289" s="277">
        <v>3.2031354967184463E-4</v>
      </c>
      <c r="I289" s="277">
        <v>0.93604865905100298</v>
      </c>
    </row>
    <row r="290" spans="1:9" x14ac:dyDescent="0.25">
      <c r="A290" t="s">
        <v>1555</v>
      </c>
      <c r="B290" t="s">
        <v>1847</v>
      </c>
      <c r="C290" s="271">
        <v>2</v>
      </c>
      <c r="E290" s="275" t="s">
        <v>1821</v>
      </c>
      <c r="F290" s="275" t="s">
        <v>2180</v>
      </c>
      <c r="G290" s="276">
        <v>625</v>
      </c>
      <c r="H290" s="277">
        <v>3.1929181586108917E-4</v>
      </c>
      <c r="I290" s="277">
        <v>0.93636795086686408</v>
      </c>
    </row>
    <row r="291" spans="1:9" x14ac:dyDescent="0.25">
      <c r="A291" t="s">
        <v>1674</v>
      </c>
      <c r="B291" t="s">
        <v>1848</v>
      </c>
      <c r="C291" s="271">
        <v>2</v>
      </c>
      <c r="E291" s="275" t="s">
        <v>1603</v>
      </c>
      <c r="F291" s="275" t="s">
        <v>1818</v>
      </c>
      <c r="G291" s="276">
        <v>622</v>
      </c>
      <c r="H291" s="277">
        <v>3.1775921514495592E-4</v>
      </c>
      <c r="I291" s="277">
        <v>0.93668571008200907</v>
      </c>
    </row>
    <row r="292" spans="1:9" x14ac:dyDescent="0.25">
      <c r="A292" t="s">
        <v>1723</v>
      </c>
      <c r="B292" t="s">
        <v>1849</v>
      </c>
      <c r="C292" s="271">
        <v>2</v>
      </c>
      <c r="E292" s="275" t="s">
        <v>1661</v>
      </c>
      <c r="F292" s="275" t="s">
        <v>2181</v>
      </c>
      <c r="G292" s="276">
        <v>620</v>
      </c>
      <c r="H292" s="277">
        <v>3.1673748133420046E-4</v>
      </c>
      <c r="I292" s="277">
        <v>0.93700244756334328</v>
      </c>
    </row>
    <row r="293" spans="1:9" x14ac:dyDescent="0.25">
      <c r="A293" t="s">
        <v>1723</v>
      </c>
      <c r="B293" t="s">
        <v>1850</v>
      </c>
      <c r="C293" s="271">
        <v>2</v>
      </c>
      <c r="E293" s="275" t="s">
        <v>1611</v>
      </c>
      <c r="F293" s="275" t="s">
        <v>1973</v>
      </c>
      <c r="G293" s="276">
        <v>619</v>
      </c>
      <c r="H293" s="277">
        <v>3.1622661442882273E-4</v>
      </c>
      <c r="I293" s="277">
        <v>0.93731867417777215</v>
      </c>
    </row>
    <row r="294" spans="1:9" x14ac:dyDescent="0.25">
      <c r="A294" t="s">
        <v>1780</v>
      </c>
      <c r="B294" t="s">
        <v>1851</v>
      </c>
      <c r="C294" s="271">
        <v>2</v>
      </c>
      <c r="E294" s="275" t="s">
        <v>1800</v>
      </c>
      <c r="F294" s="275" t="s">
        <v>1885</v>
      </c>
      <c r="G294" s="276">
        <v>613</v>
      </c>
      <c r="H294" s="277">
        <v>3.1316141299655623E-4</v>
      </c>
      <c r="I294" s="277">
        <v>0.93763183559076868</v>
      </c>
    </row>
    <row r="295" spans="1:9" x14ac:dyDescent="0.25">
      <c r="A295" t="s">
        <v>1852</v>
      </c>
      <c r="B295" t="s">
        <v>1853</v>
      </c>
      <c r="C295" s="271">
        <v>2</v>
      </c>
      <c r="E295" s="275" t="s">
        <v>1819</v>
      </c>
      <c r="F295" s="275" t="s">
        <v>2182</v>
      </c>
      <c r="G295" s="276">
        <v>611</v>
      </c>
      <c r="H295" s="277">
        <v>3.1213967918580077E-4</v>
      </c>
      <c r="I295" s="277">
        <v>0.93794397526995443</v>
      </c>
    </row>
    <row r="296" spans="1:9" x14ac:dyDescent="0.25">
      <c r="A296" t="s">
        <v>1852</v>
      </c>
      <c r="B296" t="s">
        <v>1854</v>
      </c>
      <c r="C296" s="271">
        <v>2</v>
      </c>
      <c r="E296" s="275" t="s">
        <v>1862</v>
      </c>
      <c r="F296" s="275" t="s">
        <v>2183</v>
      </c>
      <c r="G296" s="276">
        <v>611</v>
      </c>
      <c r="H296" s="277">
        <v>3.1213967918580077E-4</v>
      </c>
      <c r="I296" s="277">
        <v>0.93825611494914019</v>
      </c>
    </row>
    <row r="297" spans="1:9" x14ac:dyDescent="0.25">
      <c r="A297" t="s">
        <v>1601</v>
      </c>
      <c r="B297" t="s">
        <v>1855</v>
      </c>
      <c r="C297" s="271">
        <v>2</v>
      </c>
      <c r="E297" s="275" t="s">
        <v>1574</v>
      </c>
      <c r="F297" s="275" t="s">
        <v>2184</v>
      </c>
      <c r="G297" s="276">
        <v>610</v>
      </c>
      <c r="H297" s="277">
        <v>3.1162881228042304E-4</v>
      </c>
      <c r="I297" s="277">
        <v>0.9385677437614206</v>
      </c>
    </row>
    <row r="298" spans="1:9" x14ac:dyDescent="0.25">
      <c r="A298" t="s">
        <v>1601</v>
      </c>
      <c r="B298" t="s">
        <v>1856</v>
      </c>
      <c r="C298" s="271">
        <v>2</v>
      </c>
      <c r="E298" s="275" t="s">
        <v>1791</v>
      </c>
      <c r="F298" s="275" t="s">
        <v>2185</v>
      </c>
      <c r="G298" s="276">
        <v>607</v>
      </c>
      <c r="H298" s="277">
        <v>3.1009621156428979E-4</v>
      </c>
      <c r="I298" s="277">
        <v>0.93887783997298491</v>
      </c>
    </row>
    <row r="299" spans="1:9" x14ac:dyDescent="0.25">
      <c r="A299" t="s">
        <v>1601</v>
      </c>
      <c r="B299" t="s">
        <v>1857</v>
      </c>
      <c r="C299" s="271">
        <v>2</v>
      </c>
      <c r="E299" s="275" t="s">
        <v>1603</v>
      </c>
      <c r="F299" s="275" t="s">
        <v>1679</v>
      </c>
      <c r="G299" s="276">
        <v>597</v>
      </c>
      <c r="H299" s="277">
        <v>3.0498754251051237E-4</v>
      </c>
      <c r="I299" s="277">
        <v>0.93918282751549542</v>
      </c>
    </row>
    <row r="300" spans="1:9" x14ac:dyDescent="0.25">
      <c r="A300" t="s">
        <v>1601</v>
      </c>
      <c r="B300" t="s">
        <v>1858</v>
      </c>
      <c r="C300" s="271">
        <v>2</v>
      </c>
      <c r="E300" s="275" t="s">
        <v>1606</v>
      </c>
      <c r="F300" s="275" t="s">
        <v>583</v>
      </c>
      <c r="G300" s="276">
        <v>596</v>
      </c>
      <c r="H300" s="277">
        <v>3.0447667560513464E-4</v>
      </c>
      <c r="I300" s="277">
        <v>0.9394873041911006</v>
      </c>
    </row>
    <row r="301" spans="1:9" x14ac:dyDescent="0.25">
      <c r="A301" t="s">
        <v>1601</v>
      </c>
      <c r="B301" t="s">
        <v>1859</v>
      </c>
      <c r="C301" s="271">
        <v>2</v>
      </c>
      <c r="E301" s="275" t="s">
        <v>1821</v>
      </c>
      <c r="F301" s="275" t="s">
        <v>2186</v>
      </c>
      <c r="G301" s="276">
        <v>596</v>
      </c>
      <c r="H301" s="277">
        <v>3.0447667560513464E-4</v>
      </c>
      <c r="I301" s="277">
        <v>0.93979178086670578</v>
      </c>
    </row>
    <row r="302" spans="1:9" x14ac:dyDescent="0.25">
      <c r="A302" t="s">
        <v>1567</v>
      </c>
      <c r="B302" t="s">
        <v>1860</v>
      </c>
      <c r="C302" s="271">
        <v>2</v>
      </c>
      <c r="E302" s="275" t="s">
        <v>1703</v>
      </c>
      <c r="F302" s="275" t="s">
        <v>2187</v>
      </c>
      <c r="G302" s="276">
        <v>595</v>
      </c>
      <c r="H302" s="277">
        <v>3.0396580869975685E-4</v>
      </c>
      <c r="I302" s="277">
        <v>0.94009574667540552</v>
      </c>
    </row>
    <row r="303" spans="1:9" x14ac:dyDescent="0.25">
      <c r="A303" t="s">
        <v>1567</v>
      </c>
      <c r="B303" t="s">
        <v>1861</v>
      </c>
      <c r="C303" s="271">
        <v>2</v>
      </c>
      <c r="E303" s="275" t="s">
        <v>1607</v>
      </c>
      <c r="F303" s="275" t="s">
        <v>2188</v>
      </c>
      <c r="G303" s="276">
        <v>595</v>
      </c>
      <c r="H303" s="277">
        <v>3.0396580869975685E-4</v>
      </c>
      <c r="I303" s="277">
        <v>0.94039971248410525</v>
      </c>
    </row>
    <row r="304" spans="1:9" x14ac:dyDescent="0.25">
      <c r="A304" t="s">
        <v>1862</v>
      </c>
      <c r="B304" t="s">
        <v>1863</v>
      </c>
      <c r="C304" s="271">
        <v>2</v>
      </c>
      <c r="E304" s="275" t="s">
        <v>1574</v>
      </c>
      <c r="F304" s="275" t="s">
        <v>1914</v>
      </c>
      <c r="G304" s="276">
        <v>584</v>
      </c>
      <c r="H304" s="277">
        <v>2.983462727406017E-4</v>
      </c>
      <c r="I304" s="277">
        <v>0.94069805875684587</v>
      </c>
    </row>
    <row r="305" spans="1:9" x14ac:dyDescent="0.25">
      <c r="A305" t="s">
        <v>1862</v>
      </c>
      <c r="B305" t="s">
        <v>1864</v>
      </c>
      <c r="C305" s="271">
        <v>2</v>
      </c>
      <c r="E305" s="275" t="s">
        <v>1623</v>
      </c>
      <c r="F305" s="275" t="s">
        <v>1903</v>
      </c>
      <c r="G305" s="276">
        <v>584</v>
      </c>
      <c r="H305" s="277">
        <v>2.983462727406017E-4</v>
      </c>
      <c r="I305" s="277">
        <v>0.94099640502958648</v>
      </c>
    </row>
    <row r="306" spans="1:9" x14ac:dyDescent="0.25">
      <c r="A306" t="s">
        <v>1862</v>
      </c>
      <c r="B306" t="s">
        <v>1865</v>
      </c>
      <c r="C306" s="271">
        <v>2</v>
      </c>
      <c r="E306" s="275" t="s">
        <v>1606</v>
      </c>
      <c r="F306" s="275" t="s">
        <v>1795</v>
      </c>
      <c r="G306" s="276">
        <v>577</v>
      </c>
      <c r="H306" s="277">
        <v>2.9477020440295753E-4</v>
      </c>
      <c r="I306" s="277">
        <v>0.94129117523398942</v>
      </c>
    </row>
    <row r="307" spans="1:9" x14ac:dyDescent="0.25">
      <c r="A307" t="s">
        <v>1862</v>
      </c>
      <c r="B307" t="s">
        <v>1866</v>
      </c>
      <c r="C307" s="271">
        <v>2</v>
      </c>
      <c r="E307" s="275" t="s">
        <v>1723</v>
      </c>
      <c r="F307" s="275" t="s">
        <v>2019</v>
      </c>
      <c r="G307" s="276">
        <v>577</v>
      </c>
      <c r="H307" s="277">
        <v>2.9477020440295753E-4</v>
      </c>
      <c r="I307" s="277">
        <v>0.94158594543839236</v>
      </c>
    </row>
    <row r="308" spans="1:9" x14ac:dyDescent="0.25">
      <c r="A308" t="s">
        <v>1789</v>
      </c>
      <c r="B308" t="s">
        <v>1867</v>
      </c>
      <c r="C308" s="271">
        <v>1</v>
      </c>
      <c r="E308" s="275" t="s">
        <v>1558</v>
      </c>
      <c r="F308" s="275" t="s">
        <v>2189</v>
      </c>
      <c r="G308" s="276">
        <v>576</v>
      </c>
      <c r="H308" s="277">
        <v>2.9425933749757974E-4</v>
      </c>
      <c r="I308" s="277">
        <v>0.94188020477588996</v>
      </c>
    </row>
    <row r="309" spans="1:9" x14ac:dyDescent="0.25">
      <c r="A309" t="s">
        <v>1789</v>
      </c>
      <c r="B309" t="s">
        <v>1868</v>
      </c>
      <c r="C309" s="271">
        <v>1</v>
      </c>
      <c r="E309" s="275" t="s">
        <v>1823</v>
      </c>
      <c r="F309" s="275" t="s">
        <v>2190</v>
      </c>
      <c r="G309" s="276">
        <v>576</v>
      </c>
      <c r="H309" s="277">
        <v>2.9425933749757974E-4</v>
      </c>
      <c r="I309" s="277">
        <v>0.94217446411338757</v>
      </c>
    </row>
    <row r="310" spans="1:9" x14ac:dyDescent="0.25">
      <c r="A310" t="s">
        <v>1791</v>
      </c>
      <c r="B310" t="s">
        <v>1549</v>
      </c>
      <c r="C310" s="271">
        <v>1</v>
      </c>
      <c r="E310" s="275" t="e">
        <v>#VALUE!</v>
      </c>
      <c r="F310" s="275" t="e">
        <v>#VALUE!</v>
      </c>
      <c r="G310" s="276">
        <v>576</v>
      </c>
      <c r="H310" s="277">
        <v>2.9425933749757974E-4</v>
      </c>
      <c r="I310" s="277">
        <v>0.94246872345088517</v>
      </c>
    </row>
    <row r="311" spans="1:9" x14ac:dyDescent="0.25">
      <c r="A311" t="s">
        <v>1791</v>
      </c>
      <c r="B311" t="s">
        <v>1869</v>
      </c>
      <c r="C311" s="271">
        <v>1</v>
      </c>
      <c r="E311" s="275" t="s">
        <v>1579</v>
      </c>
      <c r="F311" s="275" t="s">
        <v>1897</v>
      </c>
      <c r="G311" s="276">
        <v>572</v>
      </c>
      <c r="H311" s="277">
        <v>2.9221586987606882E-4</v>
      </c>
      <c r="I311" s="277">
        <v>0.94276093932076122</v>
      </c>
    </row>
    <row r="312" spans="1:9" x14ac:dyDescent="0.25">
      <c r="A312" t="s">
        <v>1606</v>
      </c>
      <c r="B312" t="s">
        <v>553</v>
      </c>
      <c r="C312" s="271">
        <v>1</v>
      </c>
      <c r="E312" s="275" t="s">
        <v>1948</v>
      </c>
      <c r="F312" s="275" t="s">
        <v>2191</v>
      </c>
      <c r="G312" s="276">
        <v>572</v>
      </c>
      <c r="H312" s="277">
        <v>2.9221586987606882E-4</v>
      </c>
      <c r="I312" s="277">
        <v>0.94305315519063726</v>
      </c>
    </row>
    <row r="313" spans="1:9" x14ac:dyDescent="0.25">
      <c r="A313" t="s">
        <v>1606</v>
      </c>
      <c r="B313" t="s">
        <v>1870</v>
      </c>
      <c r="C313" s="271">
        <v>1</v>
      </c>
      <c r="E313" s="275" t="s">
        <v>1555</v>
      </c>
      <c r="F313" s="275" t="s">
        <v>2192</v>
      </c>
      <c r="G313" s="276">
        <v>571</v>
      </c>
      <c r="H313" s="277">
        <v>2.9170500297069104E-4</v>
      </c>
      <c r="I313" s="277">
        <v>0.94334486019360797</v>
      </c>
    </row>
    <row r="314" spans="1:9" x14ac:dyDescent="0.25">
      <c r="A314" t="s">
        <v>1606</v>
      </c>
      <c r="B314" t="s">
        <v>1871</v>
      </c>
      <c r="C314" s="271">
        <v>1</v>
      </c>
      <c r="E314" s="275" t="s">
        <v>1567</v>
      </c>
      <c r="F314" s="275" t="s">
        <v>2193</v>
      </c>
      <c r="G314" s="276">
        <v>571</v>
      </c>
      <c r="H314" s="277">
        <v>2.9170500297069104E-4</v>
      </c>
      <c r="I314" s="277">
        <v>0.94363656519657868</v>
      </c>
    </row>
    <row r="315" spans="1:9" x14ac:dyDescent="0.25">
      <c r="A315" t="s">
        <v>1606</v>
      </c>
      <c r="B315" t="s">
        <v>1872</v>
      </c>
      <c r="C315" s="271">
        <v>1</v>
      </c>
      <c r="E315" s="275" t="s">
        <v>1611</v>
      </c>
      <c r="F315" s="275" t="s">
        <v>2194</v>
      </c>
      <c r="G315" s="276">
        <v>569</v>
      </c>
      <c r="H315" s="277">
        <v>2.9068326915993557E-4</v>
      </c>
      <c r="I315" s="277">
        <v>0.94392724846573861</v>
      </c>
    </row>
    <row r="316" spans="1:9" x14ac:dyDescent="0.25">
      <c r="A316" t="s">
        <v>1606</v>
      </c>
      <c r="B316" t="s">
        <v>1873</v>
      </c>
      <c r="C316" s="271">
        <v>1</v>
      </c>
      <c r="E316" s="275" t="s">
        <v>1603</v>
      </c>
      <c r="F316" s="275" t="s">
        <v>1815</v>
      </c>
      <c r="G316" s="276">
        <v>567</v>
      </c>
      <c r="H316" s="277">
        <v>2.8966153534918011E-4</v>
      </c>
      <c r="I316" s="277">
        <v>0.94421691000108776</v>
      </c>
    </row>
    <row r="317" spans="1:9" x14ac:dyDescent="0.25">
      <c r="A317" t="s">
        <v>1606</v>
      </c>
      <c r="B317" t="s">
        <v>1874</v>
      </c>
      <c r="C317" s="271">
        <v>1</v>
      </c>
      <c r="E317" s="275" t="s">
        <v>1800</v>
      </c>
      <c r="F317" s="275" t="s">
        <v>2195</v>
      </c>
      <c r="G317" s="276">
        <v>567</v>
      </c>
      <c r="H317" s="277">
        <v>2.8966153534918011E-4</v>
      </c>
      <c r="I317" s="277">
        <v>0.94450657153643691</v>
      </c>
    </row>
    <row r="318" spans="1:9" x14ac:dyDescent="0.25">
      <c r="A318" t="s">
        <v>1606</v>
      </c>
      <c r="B318" t="s">
        <v>1875</v>
      </c>
      <c r="C318" s="271">
        <v>1</v>
      </c>
      <c r="E318" s="275" t="s">
        <v>1579</v>
      </c>
      <c r="F318" s="275" t="s">
        <v>2196</v>
      </c>
      <c r="G318" s="276">
        <v>564</v>
      </c>
      <c r="H318" s="277">
        <v>2.8812893463304686E-4</v>
      </c>
      <c r="I318" s="277">
        <v>0.94479470047106995</v>
      </c>
    </row>
    <row r="319" spans="1:9" x14ac:dyDescent="0.25">
      <c r="A319" t="s">
        <v>1606</v>
      </c>
      <c r="B319" t="s">
        <v>1876</v>
      </c>
      <c r="C319" s="271">
        <v>1</v>
      </c>
      <c r="E319" s="275" t="s">
        <v>1607</v>
      </c>
      <c r="F319" s="275" t="s">
        <v>2197</v>
      </c>
      <c r="G319" s="276">
        <v>562</v>
      </c>
      <c r="H319" s="277">
        <v>2.8710720082229135E-4</v>
      </c>
      <c r="I319" s="277">
        <v>0.9450818076718922</v>
      </c>
    </row>
    <row r="320" spans="1:9" x14ac:dyDescent="0.25">
      <c r="A320" t="s">
        <v>1606</v>
      </c>
      <c r="B320" t="s">
        <v>1877</v>
      </c>
      <c r="C320" s="271">
        <v>1</v>
      </c>
      <c r="E320" s="275" t="s">
        <v>1574</v>
      </c>
      <c r="F320" s="275" t="s">
        <v>2198</v>
      </c>
      <c r="G320" s="276">
        <v>555</v>
      </c>
      <c r="H320" s="277">
        <v>2.8353113248464717E-4</v>
      </c>
      <c r="I320" s="277">
        <v>0.9453653388043769</v>
      </c>
    </row>
    <row r="321" spans="1:9" x14ac:dyDescent="0.25">
      <c r="A321" t="s">
        <v>1661</v>
      </c>
      <c r="B321" t="s">
        <v>213</v>
      </c>
      <c r="C321" s="271">
        <v>1</v>
      </c>
      <c r="E321" s="275" t="s">
        <v>2199</v>
      </c>
      <c r="F321" s="275" t="s">
        <v>2200</v>
      </c>
      <c r="G321" s="276">
        <v>554</v>
      </c>
      <c r="H321" s="277">
        <v>2.8302026557926944E-4</v>
      </c>
      <c r="I321" s="277">
        <v>0.94564835906995615</v>
      </c>
    </row>
    <row r="322" spans="1:9" x14ac:dyDescent="0.25">
      <c r="A322" t="s">
        <v>1661</v>
      </c>
      <c r="B322" t="s">
        <v>1878</v>
      </c>
      <c r="C322" s="271">
        <v>1</v>
      </c>
      <c r="E322" s="275" t="s">
        <v>1607</v>
      </c>
      <c r="F322" s="275" t="s">
        <v>2201</v>
      </c>
      <c r="G322" s="276">
        <v>552</v>
      </c>
      <c r="H322" s="277">
        <v>2.8199853176851393E-4</v>
      </c>
      <c r="I322" s="277">
        <v>0.94593035760172461</v>
      </c>
    </row>
    <row r="323" spans="1:9" x14ac:dyDescent="0.25">
      <c r="A323" t="s">
        <v>1661</v>
      </c>
      <c r="B323" t="s">
        <v>1879</v>
      </c>
      <c r="C323" s="271">
        <v>1</v>
      </c>
      <c r="E323" s="275" t="s">
        <v>1791</v>
      </c>
      <c r="F323" s="275" t="s">
        <v>1792</v>
      </c>
      <c r="G323" s="276">
        <v>550</v>
      </c>
      <c r="H323" s="277">
        <v>2.8097679795775846E-4</v>
      </c>
      <c r="I323" s="277">
        <v>0.94621133439968241</v>
      </c>
    </row>
    <row r="324" spans="1:9" x14ac:dyDescent="0.25">
      <c r="A324" t="s">
        <v>1661</v>
      </c>
      <c r="B324" t="s">
        <v>1880</v>
      </c>
      <c r="C324" s="271">
        <v>1</v>
      </c>
      <c r="E324" s="275" t="s">
        <v>1852</v>
      </c>
      <c r="F324" s="275" t="s">
        <v>2202</v>
      </c>
      <c r="G324" s="276">
        <v>550</v>
      </c>
      <c r="H324" s="277">
        <v>2.8097679795775846E-4</v>
      </c>
      <c r="I324" s="277">
        <v>0.94649231119764021</v>
      </c>
    </row>
    <row r="325" spans="1:9" x14ac:dyDescent="0.25">
      <c r="A325" t="s">
        <v>1661</v>
      </c>
      <c r="B325" t="s">
        <v>1881</v>
      </c>
      <c r="C325" s="271">
        <v>1</v>
      </c>
      <c r="E325" s="275" t="s">
        <v>1821</v>
      </c>
      <c r="F325" s="275" t="s">
        <v>2203</v>
      </c>
      <c r="G325" s="276">
        <v>549</v>
      </c>
      <c r="H325" s="277">
        <v>2.8046593105238073E-4</v>
      </c>
      <c r="I325" s="277">
        <v>0.94677277712869257</v>
      </c>
    </row>
    <row r="326" spans="1:9" x14ac:dyDescent="0.25">
      <c r="A326" t="s">
        <v>1661</v>
      </c>
      <c r="B326" t="s">
        <v>1882</v>
      </c>
      <c r="C326" s="271">
        <v>1</v>
      </c>
      <c r="E326" s="275" t="s">
        <v>1823</v>
      </c>
      <c r="F326" s="275" t="s">
        <v>2204</v>
      </c>
      <c r="G326" s="276">
        <v>544</v>
      </c>
      <c r="H326" s="277">
        <v>2.7791159652549202E-4</v>
      </c>
      <c r="I326" s="277">
        <v>0.94705068872521803</v>
      </c>
    </row>
    <row r="327" spans="1:9" x14ac:dyDescent="0.25">
      <c r="A327" t="s">
        <v>1661</v>
      </c>
      <c r="B327" t="s">
        <v>1883</v>
      </c>
      <c r="C327" s="271">
        <v>1</v>
      </c>
      <c r="E327" s="275" t="s">
        <v>1852</v>
      </c>
      <c r="F327" s="275" t="s">
        <v>2205</v>
      </c>
      <c r="G327" s="276">
        <v>543</v>
      </c>
      <c r="H327" s="277">
        <v>2.7740072962011424E-4</v>
      </c>
      <c r="I327" s="277">
        <v>0.94732808945483815</v>
      </c>
    </row>
    <row r="328" spans="1:9" x14ac:dyDescent="0.25">
      <c r="A328" t="s">
        <v>1884</v>
      </c>
      <c r="B328" t="s">
        <v>1885</v>
      </c>
      <c r="C328" s="271">
        <v>1</v>
      </c>
      <c r="E328" s="275" t="s">
        <v>1558</v>
      </c>
      <c r="F328" s="275" t="s">
        <v>2206</v>
      </c>
      <c r="G328" s="276">
        <v>535</v>
      </c>
      <c r="H328" s="277">
        <v>2.7331379437709233E-4</v>
      </c>
      <c r="I328" s="277">
        <v>0.94760140324921527</v>
      </c>
    </row>
    <row r="329" spans="1:9" x14ac:dyDescent="0.25">
      <c r="A329" t="s">
        <v>1884</v>
      </c>
      <c r="B329" t="s">
        <v>1886</v>
      </c>
      <c r="C329" s="271">
        <v>1</v>
      </c>
      <c r="E329" s="275" t="s">
        <v>1574</v>
      </c>
      <c r="F329" s="275" t="s">
        <v>2207</v>
      </c>
      <c r="G329" s="276">
        <v>535</v>
      </c>
      <c r="H329" s="277">
        <v>2.7331379437709233E-4</v>
      </c>
      <c r="I329" s="277">
        <v>0.94787471704359239</v>
      </c>
    </row>
    <row r="330" spans="1:9" x14ac:dyDescent="0.25">
      <c r="A330" t="s">
        <v>1800</v>
      </c>
      <c r="B330" t="s">
        <v>1887</v>
      </c>
      <c r="C330" s="271">
        <v>1</v>
      </c>
      <c r="E330" s="275" t="s">
        <v>1852</v>
      </c>
      <c r="F330" s="275" t="s">
        <v>2208</v>
      </c>
      <c r="G330" s="276">
        <v>531</v>
      </c>
      <c r="H330" s="277">
        <v>2.7127032675558136E-4</v>
      </c>
      <c r="I330" s="277">
        <v>0.94814598737034794</v>
      </c>
    </row>
    <row r="331" spans="1:9" x14ac:dyDescent="0.25">
      <c r="A331" t="s">
        <v>1800</v>
      </c>
      <c r="B331" t="s">
        <v>1888</v>
      </c>
      <c r="C331" s="271">
        <v>1</v>
      </c>
      <c r="E331" s="275" t="s">
        <v>1603</v>
      </c>
      <c r="F331" s="275" t="s">
        <v>1926</v>
      </c>
      <c r="G331" s="276">
        <v>524</v>
      </c>
      <c r="H331" s="277">
        <v>2.6769425841793713E-4</v>
      </c>
      <c r="I331" s="277">
        <v>0.94841368162876583</v>
      </c>
    </row>
    <row r="332" spans="1:9" x14ac:dyDescent="0.25">
      <c r="A332" t="s">
        <v>1800</v>
      </c>
      <c r="B332" t="s">
        <v>1889</v>
      </c>
      <c r="C332" s="271">
        <v>1</v>
      </c>
      <c r="E332" s="275" t="s">
        <v>1703</v>
      </c>
      <c r="F332" s="275" t="s">
        <v>2209</v>
      </c>
      <c r="G332" s="276">
        <v>524</v>
      </c>
      <c r="H332" s="277">
        <v>2.6769425841793713E-4</v>
      </c>
      <c r="I332" s="277">
        <v>0.94868137588718371</v>
      </c>
    </row>
    <row r="333" spans="1:9" x14ac:dyDescent="0.25">
      <c r="A333" t="s">
        <v>1800</v>
      </c>
      <c r="B333" t="s">
        <v>1890</v>
      </c>
      <c r="C333" s="271">
        <v>1</v>
      </c>
      <c r="E333" s="275" t="s">
        <v>1555</v>
      </c>
      <c r="F333" s="275" t="s">
        <v>471</v>
      </c>
      <c r="G333" s="276">
        <v>520</v>
      </c>
      <c r="H333" s="277">
        <v>2.6565079079642621E-4</v>
      </c>
      <c r="I333" s="277">
        <v>0.94894702667798014</v>
      </c>
    </row>
    <row r="334" spans="1:9" x14ac:dyDescent="0.25">
      <c r="A334" t="s">
        <v>1802</v>
      </c>
      <c r="B334" t="s">
        <v>1891</v>
      </c>
      <c r="C334" s="271">
        <v>1</v>
      </c>
      <c r="E334" s="275" t="s">
        <v>1558</v>
      </c>
      <c r="F334" s="275" t="s">
        <v>2210</v>
      </c>
      <c r="G334" s="276">
        <v>519</v>
      </c>
      <c r="H334" s="277">
        <v>2.6513992389104842E-4</v>
      </c>
      <c r="I334" s="277">
        <v>0.94921216660187124</v>
      </c>
    </row>
    <row r="335" spans="1:9" x14ac:dyDescent="0.25">
      <c r="A335" t="s">
        <v>1802</v>
      </c>
      <c r="B335" t="s">
        <v>1892</v>
      </c>
      <c r="C335" s="271">
        <v>1</v>
      </c>
      <c r="E335" s="275" t="s">
        <v>1948</v>
      </c>
      <c r="F335" s="275" t="s">
        <v>2211</v>
      </c>
      <c r="G335" s="276">
        <v>519</v>
      </c>
      <c r="H335" s="277">
        <v>2.6513992389104842E-4</v>
      </c>
      <c r="I335" s="277">
        <v>0.94947730652576234</v>
      </c>
    </row>
    <row r="336" spans="1:9" x14ac:dyDescent="0.25">
      <c r="A336" t="s">
        <v>1802</v>
      </c>
      <c r="B336" t="s">
        <v>1893</v>
      </c>
      <c r="C336" s="271">
        <v>1</v>
      </c>
      <c r="E336" s="275" t="s">
        <v>1945</v>
      </c>
      <c r="F336" s="275" t="s">
        <v>2212</v>
      </c>
      <c r="G336" s="276">
        <v>515</v>
      </c>
      <c r="H336" s="277">
        <v>2.6309645626953744E-4</v>
      </c>
      <c r="I336" s="277">
        <v>0.94974040298203188</v>
      </c>
    </row>
    <row r="337" spans="1:9" x14ac:dyDescent="0.25">
      <c r="A337" t="s">
        <v>1579</v>
      </c>
      <c r="B337" t="s">
        <v>1894</v>
      </c>
      <c r="C337" s="271">
        <v>1</v>
      </c>
      <c r="E337" s="275" t="s">
        <v>1731</v>
      </c>
      <c r="F337" s="275" t="s">
        <v>2213</v>
      </c>
      <c r="G337" s="276">
        <v>514</v>
      </c>
      <c r="H337" s="277">
        <v>2.6258558936415971E-4</v>
      </c>
      <c r="I337" s="277">
        <v>0.95000298857139609</v>
      </c>
    </row>
    <row r="338" spans="1:9" x14ac:dyDescent="0.25">
      <c r="A338" t="s">
        <v>1579</v>
      </c>
      <c r="B338" t="s">
        <v>614</v>
      </c>
      <c r="C338" s="271">
        <v>1</v>
      </c>
      <c r="E338" s="275" t="s">
        <v>1948</v>
      </c>
      <c r="F338" s="275" t="s">
        <v>1551</v>
      </c>
      <c r="G338" s="276">
        <v>513</v>
      </c>
      <c r="H338" s="277">
        <v>2.6207472245878198E-4</v>
      </c>
      <c r="I338" s="277">
        <v>0.95026506329385485</v>
      </c>
    </row>
    <row r="339" spans="1:9" x14ac:dyDescent="0.25">
      <c r="A339" t="s">
        <v>1560</v>
      </c>
      <c r="B339" t="s">
        <v>615</v>
      </c>
      <c r="C339" s="271">
        <v>1</v>
      </c>
      <c r="E339" s="275" t="s">
        <v>1611</v>
      </c>
      <c r="F339" s="275" t="s">
        <v>2214</v>
      </c>
      <c r="G339" s="276">
        <v>512</v>
      </c>
      <c r="H339" s="277">
        <v>2.6156385555340425E-4</v>
      </c>
      <c r="I339" s="277">
        <v>0.95052662714940828</v>
      </c>
    </row>
    <row r="340" spans="1:9" x14ac:dyDescent="0.25">
      <c r="A340" t="s">
        <v>1579</v>
      </c>
      <c r="B340" t="s">
        <v>1895</v>
      </c>
      <c r="C340" s="271">
        <v>1</v>
      </c>
      <c r="E340" s="275" t="s">
        <v>1574</v>
      </c>
      <c r="F340" s="275" t="s">
        <v>1811</v>
      </c>
      <c r="G340" s="276">
        <v>512</v>
      </c>
      <c r="H340" s="277">
        <v>2.6156385555340425E-4</v>
      </c>
      <c r="I340" s="277">
        <v>0.9507881910049617</v>
      </c>
    </row>
    <row r="341" spans="1:9" x14ac:dyDescent="0.25">
      <c r="A341" t="s">
        <v>1579</v>
      </c>
      <c r="B341" t="s">
        <v>621</v>
      </c>
      <c r="C341" s="271">
        <v>1</v>
      </c>
      <c r="E341" s="275" t="s">
        <v>1606</v>
      </c>
      <c r="F341" s="275" t="s">
        <v>2215</v>
      </c>
      <c r="G341" s="276">
        <v>511</v>
      </c>
      <c r="H341" s="277">
        <v>2.6105298864802652E-4</v>
      </c>
      <c r="I341" s="277">
        <v>0.95104924399360968</v>
      </c>
    </row>
    <row r="342" spans="1:9" x14ac:dyDescent="0.25">
      <c r="A342" t="s">
        <v>1579</v>
      </c>
      <c r="B342" t="s">
        <v>1756</v>
      </c>
      <c r="C342" s="271">
        <v>1</v>
      </c>
      <c r="E342" s="275" t="s">
        <v>2010</v>
      </c>
      <c r="F342" s="275" t="s">
        <v>471</v>
      </c>
      <c r="G342" s="276">
        <v>509</v>
      </c>
      <c r="H342" s="277">
        <v>2.60031254837271E-4</v>
      </c>
      <c r="I342" s="277">
        <v>0.95130927524844699</v>
      </c>
    </row>
    <row r="343" spans="1:9" x14ac:dyDescent="0.25">
      <c r="A343" t="s">
        <v>1579</v>
      </c>
      <c r="B343" t="s">
        <v>1896</v>
      </c>
      <c r="C343" s="271">
        <v>1</v>
      </c>
      <c r="E343" s="275" t="s">
        <v>1558</v>
      </c>
      <c r="F343" s="275" t="s">
        <v>1774</v>
      </c>
      <c r="G343" s="276">
        <v>508</v>
      </c>
      <c r="H343" s="277">
        <v>2.5952038793189327E-4</v>
      </c>
      <c r="I343" s="277">
        <v>0.95156879563637886</v>
      </c>
    </row>
    <row r="344" spans="1:9" x14ac:dyDescent="0.25">
      <c r="A344" t="s">
        <v>1560</v>
      </c>
      <c r="B344" t="s">
        <v>1896</v>
      </c>
      <c r="C344" s="271">
        <v>1</v>
      </c>
      <c r="E344" s="275" t="s">
        <v>1823</v>
      </c>
      <c r="F344" s="275" t="s">
        <v>1824</v>
      </c>
      <c r="G344" s="276">
        <v>507</v>
      </c>
      <c r="H344" s="277">
        <v>2.5900952102651554E-4</v>
      </c>
      <c r="I344" s="277">
        <v>0.95182780515740539</v>
      </c>
    </row>
    <row r="345" spans="1:9" x14ac:dyDescent="0.25">
      <c r="A345" t="s">
        <v>1579</v>
      </c>
      <c r="B345" t="s">
        <v>1897</v>
      </c>
      <c r="C345" s="271">
        <v>1</v>
      </c>
      <c r="E345" s="275" t="s">
        <v>2010</v>
      </c>
      <c r="F345" s="275" t="s">
        <v>2216</v>
      </c>
      <c r="G345" s="276">
        <v>505</v>
      </c>
      <c r="H345" s="277">
        <v>2.5798778721576002E-4</v>
      </c>
      <c r="I345" s="277">
        <v>0.95208579294462115</v>
      </c>
    </row>
    <row r="346" spans="1:9" x14ac:dyDescent="0.25">
      <c r="A346" t="s">
        <v>1560</v>
      </c>
      <c r="B346" t="s">
        <v>1898</v>
      </c>
      <c r="C346" s="271">
        <v>1</v>
      </c>
      <c r="E346" s="275" t="s">
        <v>1731</v>
      </c>
      <c r="F346" s="275" t="s">
        <v>2217</v>
      </c>
      <c r="G346" s="276">
        <v>504</v>
      </c>
      <c r="H346" s="277">
        <v>2.5747692031038229E-4</v>
      </c>
      <c r="I346" s="277">
        <v>0.95234326986493156</v>
      </c>
    </row>
    <row r="347" spans="1:9" x14ac:dyDescent="0.25">
      <c r="A347" t="s">
        <v>1560</v>
      </c>
      <c r="B347" t="s">
        <v>1899</v>
      </c>
      <c r="C347" s="271">
        <v>1</v>
      </c>
      <c r="E347" s="275" t="s">
        <v>1862</v>
      </c>
      <c r="F347" s="275" t="s">
        <v>1864</v>
      </c>
      <c r="G347" s="276">
        <v>502</v>
      </c>
      <c r="H347" s="277">
        <v>2.5645518649962683E-4</v>
      </c>
      <c r="I347" s="277">
        <v>0.9525997250514312</v>
      </c>
    </row>
    <row r="348" spans="1:9" x14ac:dyDescent="0.25">
      <c r="A348" t="s">
        <v>1560</v>
      </c>
      <c r="B348" t="s">
        <v>1900</v>
      </c>
      <c r="C348" s="271">
        <v>1</v>
      </c>
      <c r="E348" s="275" t="s">
        <v>2199</v>
      </c>
      <c r="F348" s="275" t="s">
        <v>2218</v>
      </c>
      <c r="G348" s="276">
        <v>501</v>
      </c>
      <c r="H348" s="277">
        <v>2.5594431959424904E-4</v>
      </c>
      <c r="I348" s="277">
        <v>0.9528556693710255</v>
      </c>
    </row>
    <row r="349" spans="1:9" x14ac:dyDescent="0.25">
      <c r="A349" t="s">
        <v>1560</v>
      </c>
      <c r="B349" t="s">
        <v>1901</v>
      </c>
      <c r="C349" s="271">
        <v>1</v>
      </c>
      <c r="E349" s="275" t="s">
        <v>2010</v>
      </c>
      <c r="F349" s="275" t="s">
        <v>501</v>
      </c>
      <c r="G349" s="276">
        <v>497</v>
      </c>
      <c r="H349" s="277">
        <v>2.5390085197273812E-4</v>
      </c>
      <c r="I349" s="277">
        <v>0.95310957022299825</v>
      </c>
    </row>
    <row r="350" spans="1:9" x14ac:dyDescent="0.25">
      <c r="A350" t="s">
        <v>1560</v>
      </c>
      <c r="B350" t="s">
        <v>1902</v>
      </c>
      <c r="C350" s="271">
        <v>1</v>
      </c>
      <c r="E350" s="275" t="s">
        <v>1601</v>
      </c>
      <c r="F350" s="275" t="s">
        <v>2219</v>
      </c>
      <c r="G350" s="276">
        <v>497</v>
      </c>
      <c r="H350" s="277">
        <v>2.5390085197273812E-4</v>
      </c>
      <c r="I350" s="277">
        <v>0.95336347107497099</v>
      </c>
    </row>
    <row r="351" spans="1:9" x14ac:dyDescent="0.25">
      <c r="A351" t="s">
        <v>1623</v>
      </c>
      <c r="B351" t="s">
        <v>1903</v>
      </c>
      <c r="C351" s="271">
        <v>1</v>
      </c>
      <c r="E351" s="275" t="s">
        <v>1649</v>
      </c>
      <c r="F351" s="275" t="s">
        <v>1650</v>
      </c>
      <c r="G351" s="276">
        <v>488</v>
      </c>
      <c r="H351" s="277">
        <v>2.4930304982433843E-4</v>
      </c>
      <c r="I351" s="277">
        <v>0.95361277412479528</v>
      </c>
    </row>
    <row r="352" spans="1:9" x14ac:dyDescent="0.25">
      <c r="A352" t="s">
        <v>1623</v>
      </c>
      <c r="B352" t="s">
        <v>1904</v>
      </c>
      <c r="C352" s="271">
        <v>1</v>
      </c>
      <c r="E352" s="275" t="s">
        <v>1823</v>
      </c>
      <c r="F352" s="275" t="s">
        <v>2220</v>
      </c>
      <c r="G352" s="276">
        <v>488</v>
      </c>
      <c r="H352" s="277">
        <v>2.4930304982433843E-4</v>
      </c>
      <c r="I352" s="277">
        <v>0.95386207717461957</v>
      </c>
    </row>
    <row r="353" spans="1:9" x14ac:dyDescent="0.25">
      <c r="A353" t="s">
        <v>1623</v>
      </c>
      <c r="B353" t="s">
        <v>1905</v>
      </c>
      <c r="C353" s="271">
        <v>1</v>
      </c>
      <c r="E353" s="275" t="s">
        <v>1674</v>
      </c>
      <c r="F353" s="275" t="s">
        <v>2221</v>
      </c>
      <c r="G353" s="276">
        <v>486</v>
      </c>
      <c r="H353" s="277">
        <v>2.4828131601358291E-4</v>
      </c>
      <c r="I353" s="277">
        <v>0.95411035849063319</v>
      </c>
    </row>
    <row r="354" spans="1:9" x14ac:dyDescent="0.25">
      <c r="A354" t="s">
        <v>1906</v>
      </c>
      <c r="B354" t="s">
        <v>1907</v>
      </c>
      <c r="C354" s="271">
        <v>1</v>
      </c>
      <c r="E354" s="275" t="s">
        <v>1603</v>
      </c>
      <c r="F354" s="275" t="s">
        <v>1922</v>
      </c>
      <c r="G354" s="276">
        <v>486</v>
      </c>
      <c r="H354" s="277">
        <v>2.4828131601358291E-4</v>
      </c>
      <c r="I354" s="277">
        <v>0.95435863980664681</v>
      </c>
    </row>
    <row r="355" spans="1:9" x14ac:dyDescent="0.25">
      <c r="A355" t="s">
        <v>1906</v>
      </c>
      <c r="B355" t="s">
        <v>1908</v>
      </c>
      <c r="C355" s="271">
        <v>1</v>
      </c>
      <c r="E355" s="275" t="s">
        <v>1674</v>
      </c>
      <c r="F355" s="275" t="s">
        <v>2017</v>
      </c>
      <c r="G355" s="276">
        <v>485</v>
      </c>
      <c r="H355" s="277">
        <v>2.4777044910820518E-4</v>
      </c>
      <c r="I355" s="277">
        <v>0.95460641025575499</v>
      </c>
    </row>
    <row r="356" spans="1:9" x14ac:dyDescent="0.25">
      <c r="A356" t="s">
        <v>1909</v>
      </c>
      <c r="B356" t="s">
        <v>1910</v>
      </c>
      <c r="C356" s="271">
        <v>1</v>
      </c>
      <c r="E356" s="275" t="s">
        <v>1607</v>
      </c>
      <c r="F356" s="275" t="s">
        <v>2222</v>
      </c>
      <c r="G356" s="276">
        <v>484</v>
      </c>
      <c r="H356" s="277">
        <v>2.4725958220282745E-4</v>
      </c>
      <c r="I356" s="277">
        <v>0.95485366983795783</v>
      </c>
    </row>
    <row r="357" spans="1:9" x14ac:dyDescent="0.25">
      <c r="A357" t="s">
        <v>1911</v>
      </c>
      <c r="B357" t="s">
        <v>1647</v>
      </c>
      <c r="C357" s="271">
        <v>1</v>
      </c>
      <c r="E357" s="275" t="s">
        <v>1574</v>
      </c>
      <c r="F357" s="275" t="s">
        <v>2223</v>
      </c>
      <c r="G357" s="276">
        <v>483</v>
      </c>
      <c r="H357" s="277">
        <v>2.4674871529744972E-4</v>
      </c>
      <c r="I357" s="277">
        <v>0.95510041855325523</v>
      </c>
    </row>
    <row r="358" spans="1:9" x14ac:dyDescent="0.25">
      <c r="A358" t="s">
        <v>1574</v>
      </c>
      <c r="B358" t="s">
        <v>1912</v>
      </c>
      <c r="C358" s="271">
        <v>1</v>
      </c>
      <c r="E358" s="275" t="s">
        <v>1819</v>
      </c>
      <c r="F358" s="275" t="s">
        <v>2224</v>
      </c>
      <c r="G358" s="276">
        <v>480</v>
      </c>
      <c r="H358" s="277">
        <v>2.4521611458131647E-4</v>
      </c>
      <c r="I358" s="277">
        <v>0.95534563466783651</v>
      </c>
    </row>
    <row r="359" spans="1:9" x14ac:dyDescent="0.25">
      <c r="A359" t="s">
        <v>1574</v>
      </c>
      <c r="B359" t="s">
        <v>1913</v>
      </c>
      <c r="C359" s="271">
        <v>1</v>
      </c>
      <c r="E359" s="275" t="s">
        <v>2199</v>
      </c>
      <c r="F359" s="275" t="s">
        <v>2225</v>
      </c>
      <c r="G359" s="276">
        <v>478</v>
      </c>
      <c r="H359" s="277">
        <v>2.4419438077056101E-4</v>
      </c>
      <c r="I359" s="277">
        <v>0.95558982904860712</v>
      </c>
    </row>
    <row r="360" spans="1:9" x14ac:dyDescent="0.25">
      <c r="A360" t="s">
        <v>1574</v>
      </c>
      <c r="B360" t="s">
        <v>1914</v>
      </c>
      <c r="C360" s="271">
        <v>1</v>
      </c>
      <c r="E360" s="275" t="s">
        <v>1819</v>
      </c>
      <c r="F360" s="275" t="s">
        <v>2226</v>
      </c>
      <c r="G360" s="276">
        <v>477</v>
      </c>
      <c r="H360" s="277">
        <v>2.4368351386518325E-4</v>
      </c>
      <c r="I360" s="277">
        <v>0.95583351256247229</v>
      </c>
    </row>
    <row r="361" spans="1:9" x14ac:dyDescent="0.25">
      <c r="A361" t="s">
        <v>1574</v>
      </c>
      <c r="B361" t="s">
        <v>1915</v>
      </c>
      <c r="C361" s="271">
        <v>1</v>
      </c>
      <c r="E361" s="275" t="s">
        <v>1823</v>
      </c>
      <c r="F361" s="275" t="s">
        <v>2227</v>
      </c>
      <c r="G361" s="276">
        <v>475</v>
      </c>
      <c r="H361" s="277">
        <v>2.4266178005442776E-4</v>
      </c>
      <c r="I361" s="277">
        <v>0.95607617434252667</v>
      </c>
    </row>
    <row r="362" spans="1:9" x14ac:dyDescent="0.25">
      <c r="A362" t="s">
        <v>1574</v>
      </c>
      <c r="B362" t="s">
        <v>1916</v>
      </c>
      <c r="C362" s="271">
        <v>1</v>
      </c>
      <c r="E362" s="275" t="s">
        <v>1948</v>
      </c>
      <c r="F362" s="275" t="s">
        <v>1547</v>
      </c>
      <c r="G362" s="276">
        <v>474</v>
      </c>
      <c r="H362" s="277">
        <v>2.4215091314905E-4</v>
      </c>
      <c r="I362" s="277">
        <v>0.95631832525567573</v>
      </c>
    </row>
    <row r="363" spans="1:9" x14ac:dyDescent="0.25">
      <c r="A363" t="s">
        <v>1574</v>
      </c>
      <c r="B363" t="s">
        <v>1917</v>
      </c>
      <c r="C363" s="271">
        <v>1</v>
      </c>
      <c r="E363" s="275" t="s">
        <v>1607</v>
      </c>
      <c r="F363" s="275" t="s">
        <v>2228</v>
      </c>
      <c r="G363" s="276">
        <v>472</v>
      </c>
      <c r="H363" s="277">
        <v>2.4112917933829454E-4</v>
      </c>
      <c r="I363" s="277">
        <v>0.956559454435014</v>
      </c>
    </row>
    <row r="364" spans="1:9" x14ac:dyDescent="0.25">
      <c r="A364" t="s">
        <v>1574</v>
      </c>
      <c r="B364" t="s">
        <v>1918</v>
      </c>
      <c r="C364" s="271">
        <v>1</v>
      </c>
      <c r="E364" s="275" t="s">
        <v>2229</v>
      </c>
      <c r="F364" s="275" t="s">
        <v>2143</v>
      </c>
      <c r="G364" s="276">
        <v>471</v>
      </c>
      <c r="H364" s="277">
        <v>2.4061831243291678E-4</v>
      </c>
      <c r="I364" s="277">
        <v>0.95680007274744694</v>
      </c>
    </row>
    <row r="365" spans="1:9" x14ac:dyDescent="0.25">
      <c r="A365" t="s">
        <v>1598</v>
      </c>
      <c r="B365" t="s">
        <v>1919</v>
      </c>
      <c r="C365" s="271">
        <v>1</v>
      </c>
      <c r="E365" s="275" t="s">
        <v>1611</v>
      </c>
      <c r="F365" s="275" t="s">
        <v>2230</v>
      </c>
      <c r="G365" s="276">
        <v>471</v>
      </c>
      <c r="H365" s="277">
        <v>2.4061831243291678E-4</v>
      </c>
      <c r="I365" s="277">
        <v>0.95704069105987988</v>
      </c>
    </row>
    <row r="366" spans="1:9" x14ac:dyDescent="0.25">
      <c r="A366" t="s">
        <v>1598</v>
      </c>
      <c r="B366" t="s">
        <v>1920</v>
      </c>
      <c r="C366" s="271">
        <v>1</v>
      </c>
      <c r="E366" s="275" t="s">
        <v>1607</v>
      </c>
      <c r="F366" s="275" t="s">
        <v>2231</v>
      </c>
      <c r="G366" s="276">
        <v>471</v>
      </c>
      <c r="H366" s="277">
        <v>2.4061831243291678E-4</v>
      </c>
      <c r="I366" s="277">
        <v>0.95728130937231282</v>
      </c>
    </row>
    <row r="367" spans="1:9" x14ac:dyDescent="0.25">
      <c r="A367" t="s">
        <v>1598</v>
      </c>
      <c r="B367" t="s">
        <v>1921</v>
      </c>
      <c r="C367" s="271">
        <v>1</v>
      </c>
      <c r="E367" s="275" t="s">
        <v>1821</v>
      </c>
      <c r="F367" s="275" t="s">
        <v>2232</v>
      </c>
      <c r="G367" s="276">
        <v>469</v>
      </c>
      <c r="H367" s="277">
        <v>2.3959657862216129E-4</v>
      </c>
      <c r="I367" s="277">
        <v>0.95752090595093498</v>
      </c>
    </row>
    <row r="368" spans="1:9" x14ac:dyDescent="0.25">
      <c r="A368" t="s">
        <v>1598</v>
      </c>
      <c r="B368" t="s">
        <v>1817</v>
      </c>
      <c r="C368" s="271">
        <v>1</v>
      </c>
      <c r="E368" s="275" t="s">
        <v>1819</v>
      </c>
      <c r="F368" s="275" t="s">
        <v>2233</v>
      </c>
      <c r="G368" s="276">
        <v>469</v>
      </c>
      <c r="H368" s="277">
        <v>2.3959657862216129E-4</v>
      </c>
      <c r="I368" s="277">
        <v>0.95776050252955713</v>
      </c>
    </row>
    <row r="369" spans="1:9" x14ac:dyDescent="0.25">
      <c r="A369" t="s">
        <v>1598</v>
      </c>
      <c r="B369" t="s">
        <v>1922</v>
      </c>
      <c r="C369" s="271">
        <v>1</v>
      </c>
      <c r="E369" s="275" t="s">
        <v>1611</v>
      </c>
      <c r="F369" s="275" t="s">
        <v>1671</v>
      </c>
      <c r="G369" s="276">
        <v>467</v>
      </c>
      <c r="H369" s="277">
        <v>2.3857484481140583E-4</v>
      </c>
      <c r="I369" s="277">
        <v>0.95799907737436851</v>
      </c>
    </row>
    <row r="370" spans="1:9" x14ac:dyDescent="0.25">
      <c r="A370" t="s">
        <v>1603</v>
      </c>
      <c r="B370" t="s">
        <v>1923</v>
      </c>
      <c r="C370" s="271">
        <v>1</v>
      </c>
      <c r="E370" s="275" t="s">
        <v>1821</v>
      </c>
      <c r="F370" s="275" t="s">
        <v>2234</v>
      </c>
      <c r="G370" s="276">
        <v>463</v>
      </c>
      <c r="H370" s="277">
        <v>2.3653137718989485E-4</v>
      </c>
      <c r="I370" s="277">
        <v>0.95823560875155844</v>
      </c>
    </row>
    <row r="371" spans="1:9" x14ac:dyDescent="0.25">
      <c r="A371" t="s">
        <v>1603</v>
      </c>
      <c r="B371" t="s">
        <v>1924</v>
      </c>
      <c r="C371" s="271">
        <v>1</v>
      </c>
      <c r="E371" s="275" t="s">
        <v>1938</v>
      </c>
      <c r="F371" s="275" t="s">
        <v>2235</v>
      </c>
      <c r="G371" s="276">
        <v>463</v>
      </c>
      <c r="H371" s="277">
        <v>2.3653137718989485E-4</v>
      </c>
      <c r="I371" s="277">
        <v>0.95847214012874837</v>
      </c>
    </row>
    <row r="372" spans="1:9" x14ac:dyDescent="0.25">
      <c r="A372" t="s">
        <v>1603</v>
      </c>
      <c r="B372" t="s">
        <v>1925</v>
      </c>
      <c r="C372" s="271">
        <v>1</v>
      </c>
      <c r="E372" s="275" t="s">
        <v>1601</v>
      </c>
      <c r="F372" s="275" t="s">
        <v>2027</v>
      </c>
      <c r="G372" s="276">
        <v>458</v>
      </c>
      <c r="H372" s="277">
        <v>2.3397704266300614E-4</v>
      </c>
      <c r="I372" s="277">
        <v>0.95870611717141141</v>
      </c>
    </row>
    <row r="373" spans="1:9" x14ac:dyDescent="0.25">
      <c r="A373" t="s">
        <v>1603</v>
      </c>
      <c r="B373" t="s">
        <v>1926</v>
      </c>
      <c r="C373" s="271">
        <v>1</v>
      </c>
      <c r="E373" s="275" t="s">
        <v>1567</v>
      </c>
      <c r="F373" s="275" t="s">
        <v>2236</v>
      </c>
      <c r="G373" s="276">
        <v>455</v>
      </c>
      <c r="H373" s="277">
        <v>2.324444419468729E-4</v>
      </c>
      <c r="I373" s="277">
        <v>0.95893856161335833</v>
      </c>
    </row>
    <row r="374" spans="1:9" x14ac:dyDescent="0.25">
      <c r="A374" t="s">
        <v>1819</v>
      </c>
      <c r="B374" t="s">
        <v>1927</v>
      </c>
      <c r="C374" s="271">
        <v>1</v>
      </c>
      <c r="E374" s="275" t="s">
        <v>1819</v>
      </c>
      <c r="F374" s="275" t="s">
        <v>2237</v>
      </c>
      <c r="G374" s="276">
        <v>446</v>
      </c>
      <c r="H374" s="277">
        <v>2.2784663979847323E-4</v>
      </c>
      <c r="I374" s="277">
        <v>0.9591664082531568</v>
      </c>
    </row>
    <row r="375" spans="1:9" x14ac:dyDescent="0.25">
      <c r="A375" t="s">
        <v>1821</v>
      </c>
      <c r="B375" t="s">
        <v>1928</v>
      </c>
      <c r="C375" s="271">
        <v>1</v>
      </c>
      <c r="E375" s="275" t="s">
        <v>1611</v>
      </c>
      <c r="F375" s="275" t="s">
        <v>2238</v>
      </c>
      <c r="G375" s="276">
        <v>446</v>
      </c>
      <c r="H375" s="277">
        <v>2.2784663979847323E-4</v>
      </c>
      <c r="I375" s="277">
        <v>0.95939425489295527</v>
      </c>
    </row>
    <row r="376" spans="1:9" x14ac:dyDescent="0.25">
      <c r="A376" t="s">
        <v>1821</v>
      </c>
      <c r="B376" t="s">
        <v>1929</v>
      </c>
      <c r="C376" s="271">
        <v>1</v>
      </c>
      <c r="E376" s="275" t="s">
        <v>1862</v>
      </c>
      <c r="F376" s="275" t="s">
        <v>1866</v>
      </c>
      <c r="G376" s="276">
        <v>442</v>
      </c>
      <c r="H376" s="277">
        <v>2.2580317217696226E-4</v>
      </c>
      <c r="I376" s="277">
        <v>0.95962005806513218</v>
      </c>
    </row>
    <row r="377" spans="1:9" x14ac:dyDescent="0.25">
      <c r="A377" t="s">
        <v>1821</v>
      </c>
      <c r="B377" t="s">
        <v>1930</v>
      </c>
      <c r="C377" s="271">
        <v>1</v>
      </c>
      <c r="E377" s="275" t="s">
        <v>1819</v>
      </c>
      <c r="F377" s="275" t="s">
        <v>2239</v>
      </c>
      <c r="G377" s="276">
        <v>440</v>
      </c>
      <c r="H377" s="277">
        <v>2.2478143836620677E-4</v>
      </c>
      <c r="I377" s="277">
        <v>0.95984483950349841</v>
      </c>
    </row>
    <row r="378" spans="1:9" x14ac:dyDescent="0.25">
      <c r="A378" t="s">
        <v>1821</v>
      </c>
      <c r="B378" t="s">
        <v>1931</v>
      </c>
      <c r="C378" s="271">
        <v>1</v>
      </c>
      <c r="E378" s="275" t="s">
        <v>1945</v>
      </c>
      <c r="F378" s="275" t="s">
        <v>2240</v>
      </c>
      <c r="G378" s="276">
        <v>438</v>
      </c>
      <c r="H378" s="277">
        <v>2.2375970455545128E-4</v>
      </c>
      <c r="I378" s="277">
        <v>0.96006859920805387</v>
      </c>
    </row>
    <row r="379" spans="1:9" x14ac:dyDescent="0.25">
      <c r="A379" t="s">
        <v>1821</v>
      </c>
      <c r="B379" t="s">
        <v>1932</v>
      </c>
      <c r="C379" s="271">
        <v>1</v>
      </c>
      <c r="E379" s="275" t="s">
        <v>1574</v>
      </c>
      <c r="F379" s="275" t="s">
        <v>2241</v>
      </c>
      <c r="G379" s="276">
        <v>436</v>
      </c>
      <c r="H379" s="277">
        <v>2.2273797074469579E-4</v>
      </c>
      <c r="I379" s="277">
        <v>0.96029133717879855</v>
      </c>
    </row>
    <row r="380" spans="1:9" x14ac:dyDescent="0.25">
      <c r="A380" t="s">
        <v>1821</v>
      </c>
      <c r="B380" t="s">
        <v>1933</v>
      </c>
      <c r="C380" s="271">
        <v>1</v>
      </c>
      <c r="E380" s="275" t="s">
        <v>1703</v>
      </c>
      <c r="F380" s="275" t="s">
        <v>2242</v>
      </c>
      <c r="G380" s="276">
        <v>434</v>
      </c>
      <c r="H380" s="277">
        <v>2.217162369339403E-4</v>
      </c>
      <c r="I380" s="277">
        <v>0.96051305341573245</v>
      </c>
    </row>
    <row r="381" spans="1:9" x14ac:dyDescent="0.25">
      <c r="A381" t="s">
        <v>1821</v>
      </c>
      <c r="B381" t="s">
        <v>1934</v>
      </c>
      <c r="C381" s="271">
        <v>1</v>
      </c>
      <c r="E381" s="275" t="s">
        <v>2010</v>
      </c>
      <c r="F381" s="275" t="s">
        <v>2243</v>
      </c>
      <c r="G381" s="276">
        <v>433</v>
      </c>
      <c r="H381" s="277">
        <v>2.2120537002856257E-4</v>
      </c>
      <c r="I381" s="277">
        <v>0.96073425878576102</v>
      </c>
    </row>
    <row r="382" spans="1:9" x14ac:dyDescent="0.25">
      <c r="A382" t="s">
        <v>1935</v>
      </c>
      <c r="B382" t="s">
        <v>1936</v>
      </c>
      <c r="C382" s="271">
        <v>1</v>
      </c>
      <c r="E382" s="275" t="s">
        <v>1558</v>
      </c>
      <c r="F382" s="275" t="s">
        <v>1994</v>
      </c>
      <c r="G382" s="276">
        <v>427</v>
      </c>
      <c r="H382" s="277">
        <v>2.1814016859629613E-4</v>
      </c>
      <c r="I382" s="277">
        <v>0.96095239895435736</v>
      </c>
    </row>
    <row r="383" spans="1:9" x14ac:dyDescent="0.25">
      <c r="A383" t="s">
        <v>1935</v>
      </c>
      <c r="B383" t="s">
        <v>1937</v>
      </c>
      <c r="C383" s="271">
        <v>1</v>
      </c>
      <c r="E383" s="275" t="s">
        <v>1611</v>
      </c>
      <c r="F383" s="275" t="s">
        <v>1968</v>
      </c>
      <c r="G383" s="276">
        <v>425</v>
      </c>
      <c r="H383" s="277">
        <v>2.1711843478554064E-4</v>
      </c>
      <c r="I383" s="277">
        <v>0.96116951738914291</v>
      </c>
    </row>
    <row r="384" spans="1:9" x14ac:dyDescent="0.25">
      <c r="A384" t="s">
        <v>1938</v>
      </c>
      <c r="B384" t="s">
        <v>1939</v>
      </c>
      <c r="C384" s="271">
        <v>1</v>
      </c>
      <c r="E384" s="275" t="s">
        <v>1823</v>
      </c>
      <c r="F384" s="275" t="s">
        <v>2244</v>
      </c>
      <c r="G384" s="276">
        <v>425</v>
      </c>
      <c r="H384" s="277">
        <v>2.1711843478554064E-4</v>
      </c>
      <c r="I384" s="277">
        <v>0.96138663582392847</v>
      </c>
    </row>
    <row r="385" spans="1:9" x14ac:dyDescent="0.25">
      <c r="A385" t="s">
        <v>1940</v>
      </c>
      <c r="B385" t="s">
        <v>1941</v>
      </c>
      <c r="C385" s="271">
        <v>1</v>
      </c>
      <c r="E385" s="275" t="s">
        <v>2012</v>
      </c>
      <c r="F385" s="275" t="s">
        <v>2245</v>
      </c>
      <c r="G385" s="276">
        <v>418</v>
      </c>
      <c r="H385" s="277">
        <v>2.1354236644789644E-4</v>
      </c>
      <c r="I385" s="277">
        <v>0.96160017819037635</v>
      </c>
    </row>
    <row r="386" spans="1:9" x14ac:dyDescent="0.25">
      <c r="A386" t="s">
        <v>1823</v>
      </c>
      <c r="B386" t="s">
        <v>1942</v>
      </c>
      <c r="C386" s="271">
        <v>1</v>
      </c>
      <c r="E386" s="275" t="s">
        <v>1579</v>
      </c>
      <c r="F386" s="275" t="s">
        <v>2246</v>
      </c>
      <c r="G386" s="276">
        <v>418</v>
      </c>
      <c r="H386" s="277">
        <v>2.1354236644789644E-4</v>
      </c>
      <c r="I386" s="277">
        <v>0.96181372055682424</v>
      </c>
    </row>
    <row r="387" spans="1:9" x14ac:dyDescent="0.25">
      <c r="A387" t="s">
        <v>1823</v>
      </c>
      <c r="B387" t="s">
        <v>1943</v>
      </c>
      <c r="C387" s="271">
        <v>1</v>
      </c>
      <c r="E387" s="275" t="s">
        <v>1852</v>
      </c>
      <c r="F387" s="275" t="s">
        <v>2247</v>
      </c>
      <c r="G387" s="276">
        <v>418</v>
      </c>
      <c r="H387" s="277">
        <v>2.1354236644789644E-4</v>
      </c>
      <c r="I387" s="277">
        <v>0.96202726292327212</v>
      </c>
    </row>
    <row r="388" spans="1:9" x14ac:dyDescent="0.25">
      <c r="A388" t="s">
        <v>1823</v>
      </c>
      <c r="B388" t="s">
        <v>1944</v>
      </c>
      <c r="C388" s="271">
        <v>1</v>
      </c>
      <c r="E388" s="275" t="s">
        <v>1661</v>
      </c>
      <c r="F388" s="275" t="s">
        <v>1881</v>
      </c>
      <c r="G388" s="276">
        <v>416</v>
      </c>
      <c r="H388" s="277">
        <v>2.1252063263714095E-4</v>
      </c>
      <c r="I388" s="277">
        <v>0.96223978355590922</v>
      </c>
    </row>
    <row r="389" spans="1:9" x14ac:dyDescent="0.25">
      <c r="A389" t="s">
        <v>1945</v>
      </c>
      <c r="B389" t="s">
        <v>1946</v>
      </c>
      <c r="C389" s="271">
        <v>1</v>
      </c>
      <c r="E389" s="275" t="s">
        <v>1558</v>
      </c>
      <c r="F389" s="275" t="s">
        <v>2248</v>
      </c>
      <c r="G389" s="276">
        <v>415</v>
      </c>
      <c r="H389" s="277">
        <v>2.1200976573176319E-4</v>
      </c>
      <c r="I389" s="277">
        <v>0.96245179332164099</v>
      </c>
    </row>
    <row r="390" spans="1:9" x14ac:dyDescent="0.25">
      <c r="A390" t="s">
        <v>1945</v>
      </c>
      <c r="B390" t="s">
        <v>1947</v>
      </c>
      <c r="C390" s="271">
        <v>1</v>
      </c>
      <c r="E390" s="275" t="s">
        <v>1661</v>
      </c>
      <c r="F390" s="275" t="s">
        <v>2249</v>
      </c>
      <c r="G390" s="276">
        <v>415</v>
      </c>
      <c r="H390" s="277">
        <v>2.1200976573176319E-4</v>
      </c>
      <c r="I390" s="277">
        <v>0.96266380308737276</v>
      </c>
    </row>
    <row r="391" spans="1:9" x14ac:dyDescent="0.25">
      <c r="A391" t="s">
        <v>1948</v>
      </c>
      <c r="B391" t="s">
        <v>1949</v>
      </c>
      <c r="C391" s="271">
        <v>1</v>
      </c>
      <c r="E391" s="275" t="s">
        <v>1567</v>
      </c>
      <c r="F391" s="275" t="s">
        <v>1753</v>
      </c>
      <c r="G391" s="276">
        <v>415</v>
      </c>
      <c r="H391" s="277">
        <v>2.1200976573176319E-4</v>
      </c>
      <c r="I391" s="277">
        <v>0.96287581285310453</v>
      </c>
    </row>
    <row r="392" spans="1:9" x14ac:dyDescent="0.25">
      <c r="A392" t="s">
        <v>1948</v>
      </c>
      <c r="B392" t="s">
        <v>1950</v>
      </c>
      <c r="C392" s="271">
        <v>1</v>
      </c>
      <c r="E392" s="275" t="s">
        <v>1723</v>
      </c>
      <c r="F392" s="275" t="s">
        <v>2250</v>
      </c>
      <c r="G392" s="276">
        <v>411</v>
      </c>
      <c r="H392" s="277">
        <v>2.0996629811025224E-4</v>
      </c>
      <c r="I392" s="277">
        <v>0.96308577915121474</v>
      </c>
    </row>
    <row r="393" spans="1:9" x14ac:dyDescent="0.25">
      <c r="A393" t="s">
        <v>1948</v>
      </c>
      <c r="B393" t="s">
        <v>1951</v>
      </c>
      <c r="C393" s="271">
        <v>1</v>
      </c>
      <c r="E393" s="275" t="s">
        <v>2010</v>
      </c>
      <c r="F393" s="275" t="s">
        <v>2251</v>
      </c>
      <c r="G393" s="276">
        <v>410</v>
      </c>
      <c r="H393" s="277">
        <v>2.0945543120487448E-4</v>
      </c>
      <c r="I393" s="277">
        <v>0.96329523458241961</v>
      </c>
    </row>
    <row r="394" spans="1:9" x14ac:dyDescent="0.25">
      <c r="A394" t="s">
        <v>1703</v>
      </c>
      <c r="B394" t="s">
        <v>1952</v>
      </c>
      <c r="C394" s="271">
        <v>1</v>
      </c>
      <c r="E394" s="275" t="s">
        <v>1823</v>
      </c>
      <c r="F394" s="275" t="s">
        <v>2252</v>
      </c>
      <c r="G394" s="276">
        <v>410</v>
      </c>
      <c r="H394" s="277">
        <v>2.0945543120487448E-4</v>
      </c>
      <c r="I394" s="277">
        <v>0.96350469001362449</v>
      </c>
    </row>
    <row r="395" spans="1:9" x14ac:dyDescent="0.25">
      <c r="A395" t="s">
        <v>1703</v>
      </c>
      <c r="B395" t="s">
        <v>1953</v>
      </c>
      <c r="C395" s="271">
        <v>1</v>
      </c>
      <c r="E395" s="275" t="s">
        <v>1862</v>
      </c>
      <c r="F395" s="275" t="s">
        <v>2253</v>
      </c>
      <c r="G395" s="276">
        <v>404</v>
      </c>
      <c r="H395" s="277">
        <v>2.0639022977260804E-4</v>
      </c>
      <c r="I395" s="277">
        <v>0.96371108024339713</v>
      </c>
    </row>
    <row r="396" spans="1:9" x14ac:dyDescent="0.25">
      <c r="A396" t="s">
        <v>1703</v>
      </c>
      <c r="B396" t="s">
        <v>1954</v>
      </c>
      <c r="C396" s="271">
        <v>1</v>
      </c>
      <c r="E396" s="275" t="s">
        <v>1852</v>
      </c>
      <c r="F396" s="275" t="s">
        <v>2254</v>
      </c>
      <c r="G396" s="276">
        <v>404</v>
      </c>
      <c r="H396" s="277">
        <v>2.0639022977260804E-4</v>
      </c>
      <c r="I396" s="277">
        <v>0.96391747047316978</v>
      </c>
    </row>
    <row r="397" spans="1:9" x14ac:dyDescent="0.25">
      <c r="A397" t="s">
        <v>1665</v>
      </c>
      <c r="B397" t="s">
        <v>1955</v>
      </c>
      <c r="C397" s="271">
        <v>1</v>
      </c>
      <c r="E397" s="275" t="s">
        <v>1703</v>
      </c>
      <c r="F397" s="275" t="s">
        <v>2255</v>
      </c>
      <c r="G397" s="276">
        <v>403</v>
      </c>
      <c r="H397" s="277">
        <v>2.0587936286723028E-4</v>
      </c>
      <c r="I397" s="277">
        <v>0.96412334983603698</v>
      </c>
    </row>
    <row r="398" spans="1:9" x14ac:dyDescent="0.25">
      <c r="A398" t="s">
        <v>1665</v>
      </c>
      <c r="B398" t="s">
        <v>1956</v>
      </c>
      <c r="C398" s="271">
        <v>1</v>
      </c>
      <c r="E398" s="275" t="s">
        <v>1574</v>
      </c>
      <c r="F398" s="275" t="s">
        <v>2256</v>
      </c>
      <c r="G398" s="276">
        <v>400</v>
      </c>
      <c r="H398" s="277">
        <v>2.0434676215109706E-4</v>
      </c>
      <c r="I398" s="277">
        <v>0.96432769659818807</v>
      </c>
    </row>
    <row r="399" spans="1:9" x14ac:dyDescent="0.25">
      <c r="A399" t="s">
        <v>1665</v>
      </c>
      <c r="B399" t="s">
        <v>1957</v>
      </c>
      <c r="C399" s="271">
        <v>1</v>
      </c>
      <c r="E399" s="275" t="s">
        <v>1579</v>
      </c>
      <c r="F399" s="275" t="s">
        <v>2257</v>
      </c>
      <c r="G399" s="276">
        <v>389</v>
      </c>
      <c r="H399" s="277">
        <v>1.9872722619194188E-4</v>
      </c>
      <c r="I399" s="277">
        <v>0.96452642382438003</v>
      </c>
    </row>
    <row r="400" spans="1:9" x14ac:dyDescent="0.25">
      <c r="A400" t="s">
        <v>1665</v>
      </c>
      <c r="B400" t="s">
        <v>1958</v>
      </c>
      <c r="C400" s="271">
        <v>1</v>
      </c>
      <c r="E400" s="275" t="s">
        <v>2258</v>
      </c>
      <c r="F400" s="275" t="s">
        <v>2259</v>
      </c>
      <c r="G400" s="276">
        <v>385</v>
      </c>
      <c r="H400" s="277">
        <v>1.9668375857043093E-4</v>
      </c>
      <c r="I400" s="277">
        <v>0.96472310758295043</v>
      </c>
    </row>
    <row r="401" spans="1:9" x14ac:dyDescent="0.25">
      <c r="A401" t="s">
        <v>1665</v>
      </c>
      <c r="B401" t="s">
        <v>1959</v>
      </c>
      <c r="C401" s="271">
        <v>1</v>
      </c>
      <c r="E401" s="275" t="s">
        <v>1607</v>
      </c>
      <c r="F401" s="275" t="s">
        <v>2260</v>
      </c>
      <c r="G401" s="276">
        <v>384</v>
      </c>
      <c r="H401" s="277">
        <v>1.9617289166505317E-4</v>
      </c>
      <c r="I401" s="277">
        <v>0.9649192804746155</v>
      </c>
    </row>
    <row r="402" spans="1:9" x14ac:dyDescent="0.25">
      <c r="A402" t="s">
        <v>1665</v>
      </c>
      <c r="B402" t="s">
        <v>1960</v>
      </c>
      <c r="C402" s="271">
        <v>1</v>
      </c>
      <c r="E402" s="275" t="s">
        <v>1661</v>
      </c>
      <c r="F402" s="275" t="s">
        <v>2261</v>
      </c>
      <c r="G402" s="276">
        <v>381</v>
      </c>
      <c r="H402" s="277">
        <v>1.9464029094891995E-4</v>
      </c>
      <c r="I402" s="277">
        <v>0.96511392076556446</v>
      </c>
    </row>
    <row r="403" spans="1:9" x14ac:dyDescent="0.25">
      <c r="A403" t="s">
        <v>1665</v>
      </c>
      <c r="B403" t="s">
        <v>1961</v>
      </c>
      <c r="C403" s="271">
        <v>1</v>
      </c>
      <c r="E403" s="275" t="s">
        <v>1800</v>
      </c>
      <c r="F403" s="275" t="s">
        <v>2262</v>
      </c>
      <c r="G403" s="276">
        <v>380</v>
      </c>
      <c r="H403" s="277">
        <v>1.9412942404354222E-4</v>
      </c>
      <c r="I403" s="277">
        <v>0.96530805018960797</v>
      </c>
    </row>
    <row r="404" spans="1:9" x14ac:dyDescent="0.25">
      <c r="A404" t="s">
        <v>1665</v>
      </c>
      <c r="B404" t="s">
        <v>1962</v>
      </c>
      <c r="C404" s="271">
        <v>1</v>
      </c>
      <c r="E404" s="275" t="s">
        <v>1555</v>
      </c>
      <c r="F404" s="275" t="s">
        <v>2008</v>
      </c>
      <c r="G404" s="276">
        <v>377</v>
      </c>
      <c r="H404" s="277">
        <v>1.9259682332740897E-4</v>
      </c>
      <c r="I404" s="277">
        <v>0.96550064701293536</v>
      </c>
    </row>
    <row r="405" spans="1:9" x14ac:dyDescent="0.25">
      <c r="A405" t="s">
        <v>1665</v>
      </c>
      <c r="B405" t="s">
        <v>1963</v>
      </c>
      <c r="C405" s="271">
        <v>1</v>
      </c>
      <c r="E405" s="275" t="s">
        <v>2012</v>
      </c>
      <c r="F405" s="275" t="s">
        <v>2263</v>
      </c>
      <c r="G405" s="276">
        <v>374</v>
      </c>
      <c r="H405" s="277">
        <v>1.9106422261127575E-4</v>
      </c>
      <c r="I405" s="277">
        <v>0.96569171123554665</v>
      </c>
    </row>
    <row r="406" spans="1:9" x14ac:dyDescent="0.25">
      <c r="A406" t="s">
        <v>1665</v>
      </c>
      <c r="B406" t="s">
        <v>1964</v>
      </c>
      <c r="C406" s="271">
        <v>1</v>
      </c>
      <c r="E406" s="275" t="s">
        <v>1601</v>
      </c>
      <c r="F406" s="275" t="s">
        <v>2264</v>
      </c>
      <c r="G406" s="276">
        <v>374</v>
      </c>
      <c r="H406" s="277">
        <v>1.9106422261127575E-4</v>
      </c>
      <c r="I406" s="277">
        <v>0.96588277545815793</v>
      </c>
    </row>
    <row r="407" spans="1:9" x14ac:dyDescent="0.25">
      <c r="A407" t="s">
        <v>1665</v>
      </c>
      <c r="B407" t="s">
        <v>1965</v>
      </c>
      <c r="C407" s="271">
        <v>1</v>
      </c>
      <c r="E407" s="275" t="s">
        <v>1948</v>
      </c>
      <c r="F407" s="275" t="s">
        <v>1544</v>
      </c>
      <c r="G407" s="276">
        <v>373</v>
      </c>
      <c r="H407" s="277">
        <v>1.9055335570589802E-4</v>
      </c>
      <c r="I407" s="277">
        <v>0.96607332881386387</v>
      </c>
    </row>
    <row r="408" spans="1:9" x14ac:dyDescent="0.25">
      <c r="A408" t="s">
        <v>1611</v>
      </c>
      <c r="B408" t="s">
        <v>1966</v>
      </c>
      <c r="C408" s="271">
        <v>1</v>
      </c>
      <c r="E408" s="275" t="s">
        <v>1823</v>
      </c>
      <c r="F408" s="275" t="s">
        <v>2265</v>
      </c>
      <c r="G408" s="276">
        <v>370</v>
      </c>
      <c r="H408" s="277">
        <v>1.8902075498976477E-4</v>
      </c>
      <c r="I408" s="277">
        <v>0.9662623495688536</v>
      </c>
    </row>
    <row r="409" spans="1:9" x14ac:dyDescent="0.25">
      <c r="A409" t="s">
        <v>1611</v>
      </c>
      <c r="B409" t="s">
        <v>1967</v>
      </c>
      <c r="C409" s="271">
        <v>1</v>
      </c>
      <c r="E409" s="275" t="s">
        <v>1555</v>
      </c>
      <c r="F409" s="275" t="s">
        <v>1905</v>
      </c>
      <c r="G409" s="276">
        <v>369</v>
      </c>
      <c r="H409" s="277">
        <v>1.8850988808438704E-4</v>
      </c>
      <c r="I409" s="277">
        <v>0.96645085945693798</v>
      </c>
    </row>
    <row r="410" spans="1:9" x14ac:dyDescent="0.25">
      <c r="A410" t="s">
        <v>1611</v>
      </c>
      <c r="B410" t="s">
        <v>1968</v>
      </c>
      <c r="C410" s="271">
        <v>1</v>
      </c>
      <c r="E410" s="275" t="s">
        <v>1555</v>
      </c>
      <c r="F410" s="275" t="s">
        <v>1667</v>
      </c>
      <c r="G410" s="276">
        <v>362</v>
      </c>
      <c r="H410" s="277">
        <v>1.8493381974674284E-4</v>
      </c>
      <c r="I410" s="277">
        <v>0.9666357932766847</v>
      </c>
    </row>
    <row r="411" spans="1:9" x14ac:dyDescent="0.25">
      <c r="A411" t="s">
        <v>1611</v>
      </c>
      <c r="B411" t="s">
        <v>1969</v>
      </c>
      <c r="C411" s="271">
        <v>1</v>
      </c>
      <c r="E411" s="275" t="s">
        <v>2021</v>
      </c>
      <c r="F411" s="275" t="s">
        <v>2022</v>
      </c>
      <c r="G411" s="276">
        <v>362</v>
      </c>
      <c r="H411" s="277">
        <v>1.8493381974674284E-4</v>
      </c>
      <c r="I411" s="277">
        <v>0.96682072709643141</v>
      </c>
    </row>
    <row r="412" spans="1:9" x14ac:dyDescent="0.25">
      <c r="A412" t="s">
        <v>1611</v>
      </c>
      <c r="B412" t="s">
        <v>1970</v>
      </c>
      <c r="C412" s="271">
        <v>1</v>
      </c>
      <c r="E412" s="275" t="s">
        <v>1555</v>
      </c>
      <c r="F412" s="275" t="s">
        <v>1542</v>
      </c>
      <c r="G412" s="276">
        <v>360</v>
      </c>
      <c r="H412" s="277">
        <v>1.8391208593598735E-4</v>
      </c>
      <c r="I412" s="277">
        <v>0.96700463918236734</v>
      </c>
    </row>
    <row r="413" spans="1:9" x14ac:dyDescent="0.25">
      <c r="A413" t="s">
        <v>1611</v>
      </c>
      <c r="B413" t="s">
        <v>1971</v>
      </c>
      <c r="C413" s="271">
        <v>1</v>
      </c>
      <c r="E413" s="275" t="s">
        <v>1674</v>
      </c>
      <c r="F413" s="275" t="s">
        <v>2014</v>
      </c>
      <c r="G413" s="276">
        <v>359</v>
      </c>
      <c r="H413" s="277">
        <v>1.8340121903060962E-4</v>
      </c>
      <c r="I413" s="277">
        <v>0.96718804040139794</v>
      </c>
    </row>
    <row r="414" spans="1:9" x14ac:dyDescent="0.25">
      <c r="A414" t="s">
        <v>1611</v>
      </c>
      <c r="B414" t="s">
        <v>1972</v>
      </c>
      <c r="C414" s="271">
        <v>1</v>
      </c>
      <c r="E414" s="275" t="s">
        <v>1723</v>
      </c>
      <c r="F414" s="275" t="s">
        <v>2266</v>
      </c>
      <c r="G414" s="276">
        <v>356</v>
      </c>
      <c r="H414" s="277">
        <v>1.8186861831447638E-4</v>
      </c>
      <c r="I414" s="277">
        <v>0.96736990901971243</v>
      </c>
    </row>
    <row r="415" spans="1:9" x14ac:dyDescent="0.25">
      <c r="A415" t="s">
        <v>1611</v>
      </c>
      <c r="B415" t="s">
        <v>1973</v>
      </c>
      <c r="C415" s="271">
        <v>1</v>
      </c>
      <c r="E415" s="275" t="s">
        <v>1948</v>
      </c>
      <c r="F415" s="275" t="s">
        <v>1949</v>
      </c>
      <c r="G415" s="276">
        <v>354</v>
      </c>
      <c r="H415" s="277">
        <v>1.8084688450372089E-4</v>
      </c>
      <c r="I415" s="277">
        <v>0.96755075590421613</v>
      </c>
    </row>
    <row r="416" spans="1:9" x14ac:dyDescent="0.25">
      <c r="A416" t="s">
        <v>1607</v>
      </c>
      <c r="B416" t="s">
        <v>1974</v>
      </c>
      <c r="C416" s="271">
        <v>1</v>
      </c>
      <c r="E416" s="275" t="s">
        <v>1611</v>
      </c>
      <c r="F416" s="275" t="s">
        <v>2267</v>
      </c>
      <c r="G416" s="276">
        <v>349</v>
      </c>
      <c r="H416" s="277">
        <v>1.7829254997683218E-4</v>
      </c>
      <c r="I416" s="277">
        <v>0.96772904845419294</v>
      </c>
    </row>
    <row r="417" spans="1:9" x14ac:dyDescent="0.25">
      <c r="A417" t="s">
        <v>1607</v>
      </c>
      <c r="B417" t="s">
        <v>1975</v>
      </c>
      <c r="C417" s="271">
        <v>1</v>
      </c>
      <c r="E417" s="275" t="s">
        <v>1603</v>
      </c>
      <c r="F417" s="275" t="s">
        <v>2268</v>
      </c>
      <c r="G417" s="276">
        <v>344</v>
      </c>
      <c r="H417" s="277">
        <v>1.7573821544994347E-4</v>
      </c>
      <c r="I417" s="277">
        <v>0.96790478666964286</v>
      </c>
    </row>
    <row r="418" spans="1:9" x14ac:dyDescent="0.25">
      <c r="A418" t="s">
        <v>1607</v>
      </c>
      <c r="B418" t="s">
        <v>1976</v>
      </c>
      <c r="C418" s="271">
        <v>1</v>
      </c>
      <c r="E418" s="275" t="s">
        <v>1574</v>
      </c>
      <c r="F418" s="275" t="s">
        <v>2269</v>
      </c>
      <c r="G418" s="276">
        <v>344</v>
      </c>
      <c r="H418" s="277">
        <v>1.7573821544994347E-4</v>
      </c>
      <c r="I418" s="277">
        <v>0.96808052488509277</v>
      </c>
    </row>
    <row r="419" spans="1:9" x14ac:dyDescent="0.25">
      <c r="A419" t="s">
        <v>1607</v>
      </c>
      <c r="B419" t="s">
        <v>1977</v>
      </c>
      <c r="C419" s="271">
        <v>1</v>
      </c>
      <c r="E419" s="275" t="s">
        <v>2199</v>
      </c>
      <c r="F419" s="275" t="s">
        <v>2270</v>
      </c>
      <c r="G419" s="276">
        <v>343</v>
      </c>
      <c r="H419" s="277">
        <v>1.7522734854456574E-4</v>
      </c>
      <c r="I419" s="277">
        <v>0.96825575223363736</v>
      </c>
    </row>
    <row r="420" spans="1:9" x14ac:dyDescent="0.25">
      <c r="A420" t="s">
        <v>1607</v>
      </c>
      <c r="B420" t="s">
        <v>1978</v>
      </c>
      <c r="C420" s="271">
        <v>1</v>
      </c>
      <c r="E420" s="275" t="s">
        <v>1603</v>
      </c>
      <c r="F420" s="275" t="s">
        <v>2271</v>
      </c>
      <c r="G420" s="276">
        <v>342</v>
      </c>
      <c r="H420" s="277">
        <v>1.7471648163918798E-4</v>
      </c>
      <c r="I420" s="277">
        <v>0.96843046871527649</v>
      </c>
    </row>
    <row r="421" spans="1:9" x14ac:dyDescent="0.25">
      <c r="A421" t="s">
        <v>1607</v>
      </c>
      <c r="B421" t="s">
        <v>1979</v>
      </c>
      <c r="C421" s="271">
        <v>1</v>
      </c>
      <c r="E421" s="275" t="s">
        <v>1723</v>
      </c>
      <c r="F421" s="275" t="s">
        <v>1779</v>
      </c>
      <c r="G421" s="276">
        <v>334</v>
      </c>
      <c r="H421" s="277">
        <v>1.7062954639616605E-4</v>
      </c>
      <c r="I421" s="277">
        <v>0.96860109826167262</v>
      </c>
    </row>
    <row r="422" spans="1:9" x14ac:dyDescent="0.25">
      <c r="A422" t="s">
        <v>1607</v>
      </c>
      <c r="B422" t="s">
        <v>1980</v>
      </c>
      <c r="C422" s="271">
        <v>1</v>
      </c>
      <c r="E422" s="275" t="s">
        <v>1606</v>
      </c>
      <c r="F422" s="275" t="s">
        <v>1793</v>
      </c>
      <c r="G422" s="276">
        <v>332</v>
      </c>
      <c r="H422" s="277">
        <v>1.6960781258541056E-4</v>
      </c>
      <c r="I422" s="277">
        <v>0.96877070607425808</v>
      </c>
    </row>
    <row r="423" spans="1:9" x14ac:dyDescent="0.25">
      <c r="A423" t="s">
        <v>1607</v>
      </c>
      <c r="B423" t="s">
        <v>1981</v>
      </c>
      <c r="C423" s="271">
        <v>1</v>
      </c>
      <c r="E423" s="275" t="s">
        <v>1945</v>
      </c>
      <c r="F423" s="275" t="s">
        <v>2272</v>
      </c>
      <c r="G423" s="276">
        <v>332</v>
      </c>
      <c r="H423" s="277">
        <v>1.6960781258541056E-4</v>
      </c>
      <c r="I423" s="277">
        <v>0.96894031388684354</v>
      </c>
    </row>
    <row r="424" spans="1:9" x14ac:dyDescent="0.25">
      <c r="A424" t="s">
        <v>1607</v>
      </c>
      <c r="B424" t="s">
        <v>1982</v>
      </c>
      <c r="C424" s="271">
        <v>1</v>
      </c>
      <c r="E424" s="275" t="s">
        <v>1603</v>
      </c>
      <c r="F424" s="275" t="s">
        <v>2273</v>
      </c>
      <c r="G424" s="276">
        <v>329</v>
      </c>
      <c r="H424" s="277">
        <v>1.6807521186927734E-4</v>
      </c>
      <c r="I424" s="277">
        <v>0.96910838909871277</v>
      </c>
    </row>
    <row r="425" spans="1:9" x14ac:dyDescent="0.25">
      <c r="A425" t="s">
        <v>1607</v>
      </c>
      <c r="B425" t="s">
        <v>1983</v>
      </c>
      <c r="C425" s="271">
        <v>1</v>
      </c>
      <c r="E425" s="275" t="s">
        <v>1823</v>
      </c>
      <c r="F425" s="275" t="s">
        <v>2274</v>
      </c>
      <c r="G425" s="276">
        <v>329</v>
      </c>
      <c r="H425" s="277">
        <v>1.6807521186927734E-4</v>
      </c>
      <c r="I425" s="277">
        <v>0.96927646431058201</v>
      </c>
    </row>
    <row r="426" spans="1:9" x14ac:dyDescent="0.25">
      <c r="A426" t="s">
        <v>1607</v>
      </c>
      <c r="B426" t="s">
        <v>1984</v>
      </c>
      <c r="C426" s="271">
        <v>1</v>
      </c>
      <c r="E426" s="275" t="s">
        <v>1603</v>
      </c>
      <c r="F426" s="275" t="s">
        <v>2275</v>
      </c>
      <c r="G426" s="276">
        <v>328</v>
      </c>
      <c r="H426" s="277">
        <v>1.6756434496389958E-4</v>
      </c>
      <c r="I426" s="277">
        <v>0.96944402865554591</v>
      </c>
    </row>
    <row r="427" spans="1:9" x14ac:dyDescent="0.25">
      <c r="A427" t="s">
        <v>1607</v>
      </c>
      <c r="B427" t="s">
        <v>1985</v>
      </c>
      <c r="C427" s="271">
        <v>1</v>
      </c>
      <c r="E427" s="275" t="s">
        <v>1674</v>
      </c>
      <c r="F427" s="275" t="s">
        <v>1710</v>
      </c>
      <c r="G427" s="276">
        <v>327</v>
      </c>
      <c r="H427" s="277">
        <v>1.6705347805852185E-4</v>
      </c>
      <c r="I427" s="277">
        <v>0.96961108213360447</v>
      </c>
    </row>
    <row r="428" spans="1:9" x14ac:dyDescent="0.25">
      <c r="A428" t="s">
        <v>1607</v>
      </c>
      <c r="B428" t="s">
        <v>1986</v>
      </c>
      <c r="C428" s="271">
        <v>1</v>
      </c>
      <c r="E428" s="275" t="s">
        <v>1791</v>
      </c>
      <c r="F428" s="275" t="s">
        <v>2276</v>
      </c>
      <c r="G428" s="276">
        <v>327</v>
      </c>
      <c r="H428" s="277">
        <v>1.6705347805852185E-4</v>
      </c>
      <c r="I428" s="277">
        <v>0.96977813561166304</v>
      </c>
    </row>
    <row r="429" spans="1:9" x14ac:dyDescent="0.25">
      <c r="A429" t="s">
        <v>1558</v>
      </c>
      <c r="B429" t="s">
        <v>1987</v>
      </c>
      <c r="C429" s="271">
        <v>1</v>
      </c>
      <c r="E429" s="275" t="s">
        <v>1731</v>
      </c>
      <c r="F429" s="275" t="s">
        <v>1732</v>
      </c>
      <c r="G429" s="276">
        <v>326</v>
      </c>
      <c r="H429" s="277">
        <v>1.6654261115314412E-4</v>
      </c>
      <c r="I429" s="277">
        <v>0.96994467822281616</v>
      </c>
    </row>
    <row r="430" spans="1:9" x14ac:dyDescent="0.25">
      <c r="A430" t="s">
        <v>1558</v>
      </c>
      <c r="B430" t="s">
        <v>1988</v>
      </c>
      <c r="C430" s="271">
        <v>1</v>
      </c>
      <c r="E430" s="275" t="s">
        <v>1574</v>
      </c>
      <c r="F430" s="275" t="s">
        <v>2277</v>
      </c>
      <c r="G430" s="276">
        <v>324</v>
      </c>
      <c r="H430" s="277">
        <v>1.6552087734238863E-4</v>
      </c>
      <c r="I430" s="277">
        <v>0.9701101991001585</v>
      </c>
    </row>
    <row r="431" spans="1:9" x14ac:dyDescent="0.25">
      <c r="A431" t="s">
        <v>1558</v>
      </c>
      <c r="B431" t="s">
        <v>1989</v>
      </c>
      <c r="C431" s="271">
        <v>1</v>
      </c>
      <c r="E431" s="275" t="s">
        <v>1611</v>
      </c>
      <c r="F431" s="275" t="s">
        <v>2278</v>
      </c>
      <c r="G431" s="276">
        <v>324</v>
      </c>
      <c r="H431" s="277">
        <v>1.6552087734238863E-4</v>
      </c>
      <c r="I431" s="277">
        <v>0.97027571997750084</v>
      </c>
    </row>
    <row r="432" spans="1:9" x14ac:dyDescent="0.25">
      <c r="A432" t="s">
        <v>1558</v>
      </c>
      <c r="B432" t="s">
        <v>1990</v>
      </c>
      <c r="C432" s="271">
        <v>1</v>
      </c>
      <c r="E432" s="275" t="s">
        <v>1948</v>
      </c>
      <c r="F432" s="275" t="s">
        <v>1543</v>
      </c>
      <c r="G432" s="276">
        <v>319</v>
      </c>
      <c r="H432" s="277">
        <v>1.6296654281549992E-4</v>
      </c>
      <c r="I432" s="277">
        <v>0.97043868652031628</v>
      </c>
    </row>
    <row r="433" spans="1:9" x14ac:dyDescent="0.25">
      <c r="A433" t="s">
        <v>1558</v>
      </c>
      <c r="B433" t="s">
        <v>1991</v>
      </c>
      <c r="C433" s="271">
        <v>1</v>
      </c>
      <c r="E433" s="275" t="s">
        <v>1607</v>
      </c>
      <c r="F433" s="275" t="s">
        <v>2279</v>
      </c>
      <c r="G433" s="276">
        <v>312</v>
      </c>
      <c r="H433" s="277">
        <v>1.5939047447785572E-4</v>
      </c>
      <c r="I433" s="277">
        <v>0.97059807699479417</v>
      </c>
    </row>
    <row r="434" spans="1:9" x14ac:dyDescent="0.25">
      <c r="A434" t="s">
        <v>1558</v>
      </c>
      <c r="B434" t="s">
        <v>1992</v>
      </c>
      <c r="C434" s="271">
        <v>1</v>
      </c>
      <c r="E434" s="275" t="s">
        <v>2010</v>
      </c>
      <c r="F434" s="275" t="s">
        <v>2280</v>
      </c>
      <c r="G434" s="276">
        <v>311</v>
      </c>
      <c r="H434" s="277">
        <v>1.5887960757247796E-4</v>
      </c>
      <c r="I434" s="277">
        <v>0.97075695660236661</v>
      </c>
    </row>
    <row r="435" spans="1:9" x14ac:dyDescent="0.25">
      <c r="A435" t="s">
        <v>1558</v>
      </c>
      <c r="B435" t="s">
        <v>1993</v>
      </c>
      <c r="C435" s="271">
        <v>1</v>
      </c>
      <c r="E435" s="275" t="s">
        <v>1731</v>
      </c>
      <c r="F435" s="275" t="s">
        <v>2281</v>
      </c>
      <c r="G435" s="276">
        <v>311</v>
      </c>
      <c r="H435" s="277">
        <v>1.5887960757247796E-4</v>
      </c>
      <c r="I435" s="277">
        <v>0.97091583620993904</v>
      </c>
    </row>
    <row r="436" spans="1:9" x14ac:dyDescent="0.25">
      <c r="A436" t="s">
        <v>1558</v>
      </c>
      <c r="B436" t="s">
        <v>1994</v>
      </c>
      <c r="C436" s="271">
        <v>1</v>
      </c>
      <c r="E436" s="275" t="s">
        <v>1579</v>
      </c>
      <c r="F436" s="275" t="s">
        <v>619</v>
      </c>
      <c r="G436" s="276">
        <v>310</v>
      </c>
      <c r="H436" s="277">
        <v>1.5836874066710023E-4</v>
      </c>
      <c r="I436" s="277">
        <v>0.97107420495060615</v>
      </c>
    </row>
    <row r="437" spans="1:9" x14ac:dyDescent="0.25">
      <c r="A437" t="s">
        <v>1995</v>
      </c>
      <c r="B437" t="s">
        <v>1996</v>
      </c>
      <c r="C437" s="271">
        <v>1</v>
      </c>
      <c r="E437" s="275" t="s">
        <v>1611</v>
      </c>
      <c r="F437" s="275" t="s">
        <v>2282</v>
      </c>
      <c r="G437" s="276">
        <v>308</v>
      </c>
      <c r="H437" s="277">
        <v>1.5734700685634474E-4</v>
      </c>
      <c r="I437" s="277">
        <v>0.97123155195746247</v>
      </c>
    </row>
    <row r="438" spans="1:9" x14ac:dyDescent="0.25">
      <c r="A438" t="s">
        <v>1555</v>
      </c>
      <c r="B438" t="s">
        <v>467</v>
      </c>
      <c r="C438" s="271">
        <v>1</v>
      </c>
      <c r="E438" s="275" t="s">
        <v>1948</v>
      </c>
      <c r="F438" s="275" t="s">
        <v>2283</v>
      </c>
      <c r="G438" s="276">
        <v>300</v>
      </c>
      <c r="H438" s="277">
        <v>1.5326007161332281E-4</v>
      </c>
      <c r="I438" s="277">
        <v>0.97138481202907578</v>
      </c>
    </row>
    <row r="439" spans="1:9" x14ac:dyDescent="0.25">
      <c r="A439" t="s">
        <v>1555</v>
      </c>
      <c r="B439" t="s">
        <v>1997</v>
      </c>
      <c r="C439" s="271">
        <v>1</v>
      </c>
      <c r="E439" s="275" t="s">
        <v>2199</v>
      </c>
      <c r="F439" s="275" t="s">
        <v>2284</v>
      </c>
      <c r="G439" s="276">
        <v>297</v>
      </c>
      <c r="H439" s="277">
        <v>1.5172747089718956E-4</v>
      </c>
      <c r="I439" s="277">
        <v>0.97153653949997298</v>
      </c>
    </row>
    <row r="440" spans="1:9" x14ac:dyDescent="0.25">
      <c r="A440" t="s">
        <v>1555</v>
      </c>
      <c r="B440" t="s">
        <v>1998</v>
      </c>
      <c r="C440" s="271">
        <v>1</v>
      </c>
      <c r="E440" s="275" t="s">
        <v>2229</v>
      </c>
      <c r="F440" s="275" t="s">
        <v>2285</v>
      </c>
      <c r="G440" s="276">
        <v>296</v>
      </c>
      <c r="H440" s="277">
        <v>1.5121660399181183E-4</v>
      </c>
      <c r="I440" s="277">
        <v>0.97168775610396485</v>
      </c>
    </row>
    <row r="441" spans="1:9" x14ac:dyDescent="0.25">
      <c r="A441" t="s">
        <v>1555</v>
      </c>
      <c r="B441" t="s">
        <v>1999</v>
      </c>
      <c r="C441" s="271">
        <v>1</v>
      </c>
      <c r="E441" s="275" t="s">
        <v>1611</v>
      </c>
      <c r="F441" s="275" t="s">
        <v>2286</v>
      </c>
      <c r="G441" s="276">
        <v>295</v>
      </c>
      <c r="H441" s="277">
        <v>1.5070573708643407E-4</v>
      </c>
      <c r="I441" s="277">
        <v>0.97183846184105127</v>
      </c>
    </row>
    <row r="442" spans="1:9" x14ac:dyDescent="0.25">
      <c r="A442" t="s">
        <v>1555</v>
      </c>
      <c r="B442" t="s">
        <v>2000</v>
      </c>
      <c r="C442" s="271">
        <v>1</v>
      </c>
      <c r="E442" s="275" t="s">
        <v>1800</v>
      </c>
      <c r="F442" s="275" t="s">
        <v>1886</v>
      </c>
      <c r="G442" s="276">
        <v>294</v>
      </c>
      <c r="H442" s="277">
        <v>1.5019487018105634E-4</v>
      </c>
      <c r="I442" s="277">
        <v>0.97198865671123236</v>
      </c>
    </row>
    <row r="443" spans="1:9" x14ac:dyDescent="0.25">
      <c r="A443" t="s">
        <v>1555</v>
      </c>
      <c r="B443" t="s">
        <v>2001</v>
      </c>
      <c r="C443" s="271">
        <v>1</v>
      </c>
      <c r="E443" s="275" t="s">
        <v>1731</v>
      </c>
      <c r="F443" s="275" t="s">
        <v>2287</v>
      </c>
      <c r="G443" s="276">
        <v>294</v>
      </c>
      <c r="H443" s="277">
        <v>1.5019487018105634E-4</v>
      </c>
      <c r="I443" s="277">
        <v>0.97213885158141344</v>
      </c>
    </row>
    <row r="444" spans="1:9" x14ac:dyDescent="0.25">
      <c r="A444" t="s">
        <v>1555</v>
      </c>
      <c r="B444" t="s">
        <v>2002</v>
      </c>
      <c r="C444" s="271">
        <v>1</v>
      </c>
      <c r="E444" s="275" t="s">
        <v>2199</v>
      </c>
      <c r="F444" s="275" t="s">
        <v>2288</v>
      </c>
      <c r="G444" s="276">
        <v>293</v>
      </c>
      <c r="H444" s="277">
        <v>1.4968400327567861E-4</v>
      </c>
      <c r="I444" s="277">
        <v>0.97228853558468908</v>
      </c>
    </row>
    <row r="445" spans="1:9" x14ac:dyDescent="0.25">
      <c r="A445" t="s">
        <v>1555</v>
      </c>
      <c r="B445" t="s">
        <v>2003</v>
      </c>
      <c r="C445" s="271">
        <v>1</v>
      </c>
      <c r="E445" s="275" t="s">
        <v>1661</v>
      </c>
      <c r="F445" s="275" t="s">
        <v>2289</v>
      </c>
      <c r="G445" s="276">
        <v>293</v>
      </c>
      <c r="H445" s="277">
        <v>1.4968400327567861E-4</v>
      </c>
      <c r="I445" s="277">
        <v>0.97243821958796473</v>
      </c>
    </row>
    <row r="446" spans="1:9" x14ac:dyDescent="0.25">
      <c r="A446" t="s">
        <v>1555</v>
      </c>
      <c r="B446" t="s">
        <v>2004</v>
      </c>
      <c r="C446" s="271">
        <v>1</v>
      </c>
      <c r="E446" s="275" t="s">
        <v>1558</v>
      </c>
      <c r="F446" s="275" t="s">
        <v>2290</v>
      </c>
      <c r="G446" s="276">
        <v>291</v>
      </c>
      <c r="H446" s="277">
        <v>1.4866226946492312E-4</v>
      </c>
      <c r="I446" s="277">
        <v>0.9725868818574297</v>
      </c>
    </row>
    <row r="447" spans="1:9" x14ac:dyDescent="0.25">
      <c r="A447" t="s">
        <v>1555</v>
      </c>
      <c r="B447" t="s">
        <v>2005</v>
      </c>
      <c r="C447" s="271">
        <v>1</v>
      </c>
      <c r="E447" s="275" t="s">
        <v>1821</v>
      </c>
      <c r="F447" s="275" t="s">
        <v>2291</v>
      </c>
      <c r="G447" s="276">
        <v>289</v>
      </c>
      <c r="H447" s="277">
        <v>1.4764053565416763E-4</v>
      </c>
      <c r="I447" s="277">
        <v>0.97273452239308389</v>
      </c>
    </row>
    <row r="448" spans="1:9" x14ac:dyDescent="0.25">
      <c r="A448" t="s">
        <v>1555</v>
      </c>
      <c r="B448" t="s">
        <v>2006</v>
      </c>
      <c r="C448" s="271">
        <v>1</v>
      </c>
      <c r="E448" s="275" t="s">
        <v>1603</v>
      </c>
      <c r="F448" s="275" t="s">
        <v>2292</v>
      </c>
      <c r="G448" s="276">
        <v>288</v>
      </c>
      <c r="H448" s="277">
        <v>1.4712966874878987E-4</v>
      </c>
      <c r="I448" s="277">
        <v>0.97288165206183264</v>
      </c>
    </row>
    <row r="449" spans="1:9" x14ac:dyDescent="0.25">
      <c r="A449" t="s">
        <v>1555</v>
      </c>
      <c r="B449" t="s">
        <v>2007</v>
      </c>
      <c r="C449" s="271">
        <v>1</v>
      </c>
      <c r="E449" s="275" t="s">
        <v>1567</v>
      </c>
      <c r="F449" s="275" t="s">
        <v>2293</v>
      </c>
      <c r="G449" s="276">
        <v>288</v>
      </c>
      <c r="H449" s="277">
        <v>1.4712966874878987E-4</v>
      </c>
      <c r="I449" s="277">
        <v>0.97302878173058138</v>
      </c>
    </row>
    <row r="450" spans="1:9" x14ac:dyDescent="0.25">
      <c r="A450" t="s">
        <v>1555</v>
      </c>
      <c r="B450" t="s">
        <v>2008</v>
      </c>
      <c r="C450" s="271">
        <v>1</v>
      </c>
      <c r="E450" s="275" t="s">
        <v>1555</v>
      </c>
      <c r="F450" s="275" t="s">
        <v>2294</v>
      </c>
      <c r="G450" s="276">
        <v>286</v>
      </c>
      <c r="H450" s="277">
        <v>1.4610793493803441E-4</v>
      </c>
      <c r="I450" s="277">
        <v>0.97317488966551946</v>
      </c>
    </row>
    <row r="451" spans="1:9" x14ac:dyDescent="0.25">
      <c r="A451" t="s">
        <v>1555</v>
      </c>
      <c r="B451" t="s">
        <v>2009</v>
      </c>
      <c r="C451" s="271">
        <v>1</v>
      </c>
      <c r="E451" s="275" t="s">
        <v>1819</v>
      </c>
      <c r="F451" s="275" t="s">
        <v>2295</v>
      </c>
      <c r="G451" s="276">
        <v>285</v>
      </c>
      <c r="H451" s="277">
        <v>1.4559706803265665E-4</v>
      </c>
      <c r="I451" s="277">
        <v>0.97332048673355209</v>
      </c>
    </row>
    <row r="452" spans="1:9" x14ac:dyDescent="0.25">
      <c r="A452" t="s">
        <v>2010</v>
      </c>
      <c r="B452" t="s">
        <v>2011</v>
      </c>
      <c r="C452" s="271">
        <v>1</v>
      </c>
      <c r="E452" s="275" t="s">
        <v>2229</v>
      </c>
      <c r="F452" s="275" t="s">
        <v>2195</v>
      </c>
      <c r="G452" s="276">
        <v>285</v>
      </c>
      <c r="H452" s="277">
        <v>1.4559706803265665E-4</v>
      </c>
      <c r="I452" s="277">
        <v>0.97346608380158473</v>
      </c>
    </row>
    <row r="453" spans="1:9" x14ac:dyDescent="0.25">
      <c r="A453" t="s">
        <v>2010</v>
      </c>
      <c r="B453" t="s">
        <v>543</v>
      </c>
      <c r="C453" s="271">
        <v>1</v>
      </c>
      <c r="E453" s="275" t="s">
        <v>2010</v>
      </c>
      <c r="F453" s="275" t="s">
        <v>2011</v>
      </c>
      <c r="G453" s="276">
        <v>282</v>
      </c>
      <c r="H453" s="277">
        <v>1.4406446731652343E-4</v>
      </c>
      <c r="I453" s="277">
        <v>0.97361014826890124</v>
      </c>
    </row>
    <row r="454" spans="1:9" x14ac:dyDescent="0.25">
      <c r="A454" t="s">
        <v>2012</v>
      </c>
      <c r="B454" t="s">
        <v>2013</v>
      </c>
      <c r="C454" s="271">
        <v>1</v>
      </c>
      <c r="E454" s="275" t="s">
        <v>1791</v>
      </c>
      <c r="F454" s="275" t="s">
        <v>2296</v>
      </c>
      <c r="G454" s="276">
        <v>279</v>
      </c>
      <c r="H454" s="277">
        <v>1.4253186660039021E-4</v>
      </c>
      <c r="I454" s="277">
        <v>0.97375268013550165</v>
      </c>
    </row>
    <row r="455" spans="1:9" x14ac:dyDescent="0.25">
      <c r="A455" t="s">
        <v>1674</v>
      </c>
      <c r="B455" t="s">
        <v>2014</v>
      </c>
      <c r="C455" s="271">
        <v>1</v>
      </c>
      <c r="E455" s="275" t="s">
        <v>1601</v>
      </c>
      <c r="F455" s="275" t="s">
        <v>2297</v>
      </c>
      <c r="G455" s="276">
        <v>277</v>
      </c>
      <c r="H455" s="277">
        <v>1.4151013278963472E-4</v>
      </c>
      <c r="I455" s="277">
        <v>0.97389419026829127</v>
      </c>
    </row>
    <row r="456" spans="1:9" x14ac:dyDescent="0.25">
      <c r="A456" t="s">
        <v>1674</v>
      </c>
      <c r="B456" t="s">
        <v>2015</v>
      </c>
      <c r="C456" s="271">
        <v>1</v>
      </c>
      <c r="E456" s="275" t="s">
        <v>1601</v>
      </c>
      <c r="F456" s="275" t="s">
        <v>2298</v>
      </c>
      <c r="G456" s="276">
        <v>275</v>
      </c>
      <c r="H456" s="277">
        <v>1.4048839897887923E-4</v>
      </c>
      <c r="I456" s="277">
        <v>0.97403467866727012</v>
      </c>
    </row>
    <row r="457" spans="1:9" x14ac:dyDescent="0.25">
      <c r="A457" t="s">
        <v>1674</v>
      </c>
      <c r="B457" t="s">
        <v>2016</v>
      </c>
      <c r="C457" s="271">
        <v>1</v>
      </c>
      <c r="E457" s="275" t="s">
        <v>1938</v>
      </c>
      <c r="F457" s="275" t="s">
        <v>2299</v>
      </c>
      <c r="G457" s="276">
        <v>275</v>
      </c>
      <c r="H457" s="277">
        <v>1.4048839897887923E-4</v>
      </c>
      <c r="I457" s="277">
        <v>0.97417516706624896</v>
      </c>
    </row>
    <row r="458" spans="1:9" x14ac:dyDescent="0.25">
      <c r="A458" t="s">
        <v>1674</v>
      </c>
      <c r="B458" t="s">
        <v>2017</v>
      </c>
      <c r="C458" s="271">
        <v>1</v>
      </c>
      <c r="E458" s="275" t="s">
        <v>1579</v>
      </c>
      <c r="F458" s="275" t="s">
        <v>1896</v>
      </c>
      <c r="G458" s="276">
        <v>274</v>
      </c>
      <c r="H458" s="277">
        <v>1.3997753207350147E-4</v>
      </c>
      <c r="I458" s="277">
        <v>0.97431514459832247</v>
      </c>
    </row>
    <row r="459" spans="1:9" x14ac:dyDescent="0.25">
      <c r="A459" t="s">
        <v>1723</v>
      </c>
      <c r="B459" t="s">
        <v>2018</v>
      </c>
      <c r="C459" s="271">
        <v>1</v>
      </c>
      <c r="E459" s="275" t="s">
        <v>1674</v>
      </c>
      <c r="F459" s="275" t="s">
        <v>1848</v>
      </c>
      <c r="G459" s="276">
        <v>273</v>
      </c>
      <c r="H459" s="277">
        <v>1.3946666516812374E-4</v>
      </c>
      <c r="I459" s="277">
        <v>0.97445461126349064</v>
      </c>
    </row>
    <row r="460" spans="1:9" x14ac:dyDescent="0.25">
      <c r="A460" t="s">
        <v>1723</v>
      </c>
      <c r="B460" t="s">
        <v>2019</v>
      </c>
      <c r="C460" s="271">
        <v>1</v>
      </c>
      <c r="E460" s="275" t="s">
        <v>1661</v>
      </c>
      <c r="F460" s="275" t="s">
        <v>2300</v>
      </c>
      <c r="G460" s="276">
        <v>273</v>
      </c>
      <c r="H460" s="277">
        <v>1.3946666516812374E-4</v>
      </c>
      <c r="I460" s="277">
        <v>0.97459407792865882</v>
      </c>
    </row>
    <row r="461" spans="1:9" x14ac:dyDescent="0.25">
      <c r="A461" t="s">
        <v>1780</v>
      </c>
      <c r="B461" t="s">
        <v>2020</v>
      </c>
      <c r="C461" s="271">
        <v>1</v>
      </c>
      <c r="E461" s="275" t="s">
        <v>1862</v>
      </c>
      <c r="F461" s="275" t="s">
        <v>2301</v>
      </c>
      <c r="G461" s="276">
        <v>271</v>
      </c>
      <c r="H461" s="277">
        <v>1.3844493135736825E-4</v>
      </c>
      <c r="I461" s="277">
        <v>0.97473252286001622</v>
      </c>
    </row>
    <row r="462" spans="1:9" x14ac:dyDescent="0.25">
      <c r="A462" t="s">
        <v>2021</v>
      </c>
      <c r="B462" t="s">
        <v>2022</v>
      </c>
      <c r="C462" s="271">
        <v>1</v>
      </c>
      <c r="E462" s="275" t="s">
        <v>1611</v>
      </c>
      <c r="F462" s="275" t="s">
        <v>2302</v>
      </c>
      <c r="G462" s="276">
        <v>270</v>
      </c>
      <c r="H462" s="277">
        <v>1.3793406445199052E-4</v>
      </c>
      <c r="I462" s="277">
        <v>0.97487045692446817</v>
      </c>
    </row>
    <row r="463" spans="1:9" x14ac:dyDescent="0.25">
      <c r="A463" t="s">
        <v>1852</v>
      </c>
      <c r="B463" t="s">
        <v>2023</v>
      </c>
      <c r="C463" s="271">
        <v>1</v>
      </c>
      <c r="E463" s="275" t="s">
        <v>1601</v>
      </c>
      <c r="F463" s="275" t="s">
        <v>1857</v>
      </c>
      <c r="G463" s="276">
        <v>269</v>
      </c>
      <c r="H463" s="277">
        <v>1.3742319754661276E-4</v>
      </c>
      <c r="I463" s="277">
        <v>0.97500788012201478</v>
      </c>
    </row>
    <row r="464" spans="1:9" x14ac:dyDescent="0.25">
      <c r="A464" t="s">
        <v>1852</v>
      </c>
      <c r="B464" t="s">
        <v>2024</v>
      </c>
      <c r="C464" s="271">
        <v>1</v>
      </c>
      <c r="E464" s="275" t="s">
        <v>1862</v>
      </c>
      <c r="F464" s="275" t="s">
        <v>2303</v>
      </c>
      <c r="G464" s="276">
        <v>268</v>
      </c>
      <c r="H464" s="277">
        <v>1.3691233064123503E-4</v>
      </c>
      <c r="I464" s="277">
        <v>0.97514479245265606</v>
      </c>
    </row>
    <row r="465" spans="1:9" x14ac:dyDescent="0.25">
      <c r="A465" t="s">
        <v>2025</v>
      </c>
      <c r="B465" t="s">
        <v>1853</v>
      </c>
      <c r="C465" s="271">
        <v>1</v>
      </c>
      <c r="E465" s="275" t="s">
        <v>1802</v>
      </c>
      <c r="F465" s="275" t="s">
        <v>2304</v>
      </c>
      <c r="G465" s="276">
        <v>266</v>
      </c>
      <c r="H465" s="277">
        <v>1.3589059683047954E-4</v>
      </c>
      <c r="I465" s="277">
        <v>0.97528068304948656</v>
      </c>
    </row>
    <row r="466" spans="1:9" x14ac:dyDescent="0.25">
      <c r="A466" t="s">
        <v>1601</v>
      </c>
      <c r="B466" t="s">
        <v>2026</v>
      </c>
      <c r="C466" s="271">
        <v>1</v>
      </c>
      <c r="E466" s="275" t="s">
        <v>1819</v>
      </c>
      <c r="F466" s="275" t="s">
        <v>2305</v>
      </c>
      <c r="G466" s="276">
        <v>266</v>
      </c>
      <c r="H466" s="277">
        <v>1.3589059683047954E-4</v>
      </c>
      <c r="I466" s="277">
        <v>0.97541657364631706</v>
      </c>
    </row>
    <row r="467" spans="1:9" x14ac:dyDescent="0.25">
      <c r="A467" t="s">
        <v>1601</v>
      </c>
      <c r="B467" t="s">
        <v>2027</v>
      </c>
      <c r="C467" s="271">
        <v>1</v>
      </c>
      <c r="E467" s="275" t="s">
        <v>1567</v>
      </c>
      <c r="F467" s="275" t="s">
        <v>2306</v>
      </c>
      <c r="G467" s="276">
        <v>264</v>
      </c>
      <c r="H467" s="277">
        <v>1.3486886301972405E-4</v>
      </c>
      <c r="I467" s="277">
        <v>0.97555144250933679</v>
      </c>
    </row>
    <row r="468" spans="1:9" x14ac:dyDescent="0.25">
      <c r="A468" t="s">
        <v>1601</v>
      </c>
      <c r="B468" t="s">
        <v>2028</v>
      </c>
      <c r="C468" s="271">
        <v>1</v>
      </c>
      <c r="E468" s="275" t="s">
        <v>1821</v>
      </c>
      <c r="F468" s="275" t="s">
        <v>2307</v>
      </c>
      <c r="G468" s="276">
        <v>262</v>
      </c>
      <c r="H468" s="277">
        <v>1.3384712920896856E-4</v>
      </c>
      <c r="I468" s="277">
        <v>0.97568528963854573</v>
      </c>
    </row>
    <row r="469" spans="1:9" x14ac:dyDescent="0.25">
      <c r="A469" t="s">
        <v>1601</v>
      </c>
      <c r="B469" t="s">
        <v>2029</v>
      </c>
      <c r="C469" s="271">
        <v>1</v>
      </c>
      <c r="E469" s="275" t="s">
        <v>1601</v>
      </c>
      <c r="F469" s="275" t="s">
        <v>2308</v>
      </c>
      <c r="G469" s="276">
        <v>261</v>
      </c>
      <c r="H469" s="277">
        <v>1.3333626230359083E-4</v>
      </c>
      <c r="I469" s="277">
        <v>0.97581862590084933</v>
      </c>
    </row>
    <row r="470" spans="1:9" x14ac:dyDescent="0.25">
      <c r="A470" t="s">
        <v>1601</v>
      </c>
      <c r="B470" t="s">
        <v>2030</v>
      </c>
      <c r="C470" s="271">
        <v>1</v>
      </c>
      <c r="E470" s="275" t="s">
        <v>2012</v>
      </c>
      <c r="F470" s="275" t="s">
        <v>2309</v>
      </c>
      <c r="G470" s="276">
        <v>259</v>
      </c>
      <c r="H470" s="277">
        <v>1.3231452849283534E-4</v>
      </c>
      <c r="I470" s="277">
        <v>0.97595094042934216</v>
      </c>
    </row>
    <row r="471" spans="1:9" x14ac:dyDescent="0.25">
      <c r="A471" t="s">
        <v>1601</v>
      </c>
      <c r="B471" t="s">
        <v>2031</v>
      </c>
      <c r="C471" s="271">
        <v>1</v>
      </c>
      <c r="E471" s="275" t="s">
        <v>1862</v>
      </c>
      <c r="F471" s="275" t="s">
        <v>2310</v>
      </c>
      <c r="G471" s="276">
        <v>258</v>
      </c>
      <c r="H471" s="277">
        <v>1.3180366158745761E-4</v>
      </c>
      <c r="I471" s="277">
        <v>0.97608274409092965</v>
      </c>
    </row>
    <row r="472" spans="1:9" x14ac:dyDescent="0.25">
      <c r="A472" t="s">
        <v>1601</v>
      </c>
      <c r="B472" t="s">
        <v>2032</v>
      </c>
      <c r="C472" s="271">
        <v>1</v>
      </c>
      <c r="E472" s="275" t="s">
        <v>1948</v>
      </c>
      <c r="F472" s="275" t="s">
        <v>2311</v>
      </c>
      <c r="G472" s="276">
        <v>257</v>
      </c>
      <c r="H472" s="277">
        <v>1.3129279468207986E-4</v>
      </c>
      <c r="I472" s="277">
        <v>0.9762140368856117</v>
      </c>
    </row>
    <row r="473" spans="1:9" x14ac:dyDescent="0.25">
      <c r="A473" t="s">
        <v>1601</v>
      </c>
      <c r="B473" t="s">
        <v>2033</v>
      </c>
      <c r="C473" s="271">
        <v>1</v>
      </c>
      <c r="E473" s="275" t="s">
        <v>1703</v>
      </c>
      <c r="F473" s="275" t="s">
        <v>1961</v>
      </c>
      <c r="G473" s="276">
        <v>255</v>
      </c>
      <c r="H473" s="277">
        <v>1.3027106087132437E-4</v>
      </c>
      <c r="I473" s="277">
        <v>0.97634430794648308</v>
      </c>
    </row>
    <row r="474" spans="1:9" x14ac:dyDescent="0.25">
      <c r="A474" t="s">
        <v>1601</v>
      </c>
      <c r="B474" t="s">
        <v>2034</v>
      </c>
      <c r="C474" s="271">
        <v>1</v>
      </c>
      <c r="E474" s="275" t="s">
        <v>1821</v>
      </c>
      <c r="F474" s="275" t="s">
        <v>2312</v>
      </c>
      <c r="G474" s="276">
        <v>251</v>
      </c>
      <c r="H474" s="277">
        <v>1.2822759324981341E-4</v>
      </c>
      <c r="I474" s="277">
        <v>0.9764725355397329</v>
      </c>
    </row>
    <row r="475" spans="1:9" x14ac:dyDescent="0.25">
      <c r="A475" t="s">
        <v>1601</v>
      </c>
      <c r="B475" t="s">
        <v>2035</v>
      </c>
      <c r="C475" s="271">
        <v>1</v>
      </c>
      <c r="E475" s="275" t="s">
        <v>1945</v>
      </c>
      <c r="F475" s="275" t="s">
        <v>2313</v>
      </c>
      <c r="G475" s="276">
        <v>251</v>
      </c>
      <c r="H475" s="277">
        <v>1.2822759324981341E-4</v>
      </c>
      <c r="I475" s="277">
        <v>0.97660076313298272</v>
      </c>
    </row>
    <row r="476" spans="1:9" x14ac:dyDescent="0.25">
      <c r="A476" t="s">
        <v>1601</v>
      </c>
      <c r="B476" t="s">
        <v>2036</v>
      </c>
      <c r="C476" s="271">
        <v>1</v>
      </c>
      <c r="E476" s="275" t="s">
        <v>1731</v>
      </c>
      <c r="F476" s="275" t="s">
        <v>2314</v>
      </c>
      <c r="G476" s="276">
        <v>247</v>
      </c>
      <c r="H476" s="277">
        <v>1.2618412562830244E-4</v>
      </c>
      <c r="I476" s="277">
        <v>0.97672694725861098</v>
      </c>
    </row>
    <row r="477" spans="1:9" x14ac:dyDescent="0.25">
      <c r="A477" t="s">
        <v>1784</v>
      </c>
      <c r="B477" t="s">
        <v>2037</v>
      </c>
      <c r="C477" s="271">
        <v>1</v>
      </c>
      <c r="E477" s="275" t="s">
        <v>1995</v>
      </c>
      <c r="F477" s="275" t="s">
        <v>2315</v>
      </c>
      <c r="G477" s="276">
        <v>242</v>
      </c>
      <c r="H477" s="277">
        <v>1.2362979110141373E-4</v>
      </c>
      <c r="I477" s="277">
        <v>0.97685057704971234</v>
      </c>
    </row>
    <row r="478" spans="1:9" x14ac:dyDescent="0.25">
      <c r="A478" t="s">
        <v>1784</v>
      </c>
      <c r="B478" t="s">
        <v>1736</v>
      </c>
      <c r="C478" s="271">
        <v>1</v>
      </c>
      <c r="E478" s="275" t="s">
        <v>1819</v>
      </c>
      <c r="F478" s="275" t="s">
        <v>2316</v>
      </c>
      <c r="G478" s="276">
        <v>242</v>
      </c>
      <c r="H478" s="277">
        <v>1.2362979110141373E-4</v>
      </c>
      <c r="I478" s="277">
        <v>0.97697420684081371</v>
      </c>
    </row>
    <row r="479" spans="1:9" x14ac:dyDescent="0.25">
      <c r="A479" t="s">
        <v>1784</v>
      </c>
      <c r="B479" t="s">
        <v>1769</v>
      </c>
      <c r="C479" s="271">
        <v>1</v>
      </c>
      <c r="E479" s="275" t="s">
        <v>1819</v>
      </c>
      <c r="F479" s="275" t="s">
        <v>2317</v>
      </c>
      <c r="G479" s="276">
        <v>241</v>
      </c>
      <c r="H479" s="277">
        <v>1.2311892419603597E-4</v>
      </c>
      <c r="I479" s="277">
        <v>0.97709732576500974</v>
      </c>
    </row>
    <row r="480" spans="1:9" x14ac:dyDescent="0.25">
      <c r="A480" t="s">
        <v>1567</v>
      </c>
      <c r="B480" t="s">
        <v>2038</v>
      </c>
      <c r="C480" s="271">
        <v>1</v>
      </c>
      <c r="E480" s="275" t="s">
        <v>1823</v>
      </c>
      <c r="F480" s="275" t="s">
        <v>2318</v>
      </c>
      <c r="G480" s="276">
        <v>241</v>
      </c>
      <c r="H480" s="277">
        <v>1.2311892419603597E-4</v>
      </c>
      <c r="I480" s="277">
        <v>0.97722044468920577</v>
      </c>
    </row>
    <row r="481" spans="1:9" x14ac:dyDescent="0.25">
      <c r="A481" t="s">
        <v>1567</v>
      </c>
      <c r="B481" t="s">
        <v>2039</v>
      </c>
      <c r="C481" s="271">
        <v>1</v>
      </c>
      <c r="E481" s="275" t="s">
        <v>1606</v>
      </c>
      <c r="F481" s="275" t="s">
        <v>1876</v>
      </c>
      <c r="G481" s="276">
        <v>240</v>
      </c>
      <c r="H481" s="277">
        <v>1.2260805729065824E-4</v>
      </c>
      <c r="I481" s="277">
        <v>0.97734305274649647</v>
      </c>
    </row>
    <row r="482" spans="1:9" x14ac:dyDescent="0.25">
      <c r="A482" t="s">
        <v>1567</v>
      </c>
      <c r="B482" t="s">
        <v>2040</v>
      </c>
      <c r="C482" s="271">
        <v>1</v>
      </c>
      <c r="E482" s="275" t="s">
        <v>1567</v>
      </c>
      <c r="F482" s="275" t="s">
        <v>2046</v>
      </c>
      <c r="G482" s="276">
        <v>240</v>
      </c>
      <c r="H482" s="277">
        <v>1.2260805729065824E-4</v>
      </c>
      <c r="I482" s="277">
        <v>0.97746566080378716</v>
      </c>
    </row>
    <row r="483" spans="1:9" x14ac:dyDescent="0.25">
      <c r="A483" t="s">
        <v>1567</v>
      </c>
      <c r="B483" t="s">
        <v>2041</v>
      </c>
      <c r="C483" s="271">
        <v>1</v>
      </c>
      <c r="E483" s="275" t="s">
        <v>1948</v>
      </c>
      <c r="F483" s="275" t="s">
        <v>2319</v>
      </c>
      <c r="G483" s="276">
        <v>239</v>
      </c>
      <c r="H483" s="277">
        <v>1.220971903852805E-4</v>
      </c>
      <c r="I483" s="277">
        <v>0.97758775799417241</v>
      </c>
    </row>
    <row r="484" spans="1:9" x14ac:dyDescent="0.25">
      <c r="A484" t="s">
        <v>1567</v>
      </c>
      <c r="B484" t="s">
        <v>2042</v>
      </c>
      <c r="C484" s="271">
        <v>1</v>
      </c>
      <c r="E484" s="275" t="s">
        <v>1606</v>
      </c>
      <c r="F484" s="275" t="s">
        <v>1875</v>
      </c>
      <c r="G484" s="276">
        <v>237</v>
      </c>
      <c r="H484" s="277">
        <v>1.21075456574525E-4</v>
      </c>
      <c r="I484" s="277">
        <v>0.97770883345074688</v>
      </c>
    </row>
    <row r="485" spans="1:9" x14ac:dyDescent="0.25">
      <c r="A485" t="s">
        <v>1567</v>
      </c>
      <c r="B485" t="s">
        <v>2043</v>
      </c>
      <c r="C485" s="271">
        <v>1</v>
      </c>
      <c r="E485" s="275" t="s">
        <v>1579</v>
      </c>
      <c r="F485" s="275" t="s">
        <v>2320</v>
      </c>
      <c r="G485" s="276">
        <v>236</v>
      </c>
      <c r="H485" s="277">
        <v>1.2056458966914727E-4</v>
      </c>
      <c r="I485" s="277">
        <v>0.97782939804041602</v>
      </c>
    </row>
    <row r="486" spans="1:9" x14ac:dyDescent="0.25">
      <c r="A486" t="s">
        <v>1567</v>
      </c>
      <c r="B486" t="s">
        <v>2044</v>
      </c>
      <c r="C486" s="271">
        <v>1</v>
      </c>
      <c r="E486" s="275" t="s">
        <v>1731</v>
      </c>
      <c r="F486" s="275" t="s">
        <v>2321</v>
      </c>
      <c r="G486" s="276">
        <v>236</v>
      </c>
      <c r="H486" s="277">
        <v>1.2056458966914727E-4</v>
      </c>
      <c r="I486" s="277">
        <v>0.97794996263008516</v>
      </c>
    </row>
    <row r="487" spans="1:9" x14ac:dyDescent="0.25">
      <c r="A487" t="s">
        <v>1567</v>
      </c>
      <c r="B487" t="s">
        <v>2045</v>
      </c>
      <c r="C487" s="271">
        <v>1</v>
      </c>
      <c r="E487" s="275" t="s">
        <v>1800</v>
      </c>
      <c r="F487" s="275" t="s">
        <v>2322</v>
      </c>
      <c r="G487" s="276">
        <v>234</v>
      </c>
      <c r="H487" s="277">
        <v>1.1954285585839178E-4</v>
      </c>
      <c r="I487" s="277">
        <v>0.97806950548594351</v>
      </c>
    </row>
    <row r="488" spans="1:9" x14ac:dyDescent="0.25">
      <c r="A488" t="s">
        <v>1567</v>
      </c>
      <c r="B488" t="s">
        <v>2046</v>
      </c>
      <c r="C488" s="271">
        <v>1</v>
      </c>
      <c r="E488" s="275" t="s">
        <v>1607</v>
      </c>
      <c r="F488" s="275" t="s">
        <v>2323</v>
      </c>
      <c r="G488" s="276">
        <v>233</v>
      </c>
      <c r="H488" s="277">
        <v>1.1903198895301404E-4</v>
      </c>
      <c r="I488" s="277">
        <v>0.97818853747489654</v>
      </c>
    </row>
    <row r="489" spans="1:9" x14ac:dyDescent="0.25">
      <c r="A489" t="s">
        <v>1567</v>
      </c>
      <c r="B489" t="s">
        <v>2047</v>
      </c>
      <c r="C489" s="271">
        <v>1</v>
      </c>
      <c r="E489" s="275" t="s">
        <v>1791</v>
      </c>
      <c r="F489" s="275" t="s">
        <v>1868</v>
      </c>
      <c r="G489" s="276">
        <v>232</v>
      </c>
      <c r="H489" s="277">
        <v>1.1852112204763629E-4</v>
      </c>
      <c r="I489" s="277">
        <v>0.97830705859694422</v>
      </c>
    </row>
    <row r="490" spans="1:9" x14ac:dyDescent="0.25">
      <c r="A490" t="s">
        <v>1567</v>
      </c>
      <c r="B490" t="s">
        <v>2048</v>
      </c>
      <c r="C490" s="271">
        <v>1</v>
      </c>
      <c r="E490" s="275" t="s">
        <v>1821</v>
      </c>
      <c r="F490" s="275" t="s">
        <v>2324</v>
      </c>
      <c r="G490" s="276">
        <v>230</v>
      </c>
      <c r="H490" s="277">
        <v>1.1749938823688082E-4</v>
      </c>
      <c r="I490" s="277">
        <v>0.97842455798518113</v>
      </c>
    </row>
    <row r="491" spans="1:9" x14ac:dyDescent="0.25">
      <c r="A491" t="s">
        <v>1567</v>
      </c>
      <c r="B491" t="s">
        <v>2049</v>
      </c>
      <c r="C491" s="271">
        <v>1</v>
      </c>
      <c r="E491" s="275" t="s">
        <v>2199</v>
      </c>
      <c r="F491" s="275" t="s">
        <v>2325</v>
      </c>
      <c r="G491" s="276">
        <v>228</v>
      </c>
      <c r="H491" s="277">
        <v>1.1647765442612533E-4</v>
      </c>
      <c r="I491" s="277">
        <v>0.97854103563960726</v>
      </c>
    </row>
    <row r="492" spans="1:9" x14ac:dyDescent="0.25">
      <c r="A492" t="s">
        <v>1862</v>
      </c>
      <c r="B492" t="s">
        <v>2050</v>
      </c>
      <c r="C492" s="271">
        <v>1</v>
      </c>
      <c r="E492" s="275" t="s">
        <v>1574</v>
      </c>
      <c r="F492" s="275" t="s">
        <v>2326</v>
      </c>
      <c r="G492" s="276">
        <v>227</v>
      </c>
      <c r="H492" s="277">
        <v>1.1596678752074758E-4</v>
      </c>
      <c r="I492" s="277">
        <v>0.97865700242712805</v>
      </c>
    </row>
    <row r="493" spans="1:9" x14ac:dyDescent="0.25">
      <c r="A493" t="s">
        <v>1862</v>
      </c>
      <c r="B493" t="s">
        <v>2051</v>
      </c>
      <c r="C493" s="271">
        <v>1</v>
      </c>
      <c r="E493" s="275" t="s">
        <v>1780</v>
      </c>
      <c r="F493" s="275" t="s">
        <v>2327</v>
      </c>
      <c r="G493" s="276">
        <v>226</v>
      </c>
      <c r="H493" s="277">
        <v>1.1545592061536984E-4</v>
      </c>
      <c r="I493" s="277">
        <v>0.9787724583477434</v>
      </c>
    </row>
    <row r="494" spans="1:9" x14ac:dyDescent="0.25">
      <c r="A494" t="s">
        <v>1862</v>
      </c>
      <c r="B494" t="s">
        <v>2052</v>
      </c>
      <c r="C494" s="271">
        <v>1</v>
      </c>
      <c r="E494" s="275" t="s">
        <v>1862</v>
      </c>
      <c r="F494" s="275" t="s">
        <v>2328</v>
      </c>
      <c r="G494" s="276">
        <v>225</v>
      </c>
      <c r="H494" s="277">
        <v>1.1494505370999209E-4</v>
      </c>
      <c r="I494" s="277">
        <v>0.97888740340145342</v>
      </c>
    </row>
    <row r="495" spans="1:9" x14ac:dyDescent="0.25">
      <c r="A495" t="s">
        <v>1862</v>
      </c>
      <c r="B495" t="s">
        <v>2053</v>
      </c>
      <c r="C495" s="271">
        <v>1</v>
      </c>
      <c r="E495" s="275" t="s">
        <v>1791</v>
      </c>
      <c r="F495" s="275" t="s">
        <v>2329</v>
      </c>
      <c r="G495" s="276">
        <v>221</v>
      </c>
      <c r="H495" s="277">
        <v>1.1290158608848113E-4</v>
      </c>
      <c r="I495" s="277">
        <v>0.97900030498754187</v>
      </c>
    </row>
    <row r="496" spans="1:9" x14ac:dyDescent="0.25">
      <c r="A496" t="s">
        <v>1862</v>
      </c>
      <c r="B496" t="s">
        <v>2054</v>
      </c>
      <c r="C496" s="271">
        <v>1</v>
      </c>
      <c r="E496" s="275" t="s">
        <v>1574</v>
      </c>
      <c r="F496" s="275" t="s">
        <v>2330</v>
      </c>
      <c r="G496" s="276">
        <v>219</v>
      </c>
      <c r="H496" s="277">
        <v>1.1187985227772564E-4</v>
      </c>
      <c r="I496" s="277">
        <v>0.97911218483981954</v>
      </c>
    </row>
    <row r="497" spans="5:9" x14ac:dyDescent="0.25">
      <c r="E497" s="275" t="s">
        <v>1703</v>
      </c>
      <c r="F497" s="275" t="s">
        <v>2331</v>
      </c>
      <c r="G497" s="276">
        <v>214</v>
      </c>
      <c r="H497" s="277">
        <v>1.0932551775083693E-4</v>
      </c>
      <c r="I497" s="277">
        <v>0.97922151035757043</v>
      </c>
    </row>
    <row r="498" spans="5:9" x14ac:dyDescent="0.25">
      <c r="E498" s="275" t="s">
        <v>1601</v>
      </c>
      <c r="F498" s="275" t="s">
        <v>2332</v>
      </c>
      <c r="G498" s="276">
        <v>213</v>
      </c>
      <c r="H498" s="277">
        <v>1.0881465084545918E-4</v>
      </c>
      <c r="I498" s="277">
        <v>0.97933032500841588</v>
      </c>
    </row>
    <row r="499" spans="5:9" x14ac:dyDescent="0.25">
      <c r="E499" s="275" t="s">
        <v>2199</v>
      </c>
      <c r="F499" s="275" t="s">
        <v>2333</v>
      </c>
      <c r="G499" s="276">
        <v>212</v>
      </c>
      <c r="H499" s="277">
        <v>1.0830378394008144E-4</v>
      </c>
      <c r="I499" s="277">
        <v>0.97943862879235599</v>
      </c>
    </row>
    <row r="500" spans="5:9" x14ac:dyDescent="0.25">
      <c r="E500" s="275" t="s">
        <v>1607</v>
      </c>
      <c r="F500" s="275" t="s">
        <v>2334</v>
      </c>
      <c r="G500" s="276">
        <v>211</v>
      </c>
      <c r="H500" s="277">
        <v>1.0779291703470369E-4</v>
      </c>
      <c r="I500" s="277">
        <v>0.97954642170939066</v>
      </c>
    </row>
    <row r="501" spans="5:9" x14ac:dyDescent="0.25">
      <c r="E501" s="275" t="s">
        <v>1802</v>
      </c>
      <c r="F501" s="275" t="s">
        <v>2335</v>
      </c>
      <c r="G501" s="276">
        <v>211</v>
      </c>
      <c r="H501" s="277">
        <v>1.0779291703470369E-4</v>
      </c>
      <c r="I501" s="277">
        <v>0.97965421462642532</v>
      </c>
    </row>
    <row r="502" spans="5:9" x14ac:dyDescent="0.25">
      <c r="E502" s="275" t="s">
        <v>1821</v>
      </c>
      <c r="F502" s="275" t="s">
        <v>2336</v>
      </c>
      <c r="G502" s="276">
        <v>210</v>
      </c>
      <c r="H502" s="277">
        <v>1.0728205012932596E-4</v>
      </c>
      <c r="I502" s="277">
        <v>0.97976149667655466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theme="5" tint="0.39997558519241921"/>
    <pageSetUpPr fitToPage="1"/>
  </sheetPr>
  <dimension ref="A1:L91"/>
  <sheetViews>
    <sheetView showFormulas="1" workbookViewId="0">
      <pane xSplit="1" ySplit="2" topLeftCell="B6" activePane="bottomRight" state="frozen"/>
      <selection pane="topRight" activeCell="B1" sqref="B1"/>
      <selection pane="bottomLeft" activeCell="A3" sqref="A3"/>
      <selection pane="bottomRight"/>
    </sheetView>
  </sheetViews>
  <sheetFormatPr baseColWidth="10" defaultColWidth="11.44140625" defaultRowHeight="14.4" x14ac:dyDescent="0.3"/>
  <cols>
    <col min="1" max="1" width="16" style="320" customWidth="1"/>
    <col min="2" max="2" width="8.44140625" style="320" bestFit="1" customWidth="1"/>
    <col min="3" max="3" width="4" style="320" customWidth="1"/>
    <col min="4" max="4" width="7.109375" style="320" customWidth="1"/>
    <col min="5" max="5" width="5.5546875" style="320" customWidth="1"/>
    <col min="6" max="6" width="5.44140625" style="320" customWidth="1"/>
    <col min="7" max="7" width="10.5546875" style="320" customWidth="1"/>
    <col min="8" max="8" width="5.44140625" style="320" customWidth="1"/>
    <col min="9" max="9" width="5.88671875" style="320" customWidth="1"/>
    <col min="10" max="10" width="4.109375" style="320" customWidth="1"/>
    <col min="11" max="11" width="13.88671875" style="320" customWidth="1"/>
    <col min="12" max="12" width="22.88671875" style="320" bestFit="1" customWidth="1"/>
    <col min="13" max="16384" width="11.44140625" style="320"/>
  </cols>
  <sheetData>
    <row r="1" spans="1:12" x14ac:dyDescent="0.3">
      <c r="A1" s="319" t="s">
        <v>2415</v>
      </c>
      <c r="B1" s="319"/>
      <c r="D1" s="361" t="s">
        <v>2519</v>
      </c>
      <c r="E1" s="350" t="s">
        <v>2530</v>
      </c>
    </row>
    <row r="2" spans="1:12" s="321" customFormat="1" ht="45.75" customHeight="1" x14ac:dyDescent="0.25">
      <c r="A2" s="323" t="s">
        <v>2416</v>
      </c>
      <c r="B2" s="323" t="s">
        <v>85</v>
      </c>
      <c r="C2" s="323" t="s">
        <v>2417</v>
      </c>
      <c r="D2" s="323" t="s">
        <v>2418</v>
      </c>
      <c r="E2" s="323" t="s">
        <v>2419</v>
      </c>
      <c r="F2" s="323" t="s">
        <v>2420</v>
      </c>
      <c r="G2" s="323" t="s">
        <v>90</v>
      </c>
      <c r="H2" s="324" t="s">
        <v>2421</v>
      </c>
      <c r="I2" s="324" t="s">
        <v>2422</v>
      </c>
      <c r="J2" s="324" t="s">
        <v>90</v>
      </c>
      <c r="K2" s="325" t="s">
        <v>2423</v>
      </c>
      <c r="L2" s="324" t="s">
        <v>2424</v>
      </c>
    </row>
    <row r="3" spans="1:12" x14ac:dyDescent="0.3">
      <c r="A3" s="1" t="s">
        <v>101</v>
      </c>
      <c r="B3" s="1" t="s">
        <v>2425</v>
      </c>
      <c r="C3" s="1">
        <v>15</v>
      </c>
      <c r="D3" s="1" t="s">
        <v>2426</v>
      </c>
      <c r="E3" s="1" t="s">
        <v>2427</v>
      </c>
      <c r="F3" s="1"/>
      <c r="G3" s="326" t="s">
        <v>142</v>
      </c>
      <c r="H3" s="326">
        <v>15</v>
      </c>
      <c r="I3" s="326" t="s">
        <v>914</v>
      </c>
      <c r="J3" s="326" t="s">
        <v>142</v>
      </c>
      <c r="K3" s="326" t="s">
        <v>2428</v>
      </c>
      <c r="L3" s="326" t="s">
        <v>2406</v>
      </c>
    </row>
    <row r="4" spans="1:12" x14ac:dyDescent="0.3">
      <c r="A4" s="1" t="s">
        <v>108</v>
      </c>
      <c r="B4" s="1" t="s">
        <v>2425</v>
      </c>
      <c r="C4" s="1">
        <v>153</v>
      </c>
      <c r="D4" s="1" t="s">
        <v>2429</v>
      </c>
      <c r="E4" s="1" t="s">
        <v>2429</v>
      </c>
      <c r="F4" s="1"/>
      <c r="G4" s="326" t="s">
        <v>142</v>
      </c>
      <c r="H4" s="326">
        <v>153</v>
      </c>
      <c r="I4" s="326" t="s">
        <v>914</v>
      </c>
      <c r="J4" s="326" t="s">
        <v>142</v>
      </c>
      <c r="K4" s="326" t="s">
        <v>2428</v>
      </c>
      <c r="L4" s="326" t="s">
        <v>2406</v>
      </c>
    </row>
    <row r="5" spans="1:12" x14ac:dyDescent="0.3">
      <c r="A5" s="1" t="s">
        <v>2430</v>
      </c>
      <c r="B5" s="1" t="s">
        <v>2431</v>
      </c>
      <c r="C5" s="1">
        <v>202</v>
      </c>
      <c r="D5" s="1" t="s">
        <v>2429</v>
      </c>
      <c r="E5" s="1" t="s">
        <v>2429</v>
      </c>
      <c r="F5" s="1"/>
      <c r="G5" s="1" t="s">
        <v>142</v>
      </c>
      <c r="H5" s="1">
        <v>202</v>
      </c>
      <c r="I5" s="1" t="s">
        <v>2432</v>
      </c>
      <c r="J5" s="1" t="s">
        <v>142</v>
      </c>
      <c r="K5" s="1" t="s">
        <v>2428</v>
      </c>
      <c r="L5" s="1" t="s">
        <v>2406</v>
      </c>
    </row>
    <row r="6" spans="1:12" x14ac:dyDescent="0.3">
      <c r="A6" s="1" t="s">
        <v>2433</v>
      </c>
      <c r="B6" s="1" t="s">
        <v>2431</v>
      </c>
      <c r="C6" s="1">
        <v>203</v>
      </c>
      <c r="D6" s="1" t="s">
        <v>2429</v>
      </c>
      <c r="E6" s="1" t="s">
        <v>2429</v>
      </c>
      <c r="F6" s="1"/>
      <c r="G6" s="1" t="s">
        <v>142</v>
      </c>
      <c r="H6" s="1">
        <v>203</v>
      </c>
      <c r="I6" s="1" t="s">
        <v>76</v>
      </c>
      <c r="J6" s="1" t="s">
        <v>142</v>
      </c>
      <c r="K6" s="1" t="s">
        <v>2428</v>
      </c>
      <c r="L6" s="1" t="s">
        <v>2406</v>
      </c>
    </row>
    <row r="7" spans="1:12" ht="27" x14ac:dyDescent="0.3">
      <c r="A7" s="279" t="s">
        <v>2434</v>
      </c>
      <c r="B7" s="279" t="s">
        <v>2431</v>
      </c>
      <c r="C7" s="6">
        <v>206</v>
      </c>
      <c r="D7" s="1" t="s">
        <v>2429</v>
      </c>
      <c r="E7" s="1" t="s">
        <v>2429</v>
      </c>
      <c r="F7" s="1"/>
      <c r="G7" s="1" t="s">
        <v>142</v>
      </c>
      <c r="H7" s="1">
        <v>206</v>
      </c>
      <c r="I7" s="1" t="s">
        <v>2432</v>
      </c>
      <c r="J7" s="1" t="s">
        <v>142</v>
      </c>
      <c r="K7" s="1" t="s">
        <v>2428</v>
      </c>
      <c r="L7" s="326" t="s">
        <v>2406</v>
      </c>
    </row>
    <row r="8" spans="1:12" ht="27" x14ac:dyDescent="0.3">
      <c r="A8" s="279" t="s">
        <v>2435</v>
      </c>
      <c r="B8" s="279" t="s">
        <v>2431</v>
      </c>
      <c r="C8" s="6">
        <v>207</v>
      </c>
      <c r="D8" s="1" t="s">
        <v>2429</v>
      </c>
      <c r="E8" s="1" t="s">
        <v>2429</v>
      </c>
      <c r="F8" s="1"/>
      <c r="G8" s="1" t="s">
        <v>142</v>
      </c>
      <c r="H8" s="1">
        <v>207</v>
      </c>
      <c r="I8" s="1" t="s">
        <v>76</v>
      </c>
      <c r="J8" s="1" t="s">
        <v>142</v>
      </c>
      <c r="K8" s="1" t="s">
        <v>2428</v>
      </c>
      <c r="L8" s="326" t="s">
        <v>2406</v>
      </c>
    </row>
    <row r="9" spans="1:12" ht="27" x14ac:dyDescent="0.3">
      <c r="A9" s="327" t="s">
        <v>113</v>
      </c>
      <c r="B9" s="327" t="s">
        <v>2436</v>
      </c>
      <c r="C9" s="328">
        <v>208</v>
      </c>
      <c r="D9" s="279" t="s">
        <v>2407</v>
      </c>
      <c r="E9" s="279" t="s">
        <v>2407</v>
      </c>
      <c r="F9" s="279"/>
      <c r="G9" s="1" t="s">
        <v>685</v>
      </c>
      <c r="H9" s="329">
        <v>208</v>
      </c>
      <c r="I9" s="1" t="s">
        <v>2437</v>
      </c>
      <c r="J9" s="1" t="s">
        <v>153</v>
      </c>
      <c r="K9" s="1" t="s">
        <v>2438</v>
      </c>
      <c r="L9" s="1" t="s">
        <v>2439</v>
      </c>
    </row>
    <row r="10" spans="1:12" ht="27" x14ac:dyDescent="0.3">
      <c r="A10" s="327" t="s">
        <v>114</v>
      </c>
      <c r="B10" s="327" t="s">
        <v>2436</v>
      </c>
      <c r="C10" s="328">
        <v>209</v>
      </c>
      <c r="D10" s="279" t="s">
        <v>2407</v>
      </c>
      <c r="E10" s="279" t="s">
        <v>2407</v>
      </c>
      <c r="F10" s="279"/>
      <c r="G10" s="1" t="s">
        <v>685</v>
      </c>
      <c r="H10" s="329">
        <v>209</v>
      </c>
      <c r="I10" s="1" t="s">
        <v>2437</v>
      </c>
      <c r="J10" s="1" t="s">
        <v>153</v>
      </c>
      <c r="K10" s="1" t="s">
        <v>2438</v>
      </c>
      <c r="L10" s="1" t="s">
        <v>2439</v>
      </c>
    </row>
    <row r="11" spans="1:12" x14ac:dyDescent="0.3">
      <c r="A11" s="327" t="s">
        <v>162</v>
      </c>
      <c r="B11" s="327" t="s">
        <v>2440</v>
      </c>
      <c r="C11" s="328">
        <v>212</v>
      </c>
      <c r="D11" s="279" t="s">
        <v>2407</v>
      </c>
      <c r="E11" s="279" t="s">
        <v>2427</v>
      </c>
      <c r="F11" s="279"/>
      <c r="G11" s="326" t="s">
        <v>142</v>
      </c>
      <c r="H11" s="330">
        <v>212</v>
      </c>
      <c r="I11" s="326" t="s">
        <v>2441</v>
      </c>
      <c r="J11" s="326" t="s">
        <v>142</v>
      </c>
      <c r="K11" s="326" t="s">
        <v>2428</v>
      </c>
      <c r="L11" s="326" t="s">
        <v>2406</v>
      </c>
    </row>
    <row r="12" spans="1:12" ht="27" x14ac:dyDescent="0.3">
      <c r="A12" s="327" t="s">
        <v>178</v>
      </c>
      <c r="B12" s="327" t="s">
        <v>2440</v>
      </c>
      <c r="C12" s="328">
        <v>216</v>
      </c>
      <c r="D12" s="279" t="s">
        <v>2407</v>
      </c>
      <c r="E12" s="279" t="s">
        <v>2427</v>
      </c>
      <c r="F12" s="279"/>
      <c r="G12" s="326" t="s">
        <v>1073</v>
      </c>
      <c r="H12" s="330">
        <v>216</v>
      </c>
      <c r="I12" s="330" t="s">
        <v>2442</v>
      </c>
      <c r="J12" s="330" t="s">
        <v>1073</v>
      </c>
      <c r="K12" s="330" t="s">
        <v>2441</v>
      </c>
      <c r="L12" s="331" t="s">
        <v>2439</v>
      </c>
    </row>
    <row r="13" spans="1:12" ht="27" x14ac:dyDescent="0.3">
      <c r="A13" s="327" t="s">
        <v>148</v>
      </c>
      <c r="B13" s="327" t="s">
        <v>2443</v>
      </c>
      <c r="C13" s="328">
        <v>245</v>
      </c>
      <c r="D13" s="279" t="s">
        <v>2407</v>
      </c>
      <c r="E13" s="279" t="s">
        <v>2429</v>
      </c>
      <c r="F13" s="279"/>
      <c r="G13" s="1" t="s">
        <v>147</v>
      </c>
      <c r="H13" s="332">
        <v>245</v>
      </c>
      <c r="I13" s="1" t="s">
        <v>2444</v>
      </c>
      <c r="J13" s="1" t="s">
        <v>147</v>
      </c>
      <c r="K13" s="1" t="s">
        <v>2441</v>
      </c>
      <c r="L13" s="1" t="s">
        <v>2406</v>
      </c>
    </row>
    <row r="14" spans="1:12" ht="27" x14ac:dyDescent="0.3">
      <c r="A14" s="327" t="s">
        <v>149</v>
      </c>
      <c r="B14" s="327" t="s">
        <v>2443</v>
      </c>
      <c r="C14" s="328">
        <v>246</v>
      </c>
      <c r="D14" s="279" t="s">
        <v>2407</v>
      </c>
      <c r="E14" s="279" t="s">
        <v>2429</v>
      </c>
      <c r="F14" s="279"/>
      <c r="G14" s="1" t="s">
        <v>147</v>
      </c>
      <c r="H14" s="332">
        <v>246</v>
      </c>
      <c r="I14" s="1" t="s">
        <v>2444</v>
      </c>
      <c r="J14" s="1" t="s">
        <v>147</v>
      </c>
      <c r="K14" s="1" t="s">
        <v>2441</v>
      </c>
      <c r="L14" s="1" t="s">
        <v>2406</v>
      </c>
    </row>
    <row r="15" spans="1:12" ht="27" x14ac:dyDescent="0.3">
      <c r="A15" s="327" t="s">
        <v>150</v>
      </c>
      <c r="B15" s="327" t="s">
        <v>2443</v>
      </c>
      <c r="C15" s="328">
        <v>267</v>
      </c>
      <c r="D15" s="279" t="s">
        <v>2407</v>
      </c>
      <c r="E15" s="279" t="s">
        <v>2429</v>
      </c>
      <c r="F15" s="279"/>
      <c r="G15" s="1" t="s">
        <v>147</v>
      </c>
      <c r="H15" s="332">
        <v>267</v>
      </c>
      <c r="I15" s="1" t="s">
        <v>2444</v>
      </c>
      <c r="J15" s="1" t="s">
        <v>147</v>
      </c>
      <c r="K15" s="1" t="s">
        <v>2441</v>
      </c>
      <c r="L15" s="1" t="s">
        <v>2406</v>
      </c>
    </row>
    <row r="16" spans="1:12" ht="16.5" customHeight="1" x14ac:dyDescent="0.3">
      <c r="A16" s="327" t="s">
        <v>151</v>
      </c>
      <c r="B16" s="327" t="s">
        <v>2443</v>
      </c>
      <c r="C16" s="328">
        <v>268</v>
      </c>
      <c r="D16" s="279" t="s">
        <v>2407</v>
      </c>
      <c r="E16" s="279" t="s">
        <v>2429</v>
      </c>
      <c r="F16" s="279"/>
      <c r="G16" s="1" t="s">
        <v>147</v>
      </c>
      <c r="H16" s="332">
        <v>268</v>
      </c>
      <c r="I16" s="1" t="s">
        <v>2444</v>
      </c>
      <c r="J16" s="1" t="s">
        <v>147</v>
      </c>
      <c r="K16" s="1" t="s">
        <v>2441</v>
      </c>
      <c r="L16" s="1" t="s">
        <v>2406</v>
      </c>
    </row>
    <row r="17" spans="1:12" ht="16.5" customHeight="1" x14ac:dyDescent="0.3">
      <c r="A17" s="279" t="s">
        <v>2445</v>
      </c>
      <c r="B17" s="279" t="s">
        <v>2446</v>
      </c>
      <c r="C17" s="1">
        <v>400</v>
      </c>
      <c r="D17" s="1" t="s">
        <v>2447</v>
      </c>
      <c r="E17" s="1" t="s">
        <v>2407</v>
      </c>
      <c r="F17" s="1"/>
      <c r="G17" s="1" t="s">
        <v>2448</v>
      </c>
      <c r="H17" s="1">
        <v>400</v>
      </c>
      <c r="I17" s="1" t="s">
        <v>2441</v>
      </c>
      <c r="J17" s="1" t="s">
        <v>2448</v>
      </c>
      <c r="K17" s="1" t="s">
        <v>2441</v>
      </c>
      <c r="L17" s="1" t="s">
        <v>2439</v>
      </c>
    </row>
    <row r="18" spans="1:12" ht="40.200000000000003" x14ac:dyDescent="0.3">
      <c r="A18" s="327" t="s">
        <v>118</v>
      </c>
      <c r="B18" s="327" t="s">
        <v>2449</v>
      </c>
      <c r="C18" s="328">
        <v>460</v>
      </c>
      <c r="D18" s="279" t="s">
        <v>2407</v>
      </c>
      <c r="E18" s="279" t="s">
        <v>2427</v>
      </c>
      <c r="F18" s="279"/>
      <c r="G18" s="1" t="s">
        <v>2448</v>
      </c>
      <c r="H18" s="332">
        <v>460</v>
      </c>
      <c r="I18" s="1" t="s">
        <v>2450</v>
      </c>
      <c r="J18" s="1" t="s">
        <v>2448</v>
      </c>
      <c r="K18" s="1" t="s">
        <v>2441</v>
      </c>
      <c r="L18" s="1" t="s">
        <v>2406</v>
      </c>
    </row>
    <row r="19" spans="1:12" ht="27" x14ac:dyDescent="0.3">
      <c r="A19" s="327" t="s">
        <v>202</v>
      </c>
      <c r="B19" s="327" t="s">
        <v>2451</v>
      </c>
      <c r="C19" s="328">
        <v>461</v>
      </c>
      <c r="D19" s="279" t="s">
        <v>2407</v>
      </c>
      <c r="E19" s="279" t="s">
        <v>2407</v>
      </c>
      <c r="F19" s="279"/>
      <c r="G19" s="1" t="s">
        <v>2448</v>
      </c>
      <c r="H19" s="329">
        <v>461</v>
      </c>
      <c r="I19" s="1" t="s">
        <v>2450</v>
      </c>
      <c r="J19" s="1" t="s">
        <v>2448</v>
      </c>
      <c r="K19" s="1" t="s">
        <v>2441</v>
      </c>
      <c r="L19" s="1" t="s">
        <v>2439</v>
      </c>
    </row>
    <row r="20" spans="1:12" ht="27" x14ac:dyDescent="0.3">
      <c r="A20" s="327" t="s">
        <v>203</v>
      </c>
      <c r="B20" s="327" t="s">
        <v>2452</v>
      </c>
      <c r="C20" s="328">
        <v>462</v>
      </c>
      <c r="D20" s="279" t="s">
        <v>2407</v>
      </c>
      <c r="E20" s="279" t="s">
        <v>2407</v>
      </c>
      <c r="F20" s="279"/>
      <c r="G20" s="1" t="s">
        <v>2448</v>
      </c>
      <c r="H20" s="329">
        <v>462</v>
      </c>
      <c r="I20" s="1" t="s">
        <v>2450</v>
      </c>
      <c r="J20" s="1" t="s">
        <v>2448</v>
      </c>
      <c r="K20" s="1" t="s">
        <v>2441</v>
      </c>
      <c r="L20" s="1" t="s">
        <v>2439</v>
      </c>
    </row>
    <row r="21" spans="1:12" ht="27" x14ac:dyDescent="0.3">
      <c r="A21" s="327" t="s">
        <v>204</v>
      </c>
      <c r="B21" s="327" t="s">
        <v>2443</v>
      </c>
      <c r="C21" s="328">
        <v>480</v>
      </c>
      <c r="D21" s="279" t="s">
        <v>2407</v>
      </c>
      <c r="E21" s="279" t="s">
        <v>2407</v>
      </c>
      <c r="F21" s="279"/>
      <c r="G21" s="1" t="s">
        <v>685</v>
      </c>
      <c r="H21" s="329">
        <v>480</v>
      </c>
      <c r="I21" s="1" t="s">
        <v>2450</v>
      </c>
      <c r="J21" s="1" t="s">
        <v>142</v>
      </c>
      <c r="K21" s="1" t="s">
        <v>2441</v>
      </c>
      <c r="L21" s="1" t="s">
        <v>2439</v>
      </c>
    </row>
    <row r="22" spans="1:12" ht="53.4" x14ac:dyDescent="0.3">
      <c r="A22" s="333" t="s">
        <v>205</v>
      </c>
      <c r="B22" s="333" t="s">
        <v>290</v>
      </c>
      <c r="C22" s="332">
        <v>2009</v>
      </c>
      <c r="D22" s="334" t="s">
        <v>2407</v>
      </c>
      <c r="E22" s="334" t="s">
        <v>2427</v>
      </c>
      <c r="F22" s="334"/>
      <c r="G22" s="331" t="s">
        <v>142</v>
      </c>
      <c r="H22" s="332">
        <v>2009</v>
      </c>
      <c r="I22" s="332"/>
      <c r="J22" s="332" t="s">
        <v>142</v>
      </c>
      <c r="K22" s="331" t="s">
        <v>2428</v>
      </c>
      <c r="L22" s="279" t="s">
        <v>2453</v>
      </c>
    </row>
    <row r="23" spans="1:12" ht="93" x14ac:dyDescent="0.3">
      <c r="A23" s="333" t="s">
        <v>154</v>
      </c>
      <c r="B23" s="334" t="s">
        <v>2436</v>
      </c>
      <c r="C23" s="332">
        <v>2010</v>
      </c>
      <c r="D23" s="334" t="s">
        <v>2407</v>
      </c>
      <c r="E23" s="334" t="s">
        <v>2427</v>
      </c>
      <c r="F23" s="334"/>
      <c r="G23" s="331" t="s">
        <v>153</v>
      </c>
      <c r="H23" s="332">
        <v>2010</v>
      </c>
      <c r="I23" s="332"/>
      <c r="J23" s="332" t="s">
        <v>153</v>
      </c>
      <c r="K23" s="331" t="s">
        <v>2441</v>
      </c>
      <c r="L23" s="335" t="s">
        <v>2454</v>
      </c>
    </row>
    <row r="24" spans="1:12" ht="52.8" x14ac:dyDescent="0.3">
      <c r="A24" s="327" t="s">
        <v>2455</v>
      </c>
      <c r="B24" s="327" t="s">
        <v>2440</v>
      </c>
      <c r="C24" s="328">
        <v>2011</v>
      </c>
      <c r="D24" s="279" t="s">
        <v>2407</v>
      </c>
      <c r="E24" s="279" t="s">
        <v>2427</v>
      </c>
      <c r="F24" s="279"/>
      <c r="G24" s="326" t="s">
        <v>142</v>
      </c>
      <c r="H24" s="330">
        <v>2011</v>
      </c>
      <c r="I24" s="330"/>
      <c r="J24" s="330" t="s">
        <v>142</v>
      </c>
      <c r="K24" s="330"/>
      <c r="L24" s="336" t="s">
        <v>2456</v>
      </c>
    </row>
    <row r="25" spans="1:12" ht="52.8" x14ac:dyDescent="0.3">
      <c r="A25" s="327" t="s">
        <v>187</v>
      </c>
      <c r="B25" s="327" t="s">
        <v>2440</v>
      </c>
      <c r="C25" s="328">
        <v>2019</v>
      </c>
      <c r="D25" s="279" t="s">
        <v>2407</v>
      </c>
      <c r="E25" s="279" t="s">
        <v>2427</v>
      </c>
      <c r="F25" s="279"/>
      <c r="G25" s="326" t="s">
        <v>142</v>
      </c>
      <c r="H25" s="330">
        <v>2019</v>
      </c>
      <c r="I25" s="330"/>
      <c r="J25" s="330" t="s">
        <v>142</v>
      </c>
      <c r="K25" s="330"/>
      <c r="L25" s="336" t="s">
        <v>2457</v>
      </c>
    </row>
    <row r="26" spans="1:12" ht="27" x14ac:dyDescent="0.3">
      <c r="A26" s="327" t="s">
        <v>206</v>
      </c>
      <c r="B26" s="327" t="s">
        <v>2443</v>
      </c>
      <c r="C26" s="328">
        <v>4051</v>
      </c>
      <c r="D26" s="279" t="s">
        <v>2407</v>
      </c>
      <c r="E26" s="279" t="s">
        <v>2429</v>
      </c>
      <c r="F26" s="279"/>
      <c r="G26" s="1" t="s">
        <v>2448</v>
      </c>
      <c r="H26" s="332">
        <v>4051</v>
      </c>
      <c r="I26" s="1" t="s">
        <v>2458</v>
      </c>
      <c r="J26" s="1" t="s">
        <v>2448</v>
      </c>
      <c r="K26" s="1" t="s">
        <v>2441</v>
      </c>
      <c r="L26" s="1" t="s">
        <v>2406</v>
      </c>
    </row>
    <row r="27" spans="1:12" x14ac:dyDescent="0.3">
      <c r="A27" s="327" t="s">
        <v>97</v>
      </c>
      <c r="B27" s="327" t="s">
        <v>2443</v>
      </c>
      <c r="C27" s="328">
        <v>10010</v>
      </c>
      <c r="D27" s="279" t="s">
        <v>2407</v>
      </c>
      <c r="E27" s="279" t="s">
        <v>2407</v>
      </c>
      <c r="F27" s="279"/>
      <c r="G27" s="1" t="s">
        <v>685</v>
      </c>
      <c r="H27" s="329" t="s">
        <v>2459</v>
      </c>
      <c r="I27" s="1"/>
      <c r="J27" s="1" t="s">
        <v>685</v>
      </c>
      <c r="K27" s="1"/>
      <c r="L27" s="1"/>
    </row>
    <row r="28" spans="1:12" ht="27" x14ac:dyDescent="0.3">
      <c r="A28" s="327" t="s">
        <v>98</v>
      </c>
      <c r="B28" s="327" t="s">
        <v>2452</v>
      </c>
      <c r="C28" s="328">
        <v>10011</v>
      </c>
      <c r="D28" s="279" t="s">
        <v>2407</v>
      </c>
      <c r="E28" s="279" t="s">
        <v>2407</v>
      </c>
      <c r="F28" s="279"/>
      <c r="G28" s="1" t="s">
        <v>685</v>
      </c>
      <c r="H28" s="332">
        <v>297</v>
      </c>
      <c r="I28" s="1" t="s">
        <v>914</v>
      </c>
      <c r="J28" s="337" t="s">
        <v>2460</v>
      </c>
      <c r="K28" s="1" t="s">
        <v>2441</v>
      </c>
      <c r="L28" s="1" t="s">
        <v>2439</v>
      </c>
    </row>
    <row r="29" spans="1:12" x14ac:dyDescent="0.3">
      <c r="A29" s="1" t="s">
        <v>2461</v>
      </c>
      <c r="B29" s="1" t="s">
        <v>290</v>
      </c>
      <c r="C29" s="1">
        <v>10012</v>
      </c>
      <c r="D29" s="1" t="s">
        <v>2447</v>
      </c>
      <c r="E29" s="1" t="s">
        <v>2407</v>
      </c>
      <c r="F29" s="1"/>
      <c r="G29" s="1" t="s">
        <v>2462</v>
      </c>
      <c r="H29" s="1">
        <v>285</v>
      </c>
      <c r="I29" s="1" t="s">
        <v>2441</v>
      </c>
      <c r="J29" s="1" t="s">
        <v>2463</v>
      </c>
      <c r="K29" s="331" t="s">
        <v>2464</v>
      </c>
      <c r="L29" s="1" t="s">
        <v>2439</v>
      </c>
    </row>
    <row r="30" spans="1:12" ht="40.200000000000003" x14ac:dyDescent="0.3">
      <c r="A30" s="279" t="s">
        <v>2465</v>
      </c>
      <c r="B30" s="279" t="s">
        <v>290</v>
      </c>
      <c r="C30" s="6">
        <v>10013</v>
      </c>
      <c r="D30" s="279" t="s">
        <v>2447</v>
      </c>
      <c r="E30" s="279" t="s">
        <v>2407</v>
      </c>
      <c r="F30" s="279"/>
      <c r="G30" s="1" t="s">
        <v>2462</v>
      </c>
      <c r="H30" s="1">
        <v>286</v>
      </c>
      <c r="I30" s="1" t="s">
        <v>2441</v>
      </c>
      <c r="J30" s="1" t="s">
        <v>2463</v>
      </c>
      <c r="K30" s="331" t="s">
        <v>2464</v>
      </c>
      <c r="L30" s="1" t="s">
        <v>2439</v>
      </c>
    </row>
    <row r="31" spans="1:12" ht="27" x14ac:dyDescent="0.3">
      <c r="A31" s="327" t="s">
        <v>99</v>
      </c>
      <c r="B31" s="327" t="s">
        <v>2466</v>
      </c>
      <c r="C31" s="328">
        <v>10014</v>
      </c>
      <c r="D31" s="279" t="s">
        <v>2407</v>
      </c>
      <c r="E31" s="279" t="s">
        <v>2407</v>
      </c>
      <c r="F31" s="279"/>
      <c r="G31" s="1" t="s">
        <v>685</v>
      </c>
      <c r="H31" s="329" t="s">
        <v>2467</v>
      </c>
      <c r="I31" s="1"/>
      <c r="J31" s="1" t="s">
        <v>685</v>
      </c>
      <c r="K31" s="1"/>
      <c r="L31" s="1"/>
    </row>
    <row r="32" spans="1:12" ht="27" x14ac:dyDescent="0.3">
      <c r="A32" s="327" t="s">
        <v>100</v>
      </c>
      <c r="B32" s="327" t="s">
        <v>2466</v>
      </c>
      <c r="C32" s="328">
        <v>10015</v>
      </c>
      <c r="D32" s="279" t="s">
        <v>2407</v>
      </c>
      <c r="E32" s="279" t="s">
        <v>2407</v>
      </c>
      <c r="F32" s="279"/>
      <c r="G32" s="1" t="s">
        <v>685</v>
      </c>
      <c r="H32" s="329" t="s">
        <v>2467</v>
      </c>
      <c r="I32" s="1"/>
      <c r="J32" s="1" t="s">
        <v>685</v>
      </c>
      <c r="K32" s="1"/>
      <c r="L32" s="1"/>
    </row>
    <row r="33" spans="1:12" x14ac:dyDescent="0.3">
      <c r="A33" s="327" t="s">
        <v>102</v>
      </c>
      <c r="B33" s="327" t="s">
        <v>2443</v>
      </c>
      <c r="C33" s="328">
        <v>10016</v>
      </c>
      <c r="D33" s="279" t="s">
        <v>2407</v>
      </c>
      <c r="E33" s="279" t="s">
        <v>2407</v>
      </c>
      <c r="F33" s="279"/>
      <c r="G33" s="1" t="s">
        <v>685</v>
      </c>
      <c r="H33" s="329" t="s">
        <v>2467</v>
      </c>
      <c r="I33" s="1"/>
      <c r="J33" s="1" t="s">
        <v>685</v>
      </c>
      <c r="K33" s="1"/>
      <c r="L33" s="1"/>
    </row>
    <row r="34" spans="1:12" x14ac:dyDescent="0.3">
      <c r="A34" s="279" t="s">
        <v>2468</v>
      </c>
      <c r="B34" s="279" t="s">
        <v>2469</v>
      </c>
      <c r="C34" s="1">
        <v>10017</v>
      </c>
      <c r="D34" s="1" t="s">
        <v>2447</v>
      </c>
      <c r="E34" s="1" t="s">
        <v>2427</v>
      </c>
      <c r="F34" s="1"/>
      <c r="G34" s="1" t="s">
        <v>2448</v>
      </c>
      <c r="H34" s="326">
        <v>4011</v>
      </c>
      <c r="I34" s="326" t="s">
        <v>2441</v>
      </c>
      <c r="J34" s="1" t="s">
        <v>2448</v>
      </c>
      <c r="K34" s="326" t="s">
        <v>2441</v>
      </c>
      <c r="L34" s="326" t="s">
        <v>2406</v>
      </c>
    </row>
    <row r="35" spans="1:12" ht="27" x14ac:dyDescent="0.3">
      <c r="A35" s="279" t="s">
        <v>2470</v>
      </c>
      <c r="B35" s="279" t="s">
        <v>2471</v>
      </c>
      <c r="C35" s="1">
        <v>10018</v>
      </c>
      <c r="D35" s="1" t="s">
        <v>2447</v>
      </c>
      <c r="E35" s="1" t="s">
        <v>2427</v>
      </c>
      <c r="F35" s="1"/>
      <c r="G35" s="1" t="s">
        <v>2448</v>
      </c>
      <c r="H35" s="1">
        <v>4021</v>
      </c>
      <c r="I35" s="1" t="s">
        <v>2441</v>
      </c>
      <c r="J35" s="1" t="s">
        <v>2448</v>
      </c>
      <c r="K35" s="1" t="s">
        <v>2441</v>
      </c>
      <c r="L35" s="1" t="s">
        <v>2406</v>
      </c>
    </row>
    <row r="36" spans="1:12" ht="27" x14ac:dyDescent="0.3">
      <c r="A36" s="327" t="s">
        <v>131</v>
      </c>
      <c r="B36" s="327" t="s">
        <v>290</v>
      </c>
      <c r="C36" s="328">
        <v>10021</v>
      </c>
      <c r="D36" s="279" t="s">
        <v>2407</v>
      </c>
      <c r="E36" s="279" t="s">
        <v>2427</v>
      </c>
      <c r="F36" s="279"/>
      <c r="G36" s="1" t="s">
        <v>685</v>
      </c>
      <c r="H36" s="329" t="s">
        <v>2467</v>
      </c>
      <c r="I36" s="1"/>
      <c r="J36" s="1" t="s">
        <v>685</v>
      </c>
      <c r="K36" s="1"/>
      <c r="L36" s="1"/>
    </row>
    <row r="37" spans="1:12" ht="27" x14ac:dyDescent="0.3">
      <c r="A37" s="327" t="s">
        <v>115</v>
      </c>
      <c r="B37" s="327" t="s">
        <v>290</v>
      </c>
      <c r="C37" s="328">
        <v>10024</v>
      </c>
      <c r="D37" s="279" t="s">
        <v>2407</v>
      </c>
      <c r="E37" s="279" t="s">
        <v>2427</v>
      </c>
      <c r="F37" s="279"/>
      <c r="G37" s="1" t="s">
        <v>685</v>
      </c>
      <c r="H37" s="329">
        <v>215</v>
      </c>
      <c r="I37" s="1" t="s">
        <v>2472</v>
      </c>
      <c r="J37" s="1" t="s">
        <v>891</v>
      </c>
      <c r="K37" s="1" t="s">
        <v>2441</v>
      </c>
      <c r="L37" s="331" t="s">
        <v>2473</v>
      </c>
    </row>
    <row r="38" spans="1:12" x14ac:dyDescent="0.3">
      <c r="A38" s="1" t="s">
        <v>2474</v>
      </c>
      <c r="B38" s="1" t="s">
        <v>2466</v>
      </c>
      <c r="C38" s="1">
        <v>10025</v>
      </c>
      <c r="D38" s="1" t="s">
        <v>2426</v>
      </c>
      <c r="E38" s="1" t="s">
        <v>2407</v>
      </c>
      <c r="F38" s="1"/>
      <c r="G38" s="1" t="s">
        <v>2475</v>
      </c>
      <c r="H38" s="1">
        <v>20</v>
      </c>
      <c r="I38" s="1" t="s">
        <v>2441</v>
      </c>
      <c r="J38" s="1" t="s">
        <v>2475</v>
      </c>
      <c r="K38" s="1" t="s">
        <v>2441</v>
      </c>
      <c r="L38" s="1" t="s">
        <v>2439</v>
      </c>
    </row>
    <row r="39" spans="1:12" x14ac:dyDescent="0.3">
      <c r="A39" s="1" t="s">
        <v>2476</v>
      </c>
      <c r="B39" s="1" t="s">
        <v>2466</v>
      </c>
      <c r="C39" s="1">
        <v>10026</v>
      </c>
      <c r="D39" s="1" t="s">
        <v>2426</v>
      </c>
      <c r="E39" s="1" t="s">
        <v>2407</v>
      </c>
      <c r="F39" s="1"/>
      <c r="G39" s="1" t="s">
        <v>2477</v>
      </c>
      <c r="H39" s="1">
        <v>2000</v>
      </c>
      <c r="I39" s="1" t="s">
        <v>2441</v>
      </c>
      <c r="J39" s="1" t="s">
        <v>2478</v>
      </c>
      <c r="K39" s="331" t="s">
        <v>2479</v>
      </c>
      <c r="L39" s="1" t="s">
        <v>2439</v>
      </c>
    </row>
    <row r="40" spans="1:12" ht="52.8" x14ac:dyDescent="0.3">
      <c r="A40" s="279" t="s">
        <v>2480</v>
      </c>
      <c r="B40" s="327" t="s">
        <v>2440</v>
      </c>
      <c r="C40" s="1">
        <v>10027</v>
      </c>
      <c r="D40" s="1" t="s">
        <v>2426</v>
      </c>
      <c r="E40" s="1" t="s">
        <v>2407</v>
      </c>
      <c r="F40" s="1"/>
      <c r="G40" s="326" t="s">
        <v>2481</v>
      </c>
      <c r="H40" s="326">
        <v>2007</v>
      </c>
      <c r="I40" s="326" t="s">
        <v>2482</v>
      </c>
      <c r="J40" s="326" t="s">
        <v>142</v>
      </c>
      <c r="K40" s="330" t="s">
        <v>2428</v>
      </c>
      <c r="L40" s="338" t="s">
        <v>2483</v>
      </c>
    </row>
    <row r="41" spans="1:12" x14ac:dyDescent="0.3">
      <c r="A41" s="1" t="s">
        <v>2484</v>
      </c>
      <c r="B41" s="1" t="s">
        <v>2436</v>
      </c>
      <c r="C41" s="1">
        <v>10028</v>
      </c>
      <c r="D41" s="1" t="s">
        <v>2447</v>
      </c>
      <c r="E41" s="1" t="s">
        <v>2407</v>
      </c>
      <c r="F41" s="1"/>
      <c r="G41" s="1" t="s">
        <v>2475</v>
      </c>
      <c r="H41" s="1">
        <v>208</v>
      </c>
      <c r="I41" s="1" t="s">
        <v>2441</v>
      </c>
      <c r="J41" s="1" t="s">
        <v>153</v>
      </c>
      <c r="K41" s="331" t="s">
        <v>2485</v>
      </c>
      <c r="L41" s="1" t="s">
        <v>2439</v>
      </c>
    </row>
    <row r="42" spans="1:12" ht="40.200000000000003" x14ac:dyDescent="0.3">
      <c r="A42" s="279" t="s">
        <v>2486</v>
      </c>
      <c r="B42" s="279" t="s">
        <v>2436</v>
      </c>
      <c r="C42" s="6">
        <v>10029</v>
      </c>
      <c r="D42" s="279" t="s">
        <v>2447</v>
      </c>
      <c r="E42" s="279" t="s">
        <v>2407</v>
      </c>
      <c r="F42" s="279"/>
      <c r="G42" s="1" t="s">
        <v>2475</v>
      </c>
      <c r="H42" s="1">
        <v>209</v>
      </c>
      <c r="I42" s="1" t="s">
        <v>2441</v>
      </c>
      <c r="J42" s="1" t="s">
        <v>153</v>
      </c>
      <c r="K42" s="331" t="s">
        <v>2485</v>
      </c>
      <c r="L42" s="1" t="s">
        <v>2439</v>
      </c>
    </row>
    <row r="43" spans="1:12" ht="27" x14ac:dyDescent="0.3">
      <c r="A43" s="279" t="s">
        <v>2487</v>
      </c>
      <c r="B43" s="327" t="s">
        <v>290</v>
      </c>
      <c r="C43" s="6">
        <v>10030</v>
      </c>
      <c r="D43" s="1" t="s">
        <v>2447</v>
      </c>
      <c r="E43" s="1" t="s">
        <v>2407</v>
      </c>
      <c r="F43" s="1"/>
      <c r="G43" s="1" t="s">
        <v>685</v>
      </c>
      <c r="H43" s="1">
        <v>215</v>
      </c>
      <c r="I43" s="1" t="s">
        <v>2441</v>
      </c>
      <c r="J43" s="1" t="s">
        <v>685</v>
      </c>
      <c r="K43" s="1" t="s">
        <v>2441</v>
      </c>
      <c r="L43" s="1" t="s">
        <v>2406</v>
      </c>
    </row>
    <row r="44" spans="1:12" ht="27" x14ac:dyDescent="0.3">
      <c r="A44" s="327" t="s">
        <v>103</v>
      </c>
      <c r="B44" s="327" t="s">
        <v>2440</v>
      </c>
      <c r="C44" s="328">
        <v>10050</v>
      </c>
      <c r="D44" s="279" t="s">
        <v>2407</v>
      </c>
      <c r="E44" s="279" t="s">
        <v>2407</v>
      </c>
      <c r="F44" s="279" t="s">
        <v>2488</v>
      </c>
      <c r="G44" s="326" t="s">
        <v>142</v>
      </c>
      <c r="H44" s="330">
        <v>212</v>
      </c>
      <c r="I44" s="326" t="s">
        <v>2441</v>
      </c>
      <c r="J44" s="326" t="s">
        <v>142</v>
      </c>
      <c r="K44" s="326" t="s">
        <v>2441</v>
      </c>
      <c r="L44" s="326"/>
    </row>
    <row r="45" spans="1:12" ht="75.75" customHeight="1" x14ac:dyDescent="0.3">
      <c r="A45" s="279" t="s">
        <v>2489</v>
      </c>
      <c r="B45" s="279" t="s">
        <v>2490</v>
      </c>
      <c r="C45" s="6">
        <v>11000</v>
      </c>
      <c r="D45" s="279" t="s">
        <v>2491</v>
      </c>
      <c r="E45" s="279" t="s">
        <v>2407</v>
      </c>
      <c r="F45" s="279"/>
      <c r="G45" s="1" t="s">
        <v>142</v>
      </c>
      <c r="H45" s="329" t="s">
        <v>2459</v>
      </c>
      <c r="I45" s="1"/>
      <c r="J45" s="1" t="s">
        <v>142</v>
      </c>
      <c r="K45" s="1"/>
      <c r="L45" s="1"/>
    </row>
    <row r="46" spans="1:12" ht="29.25" customHeight="1" x14ac:dyDescent="0.3">
      <c r="A46" s="279" t="s">
        <v>2492</v>
      </c>
      <c r="B46" s="279" t="s">
        <v>2490</v>
      </c>
      <c r="C46" s="6">
        <v>11001</v>
      </c>
      <c r="D46" s="279" t="s">
        <v>2493</v>
      </c>
      <c r="E46" s="279" t="s">
        <v>2407</v>
      </c>
      <c r="F46" s="279"/>
      <c r="G46" s="1" t="s">
        <v>142</v>
      </c>
      <c r="H46" s="329" t="s">
        <v>2459</v>
      </c>
      <c r="I46" s="1"/>
      <c r="J46" s="1" t="s">
        <v>142</v>
      </c>
      <c r="K46" s="1"/>
      <c r="L46" s="1"/>
    </row>
    <row r="47" spans="1:12" ht="14.25" customHeight="1" x14ac:dyDescent="0.3">
      <c r="A47" s="279" t="s">
        <v>2494</v>
      </c>
      <c r="B47" s="279" t="s">
        <v>2490</v>
      </c>
      <c r="C47" s="6">
        <v>11002</v>
      </c>
      <c r="D47" s="279" t="s">
        <v>2495</v>
      </c>
      <c r="E47" s="279" t="s">
        <v>2407</v>
      </c>
      <c r="F47" s="279"/>
      <c r="G47" s="1" t="s">
        <v>142</v>
      </c>
      <c r="H47" s="329" t="s">
        <v>2459</v>
      </c>
      <c r="I47" s="1"/>
      <c r="J47" s="1" t="s">
        <v>142</v>
      </c>
      <c r="K47" s="1"/>
      <c r="L47" s="1"/>
    </row>
    <row r="48" spans="1:12" x14ac:dyDescent="0.3">
      <c r="A48" s="279" t="s">
        <v>2496</v>
      </c>
      <c r="B48" s="279" t="s">
        <v>2490</v>
      </c>
      <c r="C48" s="6">
        <v>11003</v>
      </c>
      <c r="D48" s="279" t="s">
        <v>2497</v>
      </c>
      <c r="E48" s="279" t="s">
        <v>2407</v>
      </c>
      <c r="F48" s="279"/>
      <c r="G48" s="1" t="s">
        <v>142</v>
      </c>
      <c r="H48" s="329" t="s">
        <v>2459</v>
      </c>
      <c r="I48" s="1"/>
      <c r="J48" s="1" t="s">
        <v>142</v>
      </c>
      <c r="K48" s="1"/>
      <c r="L48" s="1"/>
    </row>
    <row r="49" spans="1:12" ht="40.200000000000003" x14ac:dyDescent="0.3">
      <c r="A49" s="327" t="s">
        <v>104</v>
      </c>
      <c r="B49" s="279" t="s">
        <v>2498</v>
      </c>
      <c r="C49" s="6">
        <v>20001</v>
      </c>
      <c r="D49" s="279" t="s">
        <v>2493</v>
      </c>
      <c r="E49" s="279" t="s">
        <v>2407</v>
      </c>
      <c r="F49" s="279"/>
      <c r="G49" s="1" t="s">
        <v>2499</v>
      </c>
      <c r="H49" s="1">
        <v>2001</v>
      </c>
      <c r="I49" s="1" t="s">
        <v>2441</v>
      </c>
      <c r="J49" s="1" t="s">
        <v>1531</v>
      </c>
      <c r="K49" s="331" t="s">
        <v>2500</v>
      </c>
      <c r="L49" s="279" t="s">
        <v>2501</v>
      </c>
    </row>
    <row r="50" spans="1:12" ht="40.200000000000003" x14ac:dyDescent="0.3">
      <c r="A50" s="327" t="s">
        <v>105</v>
      </c>
      <c r="B50" s="279" t="s">
        <v>2498</v>
      </c>
      <c r="C50" s="6">
        <v>20002</v>
      </c>
      <c r="D50" s="279" t="s">
        <v>2493</v>
      </c>
      <c r="E50" s="279" t="s">
        <v>2407</v>
      </c>
      <c r="F50" s="279"/>
      <c r="G50" s="1" t="s">
        <v>2499</v>
      </c>
      <c r="H50" s="1">
        <v>2002</v>
      </c>
      <c r="I50" s="1" t="s">
        <v>2441</v>
      </c>
      <c r="J50" s="1" t="s">
        <v>1531</v>
      </c>
      <c r="K50" s="331" t="s">
        <v>2500</v>
      </c>
      <c r="L50" s="279" t="s">
        <v>2501</v>
      </c>
    </row>
    <row r="51" spans="1:12" ht="40.200000000000003" x14ac:dyDescent="0.3">
      <c r="A51" s="327" t="s">
        <v>107</v>
      </c>
      <c r="B51" s="279" t="s">
        <v>2498</v>
      </c>
      <c r="C51" s="6">
        <v>20003</v>
      </c>
      <c r="D51" s="279" t="s">
        <v>2493</v>
      </c>
      <c r="E51" s="279" t="s">
        <v>2407</v>
      </c>
      <c r="F51" s="279"/>
      <c r="G51" s="1" t="s">
        <v>2499</v>
      </c>
      <c r="H51" s="1">
        <v>2003</v>
      </c>
      <c r="I51" s="1" t="s">
        <v>2441</v>
      </c>
      <c r="J51" s="1" t="s">
        <v>1531</v>
      </c>
      <c r="K51" s="331" t="s">
        <v>2500</v>
      </c>
      <c r="L51" s="279" t="s">
        <v>2501</v>
      </c>
    </row>
    <row r="52" spans="1:12" ht="40.200000000000003" x14ac:dyDescent="0.3">
      <c r="A52" s="327" t="s">
        <v>106</v>
      </c>
      <c r="B52" s="279" t="s">
        <v>2498</v>
      </c>
      <c r="C52" s="6">
        <v>20004</v>
      </c>
      <c r="D52" s="279" t="s">
        <v>2493</v>
      </c>
      <c r="E52" s="279" t="s">
        <v>2407</v>
      </c>
      <c r="F52" s="279"/>
      <c r="G52" s="1" t="s">
        <v>2499</v>
      </c>
      <c r="H52" s="1">
        <v>2004</v>
      </c>
      <c r="I52" s="1" t="s">
        <v>2441</v>
      </c>
      <c r="J52" s="1" t="s">
        <v>1531</v>
      </c>
      <c r="K52" s="331" t="s">
        <v>2500</v>
      </c>
      <c r="L52" s="279" t="s">
        <v>2501</v>
      </c>
    </row>
    <row r="53" spans="1:12" ht="14.25" customHeight="1" x14ac:dyDescent="0.3">
      <c r="A53" s="327" t="s">
        <v>2502</v>
      </c>
      <c r="B53" s="327" t="s">
        <v>290</v>
      </c>
      <c r="C53" s="328">
        <v>20006</v>
      </c>
      <c r="D53" s="279" t="s">
        <v>2407</v>
      </c>
      <c r="E53" s="279" t="s">
        <v>2427</v>
      </c>
      <c r="F53" s="279"/>
      <c r="G53" s="1" t="s">
        <v>685</v>
      </c>
      <c r="H53" s="329">
        <v>217</v>
      </c>
      <c r="I53" s="1" t="s">
        <v>2472</v>
      </c>
      <c r="J53" s="331" t="s">
        <v>2503</v>
      </c>
      <c r="K53" s="1" t="s">
        <v>2504</v>
      </c>
      <c r="L53" s="331" t="s">
        <v>2406</v>
      </c>
    </row>
    <row r="54" spans="1:12" ht="14.25" customHeight="1" x14ac:dyDescent="0.3">
      <c r="A54" s="327" t="s">
        <v>2505</v>
      </c>
      <c r="B54" s="327" t="s">
        <v>290</v>
      </c>
      <c r="C54" s="328">
        <v>20007</v>
      </c>
      <c r="D54" s="279" t="s">
        <v>2407</v>
      </c>
      <c r="E54" s="279" t="s">
        <v>2427</v>
      </c>
      <c r="F54" s="279"/>
      <c r="G54" s="1" t="s">
        <v>685</v>
      </c>
      <c r="H54" s="329" t="s">
        <v>2467</v>
      </c>
      <c r="I54" s="1"/>
      <c r="J54" s="1" t="s">
        <v>685</v>
      </c>
      <c r="K54" s="1" t="s">
        <v>2441</v>
      </c>
      <c r="L54" s="1" t="s">
        <v>2488</v>
      </c>
    </row>
    <row r="55" spans="1:12" ht="27" x14ac:dyDescent="0.3">
      <c r="A55" s="327" t="s">
        <v>181</v>
      </c>
      <c r="B55" s="327" t="s">
        <v>2469</v>
      </c>
      <c r="C55" s="328">
        <v>20008</v>
      </c>
      <c r="D55" s="279" t="s">
        <v>2407</v>
      </c>
      <c r="E55" s="279" t="s">
        <v>2427</v>
      </c>
      <c r="F55" s="279"/>
      <c r="G55" s="326" t="s">
        <v>2397</v>
      </c>
      <c r="H55" s="326">
        <v>218</v>
      </c>
      <c r="I55" s="326" t="s">
        <v>2506</v>
      </c>
      <c r="J55" s="326" t="s">
        <v>2397</v>
      </c>
      <c r="K55" s="326" t="s">
        <v>2441</v>
      </c>
      <c r="L55" s="1" t="s">
        <v>2488</v>
      </c>
    </row>
    <row r="56" spans="1:12" ht="40.200000000000003" x14ac:dyDescent="0.3">
      <c r="A56" s="327" t="s">
        <v>175</v>
      </c>
      <c r="B56" s="327" t="s">
        <v>2449</v>
      </c>
      <c r="C56" s="328">
        <v>20009</v>
      </c>
      <c r="D56" s="279" t="s">
        <v>2407</v>
      </c>
      <c r="E56" s="279" t="s">
        <v>2427</v>
      </c>
      <c r="F56" s="279"/>
      <c r="G56" s="1" t="s">
        <v>2520</v>
      </c>
      <c r="H56" s="329">
        <v>219</v>
      </c>
      <c r="I56" s="1" t="s">
        <v>2450</v>
      </c>
      <c r="J56" s="1" t="s">
        <v>170</v>
      </c>
      <c r="K56" s="6" t="s">
        <v>2441</v>
      </c>
      <c r="L56" s="334" t="s">
        <v>2406</v>
      </c>
    </row>
    <row r="57" spans="1:12" x14ac:dyDescent="0.3">
      <c r="A57" s="327" t="s">
        <v>182</v>
      </c>
      <c r="B57" s="327" t="s">
        <v>2471</v>
      </c>
      <c r="C57" s="328">
        <v>20010</v>
      </c>
      <c r="D57" s="279" t="s">
        <v>2407</v>
      </c>
      <c r="E57" s="279" t="s">
        <v>2427</v>
      </c>
      <c r="F57" s="279"/>
      <c r="G57" s="1" t="s">
        <v>2396</v>
      </c>
      <c r="H57" s="329">
        <v>220</v>
      </c>
      <c r="I57" s="1" t="s">
        <v>2507</v>
      </c>
      <c r="J57" s="1" t="s">
        <v>2396</v>
      </c>
      <c r="K57" s="1" t="s">
        <v>2428</v>
      </c>
      <c r="L57" s="1" t="s">
        <v>2406</v>
      </c>
    </row>
    <row r="58" spans="1:12" ht="53.4" x14ac:dyDescent="0.3">
      <c r="A58" s="327" t="s">
        <v>183</v>
      </c>
      <c r="B58" s="327" t="s">
        <v>2490</v>
      </c>
      <c r="C58" s="328">
        <v>20011</v>
      </c>
      <c r="D58" s="279" t="s">
        <v>2407</v>
      </c>
      <c r="E58" s="279" t="s">
        <v>2427</v>
      </c>
      <c r="F58" s="279"/>
      <c r="G58" s="1" t="s">
        <v>142</v>
      </c>
      <c r="H58" s="329">
        <v>243</v>
      </c>
      <c r="I58" s="1" t="s">
        <v>2441</v>
      </c>
      <c r="J58" s="1" t="s">
        <v>142</v>
      </c>
      <c r="K58" s="1" t="s">
        <v>2441</v>
      </c>
      <c r="L58" s="335" t="s">
        <v>2508</v>
      </c>
    </row>
    <row r="59" spans="1:12" ht="53.4" x14ac:dyDescent="0.3">
      <c r="A59" s="327" t="s">
        <v>184</v>
      </c>
      <c r="B59" s="327" t="s">
        <v>2490</v>
      </c>
      <c r="C59" s="328">
        <v>20012</v>
      </c>
      <c r="D59" s="279" t="s">
        <v>2407</v>
      </c>
      <c r="E59" s="279" t="s">
        <v>2427</v>
      </c>
      <c r="F59" s="279"/>
      <c r="G59" s="1" t="s">
        <v>142</v>
      </c>
      <c r="H59" s="329">
        <v>244</v>
      </c>
      <c r="I59" s="1" t="s">
        <v>2441</v>
      </c>
      <c r="J59" s="1" t="s">
        <v>142</v>
      </c>
      <c r="K59" s="1" t="s">
        <v>2441</v>
      </c>
      <c r="L59" s="335" t="s">
        <v>2508</v>
      </c>
    </row>
    <row r="60" spans="1:12" ht="171.6" x14ac:dyDescent="0.3">
      <c r="A60" s="327" t="s">
        <v>168</v>
      </c>
      <c r="B60" s="327" t="s">
        <v>2469</v>
      </c>
      <c r="C60" s="328">
        <v>20015</v>
      </c>
      <c r="D60" s="279" t="s">
        <v>2407</v>
      </c>
      <c r="E60" s="279" t="s">
        <v>2427</v>
      </c>
      <c r="F60" s="279"/>
      <c r="G60" s="326" t="s">
        <v>2509</v>
      </c>
      <c r="H60" s="326">
        <v>252</v>
      </c>
      <c r="I60" s="326" t="s">
        <v>2510</v>
      </c>
      <c r="J60" s="326" t="s">
        <v>2511</v>
      </c>
      <c r="K60" s="339" t="s">
        <v>2512</v>
      </c>
      <c r="L60" s="335" t="s">
        <v>2508</v>
      </c>
    </row>
    <row r="61" spans="1:12" ht="171.6" x14ac:dyDescent="0.3">
      <c r="A61" s="327" t="s">
        <v>169</v>
      </c>
      <c r="B61" s="327" t="s">
        <v>2469</v>
      </c>
      <c r="C61" s="328">
        <v>20016</v>
      </c>
      <c r="D61" s="279" t="s">
        <v>2407</v>
      </c>
      <c r="E61" s="279" t="s">
        <v>2427</v>
      </c>
      <c r="F61" s="279"/>
      <c r="G61" s="326" t="s">
        <v>2509</v>
      </c>
      <c r="H61" s="326">
        <v>253</v>
      </c>
      <c r="I61" s="326" t="s">
        <v>2510</v>
      </c>
      <c r="J61" s="326" t="s">
        <v>2511</v>
      </c>
      <c r="K61" s="339" t="s">
        <v>2512</v>
      </c>
      <c r="L61" s="335" t="s">
        <v>2508</v>
      </c>
    </row>
    <row r="62" spans="1:12" ht="39.75" customHeight="1" x14ac:dyDescent="0.3">
      <c r="A62" s="327" t="s">
        <v>174</v>
      </c>
      <c r="B62" s="327" t="s">
        <v>2449</v>
      </c>
      <c r="C62" s="328">
        <v>20017</v>
      </c>
      <c r="D62" s="279" t="s">
        <v>2407</v>
      </c>
      <c r="E62" s="279" t="s">
        <v>2427</v>
      </c>
      <c r="F62" s="279"/>
      <c r="G62" s="1" t="s">
        <v>170</v>
      </c>
      <c r="H62" s="329">
        <v>254</v>
      </c>
      <c r="I62" s="1" t="s">
        <v>2450</v>
      </c>
      <c r="J62" s="1" t="s">
        <v>170</v>
      </c>
      <c r="K62" s="6" t="s">
        <v>2441</v>
      </c>
      <c r="L62" s="334" t="s">
        <v>2406</v>
      </c>
    </row>
    <row r="63" spans="1:12" x14ac:dyDescent="0.3">
      <c r="A63" s="327" t="s">
        <v>172</v>
      </c>
      <c r="B63" s="327" t="s">
        <v>2452</v>
      </c>
      <c r="C63" s="328">
        <v>20018</v>
      </c>
      <c r="D63" s="279" t="s">
        <v>2407</v>
      </c>
      <c r="E63" s="279" t="s">
        <v>2427</v>
      </c>
      <c r="F63" s="279"/>
      <c r="G63" s="1" t="s">
        <v>170</v>
      </c>
      <c r="H63" s="329">
        <v>255</v>
      </c>
      <c r="I63" s="1" t="s">
        <v>2450</v>
      </c>
      <c r="J63" s="1" t="s">
        <v>170</v>
      </c>
      <c r="K63" s="6" t="s">
        <v>2441</v>
      </c>
      <c r="L63" s="1" t="s">
        <v>2439</v>
      </c>
    </row>
    <row r="64" spans="1:12" x14ac:dyDescent="0.3">
      <c r="A64" s="327" t="s">
        <v>173</v>
      </c>
      <c r="B64" s="327" t="s">
        <v>2452</v>
      </c>
      <c r="C64" s="328">
        <v>20019</v>
      </c>
      <c r="D64" s="279" t="s">
        <v>2407</v>
      </c>
      <c r="E64" s="279" t="s">
        <v>2427</v>
      </c>
      <c r="F64" s="279"/>
      <c r="G64" s="1" t="s">
        <v>2521</v>
      </c>
      <c r="H64" s="329">
        <v>256</v>
      </c>
      <c r="I64" s="1" t="s">
        <v>2450</v>
      </c>
      <c r="J64" s="1" t="s">
        <v>170</v>
      </c>
      <c r="K64" s="6" t="s">
        <v>2441</v>
      </c>
      <c r="L64" s="1" t="s">
        <v>2439</v>
      </c>
    </row>
    <row r="65" spans="1:12" ht="27" x14ac:dyDescent="0.3">
      <c r="A65" s="327" t="s">
        <v>201</v>
      </c>
      <c r="B65" s="279" t="s">
        <v>2446</v>
      </c>
      <c r="C65" s="328">
        <v>20022</v>
      </c>
      <c r="D65" s="279" t="s">
        <v>2407</v>
      </c>
      <c r="E65" s="279" t="s">
        <v>2427</v>
      </c>
      <c r="F65" s="279"/>
      <c r="G65" s="1" t="s">
        <v>2448</v>
      </c>
      <c r="H65" s="329">
        <v>400</v>
      </c>
      <c r="I65" s="1" t="s">
        <v>2513</v>
      </c>
      <c r="J65" s="1" t="s">
        <v>2448</v>
      </c>
      <c r="K65" s="1" t="s">
        <v>2441</v>
      </c>
      <c r="L65" s="340" t="s">
        <v>2522</v>
      </c>
    </row>
    <row r="66" spans="1:12" ht="27" x14ac:dyDescent="0.3">
      <c r="A66" s="327" t="s">
        <v>202</v>
      </c>
      <c r="B66" s="327" t="s">
        <v>2451</v>
      </c>
      <c r="C66" s="328">
        <v>20023</v>
      </c>
      <c r="D66" s="279" t="s">
        <v>2407</v>
      </c>
      <c r="E66" s="279" t="s">
        <v>2427</v>
      </c>
      <c r="F66" s="279"/>
      <c r="G66" s="1" t="s">
        <v>2448</v>
      </c>
      <c r="H66" s="329">
        <v>461</v>
      </c>
      <c r="I66" s="1" t="s">
        <v>2450</v>
      </c>
      <c r="J66" s="1" t="s">
        <v>2448</v>
      </c>
      <c r="K66" s="1" t="s">
        <v>2441</v>
      </c>
      <c r="L66" s="1" t="s">
        <v>2406</v>
      </c>
    </row>
    <row r="67" spans="1:12" ht="27" x14ac:dyDescent="0.3">
      <c r="A67" s="327" t="s">
        <v>203</v>
      </c>
      <c r="B67" s="327" t="s">
        <v>2452</v>
      </c>
      <c r="C67" s="328">
        <v>20024</v>
      </c>
      <c r="D67" s="279" t="s">
        <v>2407</v>
      </c>
      <c r="E67" s="279" t="s">
        <v>2427</v>
      </c>
      <c r="F67" s="279"/>
      <c r="G67" s="1" t="s">
        <v>2448</v>
      </c>
      <c r="H67" s="329">
        <v>462</v>
      </c>
      <c r="I67" s="1" t="s">
        <v>2450</v>
      </c>
      <c r="J67" s="1" t="s">
        <v>2448</v>
      </c>
      <c r="K67" s="1" t="s">
        <v>2441</v>
      </c>
      <c r="L67" s="1" t="s">
        <v>2439</v>
      </c>
    </row>
    <row r="68" spans="1:12" ht="27" x14ac:dyDescent="0.3">
      <c r="A68" s="327" t="s">
        <v>204</v>
      </c>
      <c r="B68" s="327" t="s">
        <v>2443</v>
      </c>
      <c r="C68" s="328">
        <v>20025</v>
      </c>
      <c r="D68" s="279" t="s">
        <v>2407</v>
      </c>
      <c r="E68" s="279" t="s">
        <v>2427</v>
      </c>
      <c r="F68" s="279"/>
      <c r="G68" s="1" t="s">
        <v>2448</v>
      </c>
      <c r="H68" s="329">
        <v>480</v>
      </c>
      <c r="I68" s="1" t="s">
        <v>2441</v>
      </c>
      <c r="J68" s="1" t="s">
        <v>2448</v>
      </c>
      <c r="K68" s="1" t="s">
        <v>2441</v>
      </c>
      <c r="L68" s="1" t="s">
        <v>2439</v>
      </c>
    </row>
    <row r="69" spans="1:12" ht="27" x14ac:dyDescent="0.3">
      <c r="A69" s="327" t="s">
        <v>14</v>
      </c>
      <c r="B69" s="327" t="s">
        <v>290</v>
      </c>
      <c r="C69" s="328">
        <v>20030</v>
      </c>
      <c r="D69" s="279" t="s">
        <v>2407</v>
      </c>
      <c r="E69" s="279" t="s">
        <v>2427</v>
      </c>
      <c r="F69" s="279"/>
      <c r="G69" s="1" t="s">
        <v>2514</v>
      </c>
      <c r="H69" s="329">
        <v>210</v>
      </c>
      <c r="I69" s="1" t="s">
        <v>2515</v>
      </c>
      <c r="J69" s="341" t="s">
        <v>2460</v>
      </c>
      <c r="K69" s="6" t="s">
        <v>2516</v>
      </c>
      <c r="L69" s="1" t="s">
        <v>2439</v>
      </c>
    </row>
    <row r="70" spans="1:12" ht="27" x14ac:dyDescent="0.3">
      <c r="A70" s="327" t="s">
        <v>17</v>
      </c>
      <c r="B70" s="327" t="s">
        <v>290</v>
      </c>
      <c r="C70" s="328">
        <v>20031</v>
      </c>
      <c r="D70" s="279" t="s">
        <v>2407</v>
      </c>
      <c r="E70" s="279" t="s">
        <v>2427</v>
      </c>
      <c r="F70" s="279"/>
      <c r="G70" s="1" t="s">
        <v>2514</v>
      </c>
      <c r="H70" s="329">
        <v>211</v>
      </c>
      <c r="I70" s="1" t="s">
        <v>2515</v>
      </c>
      <c r="J70" s="341" t="s">
        <v>2460</v>
      </c>
      <c r="K70" s="6" t="s">
        <v>2516</v>
      </c>
      <c r="L70" s="1" t="s">
        <v>2439</v>
      </c>
    </row>
    <row r="71" spans="1:12" ht="27" x14ac:dyDescent="0.3">
      <c r="A71" s="327" t="s">
        <v>158</v>
      </c>
      <c r="B71" s="279" t="s">
        <v>2425</v>
      </c>
      <c r="C71" s="328">
        <v>20032</v>
      </c>
      <c r="D71" s="279" t="s">
        <v>2407</v>
      </c>
      <c r="E71" s="279" t="s">
        <v>2429</v>
      </c>
      <c r="F71" s="279"/>
      <c r="G71" s="326" t="s">
        <v>142</v>
      </c>
      <c r="H71" s="326">
        <v>151</v>
      </c>
      <c r="I71" s="326" t="s">
        <v>2441</v>
      </c>
      <c r="J71" s="326" t="s">
        <v>142</v>
      </c>
      <c r="K71" s="326" t="s">
        <v>2441</v>
      </c>
      <c r="L71" s="326" t="s">
        <v>2439</v>
      </c>
    </row>
    <row r="72" spans="1:12" ht="27" x14ac:dyDescent="0.3">
      <c r="A72" s="327" t="s">
        <v>159</v>
      </c>
      <c r="B72" s="279" t="s">
        <v>2425</v>
      </c>
      <c r="C72" s="328">
        <v>20033</v>
      </c>
      <c r="D72" s="279" t="s">
        <v>2407</v>
      </c>
      <c r="E72" s="279" t="s">
        <v>2429</v>
      </c>
      <c r="F72" s="279"/>
      <c r="G72" s="326" t="s">
        <v>142</v>
      </c>
      <c r="H72" s="326">
        <v>152</v>
      </c>
      <c r="I72" s="326" t="s">
        <v>2441</v>
      </c>
      <c r="J72" s="326" t="s">
        <v>142</v>
      </c>
      <c r="K72" s="326" t="s">
        <v>2428</v>
      </c>
      <c r="L72" s="326" t="s">
        <v>2439</v>
      </c>
    </row>
    <row r="73" spans="1:12" ht="27" x14ac:dyDescent="0.3">
      <c r="A73" s="327" t="s">
        <v>160</v>
      </c>
      <c r="B73" s="279" t="s">
        <v>2425</v>
      </c>
      <c r="C73" s="328">
        <v>20034</v>
      </c>
      <c r="D73" s="279" t="s">
        <v>2407</v>
      </c>
      <c r="E73" s="279" t="s">
        <v>2429</v>
      </c>
      <c r="F73" s="279"/>
      <c r="G73" s="326" t="s">
        <v>142</v>
      </c>
      <c r="H73" s="326" t="s">
        <v>2467</v>
      </c>
      <c r="I73" s="326"/>
      <c r="J73" s="326" t="s">
        <v>142</v>
      </c>
      <c r="K73" s="326" t="s">
        <v>2428</v>
      </c>
      <c r="L73" s="326" t="s">
        <v>2439</v>
      </c>
    </row>
    <row r="74" spans="1:12" s="322" customFormat="1" ht="27" x14ac:dyDescent="0.3">
      <c r="A74" s="342" t="s">
        <v>186</v>
      </c>
      <c r="B74" s="342" t="s">
        <v>2440</v>
      </c>
      <c r="C74" s="343">
        <v>20035</v>
      </c>
      <c r="D74" s="344" t="s">
        <v>2407</v>
      </c>
      <c r="E74" s="344" t="s">
        <v>2427</v>
      </c>
      <c r="F74" s="344"/>
      <c r="G74" s="345" t="s">
        <v>142</v>
      </c>
      <c r="H74" s="345">
        <v>2011</v>
      </c>
      <c r="I74" s="345"/>
      <c r="J74" s="345" t="s">
        <v>142</v>
      </c>
      <c r="K74" s="345"/>
      <c r="L74" s="345" t="s">
        <v>2517</v>
      </c>
    </row>
    <row r="75" spans="1:12" s="322" customFormat="1" ht="27" x14ac:dyDescent="0.3">
      <c r="A75" s="342" t="s">
        <v>188</v>
      </c>
      <c r="B75" s="342" t="s">
        <v>2440</v>
      </c>
      <c r="C75" s="343">
        <v>20036</v>
      </c>
      <c r="D75" s="344" t="s">
        <v>2407</v>
      </c>
      <c r="E75" s="344" t="s">
        <v>2427</v>
      </c>
      <c r="F75" s="344"/>
      <c r="G75" s="345" t="s">
        <v>142</v>
      </c>
      <c r="H75" s="345">
        <v>2012</v>
      </c>
      <c r="I75" s="345"/>
      <c r="J75" s="345" t="s">
        <v>142</v>
      </c>
      <c r="K75" s="345"/>
      <c r="L75" s="345" t="s">
        <v>2517</v>
      </c>
    </row>
    <row r="76" spans="1:12" s="322" customFormat="1" ht="27" x14ac:dyDescent="0.3">
      <c r="A76" s="342" t="s">
        <v>189</v>
      </c>
      <c r="B76" s="342" t="s">
        <v>2440</v>
      </c>
      <c r="C76" s="343">
        <v>20037</v>
      </c>
      <c r="D76" s="344" t="s">
        <v>2407</v>
      </c>
      <c r="E76" s="344" t="s">
        <v>2427</v>
      </c>
      <c r="F76" s="344"/>
      <c r="G76" s="345" t="s">
        <v>142</v>
      </c>
      <c r="H76" s="345">
        <v>2013</v>
      </c>
      <c r="I76" s="345"/>
      <c r="J76" s="345" t="s">
        <v>142</v>
      </c>
      <c r="K76" s="345"/>
      <c r="L76" s="345" t="s">
        <v>2517</v>
      </c>
    </row>
    <row r="77" spans="1:12" s="322" customFormat="1" ht="27" x14ac:dyDescent="0.3">
      <c r="A77" s="342" t="s">
        <v>190</v>
      </c>
      <c r="B77" s="342" t="s">
        <v>2440</v>
      </c>
      <c r="C77" s="343">
        <v>20038</v>
      </c>
      <c r="D77" s="344" t="s">
        <v>2407</v>
      </c>
      <c r="E77" s="344" t="s">
        <v>2427</v>
      </c>
      <c r="F77" s="344"/>
      <c r="G77" s="345" t="s">
        <v>142</v>
      </c>
      <c r="H77" s="345">
        <v>2014</v>
      </c>
      <c r="I77" s="345"/>
      <c r="J77" s="345" t="s">
        <v>142</v>
      </c>
      <c r="K77" s="345"/>
      <c r="L77" s="345" t="s">
        <v>2517</v>
      </c>
    </row>
    <row r="78" spans="1:12" s="322" customFormat="1" ht="27" x14ac:dyDescent="0.3">
      <c r="A78" s="342" t="s">
        <v>191</v>
      </c>
      <c r="B78" s="342" t="s">
        <v>2440</v>
      </c>
      <c r="C78" s="343">
        <v>20039</v>
      </c>
      <c r="D78" s="344" t="s">
        <v>2407</v>
      </c>
      <c r="E78" s="344" t="s">
        <v>2427</v>
      </c>
      <c r="F78" s="344"/>
      <c r="G78" s="345" t="s">
        <v>142</v>
      </c>
      <c r="H78" s="345">
        <v>2015</v>
      </c>
      <c r="I78" s="345"/>
      <c r="J78" s="345" t="s">
        <v>142</v>
      </c>
      <c r="K78" s="345"/>
      <c r="L78" s="345" t="s">
        <v>2517</v>
      </c>
    </row>
    <row r="79" spans="1:12" s="322" customFormat="1" ht="27" x14ac:dyDescent="0.3">
      <c r="A79" s="342" t="s">
        <v>192</v>
      </c>
      <c r="B79" s="342" t="s">
        <v>2440</v>
      </c>
      <c r="C79" s="343">
        <v>20040</v>
      </c>
      <c r="D79" s="344" t="s">
        <v>2407</v>
      </c>
      <c r="E79" s="344" t="s">
        <v>2427</v>
      </c>
      <c r="F79" s="344"/>
      <c r="G79" s="345" t="s">
        <v>142</v>
      </c>
      <c r="H79" s="345">
        <v>2016</v>
      </c>
      <c r="I79" s="345"/>
      <c r="J79" s="345" t="s">
        <v>142</v>
      </c>
      <c r="K79" s="345"/>
      <c r="L79" s="345" t="s">
        <v>2517</v>
      </c>
    </row>
    <row r="80" spans="1:12" s="322" customFormat="1" ht="27" x14ac:dyDescent="0.3">
      <c r="A80" s="342" t="s">
        <v>194</v>
      </c>
      <c r="B80" s="342" t="s">
        <v>2440</v>
      </c>
      <c r="C80" s="343">
        <v>20041</v>
      </c>
      <c r="D80" s="344" t="s">
        <v>2407</v>
      </c>
      <c r="E80" s="344" t="s">
        <v>2427</v>
      </c>
      <c r="F80" s="344"/>
      <c r="G80" s="345" t="s">
        <v>142</v>
      </c>
      <c r="H80" s="345">
        <v>2017</v>
      </c>
      <c r="I80" s="345"/>
      <c r="J80" s="345" t="s">
        <v>142</v>
      </c>
      <c r="K80" s="345"/>
      <c r="L80" s="345" t="s">
        <v>2517</v>
      </c>
    </row>
    <row r="81" spans="1:12" s="322" customFormat="1" ht="27" x14ac:dyDescent="0.3">
      <c r="A81" s="342" t="s">
        <v>193</v>
      </c>
      <c r="B81" s="342" t="s">
        <v>2440</v>
      </c>
      <c r="C81" s="343">
        <v>20042</v>
      </c>
      <c r="D81" s="344" t="s">
        <v>2407</v>
      </c>
      <c r="E81" s="344" t="s">
        <v>2427</v>
      </c>
      <c r="F81" s="344"/>
      <c r="G81" s="345" t="s">
        <v>142</v>
      </c>
      <c r="H81" s="345">
        <v>2018</v>
      </c>
      <c r="I81" s="345"/>
      <c r="J81" s="345" t="s">
        <v>142</v>
      </c>
      <c r="K81" s="345"/>
      <c r="L81" s="345" t="s">
        <v>2517</v>
      </c>
    </row>
    <row r="82" spans="1:12" s="322" customFormat="1" x14ac:dyDescent="0.3">
      <c r="A82" s="342" t="s">
        <v>187</v>
      </c>
      <c r="B82" s="342" t="s">
        <v>2440</v>
      </c>
      <c r="C82" s="343">
        <v>20043</v>
      </c>
      <c r="D82" s="344" t="s">
        <v>2407</v>
      </c>
      <c r="E82" s="344" t="s">
        <v>2427</v>
      </c>
      <c r="F82" s="344"/>
      <c r="G82" s="345" t="s">
        <v>142</v>
      </c>
      <c r="H82" s="345">
        <v>2019</v>
      </c>
      <c r="I82" s="345"/>
      <c r="J82" s="345" t="s">
        <v>142</v>
      </c>
      <c r="K82" s="345"/>
      <c r="L82" s="345" t="s">
        <v>2517</v>
      </c>
    </row>
    <row r="83" spans="1:12" ht="27" x14ac:dyDescent="0.3">
      <c r="A83" s="327" t="s">
        <v>2518</v>
      </c>
      <c r="B83" s="327" t="s">
        <v>2440</v>
      </c>
      <c r="C83" s="328">
        <v>20044</v>
      </c>
      <c r="D83" s="279" t="s">
        <v>2407</v>
      </c>
      <c r="E83" s="279" t="s">
        <v>2429</v>
      </c>
      <c r="F83" s="279"/>
      <c r="G83" s="326" t="s">
        <v>142</v>
      </c>
      <c r="H83" s="326" t="s">
        <v>2467</v>
      </c>
      <c r="I83" s="326" t="s">
        <v>2467</v>
      </c>
      <c r="J83" s="326"/>
      <c r="K83" s="326"/>
      <c r="L83" s="326"/>
    </row>
    <row r="84" spans="1:12" ht="93" x14ac:dyDescent="0.3">
      <c r="A84" s="346" t="s">
        <v>1343</v>
      </c>
      <c r="B84" s="346"/>
      <c r="C84" s="347"/>
      <c r="D84" s="347"/>
      <c r="E84" s="347"/>
      <c r="F84" s="347"/>
      <c r="G84" s="347" t="s">
        <v>1085</v>
      </c>
      <c r="H84" s="347">
        <v>512</v>
      </c>
      <c r="I84" s="347" t="s">
        <v>875</v>
      </c>
      <c r="J84" s="348"/>
      <c r="K84" s="348"/>
      <c r="L84" s="335" t="s">
        <v>2523</v>
      </c>
    </row>
    <row r="85" spans="1:12" ht="93" x14ac:dyDescent="0.3">
      <c r="A85" s="346" t="s">
        <v>1344</v>
      </c>
      <c r="B85" s="346"/>
      <c r="C85" s="347"/>
      <c r="D85" s="347"/>
      <c r="E85" s="347"/>
      <c r="F85" s="347"/>
      <c r="G85" s="347" t="s">
        <v>1085</v>
      </c>
      <c r="H85" s="347">
        <v>513</v>
      </c>
      <c r="I85" s="347" t="s">
        <v>875</v>
      </c>
      <c r="J85" s="348"/>
      <c r="K85" s="348"/>
      <c r="L85" s="335" t="s">
        <v>2523</v>
      </c>
    </row>
    <row r="86" spans="1:12" ht="53.4" x14ac:dyDescent="0.3">
      <c r="A86" s="346" t="s">
        <v>1334</v>
      </c>
      <c r="B86" s="348"/>
      <c r="C86" s="346"/>
      <c r="D86" s="347"/>
      <c r="E86" s="347"/>
      <c r="F86" s="347"/>
      <c r="G86" s="347" t="s">
        <v>1085</v>
      </c>
      <c r="H86" s="349">
        <v>503</v>
      </c>
      <c r="I86" s="347" t="s">
        <v>875</v>
      </c>
      <c r="J86" s="348"/>
      <c r="K86" s="348"/>
      <c r="L86" s="335" t="s">
        <v>2524</v>
      </c>
    </row>
    <row r="87" spans="1:12" ht="40.200000000000003" x14ac:dyDescent="0.3">
      <c r="A87" s="346" t="s">
        <v>1335</v>
      </c>
      <c r="B87" s="348"/>
      <c r="C87" s="346"/>
      <c r="D87" s="347"/>
      <c r="E87" s="347"/>
      <c r="F87" s="347"/>
      <c r="G87" s="347" t="s">
        <v>1073</v>
      </c>
      <c r="H87" s="349">
        <v>504</v>
      </c>
      <c r="I87" s="347" t="s">
        <v>875</v>
      </c>
      <c r="J87" s="348"/>
      <c r="K87" s="348"/>
      <c r="L87" s="335" t="s">
        <v>2525</v>
      </c>
    </row>
    <row r="88" spans="1:12" ht="53.4" x14ac:dyDescent="0.3">
      <c r="A88" s="346" t="s">
        <v>1331</v>
      </c>
      <c r="B88" s="348"/>
      <c r="C88" s="346"/>
      <c r="D88" s="347"/>
      <c r="E88" s="347"/>
      <c r="F88" s="347"/>
      <c r="G88" s="347" t="s">
        <v>1085</v>
      </c>
      <c r="H88" s="349">
        <v>500</v>
      </c>
      <c r="I88" s="347" t="s">
        <v>875</v>
      </c>
      <c r="J88" s="348"/>
      <c r="K88" s="348"/>
      <c r="L88" s="335" t="s">
        <v>2526</v>
      </c>
    </row>
    <row r="89" spans="1:12" ht="40.200000000000003" x14ac:dyDescent="0.3">
      <c r="A89" s="346" t="s">
        <v>1332</v>
      </c>
      <c r="B89" s="348"/>
      <c r="C89" s="346"/>
      <c r="D89" s="347"/>
      <c r="E89" s="347"/>
      <c r="F89" s="347"/>
      <c r="G89" s="347" t="s">
        <v>1073</v>
      </c>
      <c r="H89" s="349">
        <v>501</v>
      </c>
      <c r="I89" s="347" t="s">
        <v>875</v>
      </c>
      <c r="J89" s="348"/>
      <c r="K89" s="348"/>
      <c r="L89" s="335" t="s">
        <v>2527</v>
      </c>
    </row>
    <row r="90" spans="1:12" ht="53.4" x14ac:dyDescent="0.3">
      <c r="A90" s="346" t="s">
        <v>1337</v>
      </c>
      <c r="B90" s="348"/>
      <c r="C90" s="346"/>
      <c r="D90" s="347"/>
      <c r="E90" s="347"/>
      <c r="F90" s="347"/>
      <c r="G90" s="347" t="s">
        <v>1085</v>
      </c>
      <c r="H90" s="349">
        <v>506</v>
      </c>
      <c r="I90" s="347" t="s">
        <v>875</v>
      </c>
      <c r="J90" s="348"/>
      <c r="K90" s="348"/>
      <c r="L90" s="335" t="s">
        <v>2528</v>
      </c>
    </row>
    <row r="91" spans="1:12" ht="40.200000000000003" x14ac:dyDescent="0.3">
      <c r="A91" s="346" t="s">
        <v>1338</v>
      </c>
      <c r="B91" s="348"/>
      <c r="C91" s="346"/>
      <c r="D91" s="347"/>
      <c r="E91" s="347"/>
      <c r="F91" s="347"/>
      <c r="G91" s="347" t="s">
        <v>1073</v>
      </c>
      <c r="H91" s="349">
        <v>507</v>
      </c>
      <c r="I91" s="347" t="s">
        <v>875</v>
      </c>
      <c r="J91" s="348"/>
      <c r="K91" s="348"/>
      <c r="L91" s="335" t="s">
        <v>2529</v>
      </c>
    </row>
  </sheetData>
  <autoFilter ref="A2:L91">
    <sortState ref="A3:L91">
      <sortCondition ref="C2:C91"/>
    </sortState>
  </autoFilter>
  <hyperlinks>
    <hyperlink ref="E1" r:id="rId1"/>
  </hyperlinks>
  <pageMargins left="0.7" right="0.7" top="0.75" bottom="0.75" header="0.3" footer="0.3"/>
  <pageSetup paperSize="8" scale="35"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FF00"/>
  </sheetPr>
  <dimension ref="A1:N31"/>
  <sheetViews>
    <sheetView topLeftCell="C1" workbookViewId="0">
      <selection activeCell="K17" sqref="K17"/>
    </sheetView>
  </sheetViews>
  <sheetFormatPr baseColWidth="10" defaultRowHeight="13.2" x14ac:dyDescent="0.25"/>
  <cols>
    <col min="1" max="1" width="26.33203125" customWidth="1"/>
    <col min="3" max="3" width="27.5546875" customWidth="1"/>
    <col min="6" max="6" width="17.109375" customWidth="1"/>
    <col min="7" max="7" width="16.44140625" customWidth="1"/>
    <col min="8" max="8" width="21.6640625" customWidth="1"/>
    <col min="9" max="9" width="25.6640625" customWidth="1"/>
  </cols>
  <sheetData>
    <row r="1" spans="1:14" x14ac:dyDescent="0.25">
      <c r="K1" t="s">
        <v>3121</v>
      </c>
      <c r="L1" t="s">
        <v>4696</v>
      </c>
      <c r="M1" t="s">
        <v>4699</v>
      </c>
    </row>
    <row r="2" spans="1:14" x14ac:dyDescent="0.25">
      <c r="C2" s="5"/>
      <c r="F2" s="5"/>
      <c r="H2" s="5"/>
      <c r="K2" t="s">
        <v>3120</v>
      </c>
      <c r="L2" t="s">
        <v>3259</v>
      </c>
      <c r="M2">
        <v>867322034085936</v>
      </c>
      <c r="N2" t="s">
        <v>4701</v>
      </c>
    </row>
    <row r="3" spans="1:14" x14ac:dyDescent="0.25">
      <c r="C3" s="5"/>
      <c r="F3" s="5"/>
      <c r="H3" s="5"/>
      <c r="K3" t="s">
        <v>3139</v>
      </c>
      <c r="L3" t="s">
        <v>3259</v>
      </c>
    </row>
    <row r="4" spans="1:14" x14ac:dyDescent="0.25">
      <c r="C4" s="5"/>
      <c r="F4" s="5"/>
      <c r="I4" s="1"/>
      <c r="K4" t="s">
        <v>3188</v>
      </c>
      <c r="L4" s="350" t="s">
        <v>3442</v>
      </c>
      <c r="M4">
        <v>867322034079814</v>
      </c>
    </row>
    <row r="5" spans="1:14" x14ac:dyDescent="0.25">
      <c r="C5" s="5"/>
      <c r="F5" s="5"/>
      <c r="K5" t="s">
        <v>4218</v>
      </c>
      <c r="L5" t="s">
        <v>4219</v>
      </c>
    </row>
    <row r="6" spans="1:14" x14ac:dyDescent="0.25">
      <c r="C6" s="5"/>
      <c r="F6" s="5"/>
      <c r="G6" s="5"/>
      <c r="H6" s="5"/>
      <c r="K6" t="s">
        <v>4460</v>
      </c>
      <c r="L6" t="s">
        <v>4461</v>
      </c>
    </row>
    <row r="7" spans="1:14" x14ac:dyDescent="0.25">
      <c r="C7" s="5"/>
      <c r="F7" s="5"/>
      <c r="G7" s="5"/>
      <c r="K7" t="s">
        <v>4710</v>
      </c>
      <c r="L7" t="s">
        <v>4711</v>
      </c>
      <c r="M7">
        <v>869103026251076</v>
      </c>
    </row>
    <row r="8" spans="1:14" x14ac:dyDescent="0.25">
      <c r="C8" s="5"/>
      <c r="F8" s="5"/>
      <c r="G8" s="5"/>
      <c r="H8" s="5"/>
    </row>
    <row r="9" spans="1:14" x14ac:dyDescent="0.25">
      <c r="C9" s="5"/>
      <c r="F9" s="269"/>
      <c r="G9" s="268"/>
      <c r="H9" s="5"/>
    </row>
    <row r="10" spans="1:14" x14ac:dyDescent="0.25">
      <c r="F10" s="5"/>
      <c r="G10" s="268"/>
      <c r="H10" s="5"/>
    </row>
    <row r="11" spans="1:14" x14ac:dyDescent="0.25">
      <c r="C11" s="5"/>
      <c r="F11" s="5"/>
      <c r="G11" s="268"/>
      <c r="H11" s="5"/>
    </row>
    <row r="12" spans="1:14" x14ac:dyDescent="0.25">
      <c r="C12" s="5"/>
      <c r="F12" s="5"/>
      <c r="G12" s="270"/>
    </row>
    <row r="13" spans="1:14" x14ac:dyDescent="0.25">
      <c r="C13" s="5"/>
      <c r="F13" s="316"/>
      <c r="G13" s="270"/>
    </row>
    <row r="14" spans="1:14" x14ac:dyDescent="0.25">
      <c r="C14" s="5"/>
      <c r="F14" s="5"/>
      <c r="G14" s="270"/>
    </row>
    <row r="15" spans="1:14" x14ac:dyDescent="0.25">
      <c r="C15" s="5"/>
      <c r="F15" s="5"/>
      <c r="G15" s="270"/>
    </row>
    <row r="16" spans="1:14" x14ac:dyDescent="0.25">
      <c r="A16" s="1"/>
      <c r="B16" s="1"/>
      <c r="C16" s="5"/>
      <c r="F16" s="5"/>
      <c r="G16" s="5"/>
      <c r="H16" s="5"/>
    </row>
    <row r="17" spans="2:10" x14ac:dyDescent="0.25">
      <c r="B17" s="316"/>
      <c r="C17" s="5"/>
      <c r="F17" s="5"/>
      <c r="G17" s="270"/>
      <c r="H17" s="5"/>
    </row>
    <row r="18" spans="2:10" x14ac:dyDescent="0.25">
      <c r="B18" s="316"/>
      <c r="C18" s="5"/>
      <c r="F18" s="5"/>
      <c r="G18" s="359"/>
      <c r="H18" s="5"/>
    </row>
    <row r="19" spans="2:10" x14ac:dyDescent="0.25">
      <c r="F19" s="5"/>
      <c r="G19" s="5"/>
      <c r="H19" s="5"/>
    </row>
    <row r="21" spans="2:10" x14ac:dyDescent="0.25">
      <c r="G21" s="5"/>
      <c r="H21" s="5"/>
    </row>
    <row r="22" spans="2:10" x14ac:dyDescent="0.25">
      <c r="F22" s="356" t="s">
        <v>3258</v>
      </c>
      <c r="G22" s="5" t="s">
        <v>3255</v>
      </c>
      <c r="H22" s="5"/>
      <c r="I22" s="5"/>
    </row>
    <row r="23" spans="2:10" ht="25.5" customHeight="1" x14ac:dyDescent="0.25">
      <c r="F23" s="356" t="s">
        <v>3256</v>
      </c>
      <c r="G23" s="366" t="s">
        <v>3257</v>
      </c>
      <c r="H23" s="364"/>
      <c r="I23" s="365"/>
    </row>
    <row r="24" spans="2:10" ht="26.4" x14ac:dyDescent="0.25">
      <c r="F24" s="356" t="s">
        <v>3095</v>
      </c>
      <c r="G24" s="607" t="s">
        <v>3195</v>
      </c>
      <c r="H24" s="542"/>
      <c r="I24" s="542"/>
    </row>
    <row r="25" spans="2:10" ht="26.4" x14ac:dyDescent="0.25">
      <c r="C25" t="s">
        <v>3282</v>
      </c>
      <c r="F25" s="356" t="s">
        <v>3094</v>
      </c>
      <c r="G25" s="1" t="s">
        <v>3260</v>
      </c>
      <c r="H25" s="1"/>
      <c r="I25" s="1"/>
    </row>
    <row r="26" spans="2:10" ht="26.4" x14ac:dyDescent="0.25">
      <c r="F26" s="279" t="s">
        <v>3098</v>
      </c>
      <c r="G26" s="608" t="s">
        <v>3196</v>
      </c>
      <c r="H26" s="609"/>
      <c r="I26" s="610"/>
    </row>
    <row r="27" spans="2:10" ht="25.5" customHeight="1" x14ac:dyDescent="0.25">
      <c r="F27" s="356" t="s">
        <v>3096</v>
      </c>
      <c r="G27" t="s">
        <v>3197</v>
      </c>
      <c r="J27" t="s">
        <v>807</v>
      </c>
    </row>
    <row r="28" spans="2:10" ht="26.4" x14ac:dyDescent="0.25">
      <c r="F28" s="356" t="s">
        <v>3096</v>
      </c>
      <c r="G28" t="s">
        <v>3198</v>
      </c>
      <c r="J28" t="s">
        <v>615</v>
      </c>
    </row>
    <row r="29" spans="2:10" x14ac:dyDescent="0.25">
      <c r="F29" s="360" t="s">
        <v>3099</v>
      </c>
      <c r="G29" s="5" t="s">
        <v>3199</v>
      </c>
    </row>
    <row r="30" spans="2:10" x14ac:dyDescent="0.25">
      <c r="F30" s="360" t="s">
        <v>3124</v>
      </c>
      <c r="G30" s="5" t="s">
        <v>3123</v>
      </c>
    </row>
    <row r="31" spans="2:10" x14ac:dyDescent="0.25">
      <c r="F31" t="s">
        <v>3193</v>
      </c>
      <c r="G31" s="5" t="s">
        <v>3192</v>
      </c>
    </row>
  </sheetData>
  <mergeCells count="2">
    <mergeCell ref="G24:I24"/>
    <mergeCell ref="G26:I2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20</vt:i4>
      </vt:variant>
      <vt:variant>
        <vt:lpstr>Plages nommées</vt:lpstr>
      </vt:variant>
      <vt:variant>
        <vt:i4>13</vt:i4>
      </vt:variant>
    </vt:vector>
  </HeadingPairs>
  <TitlesOfParts>
    <vt:vector size="33" baseType="lpstr">
      <vt:lpstr>Annexe Ican</vt:lpstr>
      <vt:lpstr>Donnees_brutes</vt:lpstr>
      <vt:lpstr>Donnees_triees</vt:lpstr>
      <vt:lpstr>Fichier de conf</vt:lpstr>
      <vt:lpstr>Datalog</vt:lpstr>
      <vt:lpstr>Datalog_Diag</vt:lpstr>
      <vt:lpstr>Debug Ican</vt:lpstr>
      <vt:lpstr>CalculMapping</vt:lpstr>
      <vt:lpstr>Liste_Services</vt:lpstr>
      <vt:lpstr>ucStates</vt:lpstr>
      <vt:lpstr>TTSConv</vt:lpstr>
      <vt:lpstr>Gen_Fic_VCI</vt:lpstr>
      <vt:lpstr>Param_Serveur</vt:lpstr>
      <vt:lpstr>CRV_Context</vt:lpstr>
      <vt:lpstr>CRV_Data</vt:lpstr>
      <vt:lpstr>CRV_Summary</vt:lpstr>
      <vt:lpstr>Mapping OBD</vt:lpstr>
      <vt:lpstr>Top_Veh</vt:lpstr>
      <vt:lpstr>Param</vt:lpstr>
      <vt:lpstr>Annexe</vt:lpstr>
      <vt:lpstr>Adresse_fic_base</vt:lpstr>
      <vt:lpstr>CalculMapping!Impression_des_titres</vt:lpstr>
      <vt:lpstr>Gen_Fic_VCI!Impression_des_titres</vt:lpstr>
      <vt:lpstr>Param_Serveur!rmc</vt:lpstr>
      <vt:lpstr>TAB_TITULAIRE</vt:lpstr>
      <vt:lpstr>TAB_USER</vt:lpstr>
      <vt:lpstr>TTS_Digit</vt:lpstr>
      <vt:lpstr>TTS_Name</vt:lpstr>
      <vt:lpstr>TTS_State</vt:lpstr>
      <vt:lpstr>TTS_Tab_to_Convert</vt:lpstr>
      <vt:lpstr>TTS_Trad</vt:lpstr>
      <vt:lpstr>CalculMapping!Zone_d_impression</vt:lpstr>
      <vt:lpstr>Param_Serveur!Zone_d_impression</vt:lpstr>
    </vt:vector>
  </TitlesOfParts>
  <Company>ACTIA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 DEVAY</dc:creator>
  <cp:lastModifiedBy>J. DEVAY</cp:lastModifiedBy>
  <cp:lastPrinted>2018-01-10T11:38:28Z</cp:lastPrinted>
  <dcterms:created xsi:type="dcterms:W3CDTF">2013-12-03T08:17:32Z</dcterms:created>
  <dcterms:modified xsi:type="dcterms:W3CDTF">2018-10-22T13:18:45Z</dcterms:modified>
</cp:coreProperties>
</file>