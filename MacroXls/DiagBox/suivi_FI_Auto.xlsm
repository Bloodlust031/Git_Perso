
<file path=[Content_Types].xml><?xml version="1.0" encoding="utf-8"?>
<Types xmlns="http://schemas.openxmlformats.org/package/2006/content-types">
  <Override PartName="/xl/activeX/activeX2.bin" ContentType="application/vnd.ms-office.activeX"/>
  <Override PartName="/xl/activeX/activeX4.bin" ContentType="application/vnd.ms-office.activeX"/>
  <Override PartName="/xl/charts/chart6.xml" ContentType="application/vnd.openxmlformats-officedocument.drawingml.char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charts/chart4.xml" ContentType="application/vnd.openxmlformats-officedocument.drawingml.chart+xml"/>
  <Override PartName="/xl/activeX/activeX7.xml" ContentType="application/vnd.ms-office.activeX+xml"/>
  <Override PartName="/xl/drawings/drawing8.xml" ContentType="application/vnd.openxmlformats-officedocument.drawing+xml"/>
  <Override PartName="/xl/charts/chart2.xml" ContentType="application/vnd.openxmlformats-officedocument.drawingml.chart+xml"/>
  <Override PartName="/xl/drawings/drawing4.xml" ContentType="application/vnd.openxmlformats-officedocument.drawing+xml"/>
  <Override PartName="/xl/activeX/activeX5.xml" ContentType="application/vnd.ms-office.activeX+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harts/chart1.xml" ContentType="application/vnd.openxmlformats-officedocument.drawingml.chart+xml"/>
  <Override PartName="/xl/drawings/drawing2.xml" ContentType="application/vnd.openxmlformats-officedocument.drawing+xml"/>
  <Override PartName="/xl/drawings/drawing3.xml" ContentType="application/vnd.openxmlformats-officedocument.drawingml.chartshapes+xml"/>
  <Override PartName="/xl/activeX/activeX2.xml" ContentType="application/vnd.ms-office.activeX+xml"/>
  <Override PartName="/xl/activeX/activeX3.xml" ContentType="application/vnd.ms-office.activeX+xml"/>
  <Override PartName="/xl/activeX/activeX4.xml" ContentType="application/vnd.ms-office.activeX+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activeX/activeX1.xml" ContentType="application/vnd.ms-office.activeX+xml"/>
  <Override PartName="/xl/worksheets/sheet1.xml" ContentType="application/vnd.openxmlformats-officedocument.spreadsheetml.worksheet+xml"/>
  <Override PartName="/xl/chartsheets/sheet4.xml" ContentType="application/vnd.openxmlformats-officedocument.spreadsheetml.chartsheet+xml"/>
  <Default Extension="vml" ContentType="application/vnd.openxmlformats-officedocument.vmlDrawing"/>
  <Override PartName="/xl/charts/chart16.xml" ContentType="application/vnd.openxmlformats-officedocument.drawingml.chart+xml"/>
  <Override PartName="/xl/calcChain.xml" ContentType="application/vnd.openxmlformats-officedocument.spreadsheetml.calcChain+xml"/>
  <Override PartName="/xl/chartsheets/sheet2.xml" ContentType="application/vnd.openxmlformats-officedocument.spreadsheetml.chartsheet+xml"/>
  <Override PartName="/xl/chartsheets/sheet3.xml" ContentType="application/vnd.openxmlformats-officedocument.spreadsheetml.chartsheet+xml"/>
  <Override PartName="/xl/sharedStrings.xml" ContentType="application/vnd.openxmlformats-officedocument.spreadsheetml.sharedStrings+xml"/>
  <Override PartName="/xl/activeX/activeX7.bin" ContentType="application/vnd.ms-office.activeX"/>
  <Override PartName="/xl/activeX/activeX8.bin" ContentType="application/vnd.ms-office.activeX"/>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heets/sheet1.xml" ContentType="application/vnd.openxmlformats-officedocument.spreadsheetml.chartsheet+xml"/>
  <Override PartName="/xl/activeX/activeX5.bin" ContentType="application/vnd.ms-office.activeX"/>
  <Override PartName="/xl/activeX/activeX6.bin" ContentType="application/vnd.ms-office.activeX"/>
  <Override PartName="/xl/charts/chart8.xml" ContentType="application/vnd.openxmlformats-officedocument.drawingml.chart+xml"/>
  <Override PartName="/xl/charts/chart9.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docProps/core.xml" ContentType="application/vnd.openxmlformats-package.core-properties+xml"/>
  <Default Extension="bin" ContentType="application/vnd.openxmlformats-officedocument.spreadsheetml.printerSettings"/>
  <Override PartName="/xl/activeX/activeX3.bin" ContentType="application/vnd.ms-office.activeX"/>
  <Override PartName="/xl/charts/chart7.xml" ContentType="application/vnd.openxmlformats-officedocument.drawingml.chart+xml"/>
  <Override PartName="/xl/charts/chart10.xml" ContentType="application/vnd.openxmlformats-officedocument.drawingml.chart+xml"/>
  <Override PartName="/xl/drawings/drawing7.xml" ContentType="application/vnd.openxmlformats-officedocument.drawingml.chartshapes+xml"/>
  <Override PartName="/xl/activeX/activeX1.bin" ContentType="application/vnd.ms-office.activeX"/>
  <Override PartName="/xl/activeX/activeX8.xml" ContentType="application/vnd.ms-office.activeX+xml"/>
  <Override PartName="/xl/charts/chart5.xml" ContentType="application/vnd.openxmlformats-officedocument.drawingml.chart+xml"/>
  <Override PartName="/xl/worksheets/sheet6.xml" ContentType="application/vnd.openxmlformats-officedocument.spreadsheetml.worksheet+xml"/>
  <Override PartName="/xl/charts/chart3.xml" ContentType="application/vnd.openxmlformats-officedocument.drawingml.chart+xml"/>
  <Override PartName="/xl/drawings/drawing5.xml" ContentType="application/vnd.openxmlformats-officedocument.drawingml.chartshapes+xml"/>
  <Override PartName="/xl/activeX/activeX6.xml" ContentType="application/vnd.ms-office.activeX+xml"/>
  <Default Extension="emf" ContentType="image/x-emf"/>
  <Default Extension="jpeg" ContentType="image/jpe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5325" yWindow="1860" windowWidth="13635" windowHeight="5565" tabRatio="682" firstSheet="3" activeTab="5"/>
  </bookViews>
  <sheets>
    <sheet name="FI_Ouvertes" sheetId="39" r:id="rId1"/>
    <sheet name="Evolution" sheetId="54" r:id="rId2"/>
    <sheet name="Evolution_DBox" sheetId="59" r:id="rId3"/>
    <sheet name="Evolution_DBox sev1" sheetId="61" r:id="rId4"/>
    <sheet name="Evolution_DBox sev2" sheetId="60" r:id="rId5"/>
    <sheet name="FI" sheetId="28" r:id="rId6"/>
    <sheet name="Infos générales" sheetId="29" r:id="rId7"/>
    <sheet name="Stat" sheetId="30" r:id="rId8"/>
    <sheet name="Nouvelles FI" sheetId="56" r:id="rId9"/>
    <sheet name="IQx" sheetId="55" r:id="rId10"/>
  </sheets>
  <functionGroups/>
  <definedNames>
    <definedName name="_xlnm._FilterDatabase" localSheetId="5" hidden="1">FI!$A$8:$S$164</definedName>
    <definedName name="_xlnm._FilterDatabase" localSheetId="0" hidden="1">FI_Ouvertes!$A$12:$Q$12</definedName>
    <definedName name="_xlnm._FilterDatabase" localSheetId="6" hidden="1">'Infos générales'!$G$2:$L$341</definedName>
    <definedName name="_xlnm._FilterDatabase" localSheetId="8" hidden="1">'Nouvelles FI'!$A$1:$G$283</definedName>
    <definedName name="Chomés">'Infos générales'!$A$2:$A$154</definedName>
    <definedName name="Etats_possibles">'Infos générales'!$E$2:$E$10</definedName>
    <definedName name="Etats_possibles_Corr">'Infos générales'!$E$7</definedName>
    <definedName name="Etats_possibles_Reje">'Infos générales'!$E$8:$E$10</definedName>
    <definedName name="J1A">'Infos générales'!$C$3</definedName>
    <definedName name="J1C">'Infos générales'!$D$3</definedName>
    <definedName name="J2A">'Infos générales'!$C$4</definedName>
    <definedName name="J2C">'Infos générales'!$D$4</definedName>
    <definedName name="J3A">'Infos générales'!$C$5</definedName>
    <definedName name="J3C">'Infos générales'!$D$5</definedName>
    <definedName name="_xlnm.Print_Area" localSheetId="5">FI!$A:$S</definedName>
    <definedName name="_xlnm.Print_Area" localSheetId="8">'Nouvelles FI'!$A:$G</definedName>
  </definedNames>
  <calcPr calcId="125725"/>
</workbook>
</file>

<file path=xl/calcChain.xml><?xml version="1.0" encoding="utf-8"?>
<calcChain xmlns="http://schemas.openxmlformats.org/spreadsheetml/2006/main">
  <c r="I3" i="28"/>
  <c r="AA522" i="30" l="1"/>
  <c r="R522"/>
  <c r="Q522"/>
  <c r="AA518"/>
  <c r="R518"/>
  <c r="Q518"/>
  <c r="AA514"/>
  <c r="R514"/>
  <c r="Q514"/>
  <c r="AA510"/>
  <c r="R510"/>
  <c r="Q510"/>
  <c r="AA506"/>
  <c r="R506"/>
  <c r="Q506"/>
  <c r="AA502"/>
  <c r="R502"/>
  <c r="Q502"/>
  <c r="AA498"/>
  <c r="R498"/>
  <c r="Q498"/>
  <c r="AA494"/>
  <c r="R494"/>
  <c r="Q494"/>
  <c r="AA490"/>
  <c r="R490"/>
  <c r="Q490"/>
  <c r="AA486"/>
  <c r="R486"/>
  <c r="Q486"/>
  <c r="AA482"/>
  <c r="R482"/>
  <c r="Q482"/>
  <c r="AA478"/>
  <c r="R478"/>
  <c r="Q478"/>
  <c r="AA474"/>
  <c r="R474"/>
  <c r="Q474"/>
  <c r="AA470"/>
  <c r="R470"/>
  <c r="Q470"/>
  <c r="AA466"/>
  <c r="R466"/>
  <c r="Q466"/>
  <c r="AA462"/>
  <c r="R462"/>
  <c r="Q462"/>
  <c r="AA458"/>
  <c r="R458"/>
  <c r="Q458"/>
  <c r="L4" i="28"/>
  <c r="S522" i="30" l="1"/>
  <c r="S518"/>
  <c r="S462"/>
  <c r="S470"/>
  <c r="S498"/>
  <c r="S482"/>
  <c r="S490"/>
  <c r="S514"/>
  <c r="S494"/>
  <c r="S506"/>
  <c r="S502"/>
  <c r="S510"/>
  <c r="S474"/>
  <c r="S458"/>
  <c r="S466"/>
  <c r="S478"/>
  <c r="S486"/>
  <c r="AA454"/>
  <c r="R454"/>
  <c r="Q454"/>
  <c r="AA526"/>
  <c r="R526"/>
  <c r="Q526"/>
  <c r="AA450"/>
  <c r="R450"/>
  <c r="Q450"/>
  <c r="AA446"/>
  <c r="R446"/>
  <c r="Q446"/>
  <c r="AA442"/>
  <c r="R442"/>
  <c r="Q442"/>
  <c r="S446" l="1"/>
  <c r="S454"/>
  <c r="S442"/>
  <c r="S526"/>
  <c r="S450"/>
  <c r="AA438"/>
  <c r="R438"/>
  <c r="Q438"/>
  <c r="S438" l="1"/>
  <c r="AA434"/>
  <c r="R434"/>
  <c r="Q434"/>
  <c r="AA430"/>
  <c r="R430"/>
  <c r="Q430"/>
  <c r="S430" l="1"/>
  <c r="S434"/>
  <c r="AA426" l="1"/>
  <c r="R426"/>
  <c r="Q426"/>
  <c r="AA342"/>
  <c r="AA418"/>
  <c r="AA414"/>
  <c r="AA410"/>
  <c r="AA406"/>
  <c r="AA402"/>
  <c r="AA398"/>
  <c r="AA394"/>
  <c r="AA390"/>
  <c r="AA386"/>
  <c r="AA382"/>
  <c r="AA378"/>
  <c r="AA374"/>
  <c r="AA370"/>
  <c r="AA366"/>
  <c r="AA362"/>
  <c r="AA358"/>
  <c r="AA354"/>
  <c r="AA350"/>
  <c r="AA346"/>
  <c r="AA422"/>
  <c r="R422"/>
  <c r="Q422"/>
  <c r="R418"/>
  <c r="Q418"/>
  <c r="R414"/>
  <c r="Q414"/>
  <c r="R410"/>
  <c r="Q410"/>
  <c r="R406"/>
  <c r="Q406"/>
  <c r="R402"/>
  <c r="Q402"/>
  <c r="R398"/>
  <c r="Q398"/>
  <c r="R394"/>
  <c r="Q394"/>
  <c r="R390"/>
  <c r="Q390"/>
  <c r="R386"/>
  <c r="Q386"/>
  <c r="R382"/>
  <c r="Q382"/>
  <c r="R378"/>
  <c r="Q378"/>
  <c r="R374"/>
  <c r="Q374"/>
  <c r="R370"/>
  <c r="Q370"/>
  <c r="R366"/>
  <c r="Q366"/>
  <c r="R362"/>
  <c r="Q362"/>
  <c r="B1" i="56"/>
  <c r="H4" i="30"/>
  <c r="Q4"/>
  <c r="R4"/>
  <c r="H7"/>
  <c r="Q7"/>
  <c r="R7"/>
  <c r="H10"/>
  <c r="Q10"/>
  <c r="R10"/>
  <c r="H13"/>
  <c r="Q13"/>
  <c r="R13"/>
  <c r="H16"/>
  <c r="Q16"/>
  <c r="R16"/>
  <c r="Y16"/>
  <c r="H19"/>
  <c r="Q19"/>
  <c r="R19"/>
  <c r="H22"/>
  <c r="Q22"/>
  <c r="R22"/>
  <c r="Y22"/>
  <c r="Z22"/>
  <c r="AA22"/>
  <c r="AB22"/>
  <c r="AC22"/>
  <c r="AD22"/>
  <c r="AE22"/>
  <c r="AF22"/>
  <c r="AG22"/>
  <c r="AH22"/>
  <c r="AI22"/>
  <c r="AJ22"/>
  <c r="AK22"/>
  <c r="AL22"/>
  <c r="AO22"/>
  <c r="AP22"/>
  <c r="Y24"/>
  <c r="H25"/>
  <c r="Q25"/>
  <c r="R25"/>
  <c r="H28"/>
  <c r="Q28"/>
  <c r="R28"/>
  <c r="Y30"/>
  <c r="Z30"/>
  <c r="AA30"/>
  <c r="AB30"/>
  <c r="AC30"/>
  <c r="AD30"/>
  <c r="AE30"/>
  <c r="AF30"/>
  <c r="AG30"/>
  <c r="AH30"/>
  <c r="AI30"/>
  <c r="AJ30"/>
  <c r="AK30"/>
  <c r="AL30"/>
  <c r="AM30"/>
  <c r="AN30"/>
  <c r="AO30"/>
  <c r="AP30"/>
  <c r="H31"/>
  <c r="Q31"/>
  <c r="R31"/>
  <c r="H34"/>
  <c r="Q34"/>
  <c r="R34"/>
  <c r="Y36"/>
  <c r="Z36"/>
  <c r="AA36"/>
  <c r="AB36"/>
  <c r="AC36"/>
  <c r="AD36"/>
  <c r="AE36"/>
  <c r="AF36"/>
  <c r="AG36"/>
  <c r="AH36"/>
  <c r="AI36"/>
  <c r="AJ36"/>
  <c r="AK36"/>
  <c r="AL36"/>
  <c r="AM36"/>
  <c r="AN36"/>
  <c r="AO36"/>
  <c r="AP36"/>
  <c r="Q37"/>
  <c r="R37"/>
  <c r="Y37"/>
  <c r="Z37"/>
  <c r="AA37"/>
  <c r="AB37"/>
  <c r="AC37"/>
  <c r="AD37"/>
  <c r="AE37"/>
  <c r="AF37"/>
  <c r="AG37"/>
  <c r="AH37"/>
  <c r="AI37"/>
  <c r="AJ37"/>
  <c r="AK37"/>
  <c r="AL37"/>
  <c r="AM37"/>
  <c r="AN37"/>
  <c r="AO37"/>
  <c r="AP37"/>
  <c r="Y38"/>
  <c r="Z38"/>
  <c r="AA38"/>
  <c r="AB38"/>
  <c r="AC38"/>
  <c r="AD38"/>
  <c r="AE38"/>
  <c r="AF38"/>
  <c r="AG38"/>
  <c r="AH38"/>
  <c r="AI38"/>
  <c r="AJ38"/>
  <c r="AK38"/>
  <c r="AL38"/>
  <c r="AM38"/>
  <c r="AN38"/>
  <c r="AO38"/>
  <c r="AP38"/>
  <c r="Y39"/>
  <c r="Z39"/>
  <c r="AA39"/>
  <c r="AB39"/>
  <c r="AC39"/>
  <c r="AD39"/>
  <c r="AE39"/>
  <c r="AF39"/>
  <c r="AG39"/>
  <c r="AH39"/>
  <c r="AI39"/>
  <c r="AJ39"/>
  <c r="AK39"/>
  <c r="AL39"/>
  <c r="AM39"/>
  <c r="AN39"/>
  <c r="AO39"/>
  <c r="AP39"/>
  <c r="Q40"/>
  <c r="R40"/>
  <c r="Q43"/>
  <c r="R43"/>
  <c r="Q49"/>
  <c r="R49"/>
  <c r="Q52"/>
  <c r="R52"/>
  <c r="H55"/>
  <c r="Q55"/>
  <c r="R55"/>
  <c r="H58"/>
  <c r="H61"/>
  <c r="H64"/>
  <c r="H67"/>
  <c r="H70"/>
  <c r="H73"/>
  <c r="H76"/>
  <c r="H79"/>
  <c r="H82"/>
  <c r="H85"/>
  <c r="H88"/>
  <c r="H91"/>
  <c r="H94"/>
  <c r="H97"/>
  <c r="H100"/>
  <c r="H103"/>
  <c r="H106"/>
  <c r="H109"/>
  <c r="H112"/>
  <c r="H115"/>
  <c r="H118"/>
  <c r="Q118"/>
  <c r="R118"/>
  <c r="H121"/>
  <c r="Q121"/>
  <c r="R121"/>
  <c r="H124"/>
  <c r="Q124"/>
  <c r="R124"/>
  <c r="H127"/>
  <c r="Q127"/>
  <c r="R127"/>
  <c r="H130"/>
  <c r="Q130"/>
  <c r="R130"/>
  <c r="H133"/>
  <c r="Q133"/>
  <c r="R133"/>
  <c r="H136"/>
  <c r="Q136"/>
  <c r="R136"/>
  <c r="H139"/>
  <c r="Q139"/>
  <c r="R139"/>
  <c r="H142"/>
  <c r="Q142"/>
  <c r="R142"/>
  <c r="H145"/>
  <c r="Q145"/>
  <c r="R145"/>
  <c r="H148"/>
  <c r="Q148"/>
  <c r="R148"/>
  <c r="H151"/>
  <c r="Q151"/>
  <c r="R151"/>
  <c r="H154"/>
  <c r="Q154"/>
  <c r="R154"/>
  <c r="H157"/>
  <c r="Q157"/>
  <c r="R157"/>
  <c r="H160"/>
  <c r="Q160"/>
  <c r="R160"/>
  <c r="H163"/>
  <c r="Q163"/>
  <c r="R163"/>
  <c r="H166"/>
  <c r="Q166"/>
  <c r="R166"/>
  <c r="H169"/>
  <c r="Q169"/>
  <c r="R169"/>
  <c r="H172"/>
  <c r="Q172"/>
  <c r="R172"/>
  <c r="H175"/>
  <c r="R175"/>
  <c r="S175" s="1"/>
  <c r="H178"/>
  <c r="Q178"/>
  <c r="R178"/>
  <c r="H181"/>
  <c r="Q181"/>
  <c r="R181"/>
  <c r="H184"/>
  <c r="Q184"/>
  <c r="R184"/>
  <c r="H187"/>
  <c r="Q187"/>
  <c r="R187"/>
  <c r="H190"/>
  <c r="Q190"/>
  <c r="R190"/>
  <c r="H193"/>
  <c r="Q193"/>
  <c r="R193"/>
  <c r="H196"/>
  <c r="Q196"/>
  <c r="R196"/>
  <c r="H199"/>
  <c r="Q199"/>
  <c r="R199"/>
  <c r="H202"/>
  <c r="Q202"/>
  <c r="R202"/>
  <c r="H205"/>
  <c r="Q205"/>
  <c r="R205"/>
  <c r="H208"/>
  <c r="Q208"/>
  <c r="R208"/>
  <c r="H211"/>
  <c r="Q211"/>
  <c r="R211"/>
  <c r="H214"/>
  <c r="Q214"/>
  <c r="R214"/>
  <c r="Q218"/>
  <c r="R218"/>
  <c r="Q222"/>
  <c r="R222"/>
  <c r="Q226"/>
  <c r="R226"/>
  <c r="Q230"/>
  <c r="R230"/>
  <c r="Q234"/>
  <c r="R234"/>
  <c r="Q238"/>
  <c r="R238"/>
  <c r="Q242"/>
  <c r="R242"/>
  <c r="Q246"/>
  <c r="R246"/>
  <c r="Q250"/>
  <c r="R250"/>
  <c r="Q254"/>
  <c r="R254"/>
  <c r="Q258"/>
  <c r="R258"/>
  <c r="Q262"/>
  <c r="R262"/>
  <c r="Q266"/>
  <c r="R266"/>
  <c r="Q270"/>
  <c r="R270"/>
  <c r="Q274"/>
  <c r="R274"/>
  <c r="Q278"/>
  <c r="R278"/>
  <c r="Q282"/>
  <c r="R282"/>
  <c r="Q286"/>
  <c r="R286"/>
  <c r="Q290"/>
  <c r="R290"/>
  <c r="R294"/>
  <c r="S294" s="1"/>
  <c r="Q298"/>
  <c r="R298"/>
  <c r="Q302"/>
  <c r="R302"/>
  <c r="Q306"/>
  <c r="R306"/>
  <c r="Q310"/>
  <c r="R310"/>
  <c r="Q314"/>
  <c r="R314"/>
  <c r="Q318"/>
  <c r="R318"/>
  <c r="Q322"/>
  <c r="R322"/>
  <c r="Q326"/>
  <c r="R326"/>
  <c r="Q330"/>
  <c r="R330"/>
  <c r="Q334"/>
  <c r="R334"/>
  <c r="Q338"/>
  <c r="R338"/>
  <c r="Q342"/>
  <c r="R342"/>
  <c r="Q346"/>
  <c r="R346"/>
  <c r="Q350"/>
  <c r="R350"/>
  <c r="Q354"/>
  <c r="R354"/>
  <c r="Q358"/>
  <c r="R358"/>
  <c r="J122" i="55"/>
  <c r="J123"/>
  <c r="J124"/>
  <c r="J125"/>
  <c r="J126"/>
  <c r="J127"/>
  <c r="J128"/>
  <c r="J129"/>
  <c r="J130"/>
  <c r="J131"/>
  <c r="J132"/>
  <c r="J133"/>
  <c r="J141"/>
  <c r="J142"/>
  <c r="J143"/>
  <c r="J144"/>
  <c r="J145"/>
  <c r="J146"/>
  <c r="J147"/>
  <c r="J148"/>
  <c r="J149"/>
  <c r="J150"/>
  <c r="J151"/>
  <c r="J152"/>
  <c r="S10" i="30"/>
  <c r="S350"/>
  <c r="S338"/>
  <c r="S318"/>
  <c r="S306"/>
  <c r="S211"/>
  <c r="S199"/>
  <c r="S187"/>
  <c r="S166"/>
  <c r="S154"/>
  <c r="S142"/>
  <c r="S130"/>
  <c r="S118"/>
  <c r="S25"/>
  <c r="S354"/>
  <c r="S334"/>
  <c r="S322"/>
  <c r="S302"/>
  <c r="S205"/>
  <c r="S193"/>
  <c r="S181"/>
  <c r="S172"/>
  <c r="S160"/>
  <c r="S148"/>
  <c r="S136"/>
  <c r="S124"/>
  <c r="S52"/>
  <c r="S40"/>
  <c r="S13"/>
  <c r="S234"/>
  <c r="Z24"/>
  <c r="AA24" s="1"/>
  <c r="S326"/>
  <c r="S298"/>
  <c r="S266"/>
  <c r="S254"/>
  <c r="S246"/>
  <c r="S226"/>
  <c r="S218"/>
  <c r="S157"/>
  <c r="S139"/>
  <c r="S127"/>
  <c r="S28"/>
  <c r="S7"/>
  <c r="S346"/>
  <c r="S286"/>
  <c r="S278"/>
  <c r="S202"/>
  <c r="S184"/>
  <c r="S49"/>
  <c r="S19"/>
  <c r="S238"/>
  <c r="S208"/>
  <c r="S55"/>
  <c r="S330"/>
  <c r="S270"/>
  <c r="S163"/>
  <c r="S37"/>
  <c r="S426" l="1"/>
  <c r="S418"/>
  <c r="S382"/>
  <c r="S390"/>
  <c r="S290"/>
  <c r="S282"/>
  <c r="S274"/>
  <c r="S258"/>
  <c r="S410"/>
  <c r="S414"/>
  <c r="S406"/>
  <c r="S422"/>
  <c r="S394"/>
  <c r="S398"/>
  <c r="S402"/>
  <c r="S366"/>
  <c r="S386"/>
  <c r="S242"/>
  <c r="S121"/>
  <c r="S169"/>
  <c r="S31"/>
  <c r="S22"/>
  <c r="S370"/>
  <c r="S378"/>
  <c r="S314"/>
  <c r="S196"/>
  <c r="S151"/>
  <c r="S43"/>
  <c r="S16"/>
  <c r="S374"/>
  <c r="S358"/>
  <c r="S342"/>
  <c r="S230"/>
  <c r="S222"/>
  <c r="S214"/>
  <c r="S145"/>
  <c r="S133"/>
  <c r="S262"/>
  <c r="Z16"/>
  <c r="Z6" s="1"/>
  <c r="S4"/>
  <c r="S362"/>
  <c r="S310"/>
  <c r="S250"/>
  <c r="S190"/>
  <c r="S178"/>
  <c r="S34"/>
  <c r="AA7"/>
  <c r="AB24"/>
  <c r="Z7"/>
  <c r="AA16" l="1"/>
  <c r="AB16" s="1"/>
  <c r="AC24"/>
  <c r="AB7"/>
  <c r="Z5"/>
  <c r="AA6" l="1"/>
  <c r="AA5" s="1"/>
  <c r="AB6"/>
  <c r="AB5" s="1"/>
  <c r="AC16"/>
  <c r="AC7"/>
  <c r="AD24"/>
  <c r="AC6" l="1"/>
  <c r="AC5" s="1"/>
  <c r="AD16"/>
  <c r="AD7"/>
  <c r="AE24"/>
  <c r="AD6" l="1"/>
  <c r="AD5" s="1"/>
  <c r="AE16"/>
  <c r="AE7"/>
  <c r="AF24"/>
  <c r="AF16" l="1"/>
  <c r="AE6"/>
  <c r="AE5" s="1"/>
  <c r="AF7"/>
  <c r="AG24"/>
  <c r="AG16" l="1"/>
  <c r="AF6"/>
  <c r="AF5" s="1"/>
  <c r="AG7"/>
  <c r="AH24"/>
  <c r="AG6" l="1"/>
  <c r="AG5" s="1"/>
  <c r="AH16"/>
  <c r="AI24"/>
  <c r="AH7"/>
  <c r="AH6" l="1"/>
  <c r="AH5" s="1"/>
  <c r="AI16"/>
  <c r="AI7"/>
  <c r="AJ24"/>
  <c r="AJ16" l="1"/>
  <c r="AI6"/>
  <c r="AI5" s="1"/>
  <c r="AJ7"/>
  <c r="AK24"/>
  <c r="AK16" l="1"/>
  <c r="AJ6"/>
  <c r="AJ5" s="1"/>
  <c r="AL24"/>
  <c r="AK7"/>
  <c r="AL16" l="1"/>
  <c r="AK6"/>
  <c r="AK5" s="1"/>
  <c r="AM24"/>
  <c r="AL7"/>
  <c r="AM16" l="1"/>
  <c r="AM6" s="1"/>
  <c r="AL6"/>
  <c r="AL5" s="1"/>
  <c r="AN24"/>
  <c r="AO24" s="1"/>
  <c r="AM7"/>
  <c r="AM5" l="1"/>
</calcChain>
</file>

<file path=xl/sharedStrings.xml><?xml version="1.0" encoding="utf-8"?>
<sst xmlns="http://schemas.openxmlformats.org/spreadsheetml/2006/main" count="5699" uniqueCount="1622">
  <si>
    <t>Listes des Incidents</t>
  </si>
  <si>
    <t>70.20</t>
  </si>
  <si>
    <t>16.02</t>
  </si>
  <si>
    <t>ctrl+R</t>
  </si>
  <si>
    <t>Répondre à une FI</t>
  </si>
  <si>
    <t>Outils complémentaires:</t>
  </si>
  <si>
    <t>70.17</t>
  </si>
  <si>
    <t>Nouv.</t>
  </si>
  <si>
    <t>Cible  intég.</t>
  </si>
  <si>
    <t>500,19 Pk19</t>
  </si>
  <si>
    <t>70.30</t>
  </si>
  <si>
    <t>Pk8</t>
  </si>
  <si>
    <t>Pk9</t>
  </si>
  <si>
    <t>Pk10</t>
  </si>
  <si>
    <t>Pk11</t>
  </si>
  <si>
    <t>E8</t>
  </si>
  <si>
    <t>E9</t>
  </si>
  <si>
    <t>E10</t>
  </si>
  <si>
    <t>E11</t>
  </si>
  <si>
    <t>Action ARDIA</t>
  </si>
  <si>
    <t>70.26</t>
  </si>
  <si>
    <t>16.06</t>
  </si>
  <si>
    <t>A analyser</t>
  </si>
  <si>
    <t>Ajout de FI</t>
  </si>
  <si>
    <t>DiagBox</t>
  </si>
  <si>
    <r>
      <t>Par Pôle</t>
    </r>
    <r>
      <rPr>
        <sz val="8"/>
        <rFont val="Arial"/>
        <family val="2"/>
      </rPr>
      <t/>
    </r>
  </si>
  <si>
    <t>P41</t>
  </si>
  <si>
    <t>Pack2011-02</t>
  </si>
  <si>
    <t>Versions DiagBox</t>
  </si>
  <si>
    <t>P39</t>
  </si>
  <si>
    <t>P37</t>
  </si>
  <si>
    <t>Master Mars</t>
  </si>
  <si>
    <t>P33</t>
  </si>
  <si>
    <t>Master Fevrier</t>
  </si>
  <si>
    <t>P40</t>
  </si>
  <si>
    <t>03.68</t>
  </si>
  <si>
    <t>03.70</t>
  </si>
  <si>
    <t>04.24</t>
  </si>
  <si>
    <t>04.25</t>
  </si>
  <si>
    <t>04.26</t>
  </si>
  <si>
    <t>04.28</t>
  </si>
  <si>
    <t>04.31</t>
  </si>
  <si>
    <t>06.12</t>
  </si>
  <si>
    <t>07.06</t>
  </si>
  <si>
    <t>07.102</t>
  </si>
  <si>
    <t>08.07</t>
  </si>
  <si>
    <t>09.05</t>
  </si>
  <si>
    <t>09.07</t>
  </si>
  <si>
    <t>04.34</t>
  </si>
  <si>
    <t>08.111</t>
  </si>
  <si>
    <t>Master2 Avril</t>
  </si>
  <si>
    <t>04.32</t>
  </si>
  <si>
    <t>09.10</t>
  </si>
  <si>
    <t>04.29</t>
  </si>
  <si>
    <t>P43</t>
  </si>
  <si>
    <t>04.35</t>
  </si>
  <si>
    <t>04.36</t>
  </si>
  <si>
    <t>08.091</t>
  </si>
  <si>
    <t>Master1 Avril</t>
  </si>
  <si>
    <t>04.33</t>
  </si>
  <si>
    <t>08.112</t>
  </si>
  <si>
    <t>04.37</t>
  </si>
  <si>
    <t>04.40RT</t>
  </si>
  <si>
    <t>04.38</t>
  </si>
  <si>
    <t>10.02</t>
  </si>
  <si>
    <t>09.111</t>
  </si>
  <si>
    <t>04.39</t>
  </si>
  <si>
    <t>09.13</t>
  </si>
  <si>
    <t>04.40b</t>
  </si>
  <si>
    <t>04.41</t>
  </si>
  <si>
    <t>09.131</t>
  </si>
  <si>
    <t>Master Mai</t>
  </si>
  <si>
    <t>04.42</t>
  </si>
  <si>
    <t>70.22</t>
  </si>
  <si>
    <t>70.23</t>
  </si>
  <si>
    <t>16.04</t>
  </si>
  <si>
    <t>15.08</t>
  </si>
  <si>
    <t>04.50a</t>
  </si>
  <si>
    <t>04.50</t>
  </si>
  <si>
    <t>10.062</t>
  </si>
  <si>
    <t>10.08</t>
  </si>
  <si>
    <t>P45</t>
  </si>
  <si>
    <t>P46</t>
  </si>
  <si>
    <t>70.25</t>
  </si>
  <si>
    <t>16.07</t>
  </si>
  <si>
    <t>04.48</t>
  </si>
  <si>
    <t>04.43</t>
  </si>
  <si>
    <t>10.04</t>
  </si>
  <si>
    <t>10.06</t>
  </si>
  <si>
    <t>P44</t>
  </si>
  <si>
    <t>Suivi</t>
  </si>
  <si>
    <t>04.51</t>
  </si>
  <si>
    <t>10.11</t>
  </si>
  <si>
    <t>P47</t>
  </si>
  <si>
    <t>P48</t>
  </si>
  <si>
    <t>04.52</t>
  </si>
  <si>
    <t>11.02</t>
  </si>
  <si>
    <t>600,21 E18</t>
  </si>
  <si>
    <t>04.54</t>
  </si>
  <si>
    <t>11.04</t>
  </si>
  <si>
    <t>P49</t>
  </si>
  <si>
    <t>04.53</t>
  </si>
  <si>
    <t>05.13</t>
  </si>
  <si>
    <t>P50</t>
  </si>
  <si>
    <t>04.67</t>
  </si>
  <si>
    <t>P51</t>
  </si>
  <si>
    <t>04.55</t>
  </si>
  <si>
    <t>10.15</t>
  </si>
  <si>
    <t>04.56</t>
  </si>
  <si>
    <t>04.60</t>
  </si>
  <si>
    <t>04.61</t>
  </si>
  <si>
    <t>11.06</t>
  </si>
  <si>
    <t>Master2 Juin</t>
  </si>
  <si>
    <t>Date analyse</t>
  </si>
  <si>
    <t>Jalon analyse</t>
  </si>
  <si>
    <t>Pack01</t>
  </si>
  <si>
    <t>04.62</t>
  </si>
  <si>
    <t>11.07</t>
  </si>
  <si>
    <t>04.57</t>
  </si>
  <si>
    <t>04.63</t>
  </si>
  <si>
    <t>P52</t>
  </si>
  <si>
    <t>11.09</t>
  </si>
  <si>
    <t>04.70</t>
  </si>
  <si>
    <t>11.11</t>
  </si>
  <si>
    <t>04.71</t>
  </si>
  <si>
    <t>12.03</t>
  </si>
  <si>
    <t>04.72</t>
  </si>
  <si>
    <t>11.14</t>
  </si>
  <si>
    <t>Master TMAJ</t>
  </si>
  <si>
    <t>04.73</t>
  </si>
  <si>
    <t>12.04</t>
  </si>
  <si>
    <t>04.74</t>
  </si>
  <si>
    <t>04.75</t>
  </si>
  <si>
    <t>12.07</t>
  </si>
  <si>
    <t>Pack02</t>
  </si>
  <si>
    <t>04.76</t>
  </si>
  <si>
    <t>04.77</t>
  </si>
  <si>
    <t>04.78</t>
  </si>
  <si>
    <t>12.09</t>
  </si>
  <si>
    <t>04.79</t>
  </si>
  <si>
    <t>12.12</t>
  </si>
  <si>
    <t>04.82</t>
  </si>
  <si>
    <t>04.80</t>
  </si>
  <si>
    <t>12.13</t>
  </si>
  <si>
    <t>13.02</t>
  </si>
  <si>
    <t>04.81</t>
  </si>
  <si>
    <t>FI_DBOX_11_0485</t>
  </si>
  <si>
    <t>FI_DBOX_11_0486</t>
  </si>
  <si>
    <t>FI_DBOX_11_0487</t>
  </si>
  <si>
    <t>FI_DBOX_11_0488</t>
  </si>
  <si>
    <t>FI_DBOX_11_0489</t>
  </si>
  <si>
    <t>FI_DBOX_11_0490</t>
  </si>
  <si>
    <t>FI_DBOX_11_0491</t>
  </si>
  <si>
    <t>FI_DBOX_11_0492</t>
  </si>
  <si>
    <t>FI_DBOX_11_0493</t>
  </si>
  <si>
    <t>FI_DBOX_11_0494</t>
  </si>
  <si>
    <t>FI_DBOX_11_0495</t>
  </si>
  <si>
    <t>FI_DBOX_11_0496</t>
  </si>
  <si>
    <t>FI_DBOX_11_0497</t>
  </si>
  <si>
    <t>FI_DBOX_11_0499</t>
  </si>
  <si>
    <t>FI_DBOX_11_0500</t>
  </si>
  <si>
    <t>FI_DBOX_11_0501</t>
  </si>
  <si>
    <t>FI_DBOX_11_0502</t>
  </si>
  <si>
    <t>FI_DBOX_11_0503</t>
  </si>
  <si>
    <t>FI_DBOX_11_0504</t>
  </si>
  <si>
    <t>FI_DBOX_11_0505</t>
  </si>
  <si>
    <t>FI_DBOX_11_0506</t>
  </si>
  <si>
    <t>FI_DBOX_11_0507</t>
  </si>
  <si>
    <t>FI_DBOX_11_0508</t>
  </si>
  <si>
    <t>FI_DBOX_11_0511</t>
  </si>
  <si>
    <t>FI_DBOX_11_0512</t>
  </si>
  <si>
    <t>FI_DBOX_11_0513</t>
  </si>
  <si>
    <t>FI_DBOX_11_0514</t>
  </si>
  <si>
    <t>FI_DBOX_11_0515</t>
  </si>
  <si>
    <t>70.01</t>
  </si>
  <si>
    <t>13.05</t>
  </si>
  <si>
    <t>04.83</t>
  </si>
  <si>
    <t>12.14</t>
  </si>
  <si>
    <t>70.02</t>
  </si>
  <si>
    <t>LEXIA accosté</t>
  </si>
  <si>
    <t>70.03</t>
  </si>
  <si>
    <t>13.07</t>
  </si>
  <si>
    <t>PP2000 accosté</t>
  </si>
  <si>
    <t>61.23</t>
  </si>
  <si>
    <t>70.04</t>
  </si>
  <si>
    <t>13.11</t>
  </si>
  <si>
    <t>70.05</t>
  </si>
  <si>
    <t>14.03</t>
  </si>
  <si>
    <t>ctrl+M</t>
  </si>
  <si>
    <t>Envoyer une FI par mail</t>
  </si>
  <si>
    <t>61,23</t>
  </si>
  <si>
    <t>Pack2010-11</t>
  </si>
  <si>
    <t>70.29</t>
  </si>
  <si>
    <t>70.06</t>
  </si>
  <si>
    <t>Pack2011-01</t>
  </si>
  <si>
    <t>70.07</t>
  </si>
  <si>
    <t>14.06</t>
  </si>
  <si>
    <t>70.08</t>
  </si>
  <si>
    <t>70.19</t>
  </si>
  <si>
    <t>15.05</t>
  </si>
  <si>
    <t>04.84</t>
  </si>
  <si>
    <t>04.85</t>
  </si>
  <si>
    <t>70.31</t>
  </si>
  <si>
    <t>17.05</t>
  </si>
  <si>
    <t>70.21</t>
  </si>
  <si>
    <t>04.87</t>
  </si>
  <si>
    <t>70.09</t>
  </si>
  <si>
    <t>14.07</t>
  </si>
  <si>
    <t>05.01</t>
  </si>
  <si>
    <t>03.61</t>
  </si>
  <si>
    <t>04.23</t>
  </si>
  <si>
    <t>04.40</t>
  </si>
  <si>
    <t>70.11</t>
  </si>
  <si>
    <t>70.12</t>
  </si>
  <si>
    <t>70.10</t>
  </si>
  <si>
    <t>14.08</t>
  </si>
  <si>
    <t>70.13</t>
  </si>
  <si>
    <t>14.09</t>
  </si>
  <si>
    <t>04.86</t>
  </si>
  <si>
    <t>Pack2010-12</t>
  </si>
  <si>
    <t>15.04</t>
  </si>
  <si>
    <t>70.16</t>
  </si>
  <si>
    <t>05.14</t>
  </si>
  <si>
    <t>05.08</t>
  </si>
  <si>
    <t>05.09</t>
  </si>
  <si>
    <t>05.10</t>
  </si>
  <si>
    <t>70.14</t>
  </si>
  <si>
    <t>15.03</t>
  </si>
  <si>
    <t>70.15</t>
  </si>
  <si>
    <t>05.05</t>
  </si>
  <si>
    <t>05.02</t>
  </si>
  <si>
    <t>05.03</t>
  </si>
  <si>
    <t>05.04</t>
  </si>
  <si>
    <t>n° FI</t>
  </si>
  <si>
    <t>Véh</t>
  </si>
  <si>
    <t>Date réception</t>
  </si>
  <si>
    <t>Fait</t>
  </si>
  <si>
    <t>Lot</t>
  </si>
  <si>
    <t>05.06</t>
  </si>
  <si>
    <t>05.07</t>
  </si>
  <si>
    <t>70.28</t>
  </si>
  <si>
    <t>17.04</t>
  </si>
  <si>
    <t>FI</t>
  </si>
  <si>
    <t>Pôle</t>
  </si>
  <si>
    <t>RT</t>
  </si>
  <si>
    <t>SC</t>
  </si>
  <si>
    <t>C</t>
  </si>
  <si>
    <t>Rejetée</t>
  </si>
  <si>
    <t>Analyse</t>
  </si>
  <si>
    <t>En analyse</t>
  </si>
  <si>
    <t>Corrigée</t>
  </si>
  <si>
    <t>DNR</t>
  </si>
  <si>
    <t>BSI</t>
  </si>
  <si>
    <t>Réouverte</t>
  </si>
  <si>
    <t>Nouvelles</t>
  </si>
  <si>
    <t>Corrigées</t>
  </si>
  <si>
    <t>Rejetées</t>
  </si>
  <si>
    <t>Total</t>
  </si>
  <si>
    <t>Jalon Analyse</t>
  </si>
  <si>
    <t>Date départ</t>
  </si>
  <si>
    <t>Date Analyse</t>
  </si>
  <si>
    <t xml:space="preserve"> Date Action</t>
  </si>
  <si>
    <t>Retard analyse</t>
  </si>
  <si>
    <t>Retard Action</t>
  </si>
  <si>
    <t>Jalon Action</t>
  </si>
  <si>
    <t>Jours Chomés</t>
  </si>
  <si>
    <t>Jalons</t>
  </si>
  <si>
    <t>Sev</t>
  </si>
  <si>
    <t>Correction</t>
  </si>
  <si>
    <t>05.12</t>
  </si>
  <si>
    <t>Version Origine</t>
  </si>
  <si>
    <t>Analysée</t>
  </si>
  <si>
    <t>Etats possibles</t>
  </si>
  <si>
    <t>600,14 E11</t>
  </si>
  <si>
    <t>600,15 E13</t>
  </si>
  <si>
    <t>600,16 E14</t>
  </si>
  <si>
    <t>600,17 E15</t>
  </si>
  <si>
    <t>500,14 Pk14</t>
  </si>
  <si>
    <t>500,15 pk15</t>
  </si>
  <si>
    <t>500,16 Pk16</t>
  </si>
  <si>
    <t>500,13 Pk12bis</t>
  </si>
  <si>
    <t>600,13 E11</t>
  </si>
  <si>
    <t>500,12 Pk12bis</t>
  </si>
  <si>
    <t>600,18 E16bis</t>
  </si>
  <si>
    <t>600,19 E16bis</t>
  </si>
  <si>
    <t>500,17 Pk17bis</t>
  </si>
  <si>
    <t>600,12 E7</t>
  </si>
  <si>
    <t>500,11 Pk8</t>
  </si>
  <si>
    <t>600,11 E7</t>
  </si>
  <si>
    <t>Version DiagBox</t>
  </si>
  <si>
    <t>Version runtime</t>
  </si>
  <si>
    <t>Version applicative</t>
  </si>
  <si>
    <t>600,05 E6</t>
  </si>
  <si>
    <t>600,08 E7</t>
  </si>
  <si>
    <t>500,08 Pk8</t>
  </si>
  <si>
    <t>500,06 Pk8</t>
  </si>
  <si>
    <t>600,10 E7</t>
  </si>
  <si>
    <t>500,10 Pk8</t>
  </si>
  <si>
    <t>PIMMS</t>
  </si>
  <si>
    <t>En attente</t>
  </si>
  <si>
    <t>Remarques</t>
  </si>
  <si>
    <t>-</t>
  </si>
  <si>
    <t>Sev3</t>
  </si>
  <si>
    <t>Sev2</t>
  </si>
  <si>
    <t>Sev1</t>
  </si>
  <si>
    <t>LEXIA</t>
  </si>
  <si>
    <t>PP2000</t>
  </si>
  <si>
    <t>Par projet</t>
  </si>
  <si>
    <t>Oui</t>
  </si>
  <si>
    <t>Nouvelle</t>
  </si>
  <si>
    <t>Listes des Incidents ouverts</t>
  </si>
  <si>
    <t>Analyse des FI modifiées depuis le</t>
  </si>
  <si>
    <t>Cette semaine</t>
  </si>
  <si>
    <t>Ré-ouvertes</t>
  </si>
  <si>
    <t>Non-reproduites</t>
  </si>
  <si>
    <t>Projet</t>
  </si>
  <si>
    <t>S34</t>
  </si>
  <si>
    <t>S44</t>
  </si>
  <si>
    <t>S45</t>
  </si>
  <si>
    <t>S46</t>
  </si>
  <si>
    <t>S47</t>
  </si>
  <si>
    <t>S48</t>
  </si>
  <si>
    <t>S49</t>
  </si>
  <si>
    <t>70.18</t>
  </si>
  <si>
    <t>S50</t>
  </si>
  <si>
    <t>S4</t>
  </si>
  <si>
    <t>S5</t>
  </si>
  <si>
    <t>S6</t>
  </si>
  <si>
    <t>S24</t>
  </si>
  <si>
    <t>S25</t>
  </si>
  <si>
    <t>S31</t>
  </si>
  <si>
    <t>S7</t>
  </si>
  <si>
    <t>S8</t>
  </si>
  <si>
    <t>S9</t>
  </si>
  <si>
    <t>S10</t>
  </si>
  <si>
    <t>S11</t>
  </si>
  <si>
    <t>S14</t>
  </si>
  <si>
    <t>S15</t>
  </si>
  <si>
    <t>S16</t>
  </si>
  <si>
    <t>S17</t>
  </si>
  <si>
    <t>S18</t>
  </si>
  <si>
    <t>S19</t>
  </si>
  <si>
    <t>S20</t>
  </si>
  <si>
    <t>S21</t>
  </si>
  <si>
    <t>S22</t>
  </si>
  <si>
    <t>S23</t>
  </si>
  <si>
    <t>N° BZ</t>
  </si>
  <si>
    <t xml:space="preserve">Date de mise à jour: </t>
  </si>
  <si>
    <t>S35</t>
  </si>
  <si>
    <t>Etat</t>
  </si>
  <si>
    <t>S51</t>
  </si>
  <si>
    <t>S43</t>
  </si>
  <si>
    <t>S42</t>
  </si>
  <si>
    <t>S41</t>
  </si>
  <si>
    <t>S40</t>
  </si>
  <si>
    <t>S39</t>
  </si>
  <si>
    <t>S52</t>
  </si>
  <si>
    <t>S01</t>
  </si>
  <si>
    <t>S02</t>
  </si>
  <si>
    <t>S03</t>
  </si>
  <si>
    <t>S04</t>
  </si>
  <si>
    <t>Bloquantes</t>
  </si>
  <si>
    <t>Génantes</t>
  </si>
  <si>
    <t>Mineures</t>
  </si>
  <si>
    <t>Sous Cap</t>
  </si>
  <si>
    <t>Confort</t>
  </si>
  <si>
    <t>Autre</t>
  </si>
  <si>
    <t xml:space="preserve">en analyse </t>
  </si>
  <si>
    <t>Réouvertes</t>
  </si>
  <si>
    <t>S36</t>
  </si>
  <si>
    <t/>
  </si>
  <si>
    <t>S1</t>
  </si>
  <si>
    <t>S2</t>
  </si>
  <si>
    <t>S3</t>
  </si>
  <si>
    <t>S37</t>
  </si>
  <si>
    <t>CD45</t>
  </si>
  <si>
    <t>Entrées</t>
  </si>
  <si>
    <t>Sorties</t>
  </si>
  <si>
    <t>S38</t>
  </si>
  <si>
    <t>Cloturée</t>
  </si>
  <si>
    <t>S12</t>
  </si>
  <si>
    <t>S13</t>
  </si>
  <si>
    <t>S26</t>
  </si>
  <si>
    <t>S27</t>
  </si>
  <si>
    <t>S28</t>
  </si>
  <si>
    <t>S29</t>
  </si>
  <si>
    <t>S30</t>
  </si>
  <si>
    <t>S32</t>
  </si>
  <si>
    <t>S33</t>
  </si>
  <si>
    <t>Indicateurs FI</t>
  </si>
  <si>
    <t>Nombre d’anomalie par CD en fonction de leur sévérité</t>
  </si>
  <si>
    <t>IQ3: Nombre d’incidents confirmés de responsabilité ACTIA sur les CD et les TM@J en fonction de leur sévérité</t>
  </si>
  <si>
    <t>CD\Sévérité</t>
  </si>
  <si>
    <t>SEV1</t>
  </si>
  <si>
    <t>SEV2</t>
  </si>
  <si>
    <t>SEV3</t>
  </si>
  <si>
    <t>Délai d’analyse des anomalies par sévérité</t>
  </si>
  <si>
    <t>CD \Sévérité</t>
  </si>
  <si>
    <t>Pourcentage d’analyse des anomalies hors délai  /sévérité 1</t>
  </si>
  <si>
    <t>&gt; 5</t>
  </si>
  <si>
    <t>&gt; 10</t>
  </si>
  <si>
    <t>&gt; 20</t>
  </si>
  <si>
    <t>CD\Nb de jours</t>
  </si>
  <si>
    <t xml:space="preserve">IQ4.1: Délai d'analyse  des incidents:Durée en jours ouvrés entre date d'émission &amp; date d'analyse ACTIA </t>
  </si>
  <si>
    <t>IQ4.3: Délai de livraison des incidents: Durée en jours ouvrés entre date d'émission &amp; date de livraison ACTIA</t>
  </si>
  <si>
    <t>Pourcentage d’anomalies résolues par CD et télé mises à jour</t>
  </si>
  <si>
    <t>IQ5: Pourcentage d‘incidents LEXIA résolus sur les CD et TM@J (toute sévérité)</t>
  </si>
  <si>
    <t>CD\Etat de la FI</t>
  </si>
  <si>
    <t>Analysées</t>
  </si>
  <si>
    <t>Non reproduites</t>
  </si>
  <si>
    <t>Abandonnées</t>
  </si>
  <si>
    <t>70.24</t>
  </si>
  <si>
    <t>16.05</t>
  </si>
  <si>
    <t>Pack2011-03</t>
  </si>
  <si>
    <t>Pourcentage des FI Résolues</t>
  </si>
  <si>
    <t>Pk1</t>
  </si>
  <si>
    <t>Pk2</t>
  </si>
  <si>
    <t>Pk3</t>
  </si>
  <si>
    <t>Pk4</t>
  </si>
  <si>
    <t>Pk5</t>
  </si>
  <si>
    <t>Pk6</t>
  </si>
  <si>
    <t>Pk7</t>
  </si>
  <si>
    <t>E1</t>
  </si>
  <si>
    <t>E2</t>
  </si>
  <si>
    <t>E3</t>
  </si>
  <si>
    <t>E4</t>
  </si>
  <si>
    <t>E5</t>
  </si>
  <si>
    <t>E6</t>
  </si>
  <si>
    <t>E7</t>
  </si>
  <si>
    <t>En Attente</t>
  </si>
  <si>
    <t>Délai de livraison  des anomalies par sévérité</t>
  </si>
  <si>
    <t>70.27</t>
  </si>
  <si>
    <t>17.03</t>
  </si>
  <si>
    <t>600,20 E17</t>
  </si>
  <si>
    <t>500,18 Pk18</t>
  </si>
  <si>
    <t>Pourcentage  des anomalies livrées hors délai  /sévérité 1</t>
  </si>
  <si>
    <t>&gt; 15</t>
  </si>
  <si>
    <t>&gt; 30</t>
  </si>
  <si>
    <t>&lt;=5</t>
  </si>
  <si>
    <t>&lt;=15</t>
  </si>
  <si>
    <t>IQ4.4: % d‘incidents résolus SEV 1 hors délai (délai &gt; 15 jours ouvrés)</t>
  </si>
  <si>
    <t>IQ4.2: % de retour analyse SEV 1 hors délai (délai &gt; 5 jours ouvrés)</t>
  </si>
  <si>
    <t>CD09B</t>
  </si>
  <si>
    <t>Diff</t>
  </si>
  <si>
    <t>70.32</t>
  </si>
  <si>
    <t>70.33</t>
  </si>
  <si>
    <t>17.06</t>
  </si>
  <si>
    <t>70.34</t>
  </si>
  <si>
    <t>17.07</t>
  </si>
  <si>
    <t>05.16</t>
  </si>
  <si>
    <t>05.17</t>
  </si>
  <si>
    <t>04.88</t>
  </si>
  <si>
    <t>500,20 Pk20</t>
  </si>
  <si>
    <t>600,22 E19</t>
  </si>
  <si>
    <t>70.35</t>
  </si>
  <si>
    <t>18.02</t>
  </si>
  <si>
    <t>05.18</t>
  </si>
  <si>
    <t>70.36</t>
  </si>
  <si>
    <t>61.42</t>
  </si>
  <si>
    <t>Pack2011-04</t>
  </si>
  <si>
    <t>70.37</t>
  </si>
  <si>
    <t>18.03</t>
  </si>
  <si>
    <t>05.20</t>
  </si>
  <si>
    <t>17.08</t>
  </si>
  <si>
    <t>70.38</t>
  </si>
  <si>
    <t>18.04</t>
  </si>
  <si>
    <t>LEXIA - PP2000 - DIAGBOX</t>
  </si>
  <si>
    <t>70.39</t>
  </si>
  <si>
    <t>600,23 E19</t>
  </si>
  <si>
    <t>70.40</t>
  </si>
  <si>
    <t>18.05</t>
  </si>
  <si>
    <t>05.21</t>
  </si>
  <si>
    <t>19.02</t>
  </si>
  <si>
    <t>70.41</t>
  </si>
  <si>
    <t>05.22</t>
  </si>
  <si>
    <t>05.23</t>
  </si>
  <si>
    <t>70.42</t>
  </si>
  <si>
    <t>19.03</t>
  </si>
  <si>
    <t>500,21 Pk21</t>
  </si>
  <si>
    <t>18.06</t>
  </si>
  <si>
    <t>70.43</t>
  </si>
  <si>
    <t>70.44</t>
  </si>
  <si>
    <t>19.04</t>
  </si>
  <si>
    <t>Pack2011-05</t>
  </si>
  <si>
    <t>FI_DBOX_11_1349</t>
  </si>
  <si>
    <t>FI_DBOX_11_1350</t>
  </si>
  <si>
    <t>FI_DBOX_11_1351</t>
  </si>
  <si>
    <t>FI_DBOX_11_1352</t>
  </si>
  <si>
    <t>FI_DBOX_11_1353</t>
  </si>
  <si>
    <t>FI_DBOX_11_1354</t>
  </si>
  <si>
    <t>FI_DBOX_11_1355</t>
  </si>
  <si>
    <t>FI_DBOX_11_1358</t>
  </si>
  <si>
    <t>FI_DBOX_11_1363</t>
  </si>
  <si>
    <t>FI_DBOX_11_1364</t>
  </si>
  <si>
    <t>FI_DBOX_11_1368</t>
  </si>
  <si>
    <t>FI_DBOX_11_1375</t>
  </si>
  <si>
    <t>70.45</t>
  </si>
  <si>
    <t>70.46</t>
  </si>
  <si>
    <t>19.05</t>
  </si>
  <si>
    <t>600,24 E20</t>
  </si>
  <si>
    <t>05.24</t>
  </si>
  <si>
    <t>5.24 Pack2011-03</t>
  </si>
  <si>
    <t>19.07</t>
  </si>
  <si>
    <t>05.11</t>
  </si>
  <si>
    <t>05.15</t>
  </si>
  <si>
    <t>05.25</t>
  </si>
  <si>
    <t>05.19</t>
  </si>
  <si>
    <t>61.40</t>
  </si>
  <si>
    <t>61.41</t>
  </si>
  <si>
    <t>61.24</t>
  </si>
  <si>
    <t>61.25</t>
  </si>
  <si>
    <t>61.30</t>
  </si>
  <si>
    <t>70.48</t>
  </si>
  <si>
    <t>20.02</t>
  </si>
  <si>
    <t>70.49</t>
  </si>
  <si>
    <t>20.03</t>
  </si>
  <si>
    <t>500,22 Pk22</t>
  </si>
  <si>
    <t>FI_DBOX_11_1622.xls</t>
  </si>
  <si>
    <t>FI_DBOX_11_1624.xls</t>
  </si>
  <si>
    <t>fi_dbox_11_1625.xls</t>
  </si>
  <si>
    <t>FI_DBOX_11_1626.xls</t>
  </si>
  <si>
    <t>FI_DBOX_11_1630.xls</t>
  </si>
  <si>
    <t>FI_DBOX_11_1631.xls</t>
  </si>
  <si>
    <t>FI_DBOX_11_1638.xls</t>
  </si>
  <si>
    <t>FI_DBOX_11_1641.xls</t>
  </si>
  <si>
    <t>FI_DBOX_11_1642.xls</t>
  </si>
  <si>
    <t>FI_DBOX_11_1644.xls</t>
  </si>
  <si>
    <t>FI_DBOX_11_1645.xls</t>
  </si>
  <si>
    <t>FI_DBOX_11_1646.xls</t>
  </si>
  <si>
    <t>FI_DBOX_11_1647.xls</t>
  </si>
  <si>
    <t>FI_DBOX_11_1648.xls</t>
  </si>
  <si>
    <t>FI_DBOX_11_1649.xls</t>
  </si>
  <si>
    <t>FI_DBOX_11_1650.xls</t>
  </si>
  <si>
    <t>FI_DBOX_11_1651.xls</t>
  </si>
  <si>
    <t>FI_DBOX_11_1652.xls</t>
  </si>
  <si>
    <t>FI_DBOX_11_1653.xls</t>
  </si>
  <si>
    <t>FI_DBOX_11_1654.xls</t>
  </si>
  <si>
    <t>FI_DBOX_11_1655.xls</t>
  </si>
  <si>
    <t>FI_DBOX_11_1656.xls</t>
  </si>
  <si>
    <t>FI_DBOX_11_1657.xls</t>
  </si>
  <si>
    <t>FI_DBOX_11_1658.xls</t>
  </si>
  <si>
    <t>FI_DBOX_11_1659.xls</t>
  </si>
  <si>
    <t>FI_DBOX_11_1660.xls</t>
  </si>
  <si>
    <t>FI_DBOX_11_1661.xls</t>
  </si>
  <si>
    <t>FI_DBOX_11_1662.xls</t>
  </si>
  <si>
    <t>FI_DBOX_11_1663.xls</t>
  </si>
  <si>
    <t>FI_DBOX_11_1664.xls</t>
  </si>
  <si>
    <t>FI_DBOX_11_1665.xls</t>
  </si>
  <si>
    <t>FI_DBOX_11_1666.xls</t>
  </si>
  <si>
    <t>FI_DBOX_11_1667.xls</t>
  </si>
  <si>
    <t>FI_DBOX_11_1668.xls</t>
  </si>
  <si>
    <t>FI_DBOX_11_1669.xls</t>
  </si>
  <si>
    <t>FI_DBOX_11_1670.xls</t>
  </si>
  <si>
    <t>FI_DBOX_11_1671.xls</t>
  </si>
  <si>
    <t>FI_DBOX_11_1672.xls</t>
  </si>
  <si>
    <t>FI_DBOX_11_1673.xls</t>
  </si>
  <si>
    <t>FI_DBOX_11_1674.xls</t>
  </si>
  <si>
    <t>FI_DBOX_11_1675.xls</t>
  </si>
  <si>
    <t>FI_DBOX_11_1676.xls</t>
  </si>
  <si>
    <t>FI_DBOX_11_1677.xls</t>
  </si>
  <si>
    <t>FI_DBOX_11_1678.xls</t>
  </si>
  <si>
    <t>FI_DBOX_11_1679.xls</t>
  </si>
  <si>
    <t>FI_DBOX_11_1680.xls</t>
  </si>
  <si>
    <t>FI_DBOX_11_1681.xls</t>
  </si>
  <si>
    <t>FI_DBOX_11_1726.xls</t>
  </si>
  <si>
    <t>FI_DBOX_11_1732.xls</t>
  </si>
  <si>
    <t>FI_DBOX_11_1733.xls</t>
  </si>
  <si>
    <t>FI_DBOX_11_1734.xls</t>
  </si>
  <si>
    <t>fi_dbox_11_1735.xls</t>
  </si>
  <si>
    <t>fi_dbox_11_1738.xls</t>
  </si>
  <si>
    <t>FI_DBOX_11_1703.xls</t>
  </si>
  <si>
    <t>FI_DBOX_11_1707.xls</t>
  </si>
  <si>
    <t>FI_DBOX_11_1708.xls</t>
  </si>
  <si>
    <t>FI_DBOX_11_1710.xls</t>
  </si>
  <si>
    <t>FI_DBOX_11_1714.xls</t>
  </si>
  <si>
    <t>FI_DBOX_11_1720.xls</t>
  </si>
  <si>
    <t>FI_DBOX_11_1721.xls</t>
  </si>
  <si>
    <t>FI_DBOX_11_1722.xls</t>
  </si>
  <si>
    <t>FI_DBOX_11_1725.xls</t>
  </si>
  <si>
    <t>FI_DBOX_11_1746.xls</t>
  </si>
  <si>
    <t>FI_DBOX_11_1747.xls</t>
  </si>
  <si>
    <t>FI_DBOX_11_1748.xls</t>
  </si>
  <si>
    <t>FI_DBOX_11_1750.xls</t>
  </si>
  <si>
    <t>FI_DBOX_11_1751.xls</t>
  </si>
  <si>
    <t>FI_DBOX_11_1752.xls</t>
  </si>
  <si>
    <t>FI_DBOX_11_1753.xls</t>
  </si>
  <si>
    <t>FI_DBOX_11_1755.xls</t>
  </si>
  <si>
    <t>FI_DBOX_11_1758.xls</t>
  </si>
  <si>
    <t>FI_DBOX_11_1759.xls</t>
  </si>
  <si>
    <t>FI_DBOX_11_1763.xls</t>
  </si>
  <si>
    <t>FI_DBOX_11_1766.xls</t>
  </si>
  <si>
    <t>FI_DBOX_11_1767.xls</t>
  </si>
  <si>
    <t>FI_DBOX_11_1768.xls</t>
  </si>
  <si>
    <t>FI_DBOX_11_1769.xls</t>
  </si>
  <si>
    <t>FI_DBOX_11_1770.xls</t>
  </si>
  <si>
    <t>FI_DBOX_11_1771.xls</t>
  </si>
  <si>
    <t>FI_DBOX_11_1772.xls</t>
  </si>
  <si>
    <t>FI_DBOX_11_1773.xls</t>
  </si>
  <si>
    <t>FI_DBOX_11_1777.xls</t>
  </si>
  <si>
    <t>FI_DBOX_11_1778.xls</t>
  </si>
  <si>
    <t>FI_DBOX_11_1779.xls</t>
  </si>
  <si>
    <t>FI_DBOX_11_1780.xls</t>
  </si>
  <si>
    <t>FI_DBOX_11_1781.xls</t>
  </si>
  <si>
    <t>FI_DBOX_11_1782.xls</t>
  </si>
  <si>
    <t>FI_DBOX_11_1784.xls</t>
  </si>
  <si>
    <t>FI_DBOX_11_1785.xls</t>
  </si>
  <si>
    <t>FI_DBOX_11_1787.xls</t>
  </si>
  <si>
    <t>FI_DBOX_11_1788.xls</t>
  </si>
  <si>
    <t>FI_DBOX_11_1790.xls</t>
  </si>
  <si>
    <t>FI_DBOX_11_1791.xls</t>
  </si>
  <si>
    <t>Pack2011-06</t>
  </si>
  <si>
    <t>70.50</t>
  </si>
  <si>
    <t>20.04</t>
  </si>
  <si>
    <t>70.51</t>
  </si>
  <si>
    <t>05.28</t>
  </si>
  <si>
    <t>70.52</t>
  </si>
  <si>
    <t>20.05</t>
  </si>
  <si>
    <t>19.09</t>
  </si>
  <si>
    <t>600,26 E21</t>
  </si>
  <si>
    <t>FI_DBOX_11_1904.xls</t>
  </si>
  <si>
    <t>FI_DBOX_11_1905.xls</t>
  </si>
  <si>
    <t>FI_DBOX_11_1906.xls</t>
  </si>
  <si>
    <t>FI_DBOX_11_1907.xls</t>
  </si>
  <si>
    <t>FI_DBOX_11_1908.xls</t>
  </si>
  <si>
    <t>FI_DBOX_11_1909.xls</t>
  </si>
  <si>
    <t>FI_DBOX_11_1910.xls</t>
  </si>
  <si>
    <t>FI_DBOX_11_1911.xls</t>
  </si>
  <si>
    <t>FI_DBOX_11_1917.xls</t>
  </si>
  <si>
    <t>FI_DBOX_11_1920.xls</t>
  </si>
  <si>
    <t>FI_DBOX_11_1924.xls</t>
  </si>
  <si>
    <t>FI_DBOX_11_1925.xls</t>
  </si>
  <si>
    <t>FI_DBOX_11_1927.xls</t>
  </si>
  <si>
    <t>FI_DBOX_11_1928.xls</t>
  </si>
  <si>
    <t>FI_DBOX_11_1929.xls</t>
  </si>
  <si>
    <t>FI_DBOX_11_1930.xls</t>
  </si>
  <si>
    <t>FI_DBOX_11_1932.xls</t>
  </si>
  <si>
    <t>FI_DBOX_11_1933.xls</t>
  </si>
  <si>
    <t>FI_DBOX_11_1935.xls</t>
  </si>
  <si>
    <t>FI_DBOX_11_1941.xls</t>
  </si>
  <si>
    <t>FI_DBOX_11_1945.xls</t>
  </si>
  <si>
    <t>FI_DBOX_11_1946.xls</t>
  </si>
  <si>
    <t>FI_DBOX_11_1947.xls</t>
  </si>
  <si>
    <t>FI_DBOX_11_1948.xls</t>
  </si>
  <si>
    <t>FI_DBOX_11_1949.xls</t>
  </si>
  <si>
    <t>FI_DBOX_11_1950.xls</t>
  </si>
  <si>
    <t>FI_DBOX_11_1951.xls</t>
  </si>
  <si>
    <t>FI_DBOX_11_1952.xls</t>
  </si>
  <si>
    <t>FI_DBOX_11_1953.xls</t>
  </si>
  <si>
    <t>FI_DBOX_11_1954.xls</t>
  </si>
  <si>
    <t>FI_DBOX_11_1955.xls</t>
  </si>
  <si>
    <t>FI_DBOX_11_1956.xls</t>
  </si>
  <si>
    <t>FI_DBOX_11_1957.xls</t>
  </si>
  <si>
    <t>FI_DBOX_11_1958.xls</t>
  </si>
  <si>
    <t>FI_DBOX_11_1959.xls</t>
  </si>
  <si>
    <t>70.53</t>
  </si>
  <si>
    <t>transmis à Vincent</t>
  </si>
  <si>
    <t>70.54</t>
  </si>
  <si>
    <t>21.03</t>
  </si>
  <si>
    <t>05.29</t>
  </si>
  <si>
    <t>70.55</t>
  </si>
  <si>
    <t>20.07</t>
  </si>
  <si>
    <t>21.04</t>
  </si>
  <si>
    <t>Pack2011-07</t>
  </si>
  <si>
    <t>05.30</t>
  </si>
  <si>
    <t>05.31</t>
  </si>
  <si>
    <t>20.06</t>
  </si>
  <si>
    <t>70.56</t>
  </si>
  <si>
    <t>70.57</t>
  </si>
  <si>
    <t>21.05</t>
  </si>
  <si>
    <t>600,27 E22</t>
  </si>
  <si>
    <t>500,23 Pk23</t>
  </si>
  <si>
    <t>nouv sev1</t>
  </si>
  <si>
    <t>nouv sev2</t>
  </si>
  <si>
    <t>nouv sev3</t>
  </si>
  <si>
    <t>Sev1 fermées</t>
  </si>
  <si>
    <t>Sev2 fermées</t>
  </si>
  <si>
    <t>Sev3 fermées</t>
  </si>
  <si>
    <t>Total Dbox</t>
  </si>
  <si>
    <t>70.58</t>
  </si>
  <si>
    <t>70.60</t>
  </si>
  <si>
    <t>70.59</t>
  </si>
  <si>
    <t>21.06</t>
  </si>
  <si>
    <t>22.01</t>
  </si>
  <si>
    <t>05.32</t>
  </si>
  <si>
    <t>05.33</t>
  </si>
  <si>
    <t>70.61</t>
  </si>
  <si>
    <t>22.02</t>
  </si>
  <si>
    <t>70.62</t>
  </si>
  <si>
    <t>22.03</t>
  </si>
  <si>
    <t>5.30 Pack2011-05</t>
  </si>
  <si>
    <t>70.63</t>
  </si>
  <si>
    <t>23.01</t>
  </si>
  <si>
    <t>Pack2011-08</t>
  </si>
  <si>
    <t>05.34</t>
  </si>
  <si>
    <t>05.35</t>
  </si>
  <si>
    <t>05.36</t>
  </si>
  <si>
    <t>21.07</t>
  </si>
  <si>
    <t>21.08</t>
  </si>
  <si>
    <t>70.64</t>
  </si>
  <si>
    <t>22.04</t>
  </si>
  <si>
    <t>500,25 Pk24</t>
  </si>
  <si>
    <t>600,29 E23</t>
  </si>
  <si>
    <t>5.36 Pack2011-06</t>
  </si>
  <si>
    <t>05.37</t>
  </si>
  <si>
    <t>70.65</t>
  </si>
  <si>
    <t>22.05</t>
  </si>
  <si>
    <t>70.66</t>
  </si>
  <si>
    <t>24.01</t>
  </si>
  <si>
    <t>Pack2011-09</t>
  </si>
  <si>
    <t>MCV</t>
  </si>
  <si>
    <t>X7</t>
  </si>
  <si>
    <t>B0</t>
  </si>
  <si>
    <t>G9</t>
  </si>
  <si>
    <t>B9</t>
  </si>
  <si>
    <t>Véh.</t>
  </si>
  <si>
    <t>Veh.</t>
  </si>
  <si>
    <t>N68</t>
  </si>
  <si>
    <t>Variation:</t>
  </si>
  <si>
    <t>05.38</t>
  </si>
  <si>
    <t>05.39</t>
  </si>
  <si>
    <t>600,30 E23</t>
  </si>
  <si>
    <t>500,26 Pk24</t>
  </si>
  <si>
    <t>70.67</t>
  </si>
  <si>
    <t>70.68</t>
  </si>
  <si>
    <t>70.69</t>
  </si>
  <si>
    <t>24.03</t>
  </si>
  <si>
    <t>05.27</t>
  </si>
  <si>
    <t>23.02</t>
  </si>
  <si>
    <t>05.40</t>
  </si>
  <si>
    <t>70.70</t>
  </si>
  <si>
    <t>24.04</t>
  </si>
  <si>
    <t>FI_DBOX_11_2994.xls</t>
  </si>
  <si>
    <t>FI_DBOX_11_2995.xls</t>
  </si>
  <si>
    <t>FI_DBOX_11_2996.xls</t>
  </si>
  <si>
    <t>FI_DBOX_11_2998.xls</t>
  </si>
  <si>
    <t>FI_DBOX_11_2999.xls</t>
  </si>
  <si>
    <t>FI_DBOX_11_3000.xls</t>
  </si>
  <si>
    <t>FI_DBOX_11_3002.xls</t>
  </si>
  <si>
    <t>FI_DBOX_11_3003.xls</t>
  </si>
  <si>
    <t>FI_DBOX_11_3007.xls</t>
  </si>
  <si>
    <t>FI_DBOX_11_3016.xls</t>
  </si>
  <si>
    <t>FI_DBOX_11_3017.xls</t>
  </si>
  <si>
    <t>FI_DBOX_11_3018.xls</t>
  </si>
  <si>
    <t>FI_DBOX_11_3019.xls</t>
  </si>
  <si>
    <t>FI_DBOX_11_3020.xls</t>
  </si>
  <si>
    <t>FI_DBOX_11_3021.xls</t>
  </si>
  <si>
    <t>FI_DBOX_11_3022.xls</t>
  </si>
  <si>
    <t>FI_DBOX_11_3023.xls</t>
  </si>
  <si>
    <t>FI_DBOX_11_3024.xls</t>
  </si>
  <si>
    <t>FI_DBOX_11_3025.xls</t>
  </si>
  <si>
    <t>FI_DBOX_11_3026.xls</t>
  </si>
  <si>
    <t>FI_DBOX_11_3028.xls</t>
  </si>
  <si>
    <t>FI_DBOX_11_3029.xls</t>
  </si>
  <si>
    <t>FI_DBOX_11_3030.xls</t>
  </si>
  <si>
    <t>FI_DBOX_11_3032.xls</t>
  </si>
  <si>
    <t>FI_DBOX_11_3033.xls</t>
  </si>
  <si>
    <t>FI_DBOX_11_3035.xls</t>
  </si>
  <si>
    <t>FI_DBOX_11_3036.xls</t>
  </si>
  <si>
    <t>FI_DBOX_11_3037.xls</t>
  </si>
  <si>
    <t>FI_DBOX_11_3038.xls</t>
  </si>
  <si>
    <t>FI_DBOX_11_3040.xls</t>
  </si>
  <si>
    <t>FI_DBOX_11_3041.xls</t>
  </si>
  <si>
    <t>FI_DBOX_11_3042.xls</t>
  </si>
  <si>
    <t>FI_DBOX_11_3047.xls</t>
  </si>
  <si>
    <t>FI_DBOX_11_3048.xls</t>
  </si>
  <si>
    <t>FI_DBOX_11_3049.xls</t>
  </si>
  <si>
    <t>FI_DBOX_11_3050.xls</t>
  </si>
  <si>
    <t>FI_DBOX_11_3051.xls</t>
  </si>
  <si>
    <t>FI_DBOX_11_3052.xls</t>
  </si>
  <si>
    <t>FI_DBOX_11_3055.xls</t>
  </si>
  <si>
    <t>FI_DBOX_11_3056.xls</t>
  </si>
  <si>
    <t>FI_DBOX_11_3057.xls</t>
  </si>
  <si>
    <t>FI_DBOX_11_3058.xls</t>
  </si>
  <si>
    <t>FI_DBOX_11_3059.xls</t>
  </si>
  <si>
    <t>FI_DBOX_11_3061.xls</t>
  </si>
  <si>
    <t>FI_DBOX_11_3062.xls</t>
  </si>
  <si>
    <t>FI_DBOX_11_3063.xls</t>
  </si>
  <si>
    <t>FI_DBOX_11_3064.xls</t>
  </si>
  <si>
    <t>FI_DBOX_11_3065.xls</t>
  </si>
  <si>
    <t>FI_DBOX_11_3066.xls</t>
  </si>
  <si>
    <t>FI_DBOX_11_3067.xls</t>
  </si>
  <si>
    <t>FI_DBOX_11_3068.xls</t>
  </si>
  <si>
    <t>FI_DBOX_11_3069.xls</t>
  </si>
  <si>
    <t>FI_DBOX_11_3070.xls</t>
  </si>
  <si>
    <t>FI_DBOX_11_3071.xls</t>
  </si>
  <si>
    <t>FI_DBOX_11_3072.xls</t>
  </si>
  <si>
    <t>FI_DBOX_11_3073.xls</t>
  </si>
  <si>
    <t>FI_DBOX_11_3074.xls</t>
  </si>
  <si>
    <t>FI_DBOX_11_3075.xls</t>
  </si>
  <si>
    <t>FI_DBOX_11_3076.xls</t>
  </si>
  <si>
    <t>FI_DBOX_11_3077.xls</t>
  </si>
  <si>
    <t>FI_DBOX_11_3078.xls</t>
  </si>
  <si>
    <t>FI_DBOX_11_3079.xls</t>
  </si>
  <si>
    <t>FI_DBOX_11_3080.xls</t>
  </si>
  <si>
    <t>FI_DBOX_11_3081.xls</t>
  </si>
  <si>
    <t>FI_DBOX_11_3082.xls</t>
  </si>
  <si>
    <t>FI_DBOX_11_3083.xls</t>
  </si>
  <si>
    <t>FI_DBOX_11_3084.xls</t>
  </si>
  <si>
    <t>FI_DBOX_11_3086.xls</t>
  </si>
  <si>
    <t>FI_DBOX_11_3087.xls</t>
  </si>
  <si>
    <t>FI_DBOX_11_3088.xls</t>
  </si>
  <si>
    <t>FI_DBOX_11_3089.xls</t>
  </si>
  <si>
    <t>FI_DBOX_11_3090.xls</t>
  </si>
  <si>
    <t>FI_DBOX_11_2972.xls</t>
  </si>
  <si>
    <t>FI_DBOX_11_2977.xls</t>
  </si>
  <si>
    <t>FI_DBOX_11_2978.xls</t>
  </si>
  <si>
    <t>FI_DBOX_11_2979.xls</t>
  </si>
  <si>
    <t>FI_DBOX_11_2980.xls</t>
  </si>
  <si>
    <t>FI_DBOX_11_2981.xls</t>
  </si>
  <si>
    <t>FI_DBOX_11_2982.xls</t>
  </si>
  <si>
    <t>FI_DBOX_11_2984.xls</t>
  </si>
  <si>
    <t>FI_DBOX_11_2986.xls</t>
  </si>
  <si>
    <t>FI_DBOX_11_2987.xls</t>
  </si>
  <si>
    <t>FI_DBOX_11_2988.xls</t>
  </si>
  <si>
    <t>fi_dbox_11_3001.xls</t>
  </si>
  <si>
    <t>FI_DBOX_11_3010.xls</t>
  </si>
  <si>
    <t>FI_DBOX_11_3011.xls</t>
  </si>
  <si>
    <t>FI_DBOX_11_3012.xls</t>
  </si>
  <si>
    <t>FI_DBOX_11_3013.xls</t>
  </si>
  <si>
    <t>FI_DBOX_11_3014.xls</t>
  </si>
  <si>
    <t>FI_DBOX_11_3015.xls</t>
  </si>
  <si>
    <t>FI_DBOX_11_3039.xls</t>
  </si>
  <si>
    <t>fi_dbox_11_3045.xls</t>
  </si>
  <si>
    <t>fi_dbox_11_3046.xls</t>
  </si>
  <si>
    <t>fi_dbox_11_3053.xls</t>
  </si>
  <si>
    <t>fi_dbox_11_3054.xls</t>
  </si>
  <si>
    <t>24.05</t>
  </si>
  <si>
    <t>70.71</t>
  </si>
  <si>
    <t>600,35 E24</t>
  </si>
  <si>
    <t>500,30 Pk25</t>
  </si>
  <si>
    <t>Pack2011-10</t>
  </si>
  <si>
    <t>70.72</t>
  </si>
  <si>
    <t>24.06</t>
  </si>
  <si>
    <t>05.41</t>
  </si>
  <si>
    <t>05.42</t>
  </si>
  <si>
    <t>23.03</t>
  </si>
  <si>
    <t>600,34 E24</t>
  </si>
  <si>
    <t>500,29 Pk25</t>
  </si>
  <si>
    <t>70.73</t>
  </si>
  <si>
    <t>70.74</t>
  </si>
  <si>
    <t>70.75</t>
  </si>
  <si>
    <t>24.07</t>
  </si>
  <si>
    <t>25.01</t>
  </si>
  <si>
    <t>25.02</t>
  </si>
  <si>
    <t>70.76</t>
  </si>
  <si>
    <t>25.03</t>
  </si>
  <si>
    <t>05.43</t>
  </si>
  <si>
    <t>Pack2011-11</t>
  </si>
  <si>
    <t>06.02</t>
  </si>
  <si>
    <t>70.77</t>
  </si>
  <si>
    <t>600,36 E25</t>
  </si>
  <si>
    <t>500,33 Pk26</t>
  </si>
  <si>
    <t>70.78</t>
  </si>
  <si>
    <t>25.04</t>
  </si>
  <si>
    <t>70.79</t>
  </si>
  <si>
    <t>70.80</t>
  </si>
  <si>
    <t>26.01</t>
  </si>
  <si>
    <t>25.05</t>
  </si>
  <si>
    <t>06.03</t>
  </si>
  <si>
    <t>06.04</t>
  </si>
  <si>
    <t>6.03 Pack2011-09</t>
  </si>
  <si>
    <t>05.44</t>
  </si>
  <si>
    <t>05.46</t>
  </si>
  <si>
    <t>70.82</t>
  </si>
  <si>
    <t>70.81</t>
  </si>
  <si>
    <t>26.02</t>
  </si>
  <si>
    <t>V</t>
  </si>
  <si>
    <t>70.83</t>
  </si>
  <si>
    <t>6.04 Pack2011-10</t>
  </si>
  <si>
    <t>05.47</t>
  </si>
  <si>
    <t>600,38 E25</t>
  </si>
  <si>
    <t>500,35 Pk26</t>
  </si>
  <si>
    <t>Pack2011-12</t>
  </si>
  <si>
    <t>70.84</t>
  </si>
  <si>
    <t>26.03</t>
  </si>
  <si>
    <t>06.05</t>
  </si>
  <si>
    <t>06.01</t>
  </si>
  <si>
    <t>70.85</t>
  </si>
  <si>
    <t>26.04</t>
  </si>
  <si>
    <t>70.86</t>
  </si>
  <si>
    <t>26.07</t>
  </si>
  <si>
    <t>70.87</t>
  </si>
  <si>
    <t>70.88</t>
  </si>
  <si>
    <t>28.01</t>
  </si>
  <si>
    <t>Pack2012-01</t>
  </si>
  <si>
    <t>70.89</t>
  </si>
  <si>
    <t>27.02</t>
  </si>
  <si>
    <t>6.05 Pack2011-10</t>
  </si>
  <si>
    <t>N5</t>
  </si>
  <si>
    <t>BZ 32019</t>
  </si>
  <si>
    <t>5.44 Pack2011-09</t>
  </si>
  <si>
    <t>70.90</t>
  </si>
  <si>
    <t>70.91</t>
  </si>
  <si>
    <t>27.03</t>
  </si>
  <si>
    <t>06.06</t>
  </si>
  <si>
    <t>70.92</t>
  </si>
  <si>
    <t>27.04</t>
  </si>
  <si>
    <t>28.02</t>
  </si>
  <si>
    <t>70.93</t>
  </si>
  <si>
    <t>6.06 Pack2011-11</t>
  </si>
  <si>
    <t>05.48</t>
  </si>
  <si>
    <t>T70</t>
  </si>
  <si>
    <t>I4</t>
  </si>
  <si>
    <t>W22</t>
  </si>
  <si>
    <t>A70</t>
  </si>
  <si>
    <t>T87</t>
  </si>
  <si>
    <t>D22</t>
  </si>
  <si>
    <t>X2-50</t>
  </si>
  <si>
    <t>B71</t>
  </si>
  <si>
    <t>T60</t>
  </si>
  <si>
    <t>B81</t>
  </si>
  <si>
    <t>T84</t>
  </si>
  <si>
    <t>A55</t>
  </si>
  <si>
    <t>I3</t>
  </si>
  <si>
    <t>B50</t>
  </si>
  <si>
    <t>X2-50-FL</t>
  </si>
  <si>
    <t>JIRA_COMREPA-900</t>
  </si>
  <si>
    <t>T3E</t>
  </si>
  <si>
    <t>JIRA_COMREPA-901</t>
  </si>
  <si>
    <t>JIRA_COMREPA-902</t>
  </si>
  <si>
    <t>POUDGPIL-842</t>
  </si>
  <si>
    <t>JIRA_COMREPA-904</t>
  </si>
  <si>
    <t>POUDGPIL-811</t>
  </si>
  <si>
    <t>JIRA_COMREPA-905</t>
  </si>
  <si>
    <t>JIRA_COMREPA-906</t>
  </si>
  <si>
    <t>JIRA_COMREPA-923</t>
  </si>
  <si>
    <t>JIRA_COMREPA-928</t>
  </si>
  <si>
    <t>BZ_31885 - CRVVEH_BSI_UDS_B81_CDC_DIAG-COM-10-032_IND J2 (BSI UDS)_V26-02-RC_BUILD-894.doc</t>
  </si>
  <si>
    <t>JIRA_COMREPA-932</t>
  </si>
  <si>
    <t>V_E378389_OUD V5.30_4 - CRV_DB_B81_A</t>
  </si>
  <si>
    <t>JIRA_COMREPA-908</t>
  </si>
  <si>
    <t>V_E378956_OUD V5,25_25 - CRV_DB_T84-HY_A</t>
  </si>
  <si>
    <t>JIRA_COMREPA-940</t>
  </si>
  <si>
    <t>JIRA_COMREPA-947</t>
  </si>
  <si>
    <t>JIRA_COMREPA-944</t>
  </si>
  <si>
    <t>JIRA_COMREPA-942</t>
  </si>
  <si>
    <t>JIRA_COMREPA-946</t>
  </si>
  <si>
    <t>JIRA_COMREPA-964</t>
  </si>
  <si>
    <t>JIRA_COMREPA-950</t>
  </si>
  <si>
    <t>JIRA_COMREPA-960</t>
  </si>
  <si>
    <t>JIRA_COMREPA-963</t>
  </si>
  <si>
    <t>JIRA_COMREPA-954</t>
  </si>
  <si>
    <t>JIRA_COMREPA-982</t>
  </si>
  <si>
    <t>TX3</t>
  </si>
  <si>
    <t>V_E171287_OUD V70,75_2 - CRV_DB_TX3_B</t>
  </si>
  <si>
    <t>JIRA_COMREPA-992</t>
  </si>
  <si>
    <t>JIRA_COMREPA-997</t>
  </si>
  <si>
    <t>70.94</t>
  </si>
  <si>
    <t>28.03</t>
  </si>
  <si>
    <t>70.95</t>
  </si>
  <si>
    <t>28.04</t>
  </si>
  <si>
    <t>70.96</t>
  </si>
  <si>
    <t>28.05</t>
  </si>
  <si>
    <t>79.97</t>
  </si>
  <si>
    <t>06.07</t>
  </si>
  <si>
    <t>6.07 Pack2011-12</t>
  </si>
  <si>
    <t>JIRA_COMREPA-965</t>
  </si>
  <si>
    <t>70.93 Pack2012-01</t>
  </si>
  <si>
    <t>BZ_32329 - CRVVEH_SID 208_X2.50 FL_DIAG-COM-11-028 IND D (SID208)_V28-02 BUILD 917.rar</t>
  </si>
  <si>
    <t>JIRA_COMREPA-953</t>
  </si>
  <si>
    <t>A90</t>
  </si>
  <si>
    <t>W24HY</t>
  </si>
  <si>
    <t>JIRA_COMREPA-998</t>
  </si>
  <si>
    <t>J3</t>
  </si>
  <si>
    <t>A51</t>
  </si>
  <si>
    <t>B81HY</t>
  </si>
  <si>
    <t>JIRA_COMREPA-999</t>
  </si>
  <si>
    <t>A58</t>
  </si>
  <si>
    <t>JIRA_DEVCOMREPA-164</t>
  </si>
  <si>
    <t>70.96 Pack2012-01</t>
  </si>
  <si>
    <t>06.09</t>
  </si>
  <si>
    <t>JIRA_DEVCOMREPA-145</t>
  </si>
  <si>
    <t>JIRA_DEVCOMREPA-184</t>
  </si>
  <si>
    <t>JIRA_DEVCOMREPA-158</t>
  </si>
  <si>
    <t>JIRA_DEVCOMREPA-155</t>
  </si>
  <si>
    <t>JIRA_DEVCOMREPA-190</t>
  </si>
  <si>
    <t>W23HY</t>
  </si>
  <si>
    <t>JIRA_DEVCOMREPA-185</t>
  </si>
  <si>
    <t>JIRA_DEVCOMREPA-268</t>
  </si>
  <si>
    <t>JIRA_DEVCOMREPA-295</t>
  </si>
  <si>
    <t>J4</t>
  </si>
  <si>
    <t>06.10</t>
  </si>
  <si>
    <t>70.98</t>
  </si>
  <si>
    <t>70.99</t>
  </si>
  <si>
    <t>71.01</t>
  </si>
  <si>
    <t>29.01</t>
  </si>
  <si>
    <t>Pack2012-02</t>
  </si>
  <si>
    <t>600,39 E25</t>
  </si>
  <si>
    <t>500,36 Pk26</t>
  </si>
  <si>
    <t>71.02</t>
  </si>
  <si>
    <t>71.03</t>
  </si>
  <si>
    <t>30.01</t>
  </si>
  <si>
    <t>Pack2012-03</t>
  </si>
  <si>
    <t>71.04</t>
  </si>
  <si>
    <t>29.02</t>
  </si>
  <si>
    <t>JIRA_DEVCOMREPA-296</t>
  </si>
  <si>
    <t>JIRA_DEVCOMREPA-294</t>
  </si>
  <si>
    <t>71.03 Pack2012-03</t>
  </si>
  <si>
    <t>JIRA_DEVCOMREPA-297</t>
  </si>
  <si>
    <t>JIRA_DEVCOMREPA-292</t>
  </si>
  <si>
    <t>JIRA_DEVCOMREPA-293</t>
  </si>
  <si>
    <t>JIRA_DEVCOMREPA-267</t>
  </si>
  <si>
    <t>71.01 Pack2012-02</t>
  </si>
  <si>
    <t>JIRA_DEVCOMREPA-320</t>
  </si>
  <si>
    <t>JIRA_DEVCOMREPA-323</t>
  </si>
  <si>
    <t>TMJ 2012-02</t>
  </si>
  <si>
    <t>JIRA_DEVCOMREPA-324</t>
  </si>
  <si>
    <t>JIRA_DEVCOMREPA-291</t>
  </si>
  <si>
    <t>TMJ 2012-03 (71.03)</t>
  </si>
  <si>
    <t>JIRA_DEVCOMREPA-305</t>
  </si>
  <si>
    <t>71.05</t>
  </si>
  <si>
    <t>30.02</t>
  </si>
  <si>
    <t>JIRA_DEVCOMREPA-304</t>
  </si>
  <si>
    <t>TMJ 2012-02 (71.01)</t>
  </si>
  <si>
    <t>TMJ 2012-02 (71.02)</t>
  </si>
  <si>
    <t>TMJ 2012-02 (71.04)</t>
  </si>
  <si>
    <t>JIRA_DEVCOMREPA-269l</t>
  </si>
  <si>
    <t>TMJ 2012-02 (71.01) Pack2012-02</t>
  </si>
  <si>
    <t>JIRA_DEVCOMREPA-269</t>
  </si>
  <si>
    <t>JIRA_DEVCOMREPA-311</t>
  </si>
  <si>
    <t>TMJ 2012-03 (71.03) Pack2012-03</t>
  </si>
  <si>
    <t>JIRA_COMREPA-907</t>
  </si>
  <si>
    <t>A91</t>
  </si>
  <si>
    <t>JIRA_COMREPA-976</t>
  </si>
  <si>
    <t>TMJ 2012-03 (71.09)</t>
  </si>
  <si>
    <t>TMJ 2012-03 (71.05)</t>
  </si>
  <si>
    <t>30.03</t>
  </si>
  <si>
    <t>TMJ 2012-02 (71.08)</t>
  </si>
  <si>
    <t>29.03</t>
  </si>
  <si>
    <t>30.04</t>
  </si>
  <si>
    <t>71.07</t>
  </si>
  <si>
    <t>71.08</t>
  </si>
  <si>
    <t>71.09</t>
  </si>
  <si>
    <t>06.11</t>
  </si>
  <si>
    <t>6.11 Pack2012-02</t>
  </si>
  <si>
    <t>JIRA_DEVCOMREPA-356</t>
  </si>
  <si>
    <t>TMJ 2012-03 (71.07)</t>
  </si>
  <si>
    <t>JIRA_DEVCOMREPA-315</t>
  </si>
  <si>
    <t>JIRA_DEVCOMREPA-423</t>
  </si>
  <si>
    <t>TMJ 2012-03 (71.09) Pack2012-03</t>
  </si>
  <si>
    <t>T73M</t>
  </si>
  <si>
    <t>JIRA_DEVCOMREPA-474</t>
  </si>
  <si>
    <t>JIRA_DEVCOMREPA-473</t>
  </si>
  <si>
    <t>JIRA_DEVCOMREPA-445</t>
  </si>
  <si>
    <t>JIRA_DEVCOMREPA-425</t>
  </si>
  <si>
    <t>JIRA_DEVCOMREPA-429</t>
  </si>
  <si>
    <t>JIRA_DEVCOMREPA-440</t>
  </si>
  <si>
    <t>JIRA_DEVCOMREPA-442</t>
  </si>
  <si>
    <t>JIRA_DEVCOMREPA-477</t>
  </si>
  <si>
    <t>JIRA_DEVCOMREPA-478</t>
  </si>
  <si>
    <t>JIRA_DEVCOMREPA-479</t>
  </si>
  <si>
    <t>JIRA_DEVCOMREPA-446</t>
  </si>
  <si>
    <t>JIRA_DEVCOMREPA-488</t>
  </si>
  <si>
    <t>TMJ 2012-03 (71.12)</t>
  </si>
  <si>
    <t>71.10</t>
  </si>
  <si>
    <t>71.11</t>
  </si>
  <si>
    <t>71.12</t>
  </si>
  <si>
    <t>30.06</t>
  </si>
  <si>
    <t>71.13</t>
  </si>
  <si>
    <t>71.14</t>
  </si>
  <si>
    <t>30.07</t>
  </si>
  <si>
    <t>TMJ 2012-03 (71.10)</t>
  </si>
  <si>
    <t>TMJ 2012-03 (71.11)</t>
  </si>
  <si>
    <t>TMJ 2012-03 (71.13)</t>
  </si>
  <si>
    <t>TMJ 2012-03 (71.14)</t>
  </si>
  <si>
    <t>JIRA_DEVCOMREPA-490</t>
  </si>
  <si>
    <t>TMJ 2012-03 (71.12) Pack2012-03</t>
  </si>
  <si>
    <t>6.13</t>
  </si>
  <si>
    <t>30.08</t>
  </si>
  <si>
    <t>JIRA_DEVCOMREPA-533</t>
  </si>
  <si>
    <t>TMJ 2012-04 (71.16)</t>
  </si>
  <si>
    <t>TMJ 2012-03 (71.15)</t>
  </si>
  <si>
    <t>71.15</t>
  </si>
  <si>
    <t>71.16</t>
  </si>
  <si>
    <t>71.17</t>
  </si>
  <si>
    <t>31.01</t>
  </si>
  <si>
    <t>Pack2012-04</t>
  </si>
  <si>
    <t>32.01</t>
  </si>
  <si>
    <t>Pack2012-05</t>
  </si>
  <si>
    <t>600.42 E25</t>
  </si>
  <si>
    <t>500.39 Pk26</t>
  </si>
  <si>
    <t>JIRA_DEVCOMREPA-523</t>
  </si>
  <si>
    <t>JIRA_DEVCOMREPA-524</t>
  </si>
  <si>
    <t>JIRA_DEVCOMREPA-525</t>
  </si>
  <si>
    <t>JIRA_DEVCOMREPA-527</t>
  </si>
  <si>
    <t>JIRA_DEVCOMREPA-528</t>
  </si>
  <si>
    <t>TMJ 2012-04</t>
  </si>
  <si>
    <t>D23</t>
  </si>
  <si>
    <t>JIRA_DEVCOMREPA-518</t>
  </si>
  <si>
    <t>JIRA_DEVCOMREPA-517</t>
  </si>
  <si>
    <t>JIRA_DEVCOMREPA-515</t>
  </si>
  <si>
    <t>W23</t>
  </si>
  <si>
    <t>JIRA_DEVCOMREPA-466</t>
  </si>
  <si>
    <t>JIRA_DEVCOMREPA-544</t>
  </si>
  <si>
    <t>T73_Malaisie</t>
  </si>
  <si>
    <t>JIRA_DEVCOMREPA-566</t>
  </si>
  <si>
    <t>TMJ 2012-04 (71.16) Pack2012-04</t>
  </si>
  <si>
    <t>JIRA_DEVCOMREPA-565</t>
  </si>
  <si>
    <t>JIRA_DEVCOMREPA-563</t>
  </si>
  <si>
    <t>JIRA_DEVCOMREPA-562</t>
  </si>
  <si>
    <t>JIRA_DEVCOMREPA-561</t>
  </si>
  <si>
    <t>JIRA_DEVCOMREPA-559</t>
  </si>
  <si>
    <t>JIRA_DEVCOMREPA-556</t>
  </si>
  <si>
    <t>JIRA_DEVCOMREPA-550</t>
  </si>
  <si>
    <t>6.14</t>
  </si>
  <si>
    <t>600,42 E25</t>
  </si>
  <si>
    <t>500,39 Pk26</t>
  </si>
  <si>
    <t>71.18</t>
  </si>
  <si>
    <t>71.19</t>
  </si>
  <si>
    <t>71.20</t>
  </si>
  <si>
    <t>31.02</t>
  </si>
  <si>
    <t>32.02</t>
  </si>
  <si>
    <t>31.03</t>
  </si>
  <si>
    <t>TMJ 2012-04 (71.18)</t>
  </si>
  <si>
    <t>TMJ 2012-04 (71.20)</t>
  </si>
  <si>
    <t>TMJ 2012-05 (71.17)</t>
  </si>
  <si>
    <t>TMJ 2012-05 (71.19)</t>
  </si>
  <si>
    <t>JIRA_DEVCOMREPA-543</t>
  </si>
  <si>
    <t>JIRA_DEVCOMREPA-584</t>
  </si>
  <si>
    <t>JIRA_DEVCOMREPA-560</t>
  </si>
  <si>
    <t>JIRA_DEVCOMREPA-557</t>
  </si>
  <si>
    <t>6.12</t>
  </si>
  <si>
    <t>71.22</t>
  </si>
  <si>
    <t>32.03</t>
  </si>
  <si>
    <t>TMJ 2012-05 (71.22)</t>
  </si>
  <si>
    <t>6.15</t>
  </si>
  <si>
    <t>JIRA_DEVCOMREPA-627</t>
  </si>
  <si>
    <t>TMJ 2012-05 (71.19) Pack2012-05</t>
  </si>
  <si>
    <t>JIRA_DEVCOMREPA-644</t>
  </si>
  <si>
    <t>TMJ 2012-05</t>
  </si>
  <si>
    <t>JIRA_DEVCOMREPA-643</t>
  </si>
  <si>
    <t>TMJ 2012-05 (71.22) Pack2012-05</t>
  </si>
  <si>
    <t>JIRA_DEVCOMREPA-503</t>
  </si>
  <si>
    <t>TMJ 2012-03</t>
  </si>
  <si>
    <t>JIRA_DEVCOMREPA-621</t>
  </si>
  <si>
    <t>U5</t>
  </si>
  <si>
    <t>JIRA_DEVCOMREPA-655</t>
  </si>
  <si>
    <t>JIRA_PVN-15</t>
  </si>
  <si>
    <t>JIRA_DEVCOMREPA-667</t>
  </si>
  <si>
    <t>JIRA_DEVCOMREPA-653</t>
  </si>
  <si>
    <t>JIRA_DEVCOMREPA-670</t>
  </si>
  <si>
    <t>JIRA_DEVCOMREPA-678</t>
  </si>
  <si>
    <t>TMJ 2012-05 (71.23)</t>
  </si>
  <si>
    <t>TMJ 2012-05 (32.06)</t>
  </si>
  <si>
    <t>71.23</t>
  </si>
  <si>
    <t>71.24</t>
  </si>
  <si>
    <t>32.05</t>
  </si>
  <si>
    <t>32.06</t>
  </si>
  <si>
    <t>TMJ 2012-05 (71.24)</t>
  </si>
  <si>
    <t>71.25</t>
  </si>
  <si>
    <t>TMJ 2012-05 (71.25)</t>
  </si>
  <si>
    <t>6.16</t>
  </si>
  <si>
    <t>6.16 Pack2012-05</t>
  </si>
  <si>
    <t>JIRA_PVN-16</t>
  </si>
  <si>
    <t>TMJ 2012-05 (71.26)</t>
  </si>
  <si>
    <t>33.01</t>
  </si>
  <si>
    <t>Pack2012-06</t>
  </si>
  <si>
    <t>71.26</t>
  </si>
  <si>
    <t>71.27</t>
  </si>
  <si>
    <t>34.02</t>
  </si>
  <si>
    <t>Pack2012-07</t>
  </si>
  <si>
    <t>600,44 E25</t>
  </si>
  <si>
    <t>500,41 Pk26</t>
  </si>
  <si>
    <t>TMJ 2012-05 (71.27)</t>
  </si>
  <si>
    <t>6.17</t>
  </si>
  <si>
    <t>6.18</t>
  </si>
  <si>
    <t>6.19</t>
  </si>
  <si>
    <t>33.02</t>
  </si>
  <si>
    <t>33.03</t>
  </si>
  <si>
    <t>71.28</t>
  </si>
  <si>
    <t>TMJ 2012-06 (71.28)</t>
  </si>
  <si>
    <t>71.29</t>
  </si>
  <si>
    <t>34.03</t>
  </si>
  <si>
    <t>TMJ 2012-07 (71.29)</t>
  </si>
  <si>
    <t>71.30</t>
  </si>
  <si>
    <t>TMJ 2012-07 (71.30)</t>
  </si>
  <si>
    <t>71.31</t>
  </si>
  <si>
    <t>34.04</t>
  </si>
  <si>
    <t>TMJ 2012-07 (71.31)</t>
  </si>
  <si>
    <t>JIRA_DEVCOMREPA-896</t>
  </si>
  <si>
    <t>TMJ 2012-07 (71.29) Pack2012-07</t>
  </si>
  <si>
    <t>T73_Russie</t>
  </si>
  <si>
    <t>JIRA_DEVCOMREPA-904</t>
  </si>
  <si>
    <t>TMJ 2012-07 (34.04)</t>
  </si>
  <si>
    <t xml:space="preserve"> M33</t>
  </si>
  <si>
    <t>JIRA_DEVCOMREPA-906</t>
  </si>
  <si>
    <t>JIRA_DEVCOMREPA-554</t>
  </si>
  <si>
    <t>JIRA_DEVCOMREPA-905</t>
  </si>
  <si>
    <t>JIRA_DEVCOMREPA-1036</t>
  </si>
  <si>
    <t>TMJ 2012-09 (71.34)</t>
  </si>
  <si>
    <t>M43</t>
  </si>
  <si>
    <t>JIRA_DEVCOMREPA-1037</t>
  </si>
  <si>
    <t>JIRA_DEVCOMREPA-974</t>
  </si>
  <si>
    <t>TMJ 2012-07 (71.33)</t>
  </si>
  <si>
    <t>JIRA_DEVCOMREPA-975</t>
  </si>
  <si>
    <t>T88C</t>
  </si>
  <si>
    <t>JIRA_DEVCOMREPA-977</t>
  </si>
  <si>
    <t>JIRA_DEVCOMREPA-1035</t>
  </si>
  <si>
    <t>JIRA_DEVCOMREPA-987</t>
  </si>
  <si>
    <t>Ai51M</t>
  </si>
  <si>
    <t>JIRA_DEVCOMREPA-1048</t>
  </si>
  <si>
    <t>JIRA_DEVCOMREPA-1039</t>
  </si>
  <si>
    <t>TMJ 2012-09 (71.36)</t>
  </si>
  <si>
    <t>JIRA_DEVCOMREPA-1041</t>
  </si>
  <si>
    <t>JIRA_DEVCOMREPA-1044</t>
  </si>
  <si>
    <t>JIRA_DEVPVN-8</t>
  </si>
  <si>
    <t>JIRA_DEVCOMREPA-1064</t>
  </si>
  <si>
    <t>TMJ 2012-09 (36.03)</t>
  </si>
  <si>
    <t>B73C</t>
  </si>
  <si>
    <t>JIRA_DEVCOMREPA-1107</t>
  </si>
  <si>
    <t>TMJ 2012-09 (71.39)</t>
  </si>
  <si>
    <t>JIRA_DEVCOMREPA-1109</t>
  </si>
  <si>
    <t>JIRA_DEVCOMREPA-1091</t>
  </si>
  <si>
    <t>JIRA_DEVCOMREPA-1121</t>
  </si>
  <si>
    <t>TMJ 2012-09 (71.40)</t>
  </si>
  <si>
    <t>JIRA_DEVCOMREPA-1127</t>
  </si>
  <si>
    <t>JIRA_DEVCOMREPA-1130</t>
  </si>
  <si>
    <t>JIRA_DEVCOMREPA-1131</t>
  </si>
  <si>
    <t>JIRA_DEVCOMREPA-1134</t>
  </si>
  <si>
    <t>JIRA_DEVCOMREPA-553</t>
  </si>
  <si>
    <t>B75</t>
  </si>
  <si>
    <t>JIRA_DEVCOMREPA-1143</t>
  </si>
  <si>
    <t>TMJ 2012-09 (36.04)</t>
  </si>
  <si>
    <t>JIRA_DEVCOMREPA-1141</t>
  </si>
  <si>
    <t>JIRA_DEVCOMREPA-1140</t>
  </si>
  <si>
    <t>JIRA_DEVCOMREPA-1190</t>
  </si>
  <si>
    <t>JIRA_DEVCOMREPA-1062</t>
  </si>
  <si>
    <t>JIRA_DEVCOMREPA-1177</t>
  </si>
  <si>
    <t>JIRA_DEVCOMREPA-1194</t>
  </si>
  <si>
    <t>TMJ 2012-09 (71.41)</t>
  </si>
  <si>
    <t>JIRA_DEVCOMREPA-1201</t>
  </si>
  <si>
    <t>JIRA_DEVCOMREPA-1195</t>
  </si>
  <si>
    <t>JIRA_DEVCOMREPA-1211</t>
  </si>
  <si>
    <t>JIRA_DEVCOMREPA-1230</t>
  </si>
  <si>
    <t>JIRA_DEVCOMREPA-1250</t>
  </si>
  <si>
    <t>TMJ 2012-10</t>
  </si>
  <si>
    <t>JIRA_DEVCOMREPA-1289</t>
  </si>
  <si>
    <t>TMJ 2012-10 (71.44)</t>
  </si>
  <si>
    <t>JIRA_DEVCOMREPA-1297</t>
  </si>
  <si>
    <t>TMJ 2012-11 (71.46)</t>
  </si>
  <si>
    <t>JIRA_DEVCOMREPA-1238</t>
  </si>
  <si>
    <t>TMJ 2012-11 (38.01)</t>
  </si>
  <si>
    <t>JIRA_DEVCOMREPA-1301</t>
  </si>
  <si>
    <t>JIRA_DEVCOMREPA-1315</t>
  </si>
  <si>
    <t>TMJ 2012-08 (71.37)</t>
  </si>
  <si>
    <t>JIRA_DEVCOMREPA-1313</t>
  </si>
  <si>
    <t>JIRA_DEVCOMREPA-1334</t>
  </si>
  <si>
    <t>TMJ2012-11 (71.49)</t>
  </si>
  <si>
    <t>JIRA_DEVCOMREPA-1309</t>
  </si>
  <si>
    <t>JIRA_DEVCOMREPA-1242</t>
  </si>
  <si>
    <t>JIRA_DEVCOMREPA-1243</t>
  </si>
  <si>
    <t>JIRA_DEVCOMREPA-1310</t>
  </si>
  <si>
    <t>JIRA_DEVCOMREPA-1227</t>
  </si>
  <si>
    <t>JIRA_DEVCOMREPA-1333</t>
  </si>
  <si>
    <t>TMJ 2012-11</t>
  </si>
  <si>
    <t>BX3</t>
  </si>
  <si>
    <t>JIRA_DEVCOMREPA-1337</t>
  </si>
  <si>
    <t>JIRA_DEVCOMREPA-1245</t>
  </si>
  <si>
    <t>JIRA_DEVCOMREPA-1280</t>
  </si>
  <si>
    <t>JIRA_DEVCOMREPA-1352</t>
  </si>
  <si>
    <t>TMJ 2012-11 (71.50)</t>
  </si>
  <si>
    <t>JIRA_DEVCOMREPA-1356</t>
  </si>
  <si>
    <t>TMJ 2012-11 (71.49)</t>
  </si>
  <si>
    <t>JIRA_DEVCOMREPA-1357</t>
  </si>
  <si>
    <t>JIRA_DEVCOMREPA-1314</t>
  </si>
  <si>
    <t>JIRA_DEVCOMREPA-1410</t>
  </si>
  <si>
    <t>TMJ 2012-11 (71.52)</t>
  </si>
  <si>
    <t>B78</t>
  </si>
  <si>
    <t>JIRA_DEVCOMREPA-1411</t>
  </si>
  <si>
    <t>JIRA_DEVCOMREPA-1441</t>
  </si>
  <si>
    <t>JIRA_DEVCOMREPA-1449</t>
  </si>
  <si>
    <t>TMJ 2013-01 (71.56)</t>
  </si>
  <si>
    <t>JIRA_DEVCOMREPA-1420</t>
  </si>
  <si>
    <t>JIRA_DEVCOMREPA-1444</t>
  </si>
  <si>
    <t>TMJ 2012-12 (71.53)</t>
  </si>
  <si>
    <t>A9M</t>
  </si>
  <si>
    <t>JIRA_DEVCOMREPA-1433</t>
  </si>
  <si>
    <t>JIRA_DEVCOMREPA-1443</t>
  </si>
  <si>
    <t>JIRA_DEVCOMREPA-1442</t>
  </si>
  <si>
    <t>JIRA_DEVCOMREPA-1439</t>
  </si>
  <si>
    <t>TMJ 2013-01 (71.54)</t>
  </si>
  <si>
    <t>JIRA_DEVCOMREPA-1430</t>
  </si>
  <si>
    <t>JIRA_DEVCOMREPA-1435</t>
  </si>
  <si>
    <t>JIRA_DEVCOMREPA-1422</t>
  </si>
  <si>
    <t>JIRA_DEVCOMREPA-1406</t>
  </si>
  <si>
    <t>JIRA_DEVCOMREPA-1408</t>
  </si>
  <si>
    <t>JIRA_DEVCOMREPA-1421</t>
  </si>
  <si>
    <t>JIRA_DEVCOMREPA-1424</t>
  </si>
  <si>
    <t>JIRA_DEVCOMREPA-1478</t>
  </si>
  <si>
    <t>TMJ 2013-01 (40.04)</t>
  </si>
  <si>
    <t>JIRA_DEVCOMREPA-1521</t>
  </si>
  <si>
    <t>TMJ 2013-01 (71.59)</t>
  </si>
  <si>
    <t>JIRA_DEVCOMREPA-1520</t>
  </si>
  <si>
    <t>JIRA_DEVCOMREPA-1464</t>
  </si>
  <si>
    <t>Ai91</t>
  </si>
  <si>
    <t>JIRA_PVN-29</t>
  </si>
  <si>
    <t>JIRA_DEVCOMREPA-1482</t>
  </si>
  <si>
    <t>JIRA_DEVCOMREPA-1455</t>
  </si>
  <si>
    <t>JIRA_DEVCOMREPA-1523</t>
  </si>
  <si>
    <t>TMJ 2013-01 (71.58)</t>
  </si>
  <si>
    <t>JIRA_DEVCOMREPA-1549</t>
  </si>
  <si>
    <t>TMJ 2013-01</t>
  </si>
  <si>
    <t>JIRA_DEVCOMREPA-1532</t>
  </si>
  <si>
    <t>JIRA_DEVCOMREPA-1558</t>
  </si>
  <si>
    <t>TMJ 2013-01 (71.60)</t>
  </si>
  <si>
    <t>B9E</t>
  </si>
  <si>
    <t>TMJ 2013-01 (40.07)</t>
  </si>
  <si>
    <t>JIRA_DEVCOMREPA-1576</t>
  </si>
  <si>
    <t>JIRA_DEVCOMREPA-1556</t>
  </si>
  <si>
    <t>JIRA_DEVCOMREPA-1584</t>
  </si>
  <si>
    <t>JIRA_DEVCOMREPA-1386</t>
  </si>
  <si>
    <t>JIRA_DEVCOMREPA-1589</t>
  </si>
  <si>
    <t>JIRA_DEVCOMREPA-1596</t>
  </si>
  <si>
    <t>JIRA_DEVCOMREPA-1628</t>
  </si>
  <si>
    <t>TMJ 2013-03 (71.61)</t>
  </si>
  <si>
    <t>JIRA_DEVCOMREPA-1635</t>
  </si>
  <si>
    <t>JIRA_DEVCOMREPA-1649</t>
  </si>
  <si>
    <t>TMJ 2013-03 (71.63)</t>
  </si>
  <si>
    <t>JIRA_DEVCOMREPA-1638</t>
  </si>
  <si>
    <t>B73R</t>
  </si>
  <si>
    <t>JIRA_DEVCOMREPA-1610</t>
  </si>
  <si>
    <t>JIRA_COMREPA-2993</t>
  </si>
  <si>
    <t>39.01</t>
  </si>
  <si>
    <t>Pack2012-12</t>
  </si>
  <si>
    <t>39.03</t>
  </si>
  <si>
    <t>39.04</t>
  </si>
  <si>
    <t>39.05</t>
  </si>
  <si>
    <t>06.33</t>
  </si>
  <si>
    <t>06.34</t>
  </si>
  <si>
    <t>06.36</t>
  </si>
  <si>
    <t>06.35</t>
  </si>
  <si>
    <t>06.37</t>
  </si>
  <si>
    <t>40.02</t>
  </si>
  <si>
    <t>Pack2013-01</t>
  </si>
  <si>
    <t>TMJ 2013-01 (71.55)</t>
  </si>
  <si>
    <t>TMJ 2013-01 (71.57)</t>
  </si>
  <si>
    <t>40.04</t>
  </si>
  <si>
    <t>40.05</t>
  </si>
  <si>
    <t>40.07</t>
  </si>
  <si>
    <t>06.38</t>
  </si>
  <si>
    <t>40.01</t>
  </si>
  <si>
    <t>06.39</t>
  </si>
  <si>
    <t>07.05</t>
  </si>
  <si>
    <t>07.04</t>
  </si>
  <si>
    <t>41.01</t>
  </si>
  <si>
    <t>Pack2013-02</t>
  </si>
  <si>
    <t>TMJ 2013-02 (71.62)</t>
  </si>
  <si>
    <t>06.40</t>
  </si>
  <si>
    <t>41.02</t>
  </si>
  <si>
    <t>07.07</t>
  </si>
  <si>
    <t>42.01</t>
  </si>
  <si>
    <t>Pack2013-03</t>
  </si>
  <si>
    <t>TMJ 2013-03 (71.64)</t>
  </si>
  <si>
    <t>42.03</t>
  </si>
  <si>
    <t>42.02</t>
  </si>
  <si>
    <t>JIRA_COMREPA-2973</t>
  </si>
  <si>
    <t>BZ_35627</t>
  </si>
  <si>
    <t>6.39 Pack2013-01</t>
  </si>
  <si>
    <t>7.06 Pack2013-01</t>
  </si>
  <si>
    <t>BZ_35989</t>
  </si>
  <si>
    <t>JIRA_COMREPA-2905</t>
  </si>
  <si>
    <t>6.36 Pack2012-12</t>
  </si>
  <si>
    <t>BZ_34423</t>
  </si>
  <si>
    <t>rejetée</t>
  </si>
  <si>
    <t>JIRA_DEVCOMREPA-1656</t>
  </si>
  <si>
    <t>TMJ 2013-03 (71.63) Pack2013-03</t>
  </si>
  <si>
    <t>A94</t>
  </si>
  <si>
    <t>JIRA_DEVCOMREPA-1660</t>
  </si>
  <si>
    <t>JIRA_COMREPA-2996</t>
  </si>
  <si>
    <t>JIRA_COMREPA-2998</t>
  </si>
  <si>
    <t>JIRA_COMREPA-2999</t>
  </si>
  <si>
    <t>7.07 Pack2013-02</t>
  </si>
  <si>
    <t>B58</t>
  </si>
  <si>
    <t>JIRA_COMREPA-3000</t>
  </si>
  <si>
    <t>JIRA_COMREPA-3002</t>
  </si>
  <si>
    <t>JIRA_COMREPA-3001</t>
  </si>
  <si>
    <t>JIRA_COMREPA-3004</t>
  </si>
  <si>
    <t>JIRA_COMREPA-3006</t>
  </si>
  <si>
    <t>T3M</t>
  </si>
  <si>
    <t>JIRA_COMREPA-3008</t>
  </si>
  <si>
    <t>JIRA_COMREPA-3003</t>
  </si>
  <si>
    <t>JIRA_DEVCOMREPA-1670</t>
  </si>
  <si>
    <t>TMJ 2013-03 (71.64) Pack2013-03</t>
  </si>
  <si>
    <t>JIRA_DEVCOMREPA-1671</t>
  </si>
  <si>
    <t>JIRA_DEVCOMREPA-1688</t>
  </si>
  <si>
    <t>JIRA_COMREPA-3007</t>
  </si>
  <si>
    <t>JIRA_COMREPA-3011</t>
  </si>
  <si>
    <t>JIRA_COMREPA-3012</t>
  </si>
  <si>
    <t>JIRA_COMREPA-3013</t>
  </si>
  <si>
    <t>6.33 Pack2012-12</t>
  </si>
  <si>
    <t>Tout types</t>
  </si>
  <si>
    <t>JIRA_DEVCOMREPA-1601</t>
  </si>
  <si>
    <t>TMJ 2013-01 (71.60) Pack2013-01</t>
  </si>
  <si>
    <t>JIRA_DEVCOMREPA-1686</t>
  </si>
  <si>
    <t>JIRA_DEVCOMREPA-1687</t>
  </si>
  <si>
    <t>JIRA_COMREPA-3015</t>
  </si>
  <si>
    <t>X2-50-M</t>
  </si>
  <si>
    <t>JIRA_DEVCOMREPA-1685</t>
  </si>
  <si>
    <t>JIRA_DEVCOMREPA-1698</t>
  </si>
  <si>
    <t>TMJ 2013-03 (71.65)</t>
  </si>
  <si>
    <t>JIRA_COMREPA-1334</t>
  </si>
  <si>
    <t>BZ_32633	CRVVEH_MOTEV-MOTED UDS_W23HY_CDC_DIAG-COM-10-063 IND E_V28-03-RC_BUILD-929</t>
  </si>
  <si>
    <t>JIRA_PVN-31</t>
  </si>
  <si>
    <t>JIRA_PVN-30</t>
  </si>
  <si>
    <t>JIRA_COMREPA-2893</t>
  </si>
  <si>
    <t>JIRA_COMREPA-3029</t>
  </si>
  <si>
    <t>JIRA_COMREPA-3034</t>
  </si>
  <si>
    <t>42.04</t>
  </si>
  <si>
    <t>06.41</t>
  </si>
  <si>
    <t>06.42</t>
  </si>
  <si>
    <t>41.03</t>
  </si>
  <si>
    <t>07.08</t>
  </si>
  <si>
    <t>07.09</t>
  </si>
  <si>
    <t>JIRA_COMREPA-3035</t>
  </si>
  <si>
    <t>A31</t>
  </si>
  <si>
    <t>JIRA_DEVCOMREPA-1617</t>
  </si>
  <si>
    <t>JIRA_DEVCOMREPA-1732</t>
  </si>
  <si>
    <t>TMJ 2013-03 (71.65) Pack2013-03</t>
  </si>
  <si>
    <t>JIRA_COMREPA-3041</t>
  </si>
  <si>
    <t>7.09 Pack2013-02</t>
  </si>
  <si>
    <t>JIRA_COMREPA-3032</t>
  </si>
  <si>
    <t>U3</t>
  </si>
  <si>
    <t>JIRA_COMREPA-3047</t>
  </si>
  <si>
    <t>T1</t>
  </si>
  <si>
    <t>JIRA_DEVCOMREPA-1754</t>
  </si>
  <si>
    <t>JIRA_COMREPA-2969</t>
  </si>
  <si>
    <t>JIRA_COMREPA-3049</t>
  </si>
  <si>
    <t>JIRA_DEVCOMREPA-1764</t>
  </si>
  <si>
    <t>TMJ 2013-03 (7.10)</t>
  </si>
  <si>
    <t>JIRA_DEVCOMREPA-1775</t>
  </si>
  <si>
    <t>TMJ 2013-03 (6.43)</t>
  </si>
  <si>
    <t>JIRA_DEVCOMREPA-1718</t>
  </si>
  <si>
    <t>TMJ 2013-03 (42.04)</t>
  </si>
  <si>
    <t>JIRA_COMREPA-3054</t>
  </si>
  <si>
    <t>JIRA_COMREPA-3061</t>
  </si>
  <si>
    <t>T75</t>
  </si>
  <si>
    <t>JIRA_DEVCOMREPA-1796</t>
  </si>
  <si>
    <t>TMJ 2013-03 (42.05)</t>
  </si>
  <si>
    <t>JIRA_DEVCOMREPA-1738</t>
  </si>
  <si>
    <t>JIRA_COMREPA-3055</t>
  </si>
  <si>
    <t>JIRA_COMREPA-3056</t>
  </si>
  <si>
    <t>JIRA_COMREPA-3115</t>
  </si>
  <si>
    <t>T5</t>
  </si>
  <si>
    <t>JIRA_COMREPA-3083</t>
  </si>
  <si>
    <t>JIRA_COMREPA-3058</t>
  </si>
  <si>
    <t>JIRA_COMREPA-3065</t>
  </si>
  <si>
    <t>JIRA_COMREPA-3064</t>
  </si>
  <si>
    <t>42.05</t>
  </si>
  <si>
    <t>TMJ 2013-03 (71.66)</t>
  </si>
  <si>
    <t>TMJ 2013-03 (71.67)</t>
  </si>
  <si>
    <t>44.01</t>
  </si>
  <si>
    <t>07.10</t>
  </si>
  <si>
    <t>JIRA_DEVCOMREPA-1803</t>
  </si>
  <si>
    <t>JIRA_COMREPA-3121</t>
  </si>
  <si>
    <t>7.10 Pack2013-03</t>
  </si>
  <si>
    <t>JIRA_COMREPA-3126</t>
  </si>
  <si>
    <t>B53M</t>
  </si>
  <si>
    <t>JIRA_COMREPA-3125</t>
  </si>
  <si>
    <t>JIRA_COMREPA-3127</t>
  </si>
  <si>
    <t>JIRA_DEVCOMREPA-1709</t>
  </si>
  <si>
    <t>JIRA_COMREPA-3129</t>
  </si>
  <si>
    <t>A8M</t>
  </si>
  <si>
    <t>JIRA_COMREPA-3130</t>
  </si>
  <si>
    <t>A76</t>
  </si>
  <si>
    <t>JIRA_DEVCOMREPA-1727</t>
  </si>
  <si>
    <t>JIRA_COMREPA-3119</t>
  </si>
  <si>
    <t>JIRA_DEVCOMREPA-1814</t>
  </si>
  <si>
    <t>TMJ 2013-04</t>
  </si>
  <si>
    <t>JIRA_DEVCOMREPA-1813</t>
  </si>
  <si>
    <t>JIRA_DEVCOMREPA-1737</t>
  </si>
  <si>
    <t>JIRA_COMREPA-3137</t>
  </si>
  <si>
    <t>Z8</t>
  </si>
  <si>
    <t>JIRA_COMREPA-3147</t>
  </si>
  <si>
    <t>M59</t>
  </si>
  <si>
    <t>JIRA_COMREPA-3146</t>
  </si>
  <si>
    <t>JIRA_COMREPA-3150</t>
  </si>
  <si>
    <t>JIRA_COMREPA-3142</t>
  </si>
  <si>
    <t>M49</t>
  </si>
  <si>
    <t>07.11</t>
  </si>
  <si>
    <t>07.13</t>
  </si>
  <si>
    <t>43.04</t>
  </si>
  <si>
    <t>Pack2013-04</t>
  </si>
  <si>
    <t>43.01</t>
  </si>
  <si>
    <t>TMJ 2013-04 (71.68)</t>
  </si>
  <si>
    <t>TMJ 2013-05 (71.69)</t>
  </si>
  <si>
    <t>Pack2013-05</t>
  </si>
  <si>
    <t>TMJ 2013-05 (71.70)</t>
  </si>
  <si>
    <t>44.02</t>
  </si>
  <si>
    <t>TMJ 2013-05 (71.71)</t>
  </si>
  <si>
    <t>44.03</t>
  </si>
  <si>
    <t>TMJ 2013-05 (71.72)</t>
  </si>
  <si>
    <t>44.04</t>
  </si>
  <si>
    <t>JIRA_COMREPA-3231</t>
  </si>
  <si>
    <t>7.13 Pack2013-04</t>
  </si>
  <si>
    <t>JIRA_COMREPA-3226</t>
  </si>
  <si>
    <t>7.11 Pack2013-03</t>
  </si>
  <si>
    <t>JIRA_COMREPA-3162</t>
  </si>
  <si>
    <t>JIRA_COMREPA-3225</t>
  </si>
  <si>
    <t>JIRA_COMREPA-2589</t>
  </si>
  <si>
    <t>JIRA_COMREPA-3148</t>
  </si>
  <si>
    <t>FI_DBOX_11_3417 - &amp;lt;a href="https://jira-projets.mpsa.com/SPAV/browse/POUDG-3906"&amp;gt;https://jira-projets.mpsa.com/SPAV/browse/POUDG-3906&amp;lt;/a&amp;gt;</t>
  </si>
  <si>
    <t>JIRA_COMREPA-3237</t>
  </si>
  <si>
    <t>JIRA_COMREPA-3236</t>
  </si>
  <si>
    <t>JIRA_COMREPA-3238</t>
  </si>
  <si>
    <t>JIRA_COMREPA-3234</t>
  </si>
  <si>
    <t>JIRA_PVN-32</t>
  </si>
  <si>
    <t>JIRA_DEVCOMREPA-1918</t>
  </si>
  <si>
    <t>TMJ 2013-05 (71.72) Pack2013-05</t>
  </si>
  <si>
    <t>JIRA_COMREPA-3244</t>
  </si>
  <si>
    <t>JIRA_DEVCOMREPA-1872</t>
  </si>
  <si>
    <t>TMJ 2013-05 (71.71) Pack2013-05</t>
  </si>
  <si>
    <t>B73M</t>
  </si>
  <si>
    <t>JIRA_COMREPA-3254</t>
  </si>
  <si>
    <t>JIRA_COMREPA-3252</t>
  </si>
  <si>
    <t>JIRA_COMREPA-3253</t>
  </si>
  <si>
    <t>BZ-36646</t>
  </si>
  <si>
    <t>JIRA_COMREPA-3235</t>
  </si>
  <si>
    <t>BZ_35775</t>
  </si>
  <si>
    <t>JIRA_COMREPA-3241</t>
  </si>
  <si>
    <t>TMJ 2013-05 (71.73)</t>
  </si>
  <si>
    <t>44.05</t>
  </si>
  <si>
    <t>JIRA_DEVCOMREPA-1950</t>
  </si>
  <si>
    <t>TMJ 2013-05 (71.73) Pack2013-05</t>
  </si>
  <si>
    <t>T9</t>
  </si>
  <si>
    <t>JIRA_COMREPA-3264</t>
  </si>
  <si>
    <t>JIRA_DEVCOMREPA-1958</t>
  </si>
  <si>
    <t>JIRA_COMREPA-3259</t>
  </si>
  <si>
    <t>JIRA_COMREPA-3267</t>
  </si>
  <si>
    <t>JIRA_COMREPA-3271</t>
  </si>
  <si>
    <t>X6</t>
  </si>
  <si>
    <t>JIRA_COMREPA-3270</t>
  </si>
  <si>
    <t>BZ-34350</t>
  </si>
  <si>
    <t>07.14</t>
  </si>
  <si>
    <t>07.15</t>
  </si>
  <si>
    <t>43.05</t>
  </si>
  <si>
    <t>JIRA_COMREPA-3274</t>
  </si>
  <si>
    <t>7.14 Pack2013-04</t>
  </si>
  <si>
    <t>JIRA_COMREPA-3151</t>
  </si>
  <si>
    <t>JIRA_DEVCOMREPA-1989</t>
  </si>
  <si>
    <t>JIRA_DEVCOMREPA-1978</t>
  </si>
  <si>
    <t>B81C</t>
  </si>
  <si>
    <t>JIRA_DEVCOMREPA-1967</t>
  </si>
  <si>
    <t>JIRA_DEVCOMREPA-1973</t>
  </si>
  <si>
    <t>JIRA_DEVCOMREPA-1986</t>
  </si>
  <si>
    <t>JIRA_DEVCOMREPA-2001</t>
  </si>
  <si>
    <t>JIRA_COMREPA-3273</t>
  </si>
  <si>
    <t>07.16</t>
  </si>
  <si>
    <t>JIRA_COMREPA-3276</t>
  </si>
  <si>
    <t>44.06</t>
  </si>
  <si>
    <t>JIRA_DEVCOMREPA-2033</t>
  </si>
  <si>
    <t>JIRA_COMREPA-3281</t>
  </si>
  <si>
    <t>7.16 Pack2013-05</t>
  </si>
  <si>
    <t>JIRA_COMREPA-3288</t>
  </si>
  <si>
    <t>7.15 Pack2013-04</t>
  </si>
  <si>
    <t>JIRA_DEVCOMREPA-1997</t>
  </si>
  <si>
    <t>JIRA_DEVCOMREPA-2024</t>
  </si>
  <si>
    <t>JIRA_DEVCOMREPA-2012</t>
  </si>
  <si>
    <t>JIRA_DEVCOMREPA-2030</t>
  </si>
  <si>
    <t>M3C</t>
  </si>
  <si>
    <t>JIRA_DEVCOMREPA-2029</t>
  </si>
  <si>
    <t>M3_M4</t>
  </si>
  <si>
    <t>JIRA_DEVCOMREPA-2028</t>
  </si>
  <si>
    <t>JIRA_DEVCOMREPA-2027</t>
  </si>
  <si>
    <t>JIRA_COMREPA-3356</t>
  </si>
  <si>
    <t>JIRA_COMREPA-3364</t>
  </si>
  <si>
    <t>D2</t>
  </si>
  <si>
    <t>JIRA_COMREPA-3380</t>
  </si>
  <si>
    <t>TMJ 2013-06 (45.01)</t>
  </si>
  <si>
    <t>JIRA_COMREPA-3373</t>
  </si>
  <si>
    <t>JIRA_COMREPA-3379</t>
  </si>
  <si>
    <t xml:space="preserve">	</t>
  </si>
  <si>
    <t>JIRA_COMREPA-3351</t>
  </si>
  <si>
    <t>T6</t>
  </si>
  <si>
    <t>&lt;customfieldvalues&gt;_x000D_
                        &lt;customfieldvalue key="10579"&gt;&lt;![CDATA[X7]]&gt;</t>
  </si>
  <si>
    <t xml:space="preserve">D’après le CDC : " Le nombre maximal de DID pouvant être lus simultannément en multi-DID dans une même requête est de 21 DID. " </t>
  </si>
  <si>
    <t>A9</t>
  </si>
  <si>
    <t>JIRA_DEVCOMREPA-2113</t>
  </si>
  <si>
    <t>TMJ 2013-07 (71.76)</t>
  </si>
  <si>
    <t>JIRA_DEVCOMREPA-2125</t>
  </si>
  <si>
    <t>TMJ 2013-07 (71.78)</t>
  </si>
  <si>
    <t>&lt;customfieldvalues&gt;_x000D_
                        &lt;customfieldvalue key="10529"&gt;&lt;![CDATA[A90]]&gt;</t>
  </si>
  <si>
    <t>JIRA_DEVCOMREPA-2082</t>
  </si>
  <si>
    <t>JIRA_DEVCOMREPA-2081</t>
  </si>
  <si>
    <t>&lt;customfieldvalues&gt;_x000D_
                        &lt;customfieldvalue key="11953"&gt;&lt;![CDATA[B73M]]&gt;</t>
  </si>
  <si>
    <t>JIRA_COMREPA-3392</t>
  </si>
  <si>
    <t>&lt;customfieldvalues&gt;_x000D_
                        &lt;customfieldvalue key="11529"&gt;&lt;![CDATA[B0]]&gt;</t>
  </si>
  <si>
    <t>JIRA_DEVCOMREPA-2114</t>
  </si>
  <si>
    <t>JIRA_DEVCOMREPA-2124</t>
  </si>
  <si>
    <t>JIRA_DEVCOMREPA-2126</t>
  </si>
  <si>
    <t>JIRA_DEVCOMREPA-2127</t>
  </si>
  <si>
    <t>JIRA_DEVCOMREPA-2136</t>
  </si>
  <si>
    <t>JIRA_DEVCOMREPA-2137</t>
  </si>
  <si>
    <t>JIRA_DEVCOMREPA-2122</t>
  </si>
  <si>
    <t>JIRA_DEVCOMREPA-2138</t>
  </si>
  <si>
    <t>TMJ 2013-07</t>
  </si>
  <si>
    <t>JIRA_DEVCOMREPA-2133</t>
  </si>
  <si>
    <t>JIRA_DEVCOMREPA-2109</t>
  </si>
  <si>
    <t>05.19.02</t>
  </si>
  <si>
    <t>06.01.04</t>
  </si>
  <si>
    <t>71.74</t>
  </si>
  <si>
    <t>71.75</t>
  </si>
  <si>
    <t>06.01.06</t>
  </si>
  <si>
    <t>45.01</t>
  </si>
  <si>
    <t>Pack2013-06</t>
  </si>
  <si>
    <t>71.76</t>
  </si>
  <si>
    <t>46.01</t>
  </si>
  <si>
    <t>Pack2013-07</t>
  </si>
  <si>
    <t>71.77</t>
  </si>
  <si>
    <t>46.02</t>
  </si>
  <si>
    <t>71.78</t>
  </si>
  <si>
    <t>06.01.07</t>
  </si>
  <si>
    <t>71.79</t>
  </si>
  <si>
    <t>06.02.01</t>
  </si>
  <si>
    <t>71.80</t>
  </si>
  <si>
    <t>06.01.08</t>
  </si>
  <si>
    <t>46.03</t>
  </si>
  <si>
    <t>71.81</t>
  </si>
  <si>
    <t>46.04</t>
  </si>
  <si>
    <t>07.17</t>
  </si>
  <si>
    <t>45.02</t>
  </si>
  <si>
    <t>07.18</t>
  </si>
  <si>
    <t>07.19</t>
  </si>
</sst>
</file>

<file path=xl/styles.xml><?xml version="1.0" encoding="utf-8"?>
<styleSheet xmlns="http://schemas.openxmlformats.org/spreadsheetml/2006/main">
  <numFmts count="3">
    <numFmt numFmtId="164" formatCode="_(&quot;€&quot;* #,##0.00_);_(&quot;€&quot;* \(#,##0.00\);_(&quot;€&quot;* &quot;-&quot;??_);_(@_)"/>
    <numFmt numFmtId="165" formatCode="dd/mm/yy;@"/>
    <numFmt numFmtId="166" formatCode="0.0"/>
  </numFmts>
  <fonts count="127">
    <font>
      <sz val="10"/>
      <name val="Arial"/>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color theme="1"/>
      <name val="Arial"/>
      <family val="2"/>
    </font>
    <font>
      <sz val="10"/>
      <color theme="1"/>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color theme="1"/>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10"/>
      <name val="Arial"/>
      <family val="2"/>
    </font>
    <font>
      <sz val="8"/>
      <name val="Arial"/>
      <family val="2"/>
    </font>
    <font>
      <b/>
      <sz val="12"/>
      <name val="Arial"/>
      <family val="2"/>
    </font>
    <font>
      <u/>
      <sz val="10"/>
      <color indexed="12"/>
      <name val="Arial"/>
      <family val="2"/>
    </font>
    <font>
      <b/>
      <sz val="14"/>
      <name val="Arial"/>
      <family val="2"/>
    </font>
    <font>
      <b/>
      <sz val="10"/>
      <name val="Arial"/>
      <family val="2"/>
    </font>
    <font>
      <b/>
      <sz val="12"/>
      <name val="Arial"/>
      <family val="2"/>
    </font>
    <font>
      <sz val="10"/>
      <name val="Arial"/>
      <family val="2"/>
    </font>
    <font>
      <sz val="10"/>
      <color indexed="8"/>
      <name val="Arial"/>
      <family val="2"/>
    </font>
    <font>
      <sz val="9"/>
      <name val="Arial"/>
      <family val="2"/>
    </font>
    <font>
      <sz val="10"/>
      <name val="Arial"/>
      <family val="2"/>
    </font>
    <font>
      <b/>
      <sz val="10"/>
      <color indexed="60"/>
      <name val="Arial"/>
      <family val="2"/>
    </font>
    <font>
      <b/>
      <sz val="11"/>
      <color indexed="60"/>
      <name val="Arial"/>
      <family val="2"/>
    </font>
    <font>
      <b/>
      <sz val="16"/>
      <name val="Times New Roman"/>
      <family val="1"/>
    </font>
    <font>
      <sz val="12"/>
      <name val="Times New Roman"/>
      <family val="1"/>
    </font>
    <font>
      <b/>
      <sz val="16"/>
      <color indexed="10"/>
      <name val="Arial"/>
      <family val="2"/>
    </font>
    <font>
      <sz val="12"/>
      <name val="Arial"/>
      <family val="2"/>
    </font>
    <font>
      <b/>
      <sz val="16"/>
      <color indexed="12"/>
      <name val="Arial"/>
      <family val="2"/>
    </font>
    <font>
      <b/>
      <sz val="10"/>
      <name val="Times New Roman"/>
      <family val="1"/>
    </font>
    <font>
      <sz val="10"/>
      <name val="Arial"/>
      <family val="2"/>
    </font>
    <font>
      <sz val="10"/>
      <color indexed="8"/>
      <name val="Arial"/>
      <family val="2"/>
    </font>
    <font>
      <i/>
      <sz val="10"/>
      <name val="Arial"/>
      <family val="2"/>
    </font>
    <font>
      <u/>
      <sz val="10"/>
      <color theme="10"/>
      <name val="Arial"/>
      <family val="2"/>
    </font>
    <font>
      <sz val="10"/>
      <name val="Arial"/>
      <family val="2"/>
    </font>
  </fonts>
  <fills count="14">
    <fill>
      <patternFill patternType="none"/>
    </fill>
    <fill>
      <patternFill patternType="gray125"/>
    </fill>
    <fill>
      <patternFill patternType="solid">
        <fgColor indexed="11"/>
        <bgColor indexed="64"/>
      </patternFill>
    </fill>
    <fill>
      <patternFill patternType="solid">
        <fgColor indexed="10"/>
        <bgColor indexed="64"/>
      </patternFill>
    </fill>
    <fill>
      <patternFill patternType="solid">
        <fgColor indexed="15"/>
        <bgColor indexed="64"/>
      </patternFill>
    </fill>
    <fill>
      <patternFill patternType="solid">
        <fgColor indexed="22"/>
        <bgColor indexed="64"/>
      </patternFill>
    </fill>
    <fill>
      <patternFill patternType="solid">
        <fgColor indexed="9"/>
        <bgColor indexed="64"/>
      </patternFill>
    </fill>
    <fill>
      <patternFill patternType="solid">
        <fgColor indexed="42"/>
        <bgColor indexed="64"/>
      </patternFill>
    </fill>
    <fill>
      <patternFill patternType="solid">
        <fgColor indexed="44"/>
        <bgColor indexed="64"/>
      </patternFill>
    </fill>
    <fill>
      <patternFill patternType="solid">
        <fgColor rgb="FFCCFFCC"/>
        <bgColor indexed="64"/>
      </patternFill>
    </fill>
    <fill>
      <patternFill patternType="solid">
        <fgColor theme="2"/>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9" tint="0.79998168889431442"/>
        <bgColor indexed="64"/>
      </patternFill>
    </fill>
  </fills>
  <borders count="6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bottom style="thin">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style="medium">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style="medium">
        <color indexed="64"/>
      </left>
      <right/>
      <top/>
      <bottom/>
      <diagonal/>
    </border>
    <border>
      <left/>
      <right/>
      <top style="medium">
        <color indexed="64"/>
      </top>
      <bottom style="medium">
        <color indexed="64"/>
      </bottom>
      <diagonal/>
    </border>
    <border>
      <left/>
      <right/>
      <top style="medium">
        <color indexed="64"/>
      </top>
      <bottom/>
      <diagonal/>
    </border>
  </borders>
  <cellStyleXfs count="9">
    <xf numFmtId="0" fontId="0" fillId="0" borderId="0"/>
    <xf numFmtId="164" fontId="103" fillId="0" borderId="0" applyFont="0" applyFill="0" applyBorder="0" applyAlignment="0" applyProtection="0"/>
    <xf numFmtId="0" fontId="106" fillId="0" borderId="0" applyNumberFormat="0" applyFill="0" applyBorder="0" applyAlignment="0" applyProtection="0">
      <alignment vertical="top"/>
      <protection locked="0"/>
    </xf>
    <xf numFmtId="0" fontId="79" fillId="0" borderId="0"/>
    <xf numFmtId="0" fontId="16" fillId="0" borderId="0"/>
    <xf numFmtId="0" fontId="125" fillId="0" borderId="0" applyNumberFormat="0" applyFill="0" applyBorder="0" applyAlignment="0" applyProtection="0">
      <alignment vertical="top"/>
      <protection locked="0"/>
    </xf>
    <xf numFmtId="0" fontId="15" fillId="0" borderId="0"/>
    <xf numFmtId="0" fontId="126" fillId="0" borderId="0"/>
    <xf numFmtId="0" fontId="126" fillId="0" borderId="0"/>
  </cellStyleXfs>
  <cellXfs count="531">
    <xf numFmtId="0" fontId="0" fillId="0" borderId="0" xfId="0"/>
    <xf numFmtId="0" fontId="0" fillId="0" borderId="1" xfId="0" applyBorder="1"/>
    <xf numFmtId="0" fontId="0" fillId="2" borderId="1" xfId="0" applyFill="1" applyBorder="1"/>
    <xf numFmtId="0" fontId="0" fillId="3" borderId="1" xfId="0" applyFill="1" applyBorder="1"/>
    <xf numFmtId="0" fontId="0" fillId="0" borderId="0" xfId="0" applyFill="1" applyBorder="1"/>
    <xf numFmtId="14" fontId="0" fillId="0" borderId="0" xfId="0" applyNumberFormat="1" applyFill="1" applyBorder="1"/>
    <xf numFmtId="0" fontId="0" fillId="0" borderId="2" xfId="0" applyBorder="1"/>
    <xf numFmtId="14" fontId="0" fillId="0" borderId="0" xfId="0" applyNumberFormat="1" applyBorder="1"/>
    <xf numFmtId="0" fontId="107" fillId="0" borderId="0" xfId="0" applyFont="1"/>
    <xf numFmtId="165" fontId="0" fillId="0" borderId="0" xfId="0" applyNumberFormat="1"/>
    <xf numFmtId="165" fontId="0" fillId="0" borderId="0" xfId="0" applyNumberFormat="1" applyFill="1"/>
    <xf numFmtId="0" fontId="0" fillId="0" borderId="0" xfId="0" applyAlignment="1">
      <alignment horizontal="left" vertical="center" wrapText="1"/>
    </xf>
    <xf numFmtId="0" fontId="108" fillId="0" borderId="0" xfId="0" applyFont="1"/>
    <xf numFmtId="0" fontId="105" fillId="0" borderId="1" xfId="0" applyFont="1" applyBorder="1" applyAlignment="1">
      <alignment horizontal="left" vertical="center" wrapText="1"/>
    </xf>
    <xf numFmtId="0" fontId="0" fillId="4" borderId="1" xfId="0" applyFill="1" applyBorder="1"/>
    <xf numFmtId="49" fontId="103" fillId="0" borderId="0" xfId="0" applyNumberFormat="1" applyFont="1"/>
    <xf numFmtId="49" fontId="109" fillId="0" borderId="1" xfId="0" applyNumberFormat="1" applyFont="1" applyBorder="1" applyAlignment="1">
      <alignment horizontal="left" vertical="center" wrapText="1"/>
    </xf>
    <xf numFmtId="49" fontId="110" fillId="0" borderId="0" xfId="0" applyNumberFormat="1" applyFont="1"/>
    <xf numFmtId="165" fontId="0" fillId="0" borderId="0" xfId="0" applyNumberFormat="1" applyBorder="1"/>
    <xf numFmtId="165" fontId="105" fillId="0" borderId="1" xfId="0" applyNumberFormat="1" applyFont="1" applyBorder="1" applyAlignment="1">
      <alignment horizontal="left" vertical="center" wrapText="1"/>
    </xf>
    <xf numFmtId="0" fontId="0" fillId="0" borderId="3" xfId="0" applyBorder="1"/>
    <xf numFmtId="0" fontId="0" fillId="0" borderId="4" xfId="0" applyBorder="1"/>
    <xf numFmtId="165" fontId="0" fillId="0" borderId="5" xfId="0" applyNumberFormat="1" applyBorder="1"/>
    <xf numFmtId="165" fontId="0" fillId="0" borderId="6" xfId="0" applyNumberFormat="1" applyBorder="1"/>
    <xf numFmtId="1" fontId="0" fillId="0" borderId="3" xfId="0" applyNumberFormat="1" applyBorder="1"/>
    <xf numFmtId="1" fontId="0" fillId="0" borderId="7" xfId="0" applyNumberFormat="1" applyBorder="1"/>
    <xf numFmtId="1" fontId="0" fillId="0" borderId="1" xfId="0" applyNumberFormat="1" applyBorder="1"/>
    <xf numFmtId="1" fontId="0" fillId="0" borderId="8" xfId="0" applyNumberFormat="1" applyBorder="1"/>
    <xf numFmtId="1" fontId="0" fillId="0" borderId="4" xfId="0" applyNumberFormat="1" applyBorder="1"/>
    <xf numFmtId="0" fontId="0" fillId="0" borderId="9" xfId="0" applyBorder="1"/>
    <xf numFmtId="0" fontId="112" fillId="0" borderId="0" xfId="0" applyFont="1"/>
    <xf numFmtId="0" fontId="0" fillId="0" borderId="7" xfId="0" applyBorder="1"/>
    <xf numFmtId="0" fontId="0" fillId="0" borderId="8" xfId="0" applyBorder="1"/>
    <xf numFmtId="0" fontId="0" fillId="0" borderId="10" xfId="0" applyBorder="1" applyAlignment="1">
      <alignment horizontal="left"/>
    </xf>
    <xf numFmtId="0" fontId="0" fillId="0" borderId="11" xfId="0" applyBorder="1" applyAlignment="1">
      <alignment horizontal="left"/>
    </xf>
    <xf numFmtId="0" fontId="0" fillId="0" borderId="10" xfId="0" applyFill="1" applyBorder="1" applyAlignment="1">
      <alignment horizontal="left"/>
    </xf>
    <xf numFmtId="0" fontId="113" fillId="0" borderId="1" xfId="0" applyFont="1" applyFill="1" applyBorder="1" applyAlignment="1">
      <alignment horizontal="center"/>
    </xf>
    <xf numFmtId="0" fontId="113" fillId="0" borderId="12" xfId="0" applyFont="1" applyFill="1" applyBorder="1" applyAlignment="1">
      <alignment horizontal="center"/>
    </xf>
    <xf numFmtId="0" fontId="113" fillId="0" borderId="3" xfId="0" applyFont="1" applyFill="1" applyBorder="1"/>
    <xf numFmtId="0" fontId="113" fillId="0" borderId="1" xfId="0" applyFont="1" applyFill="1" applyBorder="1"/>
    <xf numFmtId="0" fontId="113" fillId="0" borderId="4" xfId="0" applyFont="1" applyFill="1" applyBorder="1"/>
    <xf numFmtId="0" fontId="113" fillId="0" borderId="12" xfId="0" applyFont="1" applyFill="1" applyBorder="1"/>
    <xf numFmtId="1" fontId="113" fillId="0" borderId="1" xfId="0" applyNumberFormat="1" applyFont="1" applyFill="1" applyBorder="1"/>
    <xf numFmtId="1" fontId="113" fillId="0" borderId="4" xfId="0" applyNumberFormat="1" applyFont="1" applyFill="1" applyBorder="1"/>
    <xf numFmtId="14" fontId="0" fillId="0" borderId="0" xfId="0" applyNumberFormat="1" applyBorder="1" applyAlignment="1">
      <alignment horizontal="center"/>
    </xf>
    <xf numFmtId="0" fontId="0" fillId="0" borderId="0" xfId="0" applyBorder="1"/>
    <xf numFmtId="0" fontId="0" fillId="0" borderId="0" xfId="0" applyBorder="1" applyAlignment="1">
      <alignment horizontal="left"/>
    </xf>
    <xf numFmtId="0" fontId="113" fillId="0" borderId="2" xfId="0" applyFont="1" applyFill="1" applyBorder="1"/>
    <xf numFmtId="0" fontId="0" fillId="0" borderId="0" xfId="0" applyProtection="1">
      <protection locked="0"/>
    </xf>
    <xf numFmtId="0" fontId="105" fillId="0" borderId="1" xfId="0" applyFont="1" applyBorder="1" applyAlignment="1" applyProtection="1">
      <alignment horizontal="left" vertical="center" wrapText="1"/>
      <protection locked="0"/>
    </xf>
    <xf numFmtId="0" fontId="0" fillId="0" borderId="0" xfId="0" applyNumberFormat="1"/>
    <xf numFmtId="0" fontId="0" fillId="0" borderId="0" xfId="0" applyNumberFormat="1" applyBorder="1"/>
    <xf numFmtId="0" fontId="105" fillId="0" borderId="1" xfId="0" applyNumberFormat="1" applyFont="1" applyBorder="1" applyAlignment="1">
      <alignment horizontal="left" vertical="center" wrapText="1"/>
    </xf>
    <xf numFmtId="0" fontId="108" fillId="0" borderId="0" xfId="0" applyFont="1" applyAlignment="1">
      <alignment horizontal="center"/>
    </xf>
    <xf numFmtId="0" fontId="114" fillId="5" borderId="13" xfId="0" applyFont="1" applyFill="1" applyBorder="1" applyAlignment="1">
      <alignment horizontal="center"/>
    </xf>
    <xf numFmtId="0" fontId="114" fillId="5" borderId="14" xfId="0" applyFont="1" applyFill="1" applyBorder="1" applyAlignment="1">
      <alignment horizontal="center"/>
    </xf>
    <xf numFmtId="0" fontId="114" fillId="5" borderId="15" xfId="0" applyFont="1" applyFill="1" applyBorder="1" applyAlignment="1">
      <alignment horizontal="center"/>
    </xf>
    <xf numFmtId="0" fontId="108" fillId="0" borderId="16" xfId="0" applyFont="1" applyBorder="1" applyAlignment="1">
      <alignment horizontal="center"/>
    </xf>
    <xf numFmtId="0" fontId="108" fillId="0" borderId="13" xfId="0" applyFont="1" applyBorder="1" applyAlignment="1">
      <alignment horizontal="center"/>
    </xf>
    <xf numFmtId="0" fontId="114" fillId="5" borderId="17" xfId="0" applyFont="1" applyFill="1" applyBorder="1" applyAlignment="1">
      <alignment horizontal="center"/>
    </xf>
    <xf numFmtId="0" fontId="108" fillId="0" borderId="18" xfId="0" applyFont="1" applyBorder="1" applyAlignment="1">
      <alignment horizontal="center"/>
    </xf>
    <xf numFmtId="0" fontId="114" fillId="5" borderId="19" xfId="0" applyFont="1" applyFill="1" applyBorder="1" applyAlignment="1">
      <alignment horizontal="center"/>
    </xf>
    <xf numFmtId="0" fontId="108" fillId="0" borderId="19" xfId="0" applyFont="1" applyBorder="1" applyAlignment="1">
      <alignment horizontal="center"/>
    </xf>
    <xf numFmtId="0" fontId="114" fillId="5" borderId="18" xfId="0" applyFont="1" applyFill="1" applyBorder="1" applyAlignment="1">
      <alignment horizontal="center"/>
    </xf>
    <xf numFmtId="0" fontId="108" fillId="0" borderId="18" xfId="0" applyFont="1" applyFill="1" applyBorder="1" applyAlignment="1">
      <alignment horizontal="center"/>
    </xf>
    <xf numFmtId="0" fontId="114" fillId="5" borderId="20" xfId="0" applyFont="1" applyFill="1" applyBorder="1" applyAlignment="1">
      <alignment horizontal="center"/>
    </xf>
    <xf numFmtId="0" fontId="108" fillId="0" borderId="20" xfId="0" applyFont="1" applyFill="1" applyBorder="1" applyAlignment="1">
      <alignment horizontal="center"/>
    </xf>
    <xf numFmtId="0" fontId="108" fillId="0" borderId="20" xfId="0" applyFont="1" applyBorder="1" applyAlignment="1">
      <alignment horizontal="center"/>
    </xf>
    <xf numFmtId="0" fontId="114" fillId="5" borderId="21" xfId="0" applyFont="1" applyFill="1" applyBorder="1" applyAlignment="1">
      <alignment horizontal="center"/>
    </xf>
    <xf numFmtId="0" fontId="108" fillId="0" borderId="21" xfId="0" applyFont="1" applyFill="1" applyBorder="1" applyAlignment="1">
      <alignment horizontal="center"/>
    </xf>
    <xf numFmtId="0" fontId="108" fillId="0" borderId="21" xfId="0" applyFont="1" applyBorder="1" applyAlignment="1">
      <alignment horizontal="center"/>
    </xf>
    <xf numFmtId="0" fontId="108" fillId="0" borderId="17" xfId="0" applyFont="1" applyBorder="1" applyAlignment="1">
      <alignment horizontal="center"/>
    </xf>
    <xf numFmtId="0" fontId="115" fillId="5" borderId="13" xfId="0" applyFont="1" applyFill="1" applyBorder="1" applyAlignment="1">
      <alignment horizontal="center"/>
    </xf>
    <xf numFmtId="0" fontId="108" fillId="0" borderId="22" xfId="0" applyFont="1" applyFill="1" applyBorder="1" applyAlignment="1">
      <alignment horizontal="center"/>
    </xf>
    <xf numFmtId="0" fontId="108" fillId="0" borderId="23" xfId="0" applyFont="1" applyFill="1" applyBorder="1" applyAlignment="1">
      <alignment horizontal="center"/>
    </xf>
    <xf numFmtId="0" fontId="108" fillId="0" borderId="13" xfId="0" applyFont="1" applyFill="1" applyBorder="1" applyAlignment="1">
      <alignment horizontal="center"/>
    </xf>
    <xf numFmtId="0" fontId="108" fillId="0" borderId="0" xfId="0" applyFont="1" applyFill="1" applyAlignment="1">
      <alignment horizontal="center"/>
    </xf>
    <xf numFmtId="0" fontId="115" fillId="5" borderId="24" xfId="0" applyFont="1" applyFill="1" applyBorder="1" applyAlignment="1">
      <alignment horizontal="center"/>
    </xf>
    <xf numFmtId="0" fontId="108" fillId="0" borderId="25" xfId="0" applyFont="1" applyFill="1" applyBorder="1" applyAlignment="1">
      <alignment horizontal="center"/>
    </xf>
    <xf numFmtId="0" fontId="114" fillId="5" borderId="26" xfId="0" applyFont="1" applyFill="1" applyBorder="1" applyAlignment="1">
      <alignment horizontal="center"/>
    </xf>
    <xf numFmtId="0" fontId="108" fillId="0" borderId="27" xfId="0" applyFont="1" applyBorder="1" applyAlignment="1">
      <alignment horizontal="center"/>
    </xf>
    <xf numFmtId="0" fontId="114" fillId="5" borderId="5" xfId="0" applyFont="1" applyFill="1" applyBorder="1" applyAlignment="1">
      <alignment horizontal="center"/>
    </xf>
    <xf numFmtId="0" fontId="108" fillId="0" borderId="28" xfId="0" applyFont="1" applyBorder="1" applyAlignment="1">
      <alignment horizontal="center"/>
    </xf>
    <xf numFmtId="0" fontId="108" fillId="0" borderId="28" xfId="0" applyFont="1" applyFill="1" applyBorder="1" applyAlignment="1">
      <alignment horizontal="center"/>
    </xf>
    <xf numFmtId="0" fontId="114" fillId="5" borderId="29" xfId="0" applyFont="1" applyFill="1" applyBorder="1" applyAlignment="1">
      <alignment horizontal="center"/>
    </xf>
    <xf numFmtId="0" fontId="108" fillId="0" borderId="30" xfId="0" applyFont="1" applyFill="1" applyBorder="1" applyAlignment="1">
      <alignment horizontal="center"/>
    </xf>
    <xf numFmtId="0" fontId="114" fillId="5" borderId="24" xfId="0" applyFont="1" applyFill="1" applyBorder="1" applyAlignment="1">
      <alignment horizontal="center"/>
    </xf>
    <xf numFmtId="0" fontId="0" fillId="0" borderId="4" xfId="0" applyFill="1" applyBorder="1"/>
    <xf numFmtId="0" fontId="113" fillId="0" borderId="7" xfId="0" applyFont="1" applyFill="1" applyBorder="1" applyAlignment="1"/>
    <xf numFmtId="0" fontId="113" fillId="0" borderId="8" xfId="0" applyFont="1" applyFill="1" applyBorder="1" applyAlignment="1"/>
    <xf numFmtId="0" fontId="0" fillId="0" borderId="2" xfId="0" applyFill="1" applyBorder="1"/>
    <xf numFmtId="0" fontId="113" fillId="0" borderId="31" xfId="0" applyFont="1" applyFill="1" applyBorder="1" applyAlignment="1"/>
    <xf numFmtId="0" fontId="0" fillId="0" borderId="2" xfId="0" applyNumberFormat="1" applyFill="1" applyBorder="1" applyAlignment="1">
      <alignment horizontal="center" vertical="center" wrapText="1"/>
    </xf>
    <xf numFmtId="1" fontId="113" fillId="0" borderId="2" xfId="0" applyNumberFormat="1" applyFont="1" applyFill="1" applyBorder="1"/>
    <xf numFmtId="0" fontId="113" fillId="0" borderId="32" xfId="0" applyFont="1" applyFill="1" applyBorder="1" applyAlignment="1"/>
    <xf numFmtId="0" fontId="113" fillId="0" borderId="33" xfId="0" applyFont="1" applyFill="1" applyBorder="1" applyAlignment="1"/>
    <xf numFmtId="164" fontId="113" fillId="0" borderId="7" xfId="1" applyFont="1" applyFill="1" applyBorder="1" applyAlignment="1"/>
    <xf numFmtId="164" fontId="113" fillId="0" borderId="32" xfId="1" applyFont="1" applyFill="1" applyBorder="1" applyAlignment="1"/>
    <xf numFmtId="164" fontId="0" fillId="0" borderId="3" xfId="1" applyFont="1" applyFill="1" applyBorder="1"/>
    <xf numFmtId="164" fontId="113" fillId="0" borderId="8" xfId="1" applyFont="1" applyFill="1" applyBorder="1" applyAlignment="1"/>
    <xf numFmtId="164" fontId="0" fillId="0" borderId="4" xfId="1" applyFont="1" applyFill="1" applyBorder="1"/>
    <xf numFmtId="0" fontId="113" fillId="0" borderId="3" xfId="1" applyNumberFormat="1" applyFont="1" applyFill="1" applyBorder="1" applyAlignment="1">
      <alignment horizontal="center"/>
    </xf>
    <xf numFmtId="0" fontId="0" fillId="0" borderId="3" xfId="1" applyNumberFormat="1" applyFont="1" applyFill="1" applyBorder="1"/>
    <xf numFmtId="0" fontId="113" fillId="0" borderId="1" xfId="1" applyNumberFormat="1" applyFont="1" applyFill="1" applyBorder="1" applyAlignment="1">
      <alignment horizontal="center"/>
    </xf>
    <xf numFmtId="0" fontId="0" fillId="0" borderId="1" xfId="1" applyNumberFormat="1" applyFont="1" applyFill="1" applyBorder="1"/>
    <xf numFmtId="0" fontId="113" fillId="0" borderId="4" xfId="1" applyNumberFormat="1" applyFont="1" applyFill="1" applyBorder="1" applyAlignment="1">
      <alignment horizontal="center"/>
    </xf>
    <xf numFmtId="0" fontId="0" fillId="0" borderId="4" xfId="1" applyNumberFormat="1" applyFont="1" applyFill="1" applyBorder="1"/>
    <xf numFmtId="0" fontId="0" fillId="0" borderId="10" xfId="1" applyNumberFormat="1" applyFont="1" applyFill="1" applyBorder="1" applyAlignment="1">
      <alignment horizontal="left"/>
    </xf>
    <xf numFmtId="0" fontId="0" fillId="0" borderId="11" xfId="1" applyNumberFormat="1" applyFont="1" applyFill="1" applyBorder="1"/>
    <xf numFmtId="0" fontId="0" fillId="0" borderId="34" xfId="1" applyNumberFormat="1" applyFont="1" applyFill="1" applyBorder="1"/>
    <xf numFmtId="0" fontId="0" fillId="0" borderId="1" xfId="0" applyFill="1" applyBorder="1" applyAlignment="1">
      <alignment vertical="center"/>
    </xf>
    <xf numFmtId="0" fontId="0" fillId="0" borderId="1" xfId="0" applyBorder="1" applyAlignment="1">
      <alignment vertical="center"/>
    </xf>
    <xf numFmtId="165" fontId="0" fillId="0" borderId="1" xfId="0" applyNumberFormat="1" applyBorder="1" applyAlignment="1">
      <alignment vertical="center"/>
    </xf>
    <xf numFmtId="0" fontId="0" fillId="7" borderId="1" xfId="0" applyFill="1" applyBorder="1" applyAlignment="1">
      <alignment vertical="center"/>
    </xf>
    <xf numFmtId="49" fontId="111" fillId="0" borderId="1" xfId="2" applyNumberFormat="1" applyFont="1" applyBorder="1" applyAlignment="1" applyProtection="1">
      <alignment vertical="center"/>
    </xf>
    <xf numFmtId="0" fontId="0" fillId="0" borderId="1" xfId="1" applyNumberFormat="1" applyFont="1" applyFill="1" applyBorder="1" applyAlignment="1">
      <alignment horizontal="left"/>
    </xf>
    <xf numFmtId="0" fontId="0" fillId="0" borderId="12" xfId="0" applyNumberFormat="1" applyFill="1" applyBorder="1"/>
    <xf numFmtId="0" fontId="0" fillId="0" borderId="35" xfId="0" applyNumberFormat="1" applyFill="1" applyBorder="1"/>
    <xf numFmtId="0" fontId="0" fillId="0" borderId="1" xfId="0" applyNumberFormat="1" applyFill="1" applyBorder="1" applyAlignment="1">
      <alignment horizontal="left"/>
    </xf>
    <xf numFmtId="0" fontId="0" fillId="0" borderId="10" xfId="0" applyNumberFormat="1" applyFill="1" applyBorder="1" applyAlignment="1">
      <alignment horizontal="left"/>
    </xf>
    <xf numFmtId="0" fontId="0" fillId="0" borderId="2" xfId="0" applyNumberFormat="1" applyFill="1" applyBorder="1"/>
    <xf numFmtId="0" fontId="0" fillId="0" borderId="9" xfId="0" applyNumberFormat="1" applyFill="1" applyBorder="1"/>
    <xf numFmtId="0" fontId="0" fillId="0" borderId="3" xfId="0" applyNumberFormat="1" applyFill="1" applyBorder="1"/>
    <xf numFmtId="0" fontId="0" fillId="0" borderId="34" xfId="0" applyNumberFormat="1" applyFill="1" applyBorder="1"/>
    <xf numFmtId="0" fontId="0" fillId="0" borderId="4" xfId="0" applyNumberFormat="1" applyFill="1" applyBorder="1"/>
    <xf numFmtId="0" fontId="0" fillId="0" borderId="11" xfId="0" applyNumberFormat="1" applyFill="1" applyBorder="1"/>
    <xf numFmtId="164" fontId="0" fillId="0" borderId="36" xfId="1" applyFont="1" applyFill="1" applyBorder="1"/>
    <xf numFmtId="0" fontId="0" fillId="0" borderId="37" xfId="1" applyNumberFormat="1" applyFont="1" applyFill="1" applyBorder="1" applyAlignment="1">
      <alignment horizontal="left"/>
    </xf>
    <xf numFmtId="0" fontId="0" fillId="0" borderId="38" xfId="1" applyNumberFormat="1" applyFont="1" applyFill="1" applyBorder="1"/>
    <xf numFmtId="0" fontId="0" fillId="0" borderId="35" xfId="1" applyNumberFormat="1" applyFont="1" applyFill="1" applyBorder="1"/>
    <xf numFmtId="0" fontId="0" fillId="0" borderId="32" xfId="1" applyNumberFormat="1" applyFont="1" applyFill="1" applyBorder="1"/>
    <xf numFmtId="0" fontId="0" fillId="0" borderId="8" xfId="1" applyNumberFormat="1" applyFont="1" applyFill="1" applyBorder="1"/>
    <xf numFmtId="0" fontId="0" fillId="0" borderId="36" xfId="1" applyNumberFormat="1" applyFont="1" applyFill="1" applyBorder="1"/>
    <xf numFmtId="0" fontId="0" fillId="0" borderId="33" xfId="1" applyNumberFormat="1" applyFont="1" applyFill="1" applyBorder="1"/>
    <xf numFmtId="0" fontId="0" fillId="0" borderId="7" xfId="1" applyNumberFormat="1" applyFont="1" applyFill="1" applyBorder="1"/>
    <xf numFmtId="0" fontId="0" fillId="0" borderId="10" xfId="1" applyNumberFormat="1" applyFont="1" applyFill="1" applyBorder="1"/>
    <xf numFmtId="0" fontId="0" fillId="0" borderId="32" xfId="0" applyBorder="1"/>
    <xf numFmtId="0" fontId="0" fillId="0" borderId="34" xfId="0" applyBorder="1"/>
    <xf numFmtId="0" fontId="0" fillId="0" borderId="10" xfId="0" applyBorder="1"/>
    <xf numFmtId="0" fontId="0" fillId="0" borderId="11" xfId="0" applyBorder="1"/>
    <xf numFmtId="0" fontId="116" fillId="0" borderId="0" xfId="0" applyFont="1"/>
    <xf numFmtId="0" fontId="117" fillId="0" borderId="0" xfId="0" applyFont="1"/>
    <xf numFmtId="0" fontId="118" fillId="0" borderId="0" xfId="0" applyFont="1"/>
    <xf numFmtId="0" fontId="120" fillId="0" borderId="0" xfId="0" applyFont="1"/>
    <xf numFmtId="0" fontId="119" fillId="0" borderId="0" xfId="0" applyFont="1"/>
    <xf numFmtId="14" fontId="0" fillId="0" borderId="0" xfId="0" applyNumberFormat="1"/>
    <xf numFmtId="0" fontId="113" fillId="0" borderId="1" xfId="0" applyFont="1" applyBorder="1" applyAlignment="1">
      <alignment horizontal="center" vertical="center" shrinkToFit="1"/>
    </xf>
    <xf numFmtId="0" fontId="113" fillId="0" borderId="0" xfId="0" applyFont="1"/>
    <xf numFmtId="14" fontId="113" fillId="0" borderId="0" xfId="0" applyNumberFormat="1" applyFont="1"/>
    <xf numFmtId="0" fontId="122" fillId="0" borderId="0" xfId="0" applyFont="1"/>
    <xf numFmtId="10" fontId="113" fillId="0" borderId="1" xfId="0" applyNumberFormat="1" applyFont="1" applyBorder="1"/>
    <xf numFmtId="0" fontId="113" fillId="0" borderId="1" xfId="0" applyFont="1" applyBorder="1" applyAlignment="1">
      <alignment horizontal="center"/>
    </xf>
    <xf numFmtId="0" fontId="105" fillId="5" borderId="32" xfId="0" applyFont="1" applyFill="1" applyBorder="1"/>
    <xf numFmtId="0" fontId="108" fillId="6" borderId="7" xfId="0" applyFont="1" applyFill="1" applyBorder="1"/>
    <xf numFmtId="0" fontId="108" fillId="0" borderId="7" xfId="0" applyFont="1" applyBorder="1"/>
    <xf numFmtId="0" fontId="108" fillId="0" borderId="8" xfId="0" applyFont="1" applyBorder="1"/>
    <xf numFmtId="10" fontId="113" fillId="0" borderId="4" xfId="0" applyNumberFormat="1" applyFont="1" applyBorder="1"/>
    <xf numFmtId="0" fontId="105" fillId="8" borderId="3" xfId="0" applyFont="1" applyFill="1" applyBorder="1" applyAlignment="1">
      <alignment horizontal="center"/>
    </xf>
    <xf numFmtId="0" fontId="105" fillId="8" borderId="34" xfId="0" applyFont="1" applyFill="1" applyBorder="1" applyAlignment="1">
      <alignment horizontal="center"/>
    </xf>
    <xf numFmtId="0" fontId="121" fillId="0" borderId="7" xfId="0" applyFont="1" applyBorder="1" applyAlignment="1">
      <alignment vertical="top" wrapText="1"/>
    </xf>
    <xf numFmtId="0" fontId="121" fillId="0" borderId="8" xfId="0" applyFont="1" applyBorder="1" applyAlignment="1">
      <alignment vertical="top" wrapText="1"/>
    </xf>
    <xf numFmtId="0" fontId="105" fillId="0" borderId="3" xfId="0" applyFont="1" applyBorder="1"/>
    <xf numFmtId="0" fontId="105" fillId="5" borderId="34" xfId="0" applyFont="1" applyFill="1" applyBorder="1"/>
    <xf numFmtId="0" fontId="123" fillId="0" borderId="10" xfId="0" applyFont="1" applyBorder="1" applyAlignment="1">
      <alignment horizontal="center"/>
    </xf>
    <xf numFmtId="0" fontId="123" fillId="6" borderId="10" xfId="0" applyFont="1" applyFill="1" applyBorder="1" applyAlignment="1">
      <alignment horizontal="center"/>
    </xf>
    <xf numFmtId="0" fontId="113" fillId="0" borderId="4" xfId="0" applyFont="1" applyBorder="1" applyAlignment="1">
      <alignment horizontal="center"/>
    </xf>
    <xf numFmtId="0" fontId="123" fillId="0" borderId="11" xfId="0" applyFont="1" applyBorder="1" applyAlignment="1">
      <alignment horizontal="center"/>
    </xf>
    <xf numFmtId="0" fontId="105" fillId="6" borderId="3" xfId="0" applyFont="1" applyFill="1" applyBorder="1"/>
    <xf numFmtId="166" fontId="113" fillId="0" borderId="1" xfId="0" applyNumberFormat="1" applyFont="1" applyBorder="1"/>
    <xf numFmtId="166" fontId="113" fillId="0" borderId="10" xfId="0" applyNumberFormat="1" applyFont="1" applyBorder="1"/>
    <xf numFmtId="166" fontId="113" fillId="0" borderId="4" xfId="0" applyNumberFormat="1" applyFont="1" applyBorder="1"/>
    <xf numFmtId="166" fontId="113" fillId="0" borderId="11" xfId="0" applyNumberFormat="1" applyFont="1" applyBorder="1"/>
    <xf numFmtId="10" fontId="113" fillId="0" borderId="10" xfId="0" applyNumberFormat="1" applyFont="1" applyBorder="1"/>
    <xf numFmtId="10" fontId="113" fillId="0" borderId="11" xfId="0" applyNumberFormat="1" applyFont="1" applyBorder="1"/>
    <xf numFmtId="0" fontId="0" fillId="0" borderId="12" xfId="1" applyNumberFormat="1" applyFont="1" applyFill="1" applyBorder="1"/>
    <xf numFmtId="0" fontId="0" fillId="0" borderId="39" xfId="0" applyNumberFormat="1" applyFill="1" applyBorder="1"/>
    <xf numFmtId="0" fontId="0" fillId="0" borderId="37" xfId="0" applyNumberFormat="1" applyFill="1" applyBorder="1" applyAlignment="1">
      <alignment horizontal="left"/>
    </xf>
    <xf numFmtId="0" fontId="0" fillId="0" borderId="40" xfId="0" applyNumberFormat="1" applyFill="1" applyBorder="1"/>
    <xf numFmtId="164" fontId="0" fillId="0" borderId="41" xfId="1" applyFont="1" applyFill="1" applyBorder="1"/>
    <xf numFmtId="164" fontId="0" fillId="0" borderId="42" xfId="1" applyFont="1" applyFill="1" applyBorder="1"/>
    <xf numFmtId="0" fontId="0" fillId="0" borderId="42" xfId="1" applyNumberFormat="1" applyFont="1" applyFill="1" applyBorder="1"/>
    <xf numFmtId="0" fontId="0" fillId="0" borderId="41" xfId="1" applyNumberFormat="1" applyFont="1" applyFill="1" applyBorder="1"/>
    <xf numFmtId="0" fontId="0" fillId="0" borderId="43" xfId="1" applyNumberFormat="1" applyFont="1" applyFill="1" applyBorder="1" applyAlignment="1">
      <alignment horizontal="left"/>
    </xf>
    <xf numFmtId="0" fontId="0" fillId="0" borderId="44" xfId="0" applyNumberFormat="1" applyFill="1" applyBorder="1"/>
    <xf numFmtId="0" fontId="0" fillId="0" borderId="43" xfId="0" applyNumberFormat="1" applyFill="1" applyBorder="1" applyAlignment="1">
      <alignment horizontal="left"/>
    </xf>
    <xf numFmtId="0" fontId="0" fillId="0" borderId="45" xfId="0" applyNumberFormat="1" applyFill="1" applyBorder="1"/>
    <xf numFmtId="0" fontId="0" fillId="0" borderId="41" xfId="0" applyNumberFormat="1" applyFill="1" applyBorder="1"/>
    <xf numFmtId="0" fontId="0" fillId="0" borderId="42" xfId="0" applyNumberFormat="1" applyFill="1" applyBorder="1"/>
    <xf numFmtId="0" fontId="0" fillId="0" borderId="46" xfId="1" applyNumberFormat="1" applyFont="1" applyFill="1" applyBorder="1"/>
    <xf numFmtId="0" fontId="0" fillId="0" borderId="35" xfId="0" applyFill="1" applyBorder="1"/>
    <xf numFmtId="0" fontId="0" fillId="0" borderId="10" xfId="0" applyFill="1" applyBorder="1"/>
    <xf numFmtId="0" fontId="0" fillId="0" borderId="9" xfId="0" applyFill="1" applyBorder="1"/>
    <xf numFmtId="0" fontId="0" fillId="0" borderId="34" xfId="0" applyFill="1" applyBorder="1"/>
    <xf numFmtId="0" fontId="0" fillId="0" borderId="11" xfId="0" applyFill="1" applyBorder="1"/>
    <xf numFmtId="0" fontId="0" fillId="0" borderId="0" xfId="0" applyAlignment="1">
      <alignment horizontal="right"/>
    </xf>
    <xf numFmtId="20" fontId="0" fillId="0" borderId="0" xfId="0" applyNumberFormat="1"/>
    <xf numFmtId="1" fontId="0" fillId="0" borderId="0" xfId="0" applyNumberFormat="1" applyBorder="1"/>
    <xf numFmtId="49" fontId="103" fillId="0" borderId="0" xfId="0" applyNumberFormat="1" applyFont="1" applyBorder="1"/>
    <xf numFmtId="0" fontId="105" fillId="5" borderId="47" xfId="0" applyFont="1" applyFill="1" applyBorder="1"/>
    <xf numFmtId="0" fontId="105" fillId="8" borderId="48" xfId="0" applyFont="1" applyFill="1" applyBorder="1"/>
    <xf numFmtId="0" fontId="105" fillId="8" borderId="49" xfId="0" applyFont="1" applyFill="1" applyBorder="1"/>
    <xf numFmtId="0" fontId="108" fillId="6" borderId="32" xfId="0" applyFont="1" applyFill="1" applyBorder="1"/>
    <xf numFmtId="10" fontId="113" fillId="0" borderId="3" xfId="0" applyNumberFormat="1" applyFont="1" applyBorder="1"/>
    <xf numFmtId="10" fontId="113" fillId="0" borderId="34" xfId="0" applyNumberFormat="1" applyFont="1" applyBorder="1"/>
    <xf numFmtId="0" fontId="108" fillId="0" borderId="32" xfId="0" applyFont="1" applyBorder="1"/>
    <xf numFmtId="0" fontId="0" fillId="0" borderId="0" xfId="0" applyAlignment="1">
      <alignment wrapText="1"/>
    </xf>
    <xf numFmtId="0" fontId="106" fillId="0" borderId="1" xfId="2" applyBorder="1" applyAlignment="1" applyProtection="1">
      <alignment vertical="center"/>
    </xf>
    <xf numFmtId="0" fontId="0" fillId="0" borderId="1" xfId="0" applyBorder="1" applyAlignment="1">
      <alignment horizontal="left" vertical="center" wrapText="1"/>
    </xf>
    <xf numFmtId="0" fontId="0" fillId="0" borderId="37" xfId="1" applyNumberFormat="1" applyFont="1" applyFill="1" applyBorder="1"/>
    <xf numFmtId="0" fontId="0" fillId="0" borderId="8" xfId="0" applyNumberFormat="1" applyFill="1" applyBorder="1" applyAlignment="1">
      <alignment horizontal="center" vertical="center" wrapText="1"/>
    </xf>
    <xf numFmtId="0" fontId="0" fillId="0" borderId="4" xfId="0" applyNumberFormat="1" applyFill="1" applyBorder="1" applyAlignment="1">
      <alignment horizontal="center" vertical="center" wrapText="1"/>
    </xf>
    <xf numFmtId="0" fontId="0" fillId="0" borderId="11" xfId="0" applyNumberFormat="1" applyFill="1" applyBorder="1" applyAlignment="1">
      <alignment horizontal="center" vertical="center" wrapText="1"/>
    </xf>
    <xf numFmtId="0" fontId="0" fillId="0" borderId="43" xfId="1" applyNumberFormat="1" applyFont="1" applyFill="1" applyBorder="1"/>
    <xf numFmtId="0" fontId="0" fillId="0" borderId="36" xfId="0" applyFill="1" applyBorder="1"/>
    <xf numFmtId="0" fontId="0" fillId="0" borderId="37" xfId="0" applyFill="1" applyBorder="1"/>
    <xf numFmtId="0" fontId="0" fillId="0" borderId="38" xfId="0" applyFill="1" applyBorder="1"/>
    <xf numFmtId="0" fontId="0" fillId="0" borderId="31" xfId="1" applyNumberFormat="1" applyFont="1" applyFill="1" applyBorder="1"/>
    <xf numFmtId="0" fontId="0" fillId="0" borderId="2" xfId="1" applyNumberFormat="1" applyFont="1" applyFill="1" applyBorder="1"/>
    <xf numFmtId="0" fontId="0" fillId="0" borderId="9" xfId="1" applyNumberFormat="1" applyFont="1" applyFill="1" applyBorder="1"/>
    <xf numFmtId="0" fontId="0" fillId="0" borderId="32" xfId="0" applyFill="1" applyBorder="1"/>
    <xf numFmtId="0" fontId="0" fillId="0" borderId="3" xfId="0" applyFill="1" applyBorder="1"/>
    <xf numFmtId="0" fontId="0" fillId="0" borderId="45" xfId="1" applyNumberFormat="1" applyFont="1" applyFill="1" applyBorder="1"/>
    <xf numFmtId="0" fontId="0" fillId="0" borderId="1" xfId="0" applyNumberFormat="1" applyFill="1" applyBorder="1"/>
    <xf numFmtId="0" fontId="0" fillId="0" borderId="7" xfId="0" applyNumberFormat="1" applyFill="1" applyBorder="1"/>
    <xf numFmtId="0" fontId="0" fillId="0" borderId="7" xfId="0" applyNumberFormat="1" applyFill="1" applyBorder="1" applyAlignment="1">
      <alignment horizontal="left"/>
    </xf>
    <xf numFmtId="0" fontId="0" fillId="0" borderId="8" xfId="0" applyNumberFormat="1" applyFill="1" applyBorder="1"/>
    <xf numFmtId="0" fontId="0" fillId="0" borderId="37" xfId="0" applyNumberFormat="1" applyFill="1" applyBorder="1"/>
    <xf numFmtId="0" fontId="0" fillId="0" borderId="38" xfId="0" applyNumberFormat="1" applyFill="1" applyBorder="1"/>
    <xf numFmtId="0" fontId="0" fillId="0" borderId="17" xfId="0" applyFill="1" applyBorder="1"/>
    <xf numFmtId="0" fontId="0" fillId="0" borderId="20" xfId="1" applyNumberFormat="1" applyFont="1" applyFill="1" applyBorder="1"/>
    <xf numFmtId="0" fontId="0" fillId="0" borderId="20" xfId="1" applyNumberFormat="1" applyFont="1" applyFill="1" applyBorder="1" applyAlignment="1">
      <alignment horizontal="left"/>
    </xf>
    <xf numFmtId="0" fontId="0" fillId="0" borderId="19" xfId="1" applyNumberFormat="1" applyFont="1" applyFill="1" applyBorder="1"/>
    <xf numFmtId="0" fontId="103" fillId="0" borderId="34" xfId="0" applyNumberFormat="1" applyFont="1" applyBorder="1"/>
    <xf numFmtId="0" fontId="103" fillId="0" borderId="10" xfId="0" applyNumberFormat="1" applyFont="1" applyBorder="1"/>
    <xf numFmtId="0" fontId="103" fillId="0" borderId="11" xfId="0" applyNumberFormat="1" applyFont="1" applyBorder="1"/>
    <xf numFmtId="1" fontId="105" fillId="0" borderId="50" xfId="0" applyNumberFormat="1" applyFont="1" applyFill="1" applyBorder="1"/>
    <xf numFmtId="1" fontId="0" fillId="0" borderId="5" xfId="0" applyNumberFormat="1" applyBorder="1"/>
    <xf numFmtId="1" fontId="0" fillId="0" borderId="6" xfId="0" applyNumberFormat="1" applyBorder="1"/>
    <xf numFmtId="0" fontId="0" fillId="0" borderId="31" xfId="0" applyBorder="1"/>
    <xf numFmtId="1" fontId="0" fillId="0" borderId="32" xfId="0" applyNumberFormat="1" applyBorder="1"/>
    <xf numFmtId="1" fontId="0" fillId="0" borderId="34" xfId="0" applyNumberFormat="1" applyBorder="1"/>
    <xf numFmtId="1" fontId="0" fillId="0" borderId="10" xfId="0" applyNumberFormat="1" applyBorder="1"/>
    <xf numFmtId="1" fontId="0" fillId="0" borderId="11" xfId="0" applyNumberFormat="1" applyBorder="1"/>
    <xf numFmtId="0" fontId="0" fillId="0" borderId="0" xfId="0" quotePrefix="1"/>
    <xf numFmtId="165" fontId="0" fillId="0" borderId="0" xfId="0" applyNumberFormat="1" applyFill="1" applyBorder="1" applyAlignment="1">
      <alignment vertical="top"/>
    </xf>
    <xf numFmtId="49" fontId="0" fillId="0" borderId="0" xfId="0" applyNumberFormat="1"/>
    <xf numFmtId="0" fontId="0" fillId="0" borderId="1" xfId="0" applyFill="1" applyBorder="1"/>
    <xf numFmtId="1" fontId="124" fillId="0" borderId="5" xfId="0" applyNumberFormat="1" applyFont="1" applyBorder="1"/>
    <xf numFmtId="165" fontId="113" fillId="0" borderId="5" xfId="0" applyNumberFormat="1" applyFont="1" applyBorder="1"/>
    <xf numFmtId="0" fontId="104" fillId="0" borderId="12" xfId="0" applyFont="1" applyBorder="1" applyAlignment="1">
      <alignment wrapText="1"/>
    </xf>
    <xf numFmtId="49" fontId="108" fillId="0" borderId="0" xfId="0" applyNumberFormat="1" applyFont="1"/>
    <xf numFmtId="0" fontId="0" fillId="0" borderId="53" xfId="0" applyBorder="1"/>
    <xf numFmtId="0" fontId="0" fillId="0" borderId="54" xfId="0" applyBorder="1"/>
    <xf numFmtId="0" fontId="0" fillId="0" borderId="54" xfId="0" applyFill="1" applyBorder="1"/>
    <xf numFmtId="0" fontId="0" fillId="0" borderId="55" xfId="0" applyFill="1" applyBorder="1"/>
    <xf numFmtId="0" fontId="113" fillId="0" borderId="0" xfId="0" applyFont="1" applyAlignment="1">
      <alignment wrapText="1"/>
    </xf>
    <xf numFmtId="49" fontId="113" fillId="0" borderId="0" xfId="0" applyNumberFormat="1" applyFont="1" applyAlignment="1">
      <alignment wrapText="1"/>
    </xf>
    <xf numFmtId="14" fontId="0" fillId="0" borderId="1" xfId="0" applyNumberFormat="1" applyBorder="1"/>
    <xf numFmtId="14" fontId="0" fillId="0" borderId="3" xfId="0" applyNumberFormat="1" applyBorder="1"/>
    <xf numFmtId="14" fontId="0" fillId="0" borderId="4" xfId="0" applyNumberFormat="1" applyBorder="1"/>
    <xf numFmtId="14" fontId="0" fillId="0" borderId="2" xfId="0" applyNumberFormat="1" applyBorder="1"/>
    <xf numFmtId="0" fontId="0" fillId="0" borderId="48" xfId="0" applyBorder="1"/>
    <xf numFmtId="0" fontId="102" fillId="0" borderId="0" xfId="0" applyFont="1"/>
    <xf numFmtId="49" fontId="102" fillId="0" borderId="0" xfId="0" applyNumberFormat="1" applyFont="1"/>
    <xf numFmtId="0" fontId="101" fillId="0" borderId="0" xfId="0" applyFont="1"/>
    <xf numFmtId="0" fontId="100" fillId="0" borderId="0" xfId="0" applyFont="1"/>
    <xf numFmtId="0" fontId="99" fillId="0" borderId="0" xfId="0" applyFont="1"/>
    <xf numFmtId="49" fontId="99" fillId="0" borderId="0" xfId="0" applyNumberFormat="1" applyFont="1"/>
    <xf numFmtId="0" fontId="98" fillId="0" borderId="3" xfId="0" applyFont="1" applyBorder="1"/>
    <xf numFmtId="0" fontId="98" fillId="0" borderId="1" xfId="0" applyFont="1" applyBorder="1"/>
    <xf numFmtId="0" fontId="96" fillId="0" borderId="0" xfId="0" applyFont="1"/>
    <xf numFmtId="0" fontId="95" fillId="0" borderId="0" xfId="0" applyFont="1"/>
    <xf numFmtId="0" fontId="94" fillId="0" borderId="0" xfId="0" applyFont="1"/>
    <xf numFmtId="0" fontId="93" fillId="0" borderId="0" xfId="0" applyFont="1"/>
    <xf numFmtId="49" fontId="93" fillId="0" borderId="0" xfId="0" applyNumberFormat="1" applyFont="1"/>
    <xf numFmtId="0" fontId="92" fillId="0" borderId="0" xfId="0" applyFont="1"/>
    <xf numFmtId="0" fontId="91" fillId="0" borderId="0" xfId="0" applyFont="1"/>
    <xf numFmtId="0" fontId="90" fillId="0" borderId="0" xfId="0" applyFont="1"/>
    <xf numFmtId="0" fontId="0" fillId="0" borderId="50" xfId="0" applyFill="1" applyBorder="1"/>
    <xf numFmtId="0" fontId="0" fillId="0" borderId="5" xfId="1" applyNumberFormat="1" applyFont="1" applyFill="1" applyBorder="1"/>
    <xf numFmtId="0" fontId="0" fillId="0" borderId="5" xfId="1" applyNumberFormat="1" applyFont="1" applyFill="1" applyBorder="1" applyAlignment="1">
      <alignment horizontal="left"/>
    </xf>
    <xf numFmtId="0" fontId="0" fillId="0" borderId="6" xfId="1" applyNumberFormat="1" applyFont="1" applyFill="1" applyBorder="1"/>
    <xf numFmtId="0" fontId="0" fillId="0" borderId="8" xfId="0" applyFill="1" applyBorder="1"/>
    <xf numFmtId="0" fontId="0" fillId="0" borderId="37" xfId="0" applyBorder="1"/>
    <xf numFmtId="0" fontId="89" fillId="0" borderId="37" xfId="0" applyFont="1" applyBorder="1"/>
    <xf numFmtId="0" fontId="0" fillId="0" borderId="33" xfId="0" applyFill="1" applyBorder="1"/>
    <xf numFmtId="0" fontId="0" fillId="0" borderId="12" xfId="0" applyFill="1" applyBorder="1"/>
    <xf numFmtId="0" fontId="0" fillId="0" borderId="7" xfId="0" applyFill="1" applyBorder="1"/>
    <xf numFmtId="0" fontId="0" fillId="0" borderId="39" xfId="0" applyFill="1" applyBorder="1"/>
    <xf numFmtId="0" fontId="0" fillId="0" borderId="20" xfId="0" applyFill="1" applyBorder="1"/>
    <xf numFmtId="0" fontId="0" fillId="0" borderId="19" xfId="0" applyFill="1" applyBorder="1"/>
    <xf numFmtId="49" fontId="88" fillId="0" borderId="0" xfId="0" applyNumberFormat="1" applyFont="1"/>
    <xf numFmtId="0" fontId="88" fillId="0" borderId="0" xfId="0" applyFont="1"/>
    <xf numFmtId="0" fontId="87" fillId="0" borderId="0" xfId="0" applyFont="1"/>
    <xf numFmtId="49" fontId="87" fillId="0" borderId="0" xfId="0" applyNumberFormat="1" applyFont="1"/>
    <xf numFmtId="0" fontId="86" fillId="0" borderId="0" xfId="0" applyFont="1"/>
    <xf numFmtId="0" fontId="85" fillId="0" borderId="0" xfId="0" applyFont="1"/>
    <xf numFmtId="0" fontId="84" fillId="0" borderId="0" xfId="0" applyFont="1"/>
    <xf numFmtId="0" fontId="83" fillId="0" borderId="0" xfId="0" applyFont="1"/>
    <xf numFmtId="0" fontId="82" fillId="0" borderId="0" xfId="0" applyFont="1"/>
    <xf numFmtId="49" fontId="82" fillId="0" borderId="0" xfId="0" applyNumberFormat="1" applyFont="1"/>
    <xf numFmtId="0" fontId="81" fillId="0" borderId="7" xfId="0" applyFont="1" applyFill="1" applyBorder="1" applyAlignment="1"/>
    <xf numFmtId="0" fontId="80" fillId="0" borderId="0" xfId="0" applyFont="1"/>
    <xf numFmtId="49" fontId="80" fillId="0" borderId="0" xfId="0" applyNumberFormat="1" applyFont="1"/>
    <xf numFmtId="0" fontId="98" fillId="0" borderId="2" xfId="0" applyFont="1" applyBorder="1"/>
    <xf numFmtId="0" fontId="79" fillId="0" borderId="32" xfId="3" applyBorder="1"/>
    <xf numFmtId="0" fontId="79" fillId="0" borderId="7" xfId="3" applyBorder="1"/>
    <xf numFmtId="0" fontId="78" fillId="0" borderId="3" xfId="0" applyFont="1" applyBorder="1"/>
    <xf numFmtId="0" fontId="78" fillId="0" borderId="1" xfId="0" applyFont="1" applyBorder="1"/>
    <xf numFmtId="0" fontId="77" fillId="0" borderId="0" xfId="0" applyFont="1"/>
    <xf numFmtId="49" fontId="77" fillId="0" borderId="0" xfId="0" applyNumberFormat="1" applyFont="1"/>
    <xf numFmtId="0" fontId="76" fillId="0" borderId="0" xfId="0" applyFont="1"/>
    <xf numFmtId="0" fontId="75" fillId="0" borderId="0" xfId="0" applyFont="1"/>
    <xf numFmtId="49" fontId="74" fillId="0" borderId="0" xfId="0" applyNumberFormat="1" applyFont="1"/>
    <xf numFmtId="0" fontId="74" fillId="0" borderId="0" xfId="0" applyFont="1"/>
    <xf numFmtId="0" fontId="73" fillId="0" borderId="0" xfId="0" applyFont="1"/>
    <xf numFmtId="49" fontId="73" fillId="0" borderId="0" xfId="0" applyNumberFormat="1" applyFont="1"/>
    <xf numFmtId="0" fontId="72" fillId="0" borderId="0" xfId="0" applyFont="1"/>
    <xf numFmtId="0" fontId="71" fillId="0" borderId="0" xfId="0" applyFont="1"/>
    <xf numFmtId="0" fontId="79" fillId="0" borderId="31" xfId="3" applyBorder="1"/>
    <xf numFmtId="0" fontId="78" fillId="0" borderId="2" xfId="0" applyFont="1" applyBorder="1"/>
    <xf numFmtId="0" fontId="70" fillId="0" borderId="3" xfId="0" applyFont="1" applyBorder="1"/>
    <xf numFmtId="0" fontId="69" fillId="0" borderId="0" xfId="0" applyFont="1"/>
    <xf numFmtId="0" fontId="68" fillId="0" borderId="0" xfId="0" applyFont="1"/>
    <xf numFmtId="49" fontId="68" fillId="0" borderId="0" xfId="0" applyNumberFormat="1" applyFont="1"/>
    <xf numFmtId="0" fontId="67" fillId="0" borderId="0" xfId="0" applyFont="1"/>
    <xf numFmtId="0" fontId="66" fillId="0" borderId="3" xfId="0" applyFont="1" applyBorder="1"/>
    <xf numFmtId="0" fontId="66" fillId="0" borderId="1" xfId="0" applyFont="1" applyBorder="1"/>
    <xf numFmtId="0" fontId="66" fillId="0" borderId="2" xfId="0" applyFont="1" applyBorder="1"/>
    <xf numFmtId="0" fontId="65" fillId="0" borderId="3" xfId="0" applyFont="1" applyBorder="1"/>
    <xf numFmtId="0" fontId="65" fillId="0" borderId="1" xfId="0" applyFont="1" applyBorder="1"/>
    <xf numFmtId="0" fontId="64" fillId="0" borderId="0" xfId="0" applyFont="1"/>
    <xf numFmtId="49" fontId="64" fillId="0" borderId="0" xfId="0" applyNumberFormat="1" applyFont="1"/>
    <xf numFmtId="0" fontId="63" fillId="0" borderId="1" xfId="0" applyFont="1" applyBorder="1" applyAlignment="1">
      <alignment horizontal="left" vertical="center" wrapText="1"/>
    </xf>
    <xf numFmtId="0" fontId="62" fillId="0" borderId="0" xfId="0" applyFont="1"/>
    <xf numFmtId="0" fontId="61" fillId="0" borderId="0" xfId="0" applyFont="1"/>
    <xf numFmtId="0" fontId="60" fillId="0" borderId="0" xfId="0" applyFont="1"/>
    <xf numFmtId="0" fontId="59" fillId="0" borderId="0" xfId="0" applyFont="1"/>
    <xf numFmtId="15" fontId="0" fillId="0" borderId="0" xfId="0" applyNumberFormat="1"/>
    <xf numFmtId="0" fontId="58" fillId="0" borderId="0" xfId="0" applyFont="1"/>
    <xf numFmtId="0" fontId="57" fillId="0" borderId="0" xfId="0" applyFont="1"/>
    <xf numFmtId="0" fontId="56" fillId="0" borderId="0" xfId="0" applyFont="1"/>
    <xf numFmtId="49" fontId="55" fillId="0" borderId="0" xfId="0" applyNumberFormat="1" applyFont="1"/>
    <xf numFmtId="0" fontId="54" fillId="0" borderId="0" xfId="0" applyFont="1" applyAlignment="1">
      <alignment wrapText="1"/>
    </xf>
    <xf numFmtId="0" fontId="53" fillId="0" borderId="0" xfId="0" applyFont="1"/>
    <xf numFmtId="49" fontId="53" fillId="0" borderId="0" xfId="0" applyNumberFormat="1" applyFont="1"/>
    <xf numFmtId="0" fontId="52" fillId="0" borderId="0" xfId="0" applyFont="1"/>
    <xf numFmtId="0" fontId="51" fillId="0" borderId="0" xfId="0" applyFont="1"/>
    <xf numFmtId="0" fontId="50" fillId="0" borderId="0" xfId="0" applyFont="1"/>
    <xf numFmtId="49" fontId="50" fillId="0" borderId="0" xfId="0" applyNumberFormat="1" applyFont="1"/>
    <xf numFmtId="0" fontId="49" fillId="0" borderId="0" xfId="0" applyFont="1"/>
    <xf numFmtId="49" fontId="49" fillId="0" borderId="0" xfId="0" applyNumberFormat="1" applyFont="1"/>
    <xf numFmtId="0" fontId="48" fillId="0" borderId="0" xfId="0" applyFont="1"/>
    <xf numFmtId="0" fontId="47" fillId="0" borderId="0" xfId="0" applyFont="1"/>
    <xf numFmtId="0" fontId="46" fillId="0" borderId="0" xfId="0" applyFont="1"/>
    <xf numFmtId="1" fontId="0" fillId="9" borderId="16" xfId="0" applyNumberFormat="1" applyFill="1" applyBorder="1" applyAlignment="1">
      <alignment horizontal="center" vertical="top"/>
    </xf>
    <xf numFmtId="0" fontId="44" fillId="0" borderId="7" xfId="0" applyFont="1" applyFill="1" applyBorder="1" applyAlignment="1"/>
    <xf numFmtId="0" fontId="43" fillId="0" borderId="0" xfId="0" applyFont="1"/>
    <xf numFmtId="49" fontId="43" fillId="0" borderId="0" xfId="0" applyNumberFormat="1" applyFont="1"/>
    <xf numFmtId="0" fontId="42" fillId="0" borderId="0" xfId="0" applyFont="1"/>
    <xf numFmtId="0" fontId="0" fillId="0" borderId="0" xfId="0" applyAlignment="1">
      <alignment horizontal="left"/>
    </xf>
    <xf numFmtId="0" fontId="41" fillId="0" borderId="0" xfId="0" applyFont="1"/>
    <xf numFmtId="49" fontId="41" fillId="0" borderId="0" xfId="0" applyNumberFormat="1" applyFont="1"/>
    <xf numFmtId="0" fontId="40" fillId="0" borderId="0" xfId="0" applyFont="1"/>
    <xf numFmtId="0" fontId="39" fillId="0" borderId="0" xfId="0" applyFont="1"/>
    <xf numFmtId="0" fontId="38" fillId="0" borderId="0" xfId="0" applyFont="1"/>
    <xf numFmtId="20" fontId="0" fillId="0" borderId="0" xfId="0" applyNumberFormat="1" applyBorder="1"/>
    <xf numFmtId="0" fontId="0" fillId="10" borderId="62" xfId="0" applyFill="1" applyBorder="1"/>
    <xf numFmtId="0" fontId="0" fillId="10" borderId="14" xfId="0" applyFill="1" applyBorder="1" applyAlignment="1">
      <alignment wrapText="1"/>
    </xf>
    <xf numFmtId="0" fontId="0" fillId="10" borderId="60" xfId="0" applyFill="1" applyBorder="1"/>
    <xf numFmtId="15" fontId="0" fillId="10" borderId="52" xfId="0" applyNumberFormat="1" applyFill="1" applyBorder="1"/>
    <xf numFmtId="0" fontId="0" fillId="10" borderId="51" xfId="0" applyFill="1" applyBorder="1"/>
    <xf numFmtId="15" fontId="0" fillId="10" borderId="56" xfId="0" applyNumberFormat="1" applyFill="1" applyBorder="1" applyAlignment="1">
      <alignment wrapText="1"/>
    </xf>
    <xf numFmtId="0" fontId="108" fillId="10" borderId="59" xfId="0" applyFont="1" applyFill="1" applyBorder="1" applyAlignment="1">
      <alignment horizontal="left"/>
    </xf>
    <xf numFmtId="0" fontId="37" fillId="0" borderId="0" xfId="0" applyFont="1"/>
    <xf numFmtId="0" fontId="65" fillId="0" borderId="2" xfId="0" applyFont="1" applyBorder="1"/>
    <xf numFmtId="0" fontId="36" fillId="0" borderId="1" xfId="0" applyFont="1" applyBorder="1"/>
    <xf numFmtId="0" fontId="0" fillId="0" borderId="33" xfId="0" applyBorder="1"/>
    <xf numFmtId="14" fontId="0" fillId="0" borderId="12" xfId="0" applyNumberFormat="1" applyBorder="1"/>
    <xf numFmtId="0" fontId="0" fillId="0" borderId="12" xfId="0" applyBorder="1"/>
    <xf numFmtId="0" fontId="36" fillId="0" borderId="12" xfId="0" applyFont="1" applyBorder="1"/>
    <xf numFmtId="0" fontId="0" fillId="0" borderId="35" xfId="0" applyBorder="1"/>
    <xf numFmtId="0" fontId="35" fillId="0" borderId="1" xfId="0" applyFont="1" applyBorder="1"/>
    <xf numFmtId="0" fontId="34" fillId="0" borderId="1" xfId="0" applyFont="1" applyBorder="1"/>
    <xf numFmtId="0" fontId="34" fillId="0" borderId="4" xfId="0" applyFont="1" applyBorder="1"/>
    <xf numFmtId="0" fontId="33" fillId="0" borderId="1" xfId="0" applyFont="1" applyBorder="1"/>
    <xf numFmtId="0" fontId="32" fillId="0" borderId="0" xfId="0" applyFont="1"/>
    <xf numFmtId="0" fontId="31" fillId="0" borderId="0" xfId="0" applyFont="1"/>
    <xf numFmtId="0" fontId="30" fillId="0" borderId="0" xfId="0" applyFont="1"/>
    <xf numFmtId="0" fontId="29" fillId="0" borderId="0" xfId="0" applyFont="1"/>
    <xf numFmtId="0" fontId="29" fillId="0" borderId="7" xfId="0" applyFont="1" applyFill="1" applyBorder="1" applyAlignment="1"/>
    <xf numFmtId="0" fontId="28" fillId="0" borderId="0" xfId="0" applyFont="1"/>
    <xf numFmtId="0" fontId="27" fillId="0" borderId="0" xfId="0" applyFont="1"/>
    <xf numFmtId="49" fontId="27" fillId="0" borderId="0" xfId="0" applyNumberFormat="1" applyFont="1"/>
    <xf numFmtId="0" fontId="26" fillId="0" borderId="0" xfId="0" applyFont="1"/>
    <xf numFmtId="49" fontId="26" fillId="0" borderId="0" xfId="0" applyNumberFormat="1" applyFont="1"/>
    <xf numFmtId="0" fontId="25" fillId="0" borderId="0" xfId="0" applyFont="1"/>
    <xf numFmtId="49" fontId="25" fillId="0" borderId="0" xfId="0" applyNumberFormat="1" applyFont="1"/>
    <xf numFmtId="0" fontId="24" fillId="0" borderId="0" xfId="0" applyFont="1"/>
    <xf numFmtId="0" fontId="23" fillId="0" borderId="0" xfId="0" applyFont="1"/>
    <xf numFmtId="49" fontId="23" fillId="0" borderId="0" xfId="0" applyNumberFormat="1" applyFont="1"/>
    <xf numFmtId="0" fontId="22" fillId="0" borderId="44" xfId="0" applyFont="1" applyBorder="1" applyAlignment="1">
      <alignment vertical="center"/>
    </xf>
    <xf numFmtId="0" fontId="22" fillId="0" borderId="0" xfId="0" applyFont="1"/>
    <xf numFmtId="0" fontId="21" fillId="0" borderId="0" xfId="0" applyFont="1"/>
    <xf numFmtId="49" fontId="21" fillId="0" borderId="0" xfId="0" applyNumberFormat="1" applyFont="1"/>
    <xf numFmtId="0" fontId="20" fillId="0" borderId="0" xfId="0" applyFont="1"/>
    <xf numFmtId="49" fontId="20" fillId="0" borderId="0" xfId="0" applyNumberFormat="1" applyFont="1"/>
    <xf numFmtId="0" fontId="19" fillId="0" borderId="0" xfId="0" applyFont="1"/>
    <xf numFmtId="49" fontId="19" fillId="0" borderId="0" xfId="0" applyNumberFormat="1" applyFont="1"/>
    <xf numFmtId="0" fontId="18" fillId="0" borderId="0" xfId="0" applyFont="1"/>
    <xf numFmtId="49" fontId="18" fillId="0" borderId="0" xfId="0" applyNumberFormat="1" applyFont="1"/>
    <xf numFmtId="0" fontId="17" fillId="6" borderId="1" xfId="0" applyFont="1" applyFill="1" applyBorder="1" applyAlignment="1" applyProtection="1">
      <alignment vertical="center"/>
      <protection locked="0"/>
    </xf>
    <xf numFmtId="0" fontId="17" fillId="0" borderId="1" xfId="0" applyFont="1" applyBorder="1"/>
    <xf numFmtId="0" fontId="17" fillId="0" borderId="1" xfId="0" applyFont="1" applyBorder="1" applyAlignment="1">
      <alignment vertical="center"/>
    </xf>
    <xf numFmtId="0" fontId="106" fillId="0" borderId="1" xfId="2" applyFill="1" applyBorder="1" applyAlignment="1" applyProtection="1">
      <alignment vertical="center"/>
    </xf>
    <xf numFmtId="0" fontId="14" fillId="0" borderId="0" xfId="0" applyFont="1"/>
    <xf numFmtId="49" fontId="0" fillId="12" borderId="24" xfId="0" applyNumberFormat="1" applyFill="1" applyBorder="1" applyAlignment="1">
      <alignment vertical="top"/>
    </xf>
    <xf numFmtId="49" fontId="0" fillId="12" borderId="61" xfId="0" applyNumberFormat="1" applyFill="1" applyBorder="1" applyAlignment="1">
      <alignment vertical="top"/>
    </xf>
    <xf numFmtId="0" fontId="13" fillId="0" borderId="0" xfId="0" applyFont="1"/>
    <xf numFmtId="0" fontId="12" fillId="0" borderId="0" xfId="0" applyFont="1"/>
    <xf numFmtId="49" fontId="12" fillId="0" borderId="0" xfId="0" applyNumberFormat="1" applyFont="1"/>
    <xf numFmtId="165" fontId="45" fillId="11" borderId="15" xfId="0" applyNumberFormat="1" applyFont="1" applyFill="1" applyBorder="1" applyAlignment="1">
      <alignment vertical="top"/>
    </xf>
    <xf numFmtId="0" fontId="11" fillId="0" borderId="0" xfId="0" applyFont="1"/>
    <xf numFmtId="0" fontId="10" fillId="0" borderId="0" xfId="0" applyFont="1"/>
    <xf numFmtId="0" fontId="9" fillId="0" borderId="0" xfId="0" applyFont="1"/>
    <xf numFmtId="49" fontId="9" fillId="0" borderId="0" xfId="0" applyNumberFormat="1" applyFont="1"/>
    <xf numFmtId="0" fontId="8" fillId="0" borderId="0" xfId="0" applyFont="1"/>
    <xf numFmtId="49" fontId="8" fillId="0" borderId="0" xfId="0" applyNumberFormat="1" applyFont="1"/>
    <xf numFmtId="0" fontId="7" fillId="0" borderId="0" xfId="0" applyFont="1"/>
    <xf numFmtId="0" fontId="6" fillId="0" borderId="0" xfId="0" applyFont="1"/>
    <xf numFmtId="0" fontId="5" fillId="0" borderId="0" xfId="0" applyFont="1"/>
    <xf numFmtId="0" fontId="4" fillId="0" borderId="0" xfId="0" applyFont="1"/>
    <xf numFmtId="0" fontId="3" fillId="0" borderId="0" xfId="0" applyFont="1"/>
    <xf numFmtId="49" fontId="2" fillId="12" borderId="25" xfId="0" applyNumberFormat="1" applyFont="1" applyFill="1" applyBorder="1" applyAlignment="1">
      <alignment horizontal="center" vertical="center"/>
    </xf>
    <xf numFmtId="0" fontId="2" fillId="0" borderId="0" xfId="0" applyFont="1"/>
    <xf numFmtId="49" fontId="2" fillId="0" borderId="0" xfId="0" applyNumberFormat="1" applyFont="1"/>
    <xf numFmtId="0" fontId="126" fillId="0" borderId="1" xfId="7" applyBorder="1" applyAlignment="1">
      <alignment vertical="center"/>
    </xf>
    <xf numFmtId="0" fontId="2" fillId="0" borderId="1" xfId="7" applyFont="1" applyBorder="1" applyAlignment="1">
      <alignment vertical="center"/>
    </xf>
    <xf numFmtId="0" fontId="2" fillId="6" borderId="1" xfId="7" applyFont="1" applyFill="1" applyBorder="1" applyAlignment="1" applyProtection="1">
      <alignment vertical="center"/>
      <protection locked="0"/>
    </xf>
    <xf numFmtId="0" fontId="126" fillId="0" borderId="1" xfId="7" applyFill="1" applyBorder="1" applyAlignment="1">
      <alignment vertical="center"/>
    </xf>
    <xf numFmtId="165" fontId="126" fillId="0" borderId="1" xfId="7" applyNumberFormat="1" applyBorder="1" applyAlignment="1">
      <alignment vertical="center"/>
    </xf>
    <xf numFmtId="0" fontId="126" fillId="7" borderId="1" xfId="7" applyFill="1" applyBorder="1" applyAlignment="1">
      <alignment vertical="center"/>
    </xf>
    <xf numFmtId="0" fontId="2" fillId="0" borderId="44" xfId="7" applyFont="1" applyBorder="1" applyAlignment="1">
      <alignment vertical="center"/>
    </xf>
    <xf numFmtId="0" fontId="2" fillId="0" borderId="1" xfId="7" applyFont="1" applyBorder="1"/>
    <xf numFmtId="0" fontId="104" fillId="0" borderId="12" xfId="7" applyFont="1" applyBorder="1" applyAlignment="1">
      <alignment wrapText="1"/>
    </xf>
    <xf numFmtId="0" fontId="126" fillId="0" borderId="1" xfId="8" applyBorder="1" applyAlignment="1">
      <alignment vertical="center"/>
    </xf>
    <xf numFmtId="0" fontId="2" fillId="0" borderId="1" xfId="8" applyFont="1" applyBorder="1" applyAlignment="1">
      <alignment vertical="center"/>
    </xf>
    <xf numFmtId="0" fontId="2" fillId="6" borderId="1" xfId="8" applyFont="1" applyFill="1" applyBorder="1" applyAlignment="1" applyProtection="1">
      <alignment vertical="center"/>
      <protection locked="0"/>
    </xf>
    <xf numFmtId="0" fontId="126" fillId="0" borderId="1" xfId="8" applyFill="1" applyBorder="1" applyAlignment="1">
      <alignment vertical="center"/>
    </xf>
    <xf numFmtId="165" fontId="126" fillId="0" borderId="1" xfId="8" applyNumberFormat="1" applyBorder="1" applyAlignment="1">
      <alignment vertical="center"/>
    </xf>
    <xf numFmtId="0" fontId="126" fillId="7" borderId="1" xfId="8" applyFill="1" applyBorder="1" applyAlignment="1">
      <alignment vertical="center"/>
    </xf>
    <xf numFmtId="0" fontId="2" fillId="0" borderId="44" xfId="8" applyFont="1" applyBorder="1" applyAlignment="1">
      <alignment vertical="center"/>
    </xf>
    <xf numFmtId="0" fontId="2" fillId="0" borderId="1" xfId="8" applyFont="1" applyBorder="1"/>
    <xf numFmtId="0" fontId="104" fillId="0" borderId="12" xfId="8" applyFont="1" applyBorder="1" applyAlignment="1">
      <alignment wrapText="1"/>
    </xf>
    <xf numFmtId="0" fontId="126" fillId="0" borderId="44" xfId="8" applyBorder="1"/>
    <xf numFmtId="0" fontId="108" fillId="0" borderId="0" xfId="0" applyFont="1" applyAlignment="1">
      <alignment horizontal="left"/>
    </xf>
    <xf numFmtId="0" fontId="113" fillId="0" borderId="0" xfId="0" applyFont="1" applyAlignment="1">
      <alignment horizontal="left" wrapText="1"/>
    </xf>
    <xf numFmtId="0" fontId="97" fillId="0" borderId="0" xfId="0" applyFont="1" applyAlignment="1">
      <alignment horizontal="left"/>
    </xf>
    <xf numFmtId="0" fontId="88" fillId="0" borderId="0" xfId="0" applyFont="1" applyAlignment="1">
      <alignment horizontal="left"/>
    </xf>
    <xf numFmtId="0" fontId="86" fillId="0" borderId="0" xfId="0" applyFont="1" applyAlignment="1">
      <alignment horizontal="left"/>
    </xf>
    <xf numFmtId="0" fontId="82" fillId="0" borderId="0" xfId="0" applyFont="1" applyAlignment="1">
      <alignment horizontal="left"/>
    </xf>
    <xf numFmtId="0" fontId="75" fillId="0" borderId="0" xfId="0" applyFont="1" applyAlignment="1">
      <alignment horizontal="left"/>
    </xf>
    <xf numFmtId="0" fontId="71" fillId="0" borderId="0" xfId="0" applyFont="1" applyAlignment="1">
      <alignment horizontal="left"/>
    </xf>
    <xf numFmtId="0" fontId="67" fillId="0" borderId="0" xfId="0" applyFont="1" applyAlignment="1">
      <alignment horizontal="left"/>
    </xf>
    <xf numFmtId="0" fontId="56" fillId="0" borderId="0" xfId="0" applyFont="1" applyAlignment="1">
      <alignment horizontal="left"/>
    </xf>
    <xf numFmtId="0" fontId="49" fillId="0" borderId="0" xfId="0" applyFont="1" applyAlignment="1">
      <alignment horizontal="left"/>
    </xf>
    <xf numFmtId="0" fontId="43" fillId="0" borderId="0" xfId="0" applyFont="1" applyAlignment="1">
      <alignment horizontal="left"/>
    </xf>
    <xf numFmtId="0" fontId="32" fillId="0" borderId="0" xfId="0" applyFont="1" applyAlignment="1">
      <alignment horizontal="left"/>
    </xf>
    <xf numFmtId="0" fontId="30" fillId="0" borderId="0" xfId="0" applyFont="1" applyAlignment="1">
      <alignment horizontal="left"/>
    </xf>
    <xf numFmtId="0" fontId="26" fillId="0" borderId="0" xfId="0" applyFont="1" applyAlignment="1">
      <alignment horizontal="left"/>
    </xf>
    <xf numFmtId="0" fontId="19" fillId="0" borderId="0" xfId="0" applyFont="1" applyAlignment="1">
      <alignment horizontal="left"/>
    </xf>
    <xf numFmtId="0" fontId="2" fillId="0" borderId="0" xfId="0" applyFont="1" applyAlignment="1">
      <alignment horizontal="left"/>
    </xf>
    <xf numFmtId="2" fontId="0" fillId="0" borderId="0" xfId="0" applyNumberFormat="1" applyAlignment="1">
      <alignment horizontal="left"/>
    </xf>
    <xf numFmtId="0" fontId="2" fillId="0" borderId="1" xfId="8" applyFont="1" applyBorder="1" applyAlignment="1">
      <alignment wrapText="1"/>
    </xf>
    <xf numFmtId="49" fontId="1" fillId="0" borderId="0" xfId="0" applyNumberFormat="1" applyFont="1"/>
    <xf numFmtId="0" fontId="1" fillId="0" borderId="0" xfId="0" applyFont="1"/>
    <xf numFmtId="165" fontId="0" fillId="0" borderId="50" xfId="0" applyNumberFormat="1" applyBorder="1" applyAlignment="1">
      <alignment horizontal="center"/>
    </xf>
    <xf numFmtId="165" fontId="0" fillId="0" borderId="57" xfId="0" applyNumberFormat="1" applyBorder="1" applyAlignment="1">
      <alignment horizontal="center"/>
    </xf>
    <xf numFmtId="165" fontId="0" fillId="0" borderId="58" xfId="0" applyNumberFormat="1" applyBorder="1" applyAlignment="1">
      <alignment horizontal="center"/>
    </xf>
    <xf numFmtId="0" fontId="0" fillId="0" borderId="50" xfId="0" applyBorder="1" applyAlignment="1">
      <alignment horizontal="center"/>
    </xf>
    <xf numFmtId="0" fontId="0" fillId="0" borderId="57" xfId="0" applyBorder="1" applyAlignment="1">
      <alignment horizontal="center"/>
    </xf>
    <xf numFmtId="0" fontId="0" fillId="0" borderId="58" xfId="0" applyBorder="1" applyAlignment="1">
      <alignment horizontal="center"/>
    </xf>
    <xf numFmtId="0" fontId="0" fillId="0" borderId="50" xfId="0" applyBorder="1" applyAlignment="1">
      <alignment horizontal="left"/>
    </xf>
    <xf numFmtId="0" fontId="0" fillId="0" borderId="58" xfId="0" applyBorder="1" applyAlignment="1">
      <alignment horizontal="left"/>
    </xf>
    <xf numFmtId="14" fontId="0" fillId="0" borderId="0" xfId="0" applyNumberFormat="1" applyBorder="1" applyAlignment="1">
      <alignment horizontal="left"/>
    </xf>
    <xf numFmtId="0" fontId="112" fillId="0" borderId="0" xfId="0" applyFont="1" applyAlignment="1">
      <alignment horizontal="right"/>
    </xf>
    <xf numFmtId="165" fontId="0" fillId="0" borderId="47" xfId="0" applyNumberFormat="1" applyBorder="1" applyAlignment="1">
      <alignment horizontal="center"/>
    </xf>
    <xf numFmtId="165" fontId="0" fillId="0" borderId="33" xfId="0" applyNumberFormat="1" applyBorder="1" applyAlignment="1">
      <alignment horizontal="center"/>
    </xf>
    <xf numFmtId="165" fontId="0" fillId="0" borderId="36" xfId="0" applyNumberFormat="1" applyBorder="1" applyAlignment="1">
      <alignment horizontal="center"/>
    </xf>
    <xf numFmtId="165" fontId="0" fillId="0" borderId="40" xfId="0" applyNumberFormat="1" applyBorder="1" applyAlignment="1">
      <alignment horizontal="center"/>
    </xf>
    <xf numFmtId="0" fontId="0" fillId="10" borderId="0" xfId="0" applyFill="1" applyBorder="1" applyAlignment="1">
      <alignment horizontal="left" wrapText="1"/>
    </xf>
    <xf numFmtId="0" fontId="0" fillId="10" borderId="23" xfId="0" applyFill="1" applyBorder="1" applyAlignment="1">
      <alignment horizontal="left" wrapText="1"/>
    </xf>
    <xf numFmtId="0" fontId="0" fillId="13" borderId="59" xfId="0" applyFill="1" applyBorder="1" applyAlignment="1">
      <alignment horizontal="center" vertical="top"/>
    </xf>
    <xf numFmtId="0" fontId="0" fillId="13" borderId="14" xfId="0" applyFill="1" applyBorder="1" applyAlignment="1">
      <alignment horizontal="center" vertical="top"/>
    </xf>
    <xf numFmtId="0" fontId="0" fillId="13" borderId="60" xfId="0" applyFill="1" applyBorder="1" applyAlignment="1">
      <alignment horizontal="center" vertical="top"/>
    </xf>
    <xf numFmtId="0" fontId="0" fillId="13" borderId="23" xfId="0" applyFill="1" applyBorder="1" applyAlignment="1">
      <alignment horizontal="center" vertical="top"/>
    </xf>
    <xf numFmtId="0" fontId="0" fillId="13" borderId="52" xfId="0" applyFill="1" applyBorder="1" applyAlignment="1">
      <alignment horizontal="center" vertical="top"/>
    </xf>
    <xf numFmtId="0" fontId="0" fillId="13" borderId="51" xfId="0" applyFill="1" applyBorder="1" applyAlignment="1">
      <alignment horizontal="center" vertical="top"/>
    </xf>
    <xf numFmtId="0" fontId="0" fillId="11" borderId="32" xfId="0" applyFill="1" applyBorder="1" applyAlignment="1">
      <alignment horizontal="center"/>
    </xf>
    <xf numFmtId="0" fontId="0" fillId="11" borderId="3" xfId="0" applyFill="1" applyBorder="1" applyAlignment="1">
      <alignment horizontal="center"/>
    </xf>
    <xf numFmtId="0" fontId="0" fillId="11" borderId="34" xfId="0" applyFill="1" applyBorder="1" applyAlignment="1">
      <alignment horizontal="center"/>
    </xf>
    <xf numFmtId="14" fontId="0" fillId="11" borderId="8" xfId="0" applyNumberFormat="1" applyFill="1" applyBorder="1" applyAlignment="1">
      <alignment horizontal="center" vertical="center"/>
    </xf>
    <xf numFmtId="14" fontId="0" fillId="11" borderId="4" xfId="0" applyNumberFormat="1" applyFill="1" applyBorder="1" applyAlignment="1">
      <alignment horizontal="center" vertical="center"/>
    </xf>
    <xf numFmtId="14" fontId="0" fillId="11" borderId="11" xfId="0" applyNumberFormat="1" applyFill="1" applyBorder="1" applyAlignment="1">
      <alignment horizontal="center" vertical="center"/>
    </xf>
    <xf numFmtId="0" fontId="0" fillId="11" borderId="24" xfId="0" applyFill="1" applyBorder="1" applyAlignment="1">
      <alignment horizontal="center"/>
    </xf>
    <xf numFmtId="0" fontId="0" fillId="11" borderId="61" xfId="0" applyFill="1" applyBorder="1" applyAlignment="1">
      <alignment horizontal="center"/>
    </xf>
    <xf numFmtId="0" fontId="0" fillId="11" borderId="25" xfId="0" applyFill="1" applyBorder="1" applyAlignment="1">
      <alignment horizontal="center"/>
    </xf>
    <xf numFmtId="0" fontId="0" fillId="11" borderId="59" xfId="0" applyNumberFormat="1" applyFill="1" applyBorder="1" applyAlignment="1">
      <alignment horizontal="center" vertical="top"/>
    </xf>
    <xf numFmtId="0" fontId="0" fillId="11" borderId="14" xfId="0" applyNumberFormat="1" applyFill="1" applyBorder="1" applyAlignment="1">
      <alignment horizontal="center" vertical="top"/>
    </xf>
    <xf numFmtId="0" fontId="0" fillId="11" borderId="60" xfId="0" applyNumberFormat="1" applyFill="1" applyBorder="1" applyAlignment="1">
      <alignment horizontal="center" vertical="top"/>
    </xf>
    <xf numFmtId="0" fontId="0" fillId="11" borderId="23" xfId="0" applyNumberFormat="1" applyFill="1" applyBorder="1" applyAlignment="1">
      <alignment horizontal="center" vertical="top"/>
    </xf>
    <xf numFmtId="0" fontId="0" fillId="11" borderId="52" xfId="0" applyNumberFormat="1" applyFill="1" applyBorder="1" applyAlignment="1">
      <alignment horizontal="center" vertical="top"/>
    </xf>
    <xf numFmtId="0" fontId="0" fillId="11" borderId="56" xfId="0" applyNumberFormat="1" applyFill="1" applyBorder="1" applyAlignment="1">
      <alignment horizontal="center" vertical="top"/>
    </xf>
    <xf numFmtId="0" fontId="0" fillId="13" borderId="51" xfId="0" applyNumberFormat="1" applyFill="1" applyBorder="1" applyAlignment="1">
      <alignment horizontal="center" vertical="top"/>
    </xf>
    <xf numFmtId="0" fontId="0" fillId="0" borderId="60" xfId="0" applyBorder="1" applyAlignment="1">
      <alignment horizontal="center" wrapText="1"/>
    </xf>
    <xf numFmtId="0" fontId="0" fillId="0" borderId="52" xfId="0" applyBorder="1" applyAlignment="1">
      <alignment horizontal="center" wrapText="1"/>
    </xf>
    <xf numFmtId="0" fontId="0" fillId="0" borderId="49" xfId="0" applyBorder="1" applyAlignment="1">
      <alignment horizontal="center" vertical="center"/>
    </xf>
    <xf numFmtId="0" fontId="0" fillId="0" borderId="46" xfId="0" applyBorder="1" applyAlignment="1">
      <alignment horizontal="center" vertical="center"/>
    </xf>
    <xf numFmtId="14" fontId="0" fillId="0" borderId="32" xfId="0" applyNumberFormat="1" applyFill="1" applyBorder="1" applyAlignment="1">
      <alignment horizontal="center" vertical="center" wrapText="1"/>
    </xf>
    <xf numFmtId="14" fontId="0" fillId="0" borderId="8" xfId="0" applyNumberFormat="1" applyFill="1" applyBorder="1" applyAlignment="1">
      <alignment horizontal="center" vertical="center" wrapText="1"/>
    </xf>
    <xf numFmtId="14" fontId="0" fillId="0" borderId="31" xfId="0" applyNumberFormat="1" applyFill="1" applyBorder="1" applyAlignment="1">
      <alignment horizontal="center" vertical="center" wrapText="1"/>
    </xf>
    <xf numFmtId="14" fontId="0" fillId="0" borderId="3" xfId="0" applyNumberFormat="1" applyFill="1" applyBorder="1" applyAlignment="1">
      <alignment horizontal="center" vertical="center" wrapText="1"/>
    </xf>
    <xf numFmtId="14" fontId="0" fillId="0" borderId="2" xfId="0" applyNumberFormat="1" applyFill="1" applyBorder="1" applyAlignment="1">
      <alignment horizontal="center" vertical="center" wrapText="1"/>
    </xf>
    <xf numFmtId="14" fontId="0" fillId="0" borderId="36" xfId="0" applyNumberFormat="1" applyFill="1" applyBorder="1" applyAlignment="1">
      <alignment horizontal="center" vertical="center" wrapText="1"/>
    </xf>
    <xf numFmtId="14" fontId="0" fillId="0" borderId="40" xfId="0" applyNumberFormat="1" applyFill="1" applyBorder="1" applyAlignment="1">
      <alignment horizontal="center" vertical="center" wrapText="1"/>
    </xf>
    <xf numFmtId="14" fontId="0" fillId="0" borderId="41" xfId="0" applyNumberFormat="1" applyFill="1" applyBorder="1" applyAlignment="1">
      <alignment horizontal="center" vertical="center" wrapText="1"/>
    </xf>
    <xf numFmtId="14" fontId="0" fillId="0" borderId="45" xfId="0" applyNumberFormat="1" applyFill="1" applyBorder="1" applyAlignment="1">
      <alignment horizontal="center" vertical="center" wrapText="1"/>
    </xf>
    <xf numFmtId="14" fontId="0" fillId="0" borderId="34" xfId="0" applyNumberFormat="1" applyFill="1" applyBorder="1" applyAlignment="1">
      <alignment horizontal="center" vertical="center" wrapText="1"/>
    </xf>
    <xf numFmtId="14" fontId="0" fillId="0" borderId="4" xfId="0" applyNumberFormat="1" applyFill="1" applyBorder="1" applyAlignment="1">
      <alignment horizontal="center" vertical="center" wrapText="1"/>
    </xf>
    <xf numFmtId="14" fontId="0" fillId="0" borderId="0" xfId="0" applyNumberFormat="1" applyAlignment="1">
      <alignment horizontal="center"/>
    </xf>
    <xf numFmtId="0" fontId="0" fillId="0" borderId="0" xfId="0" applyAlignment="1">
      <alignment horizontal="center"/>
    </xf>
  </cellXfs>
  <cellStyles count="9">
    <cellStyle name="Euro" xfId="1"/>
    <cellStyle name="Lien hypertexte" xfId="2" builtinId="8"/>
    <cellStyle name="Lien hypertexte 2" xfId="5"/>
    <cellStyle name="Normal" xfId="0" builtinId="0"/>
    <cellStyle name="Normal 2" xfId="3"/>
    <cellStyle name="Normal 2 3" xfId="7"/>
    <cellStyle name="Normal 3" xfId="4"/>
    <cellStyle name="Normal 4" xfId="6"/>
    <cellStyle name="Normal 5" xfId="8"/>
  </cellStyles>
  <dxfs count="980">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ont>
        <condense val="0"/>
        <extend val="0"/>
        <color indexed="9"/>
      </font>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
      <fill>
        <patternFill>
          <bgColor rgb="FFFF0000"/>
        </patternFill>
      </fill>
    </dxf>
    <dxf>
      <fill>
        <patternFill>
          <bgColor indexed="10"/>
        </patternFill>
      </fill>
    </dxf>
    <dxf>
      <fill>
        <patternFill>
          <bgColor indexed="10"/>
        </patternFill>
      </fill>
    </dxf>
    <dxf>
      <fill>
        <patternFill>
          <bgColor indexed="11"/>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FF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4.xml"/><Relationship Id="rId13" Type="http://schemas.openxmlformats.org/officeDocument/2006/relationships/sharedStrings" Target="sharedStrings.xml"/><Relationship Id="rId3" Type="http://schemas.openxmlformats.org/officeDocument/2006/relationships/chartsheet" Target="chartsheets/sheet2.xml"/><Relationship Id="rId7" Type="http://schemas.openxmlformats.org/officeDocument/2006/relationships/worksheet" Target="worksheets/sheet3.xml"/><Relationship Id="rId12" Type="http://schemas.openxmlformats.org/officeDocument/2006/relationships/styles" Target="styles.xml"/><Relationship Id="rId2" Type="http://schemas.openxmlformats.org/officeDocument/2006/relationships/chartsheet" Target="chartsheets/sheet1.xml"/><Relationship Id="rId1" Type="http://schemas.openxmlformats.org/officeDocument/2006/relationships/worksheet" Target="worksheets/sheet1.xml"/><Relationship Id="rId6" Type="http://schemas.openxmlformats.org/officeDocument/2006/relationships/worksheet" Target="worksheets/sheet2.xml"/><Relationship Id="rId11" Type="http://schemas.openxmlformats.org/officeDocument/2006/relationships/theme" Target="theme/theme1.xml"/><Relationship Id="rId5" Type="http://schemas.openxmlformats.org/officeDocument/2006/relationships/chartsheet" Target="chartsheets/sheet4.xml"/><Relationship Id="rId15" Type="http://schemas.microsoft.com/office/2006/relationships/vbaProject" Target="vbaProject.bin"/><Relationship Id="rId10" Type="http://schemas.openxmlformats.org/officeDocument/2006/relationships/worksheet" Target="worksheets/sheet6.xml"/><Relationship Id="rId4" Type="http://schemas.openxmlformats.org/officeDocument/2006/relationships/chartsheet" Target="chartsheets/sheet3.xml"/><Relationship Id="rId9" Type="http://schemas.openxmlformats.org/officeDocument/2006/relationships/worksheet" Target="worksheets/sheet5.xml"/><Relationship Id="rId14"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charts/_rels/chart2.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5.xml"/></Relationships>
</file>

<file path=xl/charts/_rels/chart4.xml.rels><?xml version="1.0" encoding="UTF-8" standalone="yes"?>
<Relationships xmlns="http://schemas.openxmlformats.org/package/2006/relationships"><Relationship Id="rId1" Type="http://schemas.openxmlformats.org/officeDocument/2006/relationships/chartUserShapes" Target="../drawings/drawing7.xml"/></Relationships>
</file>

<file path=xl/charts/chart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200" b="1" i="0" u="none" strike="noStrike" baseline="0">
                <a:solidFill>
                  <a:srgbClr val="000000"/>
                </a:solidFill>
                <a:latin typeface="Arial"/>
                <a:ea typeface="Arial"/>
                <a:cs typeface="Arial"/>
              </a:defRPr>
            </a:pPr>
            <a:r>
              <a:rPr lang="fr-FR"/>
              <a:t>Evolution de l'encours des FI</a:t>
            </a:r>
          </a:p>
        </c:rich>
      </c:tx>
      <c:layout>
        <c:manualLayout>
          <c:xMode val="edge"/>
          <c:yMode val="edge"/>
          <c:x val="0.39029121359830021"/>
          <c:y val="2.0435967302452496E-2"/>
        </c:manualLayout>
      </c:layout>
      <c:spPr>
        <a:noFill/>
        <a:ln w="25400">
          <a:noFill/>
        </a:ln>
      </c:spPr>
    </c:title>
    <c:plotArea>
      <c:layout>
        <c:manualLayout>
          <c:layoutTarget val="inner"/>
          <c:xMode val="edge"/>
          <c:yMode val="edge"/>
          <c:x val="4.3090327994715134E-2"/>
          <c:y val="7.3569482288828383E-2"/>
          <c:w val="0.9090401454920175"/>
          <c:h val="0.77157129881925524"/>
        </c:manualLayout>
      </c:layout>
      <c:barChart>
        <c:barDir val="col"/>
        <c:grouping val="stacked"/>
        <c:ser>
          <c:idx val="0"/>
          <c:order val="0"/>
          <c:tx>
            <c:v>Sev1 Lexia</c:v>
          </c:tx>
          <c:spPr>
            <a:solidFill>
              <a:srgbClr val="800000"/>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Stat!$B$340:$B$527</c:f>
              <c:numCache>
                <c:formatCode>General</c:formatCode>
                <c:ptCount val="188"/>
                <c:pt idx="0">
                  <c:v>#N/A</c:v>
                </c:pt>
                <c:pt idx="2" formatCode="0">
                  <c:v>1</c:v>
                </c:pt>
                <c:pt idx="4">
                  <c:v>#N/A</c:v>
                </c:pt>
                <c:pt idx="6" formatCode="0">
                  <c:v>2</c:v>
                </c:pt>
                <c:pt idx="8">
                  <c:v>#N/A</c:v>
                </c:pt>
                <c:pt idx="10" formatCode="0">
                  <c:v>2</c:v>
                </c:pt>
                <c:pt idx="12">
                  <c:v>#N/A</c:v>
                </c:pt>
                <c:pt idx="14" formatCode="0">
                  <c:v>1</c:v>
                </c:pt>
                <c:pt idx="16">
                  <c:v>#N/A</c:v>
                </c:pt>
                <c:pt idx="18" formatCode="0">
                  <c:v>1</c:v>
                </c:pt>
                <c:pt idx="20">
                  <c:v>#N/A</c:v>
                </c:pt>
                <c:pt idx="22" formatCode="0">
                  <c:v>1</c:v>
                </c:pt>
                <c:pt idx="24">
                  <c:v>#N/A</c:v>
                </c:pt>
                <c:pt idx="26" formatCode="0">
                  <c:v>1</c:v>
                </c:pt>
                <c:pt idx="28">
                  <c:v>#N/A</c:v>
                </c:pt>
                <c:pt idx="30" formatCode="0">
                  <c:v>1</c:v>
                </c:pt>
                <c:pt idx="32">
                  <c:v>#N/A</c:v>
                </c:pt>
                <c:pt idx="34" formatCode="0">
                  <c:v>1</c:v>
                </c:pt>
                <c:pt idx="36">
                  <c:v>#N/A</c:v>
                </c:pt>
                <c:pt idx="38" formatCode="0">
                  <c:v>1</c:v>
                </c:pt>
                <c:pt idx="40">
                  <c:v>#N/A</c:v>
                </c:pt>
                <c:pt idx="42" formatCode="0">
                  <c:v>2</c:v>
                </c:pt>
                <c:pt idx="44">
                  <c:v>#N/A</c:v>
                </c:pt>
                <c:pt idx="46" formatCode="0">
                  <c:v>1</c:v>
                </c:pt>
                <c:pt idx="48">
                  <c:v>#N/A</c:v>
                </c:pt>
                <c:pt idx="50" formatCode="0">
                  <c:v>1</c:v>
                </c:pt>
                <c:pt idx="52">
                  <c:v>#N/A</c:v>
                </c:pt>
                <c:pt idx="54" formatCode="0">
                  <c:v>1</c:v>
                </c:pt>
                <c:pt idx="56">
                  <c:v>#N/A</c:v>
                </c:pt>
                <c:pt idx="58" formatCode="0">
                  <c:v>1</c:v>
                </c:pt>
                <c:pt idx="60">
                  <c:v>#N/A</c:v>
                </c:pt>
                <c:pt idx="62" formatCode="0">
                  <c:v>1</c:v>
                </c:pt>
                <c:pt idx="64">
                  <c:v>#N/A</c:v>
                </c:pt>
                <c:pt idx="66" formatCode="0">
                  <c:v>1</c:v>
                </c:pt>
                <c:pt idx="68">
                  <c:v>#N/A</c:v>
                </c:pt>
                <c:pt idx="70" formatCode="0">
                  <c:v>1</c:v>
                </c:pt>
                <c:pt idx="72">
                  <c:v>#N/A</c:v>
                </c:pt>
                <c:pt idx="74" formatCode="0">
                  <c:v>1</c:v>
                </c:pt>
                <c:pt idx="76">
                  <c:v>#N/A</c:v>
                </c:pt>
                <c:pt idx="78" formatCode="0">
                  <c:v>1</c:v>
                </c:pt>
                <c:pt idx="80">
                  <c:v>#N/A</c:v>
                </c:pt>
                <c:pt idx="82" formatCode="0">
                  <c:v>1</c:v>
                </c:pt>
                <c:pt idx="84">
                  <c:v>#N/A</c:v>
                </c:pt>
                <c:pt idx="86" formatCode="0">
                  <c:v>1</c:v>
                </c:pt>
                <c:pt idx="88">
                  <c:v>#N/A</c:v>
                </c:pt>
                <c:pt idx="90" formatCode="0">
                  <c:v>1</c:v>
                </c:pt>
                <c:pt idx="92">
                  <c:v>#N/A</c:v>
                </c:pt>
                <c:pt idx="94" formatCode="0">
                  <c:v>1</c:v>
                </c:pt>
                <c:pt idx="96">
                  <c:v>#N/A</c:v>
                </c:pt>
                <c:pt idx="98" formatCode="0">
                  <c:v>1</c:v>
                </c:pt>
                <c:pt idx="100">
                  <c:v>#N/A</c:v>
                </c:pt>
                <c:pt idx="102" formatCode="0">
                  <c:v>1</c:v>
                </c:pt>
                <c:pt idx="104">
                  <c:v>#N/A</c:v>
                </c:pt>
                <c:pt idx="106" formatCode="0">
                  <c:v>0</c:v>
                </c:pt>
                <c:pt idx="108">
                  <c:v>#N/A</c:v>
                </c:pt>
                <c:pt idx="110" formatCode="0">
                  <c:v>0</c:v>
                </c:pt>
                <c:pt idx="112">
                  <c:v>#N/A</c:v>
                </c:pt>
                <c:pt idx="114" formatCode="0">
                  <c:v>0</c:v>
                </c:pt>
                <c:pt idx="116">
                  <c:v>#N/A</c:v>
                </c:pt>
                <c:pt idx="118" formatCode="0">
                  <c:v>0</c:v>
                </c:pt>
                <c:pt idx="120">
                  <c:v>#N/A</c:v>
                </c:pt>
                <c:pt idx="122" formatCode="0">
                  <c:v>0</c:v>
                </c:pt>
                <c:pt idx="124">
                  <c:v>#N/A</c:v>
                </c:pt>
                <c:pt idx="126" formatCode="0">
                  <c:v>0</c:v>
                </c:pt>
                <c:pt idx="128">
                  <c:v>#N/A</c:v>
                </c:pt>
                <c:pt idx="130" formatCode="0">
                  <c:v>0</c:v>
                </c:pt>
                <c:pt idx="132">
                  <c:v>#N/A</c:v>
                </c:pt>
                <c:pt idx="134" formatCode="0">
                  <c:v>0</c:v>
                </c:pt>
                <c:pt idx="136">
                  <c:v>#N/A</c:v>
                </c:pt>
                <c:pt idx="138" formatCode="0">
                  <c:v>0</c:v>
                </c:pt>
                <c:pt idx="140">
                  <c:v>#N/A</c:v>
                </c:pt>
                <c:pt idx="142" formatCode="0">
                  <c:v>0</c:v>
                </c:pt>
                <c:pt idx="144">
                  <c:v>#N/A</c:v>
                </c:pt>
                <c:pt idx="146" formatCode="0">
                  <c:v>0</c:v>
                </c:pt>
                <c:pt idx="148">
                  <c:v>#N/A</c:v>
                </c:pt>
                <c:pt idx="150" formatCode="0">
                  <c:v>0</c:v>
                </c:pt>
                <c:pt idx="152">
                  <c:v>#N/A</c:v>
                </c:pt>
                <c:pt idx="154" formatCode="0">
                  <c:v>0</c:v>
                </c:pt>
                <c:pt idx="156">
                  <c:v>#N/A</c:v>
                </c:pt>
                <c:pt idx="158" formatCode="0">
                  <c:v>0</c:v>
                </c:pt>
                <c:pt idx="160">
                  <c:v>#N/A</c:v>
                </c:pt>
                <c:pt idx="162" formatCode="0">
                  <c:v>0</c:v>
                </c:pt>
                <c:pt idx="164">
                  <c:v>#N/A</c:v>
                </c:pt>
                <c:pt idx="166" formatCode="0">
                  <c:v>0</c:v>
                </c:pt>
                <c:pt idx="168">
                  <c:v>#N/A</c:v>
                </c:pt>
                <c:pt idx="170" formatCode="0">
                  <c:v>0</c:v>
                </c:pt>
                <c:pt idx="172">
                  <c:v>#N/A</c:v>
                </c:pt>
                <c:pt idx="174" formatCode="0">
                  <c:v>0</c:v>
                </c:pt>
                <c:pt idx="176">
                  <c:v>#N/A</c:v>
                </c:pt>
                <c:pt idx="178" formatCode="0">
                  <c:v>0</c:v>
                </c:pt>
                <c:pt idx="180">
                  <c:v>#N/A</c:v>
                </c:pt>
                <c:pt idx="182" formatCode="0">
                  <c:v>0</c:v>
                </c:pt>
                <c:pt idx="184">
                  <c:v>#N/A</c:v>
                </c:pt>
                <c:pt idx="186" formatCode="0">
                  <c:v>0</c:v>
                </c:pt>
              </c:numCache>
            </c:numRef>
          </c:val>
        </c:ser>
        <c:ser>
          <c:idx val="1"/>
          <c:order val="1"/>
          <c:tx>
            <c:v>Sev2 Lexia</c:v>
          </c:tx>
          <c:spPr>
            <a:solidFill>
              <a:srgbClr val="FF0000"/>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Stat!$C$340:$C$527</c:f>
              <c:numCache>
                <c:formatCode>General</c:formatCode>
                <c:ptCount val="188"/>
                <c:pt idx="0">
                  <c:v>#N/A</c:v>
                </c:pt>
                <c:pt idx="2" formatCode="0">
                  <c:v>6</c:v>
                </c:pt>
                <c:pt idx="4">
                  <c:v>#N/A</c:v>
                </c:pt>
                <c:pt idx="6" formatCode="0">
                  <c:v>7</c:v>
                </c:pt>
                <c:pt idx="8">
                  <c:v>#N/A</c:v>
                </c:pt>
                <c:pt idx="10" formatCode="0">
                  <c:v>7</c:v>
                </c:pt>
                <c:pt idx="12">
                  <c:v>#N/A</c:v>
                </c:pt>
                <c:pt idx="14" formatCode="0">
                  <c:v>7</c:v>
                </c:pt>
                <c:pt idx="16">
                  <c:v>#N/A</c:v>
                </c:pt>
                <c:pt idx="18" formatCode="0">
                  <c:v>7</c:v>
                </c:pt>
                <c:pt idx="20">
                  <c:v>#N/A</c:v>
                </c:pt>
                <c:pt idx="22" formatCode="0">
                  <c:v>7</c:v>
                </c:pt>
                <c:pt idx="24">
                  <c:v>#N/A</c:v>
                </c:pt>
                <c:pt idx="26" formatCode="0">
                  <c:v>7</c:v>
                </c:pt>
                <c:pt idx="28">
                  <c:v>#N/A</c:v>
                </c:pt>
                <c:pt idx="30" formatCode="0">
                  <c:v>8</c:v>
                </c:pt>
                <c:pt idx="32">
                  <c:v>#N/A</c:v>
                </c:pt>
                <c:pt idx="34" formatCode="0">
                  <c:v>8</c:v>
                </c:pt>
                <c:pt idx="36">
                  <c:v>#N/A</c:v>
                </c:pt>
                <c:pt idx="38" formatCode="0">
                  <c:v>8</c:v>
                </c:pt>
                <c:pt idx="40">
                  <c:v>#N/A</c:v>
                </c:pt>
                <c:pt idx="42" formatCode="0">
                  <c:v>8</c:v>
                </c:pt>
                <c:pt idx="44">
                  <c:v>#N/A</c:v>
                </c:pt>
                <c:pt idx="46" formatCode="0">
                  <c:v>7</c:v>
                </c:pt>
                <c:pt idx="48">
                  <c:v>#N/A</c:v>
                </c:pt>
                <c:pt idx="50" formatCode="0">
                  <c:v>7</c:v>
                </c:pt>
                <c:pt idx="52">
                  <c:v>#N/A</c:v>
                </c:pt>
                <c:pt idx="54" formatCode="0">
                  <c:v>6</c:v>
                </c:pt>
                <c:pt idx="56">
                  <c:v>#N/A</c:v>
                </c:pt>
                <c:pt idx="58" formatCode="0">
                  <c:v>6</c:v>
                </c:pt>
                <c:pt idx="60">
                  <c:v>#N/A</c:v>
                </c:pt>
                <c:pt idx="62" formatCode="0">
                  <c:v>6</c:v>
                </c:pt>
                <c:pt idx="64">
                  <c:v>#N/A</c:v>
                </c:pt>
                <c:pt idx="66" formatCode="0">
                  <c:v>5</c:v>
                </c:pt>
                <c:pt idx="68">
                  <c:v>#N/A</c:v>
                </c:pt>
                <c:pt idx="70" formatCode="0">
                  <c:v>6</c:v>
                </c:pt>
                <c:pt idx="72">
                  <c:v>#N/A</c:v>
                </c:pt>
                <c:pt idx="74" formatCode="0">
                  <c:v>7</c:v>
                </c:pt>
                <c:pt idx="76">
                  <c:v>#N/A</c:v>
                </c:pt>
                <c:pt idx="78" formatCode="0">
                  <c:v>7</c:v>
                </c:pt>
                <c:pt idx="80">
                  <c:v>#N/A</c:v>
                </c:pt>
                <c:pt idx="82" formatCode="0">
                  <c:v>5</c:v>
                </c:pt>
                <c:pt idx="84">
                  <c:v>#N/A</c:v>
                </c:pt>
                <c:pt idx="86" formatCode="0">
                  <c:v>5</c:v>
                </c:pt>
                <c:pt idx="88">
                  <c:v>#N/A</c:v>
                </c:pt>
                <c:pt idx="90" formatCode="0">
                  <c:v>5</c:v>
                </c:pt>
                <c:pt idx="92">
                  <c:v>#N/A</c:v>
                </c:pt>
                <c:pt idx="94" formatCode="0">
                  <c:v>5</c:v>
                </c:pt>
                <c:pt idx="96">
                  <c:v>#N/A</c:v>
                </c:pt>
                <c:pt idx="98" formatCode="0">
                  <c:v>5</c:v>
                </c:pt>
                <c:pt idx="100">
                  <c:v>#N/A</c:v>
                </c:pt>
                <c:pt idx="102" formatCode="0">
                  <c:v>5</c:v>
                </c:pt>
                <c:pt idx="104">
                  <c:v>#N/A</c:v>
                </c:pt>
                <c:pt idx="106" formatCode="0">
                  <c:v>1</c:v>
                </c:pt>
                <c:pt idx="108">
                  <c:v>#N/A</c:v>
                </c:pt>
                <c:pt idx="110" formatCode="0">
                  <c:v>1</c:v>
                </c:pt>
                <c:pt idx="112">
                  <c:v>#N/A</c:v>
                </c:pt>
                <c:pt idx="114" formatCode="0">
                  <c:v>1</c:v>
                </c:pt>
                <c:pt idx="116">
                  <c:v>#N/A</c:v>
                </c:pt>
                <c:pt idx="118" formatCode="0">
                  <c:v>1</c:v>
                </c:pt>
                <c:pt idx="120">
                  <c:v>#N/A</c:v>
                </c:pt>
                <c:pt idx="122" formatCode="0">
                  <c:v>1</c:v>
                </c:pt>
                <c:pt idx="124">
                  <c:v>#N/A</c:v>
                </c:pt>
                <c:pt idx="126" formatCode="0">
                  <c:v>1</c:v>
                </c:pt>
                <c:pt idx="128">
                  <c:v>#N/A</c:v>
                </c:pt>
                <c:pt idx="130" formatCode="0">
                  <c:v>1</c:v>
                </c:pt>
                <c:pt idx="132">
                  <c:v>#N/A</c:v>
                </c:pt>
                <c:pt idx="134" formatCode="0">
                  <c:v>1</c:v>
                </c:pt>
                <c:pt idx="136">
                  <c:v>#N/A</c:v>
                </c:pt>
                <c:pt idx="138" formatCode="0">
                  <c:v>1</c:v>
                </c:pt>
                <c:pt idx="140">
                  <c:v>#N/A</c:v>
                </c:pt>
                <c:pt idx="142" formatCode="0">
                  <c:v>1</c:v>
                </c:pt>
                <c:pt idx="144">
                  <c:v>#N/A</c:v>
                </c:pt>
                <c:pt idx="146" formatCode="0">
                  <c:v>1</c:v>
                </c:pt>
                <c:pt idx="148">
                  <c:v>#N/A</c:v>
                </c:pt>
                <c:pt idx="150" formatCode="0">
                  <c:v>1</c:v>
                </c:pt>
                <c:pt idx="152">
                  <c:v>#N/A</c:v>
                </c:pt>
                <c:pt idx="154" formatCode="0">
                  <c:v>0</c:v>
                </c:pt>
                <c:pt idx="156">
                  <c:v>#N/A</c:v>
                </c:pt>
                <c:pt idx="158" formatCode="0">
                  <c:v>0</c:v>
                </c:pt>
                <c:pt idx="160">
                  <c:v>#N/A</c:v>
                </c:pt>
                <c:pt idx="162" formatCode="0">
                  <c:v>0</c:v>
                </c:pt>
                <c:pt idx="164">
                  <c:v>#N/A</c:v>
                </c:pt>
                <c:pt idx="166" formatCode="0">
                  <c:v>0</c:v>
                </c:pt>
                <c:pt idx="168">
                  <c:v>#N/A</c:v>
                </c:pt>
                <c:pt idx="170" formatCode="0">
                  <c:v>0</c:v>
                </c:pt>
                <c:pt idx="172">
                  <c:v>#N/A</c:v>
                </c:pt>
                <c:pt idx="174" formatCode="0">
                  <c:v>0</c:v>
                </c:pt>
                <c:pt idx="176">
                  <c:v>#N/A</c:v>
                </c:pt>
                <c:pt idx="178" formatCode="0">
                  <c:v>0</c:v>
                </c:pt>
                <c:pt idx="180">
                  <c:v>#N/A</c:v>
                </c:pt>
                <c:pt idx="182" formatCode="0">
                  <c:v>0</c:v>
                </c:pt>
                <c:pt idx="184">
                  <c:v>#N/A</c:v>
                </c:pt>
                <c:pt idx="186" formatCode="0">
                  <c:v>0</c:v>
                </c:pt>
              </c:numCache>
            </c:numRef>
          </c:val>
        </c:ser>
        <c:ser>
          <c:idx val="2"/>
          <c:order val="2"/>
          <c:tx>
            <c:v>Sev3 Lexia</c:v>
          </c:tx>
          <c:spPr>
            <a:solidFill>
              <a:srgbClr val="FF99CC"/>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Stat!$D$340:$D$527</c:f>
              <c:numCache>
                <c:formatCode>General</c:formatCode>
                <c:ptCount val="188"/>
                <c:pt idx="0">
                  <c:v>#N/A</c:v>
                </c:pt>
                <c:pt idx="2" formatCode="0">
                  <c:v>3</c:v>
                </c:pt>
                <c:pt idx="4">
                  <c:v>#N/A</c:v>
                </c:pt>
                <c:pt idx="6" formatCode="0">
                  <c:v>3</c:v>
                </c:pt>
                <c:pt idx="8">
                  <c:v>#N/A</c:v>
                </c:pt>
                <c:pt idx="10" formatCode="0">
                  <c:v>3</c:v>
                </c:pt>
                <c:pt idx="12">
                  <c:v>#N/A</c:v>
                </c:pt>
                <c:pt idx="14" formatCode="0">
                  <c:v>3</c:v>
                </c:pt>
                <c:pt idx="16">
                  <c:v>#N/A</c:v>
                </c:pt>
                <c:pt idx="18" formatCode="0">
                  <c:v>3</c:v>
                </c:pt>
                <c:pt idx="20">
                  <c:v>#N/A</c:v>
                </c:pt>
                <c:pt idx="22" formatCode="0">
                  <c:v>4</c:v>
                </c:pt>
                <c:pt idx="24">
                  <c:v>#N/A</c:v>
                </c:pt>
                <c:pt idx="26" formatCode="0">
                  <c:v>4</c:v>
                </c:pt>
                <c:pt idx="28">
                  <c:v>#N/A</c:v>
                </c:pt>
                <c:pt idx="30" formatCode="0">
                  <c:v>4</c:v>
                </c:pt>
                <c:pt idx="32">
                  <c:v>#N/A</c:v>
                </c:pt>
                <c:pt idx="34" formatCode="0">
                  <c:v>4</c:v>
                </c:pt>
                <c:pt idx="36">
                  <c:v>#N/A</c:v>
                </c:pt>
                <c:pt idx="38" formatCode="0">
                  <c:v>3</c:v>
                </c:pt>
                <c:pt idx="40">
                  <c:v>#N/A</c:v>
                </c:pt>
                <c:pt idx="42" formatCode="0">
                  <c:v>3</c:v>
                </c:pt>
                <c:pt idx="44">
                  <c:v>#N/A</c:v>
                </c:pt>
                <c:pt idx="46" formatCode="0">
                  <c:v>3</c:v>
                </c:pt>
                <c:pt idx="48">
                  <c:v>#N/A</c:v>
                </c:pt>
                <c:pt idx="50" formatCode="0">
                  <c:v>3</c:v>
                </c:pt>
                <c:pt idx="52">
                  <c:v>#N/A</c:v>
                </c:pt>
                <c:pt idx="54" formatCode="0">
                  <c:v>3</c:v>
                </c:pt>
                <c:pt idx="56">
                  <c:v>#N/A</c:v>
                </c:pt>
                <c:pt idx="58" formatCode="0">
                  <c:v>3</c:v>
                </c:pt>
                <c:pt idx="60">
                  <c:v>#N/A</c:v>
                </c:pt>
                <c:pt idx="62" formatCode="0">
                  <c:v>3</c:v>
                </c:pt>
                <c:pt idx="64">
                  <c:v>#N/A</c:v>
                </c:pt>
                <c:pt idx="66" formatCode="0">
                  <c:v>3</c:v>
                </c:pt>
                <c:pt idx="68">
                  <c:v>#N/A</c:v>
                </c:pt>
                <c:pt idx="70" formatCode="0">
                  <c:v>3</c:v>
                </c:pt>
                <c:pt idx="72">
                  <c:v>#N/A</c:v>
                </c:pt>
                <c:pt idx="74" formatCode="0">
                  <c:v>3</c:v>
                </c:pt>
                <c:pt idx="76">
                  <c:v>#N/A</c:v>
                </c:pt>
                <c:pt idx="78" formatCode="0">
                  <c:v>3</c:v>
                </c:pt>
                <c:pt idx="80">
                  <c:v>#N/A</c:v>
                </c:pt>
                <c:pt idx="82" formatCode="0">
                  <c:v>3</c:v>
                </c:pt>
                <c:pt idx="84">
                  <c:v>#N/A</c:v>
                </c:pt>
                <c:pt idx="86" formatCode="0">
                  <c:v>3</c:v>
                </c:pt>
                <c:pt idx="88">
                  <c:v>#N/A</c:v>
                </c:pt>
                <c:pt idx="90" formatCode="0">
                  <c:v>3</c:v>
                </c:pt>
                <c:pt idx="92">
                  <c:v>#N/A</c:v>
                </c:pt>
                <c:pt idx="94" formatCode="0">
                  <c:v>3</c:v>
                </c:pt>
                <c:pt idx="96">
                  <c:v>#N/A</c:v>
                </c:pt>
                <c:pt idx="98" formatCode="0">
                  <c:v>3</c:v>
                </c:pt>
                <c:pt idx="100">
                  <c:v>#N/A</c:v>
                </c:pt>
                <c:pt idx="102" formatCode="0">
                  <c:v>3</c:v>
                </c:pt>
                <c:pt idx="104">
                  <c:v>#N/A</c:v>
                </c:pt>
                <c:pt idx="106" formatCode="0">
                  <c:v>0</c:v>
                </c:pt>
                <c:pt idx="108">
                  <c:v>#N/A</c:v>
                </c:pt>
                <c:pt idx="110" formatCode="0">
                  <c:v>0</c:v>
                </c:pt>
                <c:pt idx="112">
                  <c:v>#N/A</c:v>
                </c:pt>
                <c:pt idx="114" formatCode="0">
                  <c:v>0</c:v>
                </c:pt>
                <c:pt idx="116">
                  <c:v>#N/A</c:v>
                </c:pt>
                <c:pt idx="118" formatCode="0">
                  <c:v>0</c:v>
                </c:pt>
                <c:pt idx="120">
                  <c:v>#N/A</c:v>
                </c:pt>
                <c:pt idx="122" formatCode="0">
                  <c:v>0</c:v>
                </c:pt>
                <c:pt idx="124">
                  <c:v>#N/A</c:v>
                </c:pt>
                <c:pt idx="126" formatCode="0">
                  <c:v>0</c:v>
                </c:pt>
                <c:pt idx="128">
                  <c:v>#N/A</c:v>
                </c:pt>
                <c:pt idx="130" formatCode="0">
                  <c:v>0</c:v>
                </c:pt>
                <c:pt idx="132">
                  <c:v>#N/A</c:v>
                </c:pt>
                <c:pt idx="134" formatCode="0">
                  <c:v>0</c:v>
                </c:pt>
                <c:pt idx="136">
                  <c:v>#N/A</c:v>
                </c:pt>
                <c:pt idx="138" formatCode="0">
                  <c:v>0</c:v>
                </c:pt>
                <c:pt idx="140">
                  <c:v>#N/A</c:v>
                </c:pt>
                <c:pt idx="142" formatCode="0">
                  <c:v>0</c:v>
                </c:pt>
                <c:pt idx="144">
                  <c:v>#N/A</c:v>
                </c:pt>
                <c:pt idx="146" formatCode="0">
                  <c:v>0</c:v>
                </c:pt>
                <c:pt idx="148">
                  <c:v>#N/A</c:v>
                </c:pt>
                <c:pt idx="150" formatCode="0">
                  <c:v>0</c:v>
                </c:pt>
                <c:pt idx="152">
                  <c:v>#N/A</c:v>
                </c:pt>
                <c:pt idx="154" formatCode="0">
                  <c:v>0</c:v>
                </c:pt>
                <c:pt idx="156">
                  <c:v>#N/A</c:v>
                </c:pt>
                <c:pt idx="158" formatCode="0">
                  <c:v>0</c:v>
                </c:pt>
                <c:pt idx="160">
                  <c:v>#N/A</c:v>
                </c:pt>
                <c:pt idx="162" formatCode="0">
                  <c:v>0</c:v>
                </c:pt>
                <c:pt idx="164">
                  <c:v>#N/A</c:v>
                </c:pt>
                <c:pt idx="166" formatCode="0">
                  <c:v>0</c:v>
                </c:pt>
                <c:pt idx="168">
                  <c:v>#N/A</c:v>
                </c:pt>
                <c:pt idx="170" formatCode="0">
                  <c:v>0</c:v>
                </c:pt>
                <c:pt idx="172">
                  <c:v>#N/A</c:v>
                </c:pt>
                <c:pt idx="174" formatCode="0">
                  <c:v>0</c:v>
                </c:pt>
                <c:pt idx="176">
                  <c:v>#N/A</c:v>
                </c:pt>
                <c:pt idx="178" formatCode="0">
                  <c:v>0</c:v>
                </c:pt>
                <c:pt idx="180">
                  <c:v>#N/A</c:v>
                </c:pt>
                <c:pt idx="182" formatCode="0">
                  <c:v>0</c:v>
                </c:pt>
                <c:pt idx="184">
                  <c:v>#N/A</c:v>
                </c:pt>
                <c:pt idx="186" formatCode="0">
                  <c:v>0</c:v>
                </c:pt>
              </c:numCache>
            </c:numRef>
          </c:val>
        </c:ser>
        <c:ser>
          <c:idx val="3"/>
          <c:order val="3"/>
          <c:tx>
            <c:v>Sev1 PP2000</c:v>
          </c:tx>
          <c:spPr>
            <a:solidFill>
              <a:srgbClr val="0000FF"/>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Stat!$E$340:$E$527</c:f>
              <c:numCache>
                <c:formatCode>General</c:formatCode>
                <c:ptCount val="188"/>
                <c:pt idx="0">
                  <c:v>#N/A</c:v>
                </c:pt>
                <c:pt idx="1">
                  <c:v>0</c:v>
                </c:pt>
                <c:pt idx="4">
                  <c:v>#N/A</c:v>
                </c:pt>
                <c:pt idx="5" formatCode="0">
                  <c:v>2</c:v>
                </c:pt>
                <c:pt idx="8">
                  <c:v>#N/A</c:v>
                </c:pt>
                <c:pt idx="9" formatCode="0">
                  <c:v>2</c:v>
                </c:pt>
                <c:pt idx="12">
                  <c:v>#N/A</c:v>
                </c:pt>
                <c:pt idx="13" formatCode="0">
                  <c:v>1</c:v>
                </c:pt>
                <c:pt idx="16">
                  <c:v>#N/A</c:v>
                </c:pt>
                <c:pt idx="17" formatCode="0">
                  <c:v>1</c:v>
                </c:pt>
                <c:pt idx="20">
                  <c:v>#N/A</c:v>
                </c:pt>
                <c:pt idx="21" formatCode="0">
                  <c:v>1</c:v>
                </c:pt>
                <c:pt idx="24">
                  <c:v>#N/A</c:v>
                </c:pt>
                <c:pt idx="25" formatCode="0">
                  <c:v>3</c:v>
                </c:pt>
                <c:pt idx="28">
                  <c:v>#N/A</c:v>
                </c:pt>
                <c:pt idx="29" formatCode="0">
                  <c:v>1</c:v>
                </c:pt>
                <c:pt idx="32">
                  <c:v>#N/A</c:v>
                </c:pt>
                <c:pt idx="33" formatCode="0">
                  <c:v>0</c:v>
                </c:pt>
                <c:pt idx="36">
                  <c:v>#N/A</c:v>
                </c:pt>
                <c:pt idx="37" formatCode="0">
                  <c:v>0</c:v>
                </c:pt>
                <c:pt idx="40">
                  <c:v>#N/A</c:v>
                </c:pt>
                <c:pt idx="41" formatCode="0">
                  <c:v>0</c:v>
                </c:pt>
                <c:pt idx="44">
                  <c:v>#N/A</c:v>
                </c:pt>
                <c:pt idx="45" formatCode="0">
                  <c:v>1</c:v>
                </c:pt>
                <c:pt idx="48">
                  <c:v>#N/A</c:v>
                </c:pt>
                <c:pt idx="49" formatCode="0">
                  <c:v>0</c:v>
                </c:pt>
                <c:pt idx="52">
                  <c:v>#N/A</c:v>
                </c:pt>
                <c:pt idx="53" formatCode="0">
                  <c:v>0</c:v>
                </c:pt>
                <c:pt idx="56">
                  <c:v>#N/A</c:v>
                </c:pt>
                <c:pt idx="57" formatCode="0">
                  <c:v>1</c:v>
                </c:pt>
                <c:pt idx="60">
                  <c:v>#N/A</c:v>
                </c:pt>
                <c:pt idx="61" formatCode="0">
                  <c:v>1</c:v>
                </c:pt>
                <c:pt idx="64">
                  <c:v>#N/A</c:v>
                </c:pt>
                <c:pt idx="65" formatCode="0">
                  <c:v>1</c:v>
                </c:pt>
                <c:pt idx="68">
                  <c:v>#N/A</c:v>
                </c:pt>
                <c:pt idx="69" formatCode="0">
                  <c:v>1</c:v>
                </c:pt>
                <c:pt idx="72">
                  <c:v>#N/A</c:v>
                </c:pt>
                <c:pt idx="73" formatCode="0">
                  <c:v>0</c:v>
                </c:pt>
                <c:pt idx="76">
                  <c:v>#N/A</c:v>
                </c:pt>
                <c:pt idx="77" formatCode="0">
                  <c:v>0</c:v>
                </c:pt>
                <c:pt idx="80">
                  <c:v>#N/A</c:v>
                </c:pt>
                <c:pt idx="81" formatCode="0">
                  <c:v>0</c:v>
                </c:pt>
                <c:pt idx="84">
                  <c:v>#N/A</c:v>
                </c:pt>
                <c:pt idx="85">
                  <c:v>0</c:v>
                </c:pt>
                <c:pt idx="88">
                  <c:v>#N/A</c:v>
                </c:pt>
                <c:pt idx="89">
                  <c:v>0</c:v>
                </c:pt>
                <c:pt idx="92">
                  <c:v>#N/A</c:v>
                </c:pt>
                <c:pt idx="93">
                  <c:v>0</c:v>
                </c:pt>
                <c:pt idx="96">
                  <c:v>#N/A</c:v>
                </c:pt>
                <c:pt idx="97">
                  <c:v>0</c:v>
                </c:pt>
                <c:pt idx="100">
                  <c:v>#N/A</c:v>
                </c:pt>
                <c:pt idx="101">
                  <c:v>0</c:v>
                </c:pt>
                <c:pt idx="104">
                  <c:v>#N/A</c:v>
                </c:pt>
                <c:pt idx="105">
                  <c:v>0</c:v>
                </c:pt>
                <c:pt idx="108">
                  <c:v>#N/A</c:v>
                </c:pt>
                <c:pt idx="109">
                  <c:v>0</c:v>
                </c:pt>
                <c:pt idx="112">
                  <c:v>#N/A</c:v>
                </c:pt>
                <c:pt idx="113">
                  <c:v>0</c:v>
                </c:pt>
                <c:pt idx="116">
                  <c:v>#N/A</c:v>
                </c:pt>
                <c:pt idx="117">
                  <c:v>0</c:v>
                </c:pt>
                <c:pt idx="120">
                  <c:v>#N/A</c:v>
                </c:pt>
                <c:pt idx="121">
                  <c:v>0</c:v>
                </c:pt>
                <c:pt idx="124">
                  <c:v>#N/A</c:v>
                </c:pt>
                <c:pt idx="125">
                  <c:v>0</c:v>
                </c:pt>
                <c:pt idx="128">
                  <c:v>#N/A</c:v>
                </c:pt>
                <c:pt idx="129">
                  <c:v>0</c:v>
                </c:pt>
                <c:pt idx="132">
                  <c:v>#N/A</c:v>
                </c:pt>
                <c:pt idx="133">
                  <c:v>0</c:v>
                </c:pt>
                <c:pt idx="136">
                  <c:v>#N/A</c:v>
                </c:pt>
                <c:pt idx="137">
                  <c:v>0</c:v>
                </c:pt>
                <c:pt idx="140">
                  <c:v>#N/A</c:v>
                </c:pt>
                <c:pt idx="141">
                  <c:v>0</c:v>
                </c:pt>
                <c:pt idx="144">
                  <c:v>#N/A</c:v>
                </c:pt>
                <c:pt idx="145">
                  <c:v>0</c:v>
                </c:pt>
                <c:pt idx="148">
                  <c:v>#N/A</c:v>
                </c:pt>
                <c:pt idx="149">
                  <c:v>0</c:v>
                </c:pt>
                <c:pt idx="152">
                  <c:v>#N/A</c:v>
                </c:pt>
                <c:pt idx="153">
                  <c:v>0</c:v>
                </c:pt>
                <c:pt idx="156">
                  <c:v>#N/A</c:v>
                </c:pt>
                <c:pt idx="157">
                  <c:v>0</c:v>
                </c:pt>
                <c:pt idx="160">
                  <c:v>#N/A</c:v>
                </c:pt>
                <c:pt idx="161">
                  <c:v>0</c:v>
                </c:pt>
                <c:pt idx="164">
                  <c:v>#N/A</c:v>
                </c:pt>
                <c:pt idx="165">
                  <c:v>0</c:v>
                </c:pt>
                <c:pt idx="168">
                  <c:v>#N/A</c:v>
                </c:pt>
                <c:pt idx="169">
                  <c:v>0</c:v>
                </c:pt>
                <c:pt idx="172">
                  <c:v>#N/A</c:v>
                </c:pt>
                <c:pt idx="173">
                  <c:v>0</c:v>
                </c:pt>
                <c:pt idx="176">
                  <c:v>#N/A</c:v>
                </c:pt>
                <c:pt idx="177">
                  <c:v>0</c:v>
                </c:pt>
                <c:pt idx="180">
                  <c:v>#N/A</c:v>
                </c:pt>
                <c:pt idx="181">
                  <c:v>0</c:v>
                </c:pt>
                <c:pt idx="184">
                  <c:v>#N/A</c:v>
                </c:pt>
                <c:pt idx="185">
                  <c:v>0</c:v>
                </c:pt>
              </c:numCache>
            </c:numRef>
          </c:val>
        </c:ser>
        <c:ser>
          <c:idx val="4"/>
          <c:order val="4"/>
          <c:tx>
            <c:v>Sev2 PP2000</c:v>
          </c:tx>
          <c:spPr>
            <a:solidFill>
              <a:srgbClr val="00CCFF"/>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Stat!$F$340:$F$527</c:f>
              <c:numCache>
                <c:formatCode>General</c:formatCode>
                <c:ptCount val="188"/>
                <c:pt idx="0">
                  <c:v>#N/A</c:v>
                </c:pt>
                <c:pt idx="1">
                  <c:v>10</c:v>
                </c:pt>
                <c:pt idx="4">
                  <c:v>#N/A</c:v>
                </c:pt>
                <c:pt idx="5" formatCode="0">
                  <c:v>18</c:v>
                </c:pt>
                <c:pt idx="8">
                  <c:v>#N/A</c:v>
                </c:pt>
                <c:pt idx="9" formatCode="0">
                  <c:v>29</c:v>
                </c:pt>
                <c:pt idx="12">
                  <c:v>#N/A</c:v>
                </c:pt>
                <c:pt idx="13" formatCode="0">
                  <c:v>24</c:v>
                </c:pt>
                <c:pt idx="16">
                  <c:v>#N/A</c:v>
                </c:pt>
                <c:pt idx="17" formatCode="0">
                  <c:v>23</c:v>
                </c:pt>
                <c:pt idx="20">
                  <c:v>#N/A</c:v>
                </c:pt>
                <c:pt idx="21" formatCode="0">
                  <c:v>21</c:v>
                </c:pt>
                <c:pt idx="24">
                  <c:v>#N/A</c:v>
                </c:pt>
                <c:pt idx="25" formatCode="0">
                  <c:v>13</c:v>
                </c:pt>
                <c:pt idx="28">
                  <c:v>#N/A</c:v>
                </c:pt>
                <c:pt idx="29" formatCode="0">
                  <c:v>11</c:v>
                </c:pt>
                <c:pt idx="32">
                  <c:v>#N/A</c:v>
                </c:pt>
                <c:pt idx="33" formatCode="0">
                  <c:v>12</c:v>
                </c:pt>
                <c:pt idx="36">
                  <c:v>#N/A</c:v>
                </c:pt>
                <c:pt idx="37" formatCode="0">
                  <c:v>10</c:v>
                </c:pt>
                <c:pt idx="40">
                  <c:v>#N/A</c:v>
                </c:pt>
                <c:pt idx="41" formatCode="0">
                  <c:v>13</c:v>
                </c:pt>
                <c:pt idx="44">
                  <c:v>#N/A</c:v>
                </c:pt>
                <c:pt idx="45" formatCode="0">
                  <c:v>13</c:v>
                </c:pt>
                <c:pt idx="48">
                  <c:v>#N/A</c:v>
                </c:pt>
                <c:pt idx="49" formatCode="0">
                  <c:v>11</c:v>
                </c:pt>
                <c:pt idx="52">
                  <c:v>#N/A</c:v>
                </c:pt>
                <c:pt idx="53" formatCode="0">
                  <c:v>11</c:v>
                </c:pt>
                <c:pt idx="56">
                  <c:v>#N/A</c:v>
                </c:pt>
                <c:pt idx="57" formatCode="0">
                  <c:v>12</c:v>
                </c:pt>
                <c:pt idx="60">
                  <c:v>#N/A</c:v>
                </c:pt>
                <c:pt idx="61" formatCode="0">
                  <c:v>10</c:v>
                </c:pt>
                <c:pt idx="64">
                  <c:v>#N/A</c:v>
                </c:pt>
                <c:pt idx="65" formatCode="0">
                  <c:v>9</c:v>
                </c:pt>
                <c:pt idx="68">
                  <c:v>#N/A</c:v>
                </c:pt>
                <c:pt idx="69" formatCode="0">
                  <c:v>9</c:v>
                </c:pt>
                <c:pt idx="72">
                  <c:v>#N/A</c:v>
                </c:pt>
                <c:pt idx="73" formatCode="0">
                  <c:v>9</c:v>
                </c:pt>
                <c:pt idx="76">
                  <c:v>#N/A</c:v>
                </c:pt>
                <c:pt idx="77" formatCode="0">
                  <c:v>9</c:v>
                </c:pt>
                <c:pt idx="80">
                  <c:v>#N/A</c:v>
                </c:pt>
                <c:pt idx="81" formatCode="0">
                  <c:v>8</c:v>
                </c:pt>
                <c:pt idx="84">
                  <c:v>#N/A</c:v>
                </c:pt>
                <c:pt idx="85">
                  <c:v>8</c:v>
                </c:pt>
                <c:pt idx="88">
                  <c:v>#N/A</c:v>
                </c:pt>
                <c:pt idx="89">
                  <c:v>8</c:v>
                </c:pt>
                <c:pt idx="92">
                  <c:v>#N/A</c:v>
                </c:pt>
                <c:pt idx="93">
                  <c:v>8</c:v>
                </c:pt>
                <c:pt idx="96">
                  <c:v>#N/A</c:v>
                </c:pt>
                <c:pt idx="97">
                  <c:v>8</c:v>
                </c:pt>
                <c:pt idx="100">
                  <c:v>#N/A</c:v>
                </c:pt>
                <c:pt idx="101">
                  <c:v>9</c:v>
                </c:pt>
                <c:pt idx="104">
                  <c:v>#N/A</c:v>
                </c:pt>
                <c:pt idx="105">
                  <c:v>1</c:v>
                </c:pt>
                <c:pt idx="108">
                  <c:v>#N/A</c:v>
                </c:pt>
                <c:pt idx="109">
                  <c:v>2</c:v>
                </c:pt>
                <c:pt idx="112">
                  <c:v>#N/A</c:v>
                </c:pt>
                <c:pt idx="113">
                  <c:v>2</c:v>
                </c:pt>
                <c:pt idx="116">
                  <c:v>#N/A</c:v>
                </c:pt>
                <c:pt idx="117">
                  <c:v>3</c:v>
                </c:pt>
                <c:pt idx="120">
                  <c:v>#N/A</c:v>
                </c:pt>
                <c:pt idx="121">
                  <c:v>2</c:v>
                </c:pt>
                <c:pt idx="124">
                  <c:v>#N/A</c:v>
                </c:pt>
                <c:pt idx="125">
                  <c:v>1</c:v>
                </c:pt>
                <c:pt idx="128">
                  <c:v>#N/A</c:v>
                </c:pt>
                <c:pt idx="129">
                  <c:v>1</c:v>
                </c:pt>
                <c:pt idx="132">
                  <c:v>#N/A</c:v>
                </c:pt>
                <c:pt idx="133">
                  <c:v>1</c:v>
                </c:pt>
                <c:pt idx="136">
                  <c:v>#N/A</c:v>
                </c:pt>
                <c:pt idx="137">
                  <c:v>1</c:v>
                </c:pt>
                <c:pt idx="140">
                  <c:v>#N/A</c:v>
                </c:pt>
                <c:pt idx="141">
                  <c:v>1</c:v>
                </c:pt>
                <c:pt idx="144">
                  <c:v>#N/A</c:v>
                </c:pt>
                <c:pt idx="145">
                  <c:v>2</c:v>
                </c:pt>
                <c:pt idx="148">
                  <c:v>#N/A</c:v>
                </c:pt>
                <c:pt idx="149">
                  <c:v>1</c:v>
                </c:pt>
                <c:pt idx="152">
                  <c:v>#N/A</c:v>
                </c:pt>
                <c:pt idx="153">
                  <c:v>0</c:v>
                </c:pt>
                <c:pt idx="156">
                  <c:v>#N/A</c:v>
                </c:pt>
                <c:pt idx="157">
                  <c:v>0</c:v>
                </c:pt>
                <c:pt idx="160">
                  <c:v>#N/A</c:v>
                </c:pt>
                <c:pt idx="161">
                  <c:v>0</c:v>
                </c:pt>
                <c:pt idx="164">
                  <c:v>#N/A</c:v>
                </c:pt>
                <c:pt idx="165">
                  <c:v>0</c:v>
                </c:pt>
                <c:pt idx="168">
                  <c:v>#N/A</c:v>
                </c:pt>
                <c:pt idx="169">
                  <c:v>0</c:v>
                </c:pt>
                <c:pt idx="172">
                  <c:v>#N/A</c:v>
                </c:pt>
                <c:pt idx="173">
                  <c:v>0</c:v>
                </c:pt>
                <c:pt idx="176">
                  <c:v>#N/A</c:v>
                </c:pt>
                <c:pt idx="177">
                  <c:v>0</c:v>
                </c:pt>
                <c:pt idx="180">
                  <c:v>#N/A</c:v>
                </c:pt>
                <c:pt idx="181">
                  <c:v>0</c:v>
                </c:pt>
                <c:pt idx="184">
                  <c:v>#N/A</c:v>
                </c:pt>
                <c:pt idx="185">
                  <c:v>0</c:v>
                </c:pt>
              </c:numCache>
            </c:numRef>
          </c:val>
        </c:ser>
        <c:ser>
          <c:idx val="5"/>
          <c:order val="5"/>
          <c:tx>
            <c:v>Sev3 PP2000</c:v>
          </c:tx>
          <c:spPr>
            <a:solidFill>
              <a:srgbClr val="CCFFFF"/>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Stat!$G$340:$G$527</c:f>
              <c:numCache>
                <c:formatCode>General</c:formatCode>
                <c:ptCount val="188"/>
                <c:pt idx="0">
                  <c:v>#N/A</c:v>
                </c:pt>
                <c:pt idx="1">
                  <c:v>2</c:v>
                </c:pt>
                <c:pt idx="4">
                  <c:v>#N/A</c:v>
                </c:pt>
                <c:pt idx="5" formatCode="0">
                  <c:v>2</c:v>
                </c:pt>
                <c:pt idx="8">
                  <c:v>#N/A</c:v>
                </c:pt>
                <c:pt idx="9" formatCode="0">
                  <c:v>2</c:v>
                </c:pt>
                <c:pt idx="12">
                  <c:v>#N/A</c:v>
                </c:pt>
                <c:pt idx="13" formatCode="0">
                  <c:v>2</c:v>
                </c:pt>
                <c:pt idx="16">
                  <c:v>#N/A</c:v>
                </c:pt>
                <c:pt idx="17" formatCode="0">
                  <c:v>2</c:v>
                </c:pt>
                <c:pt idx="20">
                  <c:v>#N/A</c:v>
                </c:pt>
                <c:pt idx="21" formatCode="0">
                  <c:v>2</c:v>
                </c:pt>
                <c:pt idx="24">
                  <c:v>#N/A</c:v>
                </c:pt>
                <c:pt idx="25" formatCode="0">
                  <c:v>2</c:v>
                </c:pt>
                <c:pt idx="28">
                  <c:v>#N/A</c:v>
                </c:pt>
                <c:pt idx="29" formatCode="0">
                  <c:v>2</c:v>
                </c:pt>
                <c:pt idx="32">
                  <c:v>#N/A</c:v>
                </c:pt>
                <c:pt idx="33" formatCode="0">
                  <c:v>2</c:v>
                </c:pt>
                <c:pt idx="36">
                  <c:v>#N/A</c:v>
                </c:pt>
                <c:pt idx="37" formatCode="0">
                  <c:v>2</c:v>
                </c:pt>
                <c:pt idx="40">
                  <c:v>#N/A</c:v>
                </c:pt>
                <c:pt idx="41" formatCode="0">
                  <c:v>2</c:v>
                </c:pt>
                <c:pt idx="44">
                  <c:v>#N/A</c:v>
                </c:pt>
                <c:pt idx="45" formatCode="0">
                  <c:v>2</c:v>
                </c:pt>
                <c:pt idx="48">
                  <c:v>#N/A</c:v>
                </c:pt>
                <c:pt idx="49" formatCode="0">
                  <c:v>2</c:v>
                </c:pt>
                <c:pt idx="52">
                  <c:v>#N/A</c:v>
                </c:pt>
                <c:pt idx="53" formatCode="0">
                  <c:v>2</c:v>
                </c:pt>
                <c:pt idx="56">
                  <c:v>#N/A</c:v>
                </c:pt>
                <c:pt idx="57" formatCode="0">
                  <c:v>2</c:v>
                </c:pt>
                <c:pt idx="60">
                  <c:v>#N/A</c:v>
                </c:pt>
                <c:pt idx="61" formatCode="0">
                  <c:v>2</c:v>
                </c:pt>
                <c:pt idx="64">
                  <c:v>#N/A</c:v>
                </c:pt>
                <c:pt idx="65" formatCode="0">
                  <c:v>2</c:v>
                </c:pt>
                <c:pt idx="68">
                  <c:v>#N/A</c:v>
                </c:pt>
                <c:pt idx="69" formatCode="0">
                  <c:v>2</c:v>
                </c:pt>
                <c:pt idx="72">
                  <c:v>#N/A</c:v>
                </c:pt>
                <c:pt idx="73" formatCode="0">
                  <c:v>2</c:v>
                </c:pt>
                <c:pt idx="76">
                  <c:v>#N/A</c:v>
                </c:pt>
                <c:pt idx="77" formatCode="0">
                  <c:v>2</c:v>
                </c:pt>
                <c:pt idx="80">
                  <c:v>#N/A</c:v>
                </c:pt>
                <c:pt idx="81" formatCode="0">
                  <c:v>2</c:v>
                </c:pt>
                <c:pt idx="84">
                  <c:v>#N/A</c:v>
                </c:pt>
                <c:pt idx="85">
                  <c:v>2</c:v>
                </c:pt>
                <c:pt idx="88">
                  <c:v>#N/A</c:v>
                </c:pt>
                <c:pt idx="89">
                  <c:v>2</c:v>
                </c:pt>
                <c:pt idx="92">
                  <c:v>#N/A</c:v>
                </c:pt>
                <c:pt idx="93">
                  <c:v>2</c:v>
                </c:pt>
                <c:pt idx="96">
                  <c:v>#N/A</c:v>
                </c:pt>
                <c:pt idx="97">
                  <c:v>2</c:v>
                </c:pt>
                <c:pt idx="100">
                  <c:v>#N/A</c:v>
                </c:pt>
                <c:pt idx="101">
                  <c:v>2</c:v>
                </c:pt>
                <c:pt idx="104">
                  <c:v>#N/A</c:v>
                </c:pt>
                <c:pt idx="105">
                  <c:v>0</c:v>
                </c:pt>
                <c:pt idx="108">
                  <c:v>#N/A</c:v>
                </c:pt>
                <c:pt idx="109">
                  <c:v>0</c:v>
                </c:pt>
                <c:pt idx="112">
                  <c:v>#N/A</c:v>
                </c:pt>
                <c:pt idx="113">
                  <c:v>0</c:v>
                </c:pt>
                <c:pt idx="116">
                  <c:v>#N/A</c:v>
                </c:pt>
                <c:pt idx="117">
                  <c:v>0</c:v>
                </c:pt>
                <c:pt idx="120">
                  <c:v>#N/A</c:v>
                </c:pt>
                <c:pt idx="121">
                  <c:v>0</c:v>
                </c:pt>
                <c:pt idx="124">
                  <c:v>#N/A</c:v>
                </c:pt>
                <c:pt idx="125">
                  <c:v>0</c:v>
                </c:pt>
                <c:pt idx="128">
                  <c:v>#N/A</c:v>
                </c:pt>
                <c:pt idx="129">
                  <c:v>0</c:v>
                </c:pt>
                <c:pt idx="132">
                  <c:v>#N/A</c:v>
                </c:pt>
                <c:pt idx="133">
                  <c:v>0</c:v>
                </c:pt>
                <c:pt idx="136">
                  <c:v>#N/A</c:v>
                </c:pt>
                <c:pt idx="137">
                  <c:v>0</c:v>
                </c:pt>
                <c:pt idx="140">
                  <c:v>#N/A</c:v>
                </c:pt>
                <c:pt idx="141">
                  <c:v>0</c:v>
                </c:pt>
                <c:pt idx="144">
                  <c:v>#N/A</c:v>
                </c:pt>
                <c:pt idx="145">
                  <c:v>0</c:v>
                </c:pt>
                <c:pt idx="148">
                  <c:v>#N/A</c:v>
                </c:pt>
                <c:pt idx="149">
                  <c:v>0</c:v>
                </c:pt>
                <c:pt idx="152">
                  <c:v>#N/A</c:v>
                </c:pt>
                <c:pt idx="153">
                  <c:v>0</c:v>
                </c:pt>
                <c:pt idx="156">
                  <c:v>#N/A</c:v>
                </c:pt>
                <c:pt idx="157">
                  <c:v>0</c:v>
                </c:pt>
                <c:pt idx="160">
                  <c:v>#N/A</c:v>
                </c:pt>
                <c:pt idx="161">
                  <c:v>0</c:v>
                </c:pt>
                <c:pt idx="164">
                  <c:v>#N/A</c:v>
                </c:pt>
                <c:pt idx="165">
                  <c:v>0</c:v>
                </c:pt>
                <c:pt idx="168">
                  <c:v>#N/A</c:v>
                </c:pt>
                <c:pt idx="169">
                  <c:v>0</c:v>
                </c:pt>
                <c:pt idx="172">
                  <c:v>#N/A</c:v>
                </c:pt>
                <c:pt idx="173">
                  <c:v>0</c:v>
                </c:pt>
                <c:pt idx="176">
                  <c:v>#N/A</c:v>
                </c:pt>
                <c:pt idx="177">
                  <c:v>0</c:v>
                </c:pt>
                <c:pt idx="180">
                  <c:v>#N/A</c:v>
                </c:pt>
                <c:pt idx="181">
                  <c:v>0</c:v>
                </c:pt>
                <c:pt idx="184">
                  <c:v>#N/A</c:v>
                </c:pt>
                <c:pt idx="185">
                  <c:v>0</c:v>
                </c:pt>
              </c:numCache>
            </c:numRef>
          </c:val>
        </c:ser>
        <c:ser>
          <c:idx val="9"/>
          <c:order val="8"/>
          <c:tx>
            <c:v>Sev1 DiagBox</c:v>
          </c:tx>
          <c:spPr>
            <a:solidFill>
              <a:srgbClr val="FF6600"/>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Stat!$I$340:$I$527</c:f>
              <c:numCache>
                <c:formatCode>General</c:formatCode>
                <c:ptCount val="188"/>
                <c:pt idx="0">
                  <c:v>#N/A</c:v>
                </c:pt>
                <c:pt idx="1">
                  <c:v>#N/A</c:v>
                </c:pt>
                <c:pt idx="2">
                  <c:v>#N/A</c:v>
                </c:pt>
                <c:pt idx="3">
                  <c:v>10</c:v>
                </c:pt>
                <c:pt idx="4">
                  <c:v>#N/A</c:v>
                </c:pt>
                <c:pt idx="5">
                  <c:v>#N/A</c:v>
                </c:pt>
                <c:pt idx="6">
                  <c:v>#N/A</c:v>
                </c:pt>
                <c:pt idx="7">
                  <c:v>14</c:v>
                </c:pt>
                <c:pt idx="8">
                  <c:v>#N/A</c:v>
                </c:pt>
                <c:pt idx="9">
                  <c:v>#N/A</c:v>
                </c:pt>
                <c:pt idx="10">
                  <c:v>#N/A</c:v>
                </c:pt>
                <c:pt idx="11">
                  <c:v>11</c:v>
                </c:pt>
                <c:pt idx="12">
                  <c:v>#N/A</c:v>
                </c:pt>
                <c:pt idx="13">
                  <c:v>#N/A</c:v>
                </c:pt>
                <c:pt idx="14">
                  <c:v>#N/A</c:v>
                </c:pt>
                <c:pt idx="15">
                  <c:v>8</c:v>
                </c:pt>
                <c:pt idx="16">
                  <c:v>#N/A</c:v>
                </c:pt>
                <c:pt idx="17">
                  <c:v>#N/A</c:v>
                </c:pt>
                <c:pt idx="18">
                  <c:v>#N/A</c:v>
                </c:pt>
                <c:pt idx="19">
                  <c:v>11</c:v>
                </c:pt>
                <c:pt idx="20">
                  <c:v>#N/A</c:v>
                </c:pt>
                <c:pt idx="21">
                  <c:v>#N/A</c:v>
                </c:pt>
                <c:pt idx="22">
                  <c:v>#N/A</c:v>
                </c:pt>
                <c:pt idx="23">
                  <c:v>7</c:v>
                </c:pt>
                <c:pt idx="24">
                  <c:v>#N/A</c:v>
                </c:pt>
                <c:pt idx="25">
                  <c:v>#N/A</c:v>
                </c:pt>
                <c:pt idx="26">
                  <c:v>#N/A</c:v>
                </c:pt>
                <c:pt idx="27">
                  <c:v>4</c:v>
                </c:pt>
                <c:pt idx="28">
                  <c:v>#N/A</c:v>
                </c:pt>
                <c:pt idx="29">
                  <c:v>#N/A</c:v>
                </c:pt>
                <c:pt idx="30">
                  <c:v>#N/A</c:v>
                </c:pt>
                <c:pt idx="31">
                  <c:v>5</c:v>
                </c:pt>
                <c:pt idx="32">
                  <c:v>#N/A</c:v>
                </c:pt>
                <c:pt idx="33">
                  <c:v>#N/A</c:v>
                </c:pt>
                <c:pt idx="34">
                  <c:v>#N/A</c:v>
                </c:pt>
                <c:pt idx="35">
                  <c:v>10</c:v>
                </c:pt>
                <c:pt idx="36">
                  <c:v>#N/A</c:v>
                </c:pt>
                <c:pt idx="37">
                  <c:v>#N/A</c:v>
                </c:pt>
                <c:pt idx="38">
                  <c:v>#N/A</c:v>
                </c:pt>
                <c:pt idx="39">
                  <c:v>8</c:v>
                </c:pt>
                <c:pt idx="40">
                  <c:v>#N/A</c:v>
                </c:pt>
                <c:pt idx="41">
                  <c:v>#N/A</c:v>
                </c:pt>
                <c:pt idx="42">
                  <c:v>#N/A</c:v>
                </c:pt>
                <c:pt idx="43">
                  <c:v>7</c:v>
                </c:pt>
                <c:pt idx="44">
                  <c:v>#N/A</c:v>
                </c:pt>
                <c:pt idx="45">
                  <c:v>#N/A</c:v>
                </c:pt>
                <c:pt idx="46">
                  <c:v>#N/A</c:v>
                </c:pt>
                <c:pt idx="47">
                  <c:v>7</c:v>
                </c:pt>
                <c:pt idx="48">
                  <c:v>#N/A</c:v>
                </c:pt>
                <c:pt idx="49">
                  <c:v>#N/A</c:v>
                </c:pt>
                <c:pt idx="50">
                  <c:v>#N/A</c:v>
                </c:pt>
                <c:pt idx="51">
                  <c:v>7</c:v>
                </c:pt>
                <c:pt idx="52">
                  <c:v>#N/A</c:v>
                </c:pt>
                <c:pt idx="53">
                  <c:v>#N/A</c:v>
                </c:pt>
                <c:pt idx="54">
                  <c:v>#N/A</c:v>
                </c:pt>
                <c:pt idx="55">
                  <c:v>5</c:v>
                </c:pt>
                <c:pt idx="56">
                  <c:v>#N/A</c:v>
                </c:pt>
                <c:pt idx="57">
                  <c:v>#N/A</c:v>
                </c:pt>
                <c:pt idx="58">
                  <c:v>#N/A</c:v>
                </c:pt>
                <c:pt idx="59">
                  <c:v>8</c:v>
                </c:pt>
                <c:pt idx="60">
                  <c:v>#N/A</c:v>
                </c:pt>
                <c:pt idx="61">
                  <c:v>#N/A</c:v>
                </c:pt>
                <c:pt idx="62">
                  <c:v>#N/A</c:v>
                </c:pt>
                <c:pt idx="63">
                  <c:v>10</c:v>
                </c:pt>
                <c:pt idx="64">
                  <c:v>#N/A</c:v>
                </c:pt>
                <c:pt idx="65">
                  <c:v>#N/A</c:v>
                </c:pt>
                <c:pt idx="66">
                  <c:v>#N/A</c:v>
                </c:pt>
                <c:pt idx="67">
                  <c:v>11</c:v>
                </c:pt>
                <c:pt idx="68">
                  <c:v>#N/A</c:v>
                </c:pt>
                <c:pt idx="69">
                  <c:v>#N/A</c:v>
                </c:pt>
                <c:pt idx="70">
                  <c:v>#N/A</c:v>
                </c:pt>
                <c:pt idx="71">
                  <c:v>7</c:v>
                </c:pt>
                <c:pt idx="72">
                  <c:v>#N/A</c:v>
                </c:pt>
                <c:pt idx="73">
                  <c:v>#N/A</c:v>
                </c:pt>
                <c:pt idx="74">
                  <c:v>#N/A</c:v>
                </c:pt>
                <c:pt idx="75">
                  <c:v>6</c:v>
                </c:pt>
                <c:pt idx="76">
                  <c:v>#N/A</c:v>
                </c:pt>
                <c:pt idx="77">
                  <c:v>#N/A</c:v>
                </c:pt>
                <c:pt idx="78">
                  <c:v>#N/A</c:v>
                </c:pt>
                <c:pt idx="79">
                  <c:v>6</c:v>
                </c:pt>
                <c:pt idx="80">
                  <c:v>#N/A</c:v>
                </c:pt>
                <c:pt idx="81">
                  <c:v>#N/A</c:v>
                </c:pt>
                <c:pt idx="82">
                  <c:v>#N/A</c:v>
                </c:pt>
                <c:pt idx="83">
                  <c:v>5</c:v>
                </c:pt>
                <c:pt idx="84">
                  <c:v>#N/A</c:v>
                </c:pt>
                <c:pt idx="85">
                  <c:v>#N/A</c:v>
                </c:pt>
                <c:pt idx="86">
                  <c:v>#N/A</c:v>
                </c:pt>
                <c:pt idx="87">
                  <c:v>8</c:v>
                </c:pt>
                <c:pt idx="88">
                  <c:v>#N/A</c:v>
                </c:pt>
                <c:pt idx="89">
                  <c:v>#N/A</c:v>
                </c:pt>
                <c:pt idx="90">
                  <c:v>#N/A</c:v>
                </c:pt>
                <c:pt idx="91">
                  <c:v>7</c:v>
                </c:pt>
                <c:pt idx="92">
                  <c:v>#N/A</c:v>
                </c:pt>
                <c:pt idx="93">
                  <c:v>#N/A</c:v>
                </c:pt>
                <c:pt idx="94">
                  <c:v>#N/A</c:v>
                </c:pt>
                <c:pt idx="95">
                  <c:v>12</c:v>
                </c:pt>
                <c:pt idx="96">
                  <c:v>#N/A</c:v>
                </c:pt>
                <c:pt idx="97">
                  <c:v>#N/A</c:v>
                </c:pt>
                <c:pt idx="98">
                  <c:v>#N/A</c:v>
                </c:pt>
                <c:pt idx="99">
                  <c:v>11</c:v>
                </c:pt>
                <c:pt idx="100">
                  <c:v>#N/A</c:v>
                </c:pt>
                <c:pt idx="101">
                  <c:v>#N/A</c:v>
                </c:pt>
                <c:pt idx="102">
                  <c:v>#N/A</c:v>
                </c:pt>
                <c:pt idx="103">
                  <c:v>8</c:v>
                </c:pt>
                <c:pt idx="104">
                  <c:v>#N/A</c:v>
                </c:pt>
                <c:pt idx="105">
                  <c:v>#N/A</c:v>
                </c:pt>
                <c:pt idx="106">
                  <c:v>#N/A</c:v>
                </c:pt>
                <c:pt idx="107">
                  <c:v>7</c:v>
                </c:pt>
                <c:pt idx="108">
                  <c:v>#N/A</c:v>
                </c:pt>
                <c:pt idx="109">
                  <c:v>#N/A</c:v>
                </c:pt>
                <c:pt idx="110">
                  <c:v>#N/A</c:v>
                </c:pt>
                <c:pt idx="111">
                  <c:v>8</c:v>
                </c:pt>
                <c:pt idx="112">
                  <c:v>#N/A</c:v>
                </c:pt>
                <c:pt idx="113">
                  <c:v>#N/A</c:v>
                </c:pt>
                <c:pt idx="114">
                  <c:v>#N/A</c:v>
                </c:pt>
                <c:pt idx="115">
                  <c:v>9</c:v>
                </c:pt>
                <c:pt idx="116">
                  <c:v>#N/A</c:v>
                </c:pt>
                <c:pt idx="117">
                  <c:v>#N/A</c:v>
                </c:pt>
                <c:pt idx="118">
                  <c:v>#N/A</c:v>
                </c:pt>
                <c:pt idx="119">
                  <c:v>4</c:v>
                </c:pt>
                <c:pt idx="120">
                  <c:v>#N/A</c:v>
                </c:pt>
                <c:pt idx="121">
                  <c:v>#N/A</c:v>
                </c:pt>
                <c:pt idx="122">
                  <c:v>#N/A</c:v>
                </c:pt>
                <c:pt idx="123">
                  <c:v>9</c:v>
                </c:pt>
                <c:pt idx="124">
                  <c:v>#N/A</c:v>
                </c:pt>
                <c:pt idx="125">
                  <c:v>#N/A</c:v>
                </c:pt>
                <c:pt idx="126">
                  <c:v>#N/A</c:v>
                </c:pt>
                <c:pt idx="127">
                  <c:v>9</c:v>
                </c:pt>
                <c:pt idx="128">
                  <c:v>#N/A</c:v>
                </c:pt>
                <c:pt idx="129">
                  <c:v>#N/A</c:v>
                </c:pt>
                <c:pt idx="130">
                  <c:v>#N/A</c:v>
                </c:pt>
                <c:pt idx="131">
                  <c:v>11</c:v>
                </c:pt>
                <c:pt idx="132">
                  <c:v>#N/A</c:v>
                </c:pt>
                <c:pt idx="133">
                  <c:v>#N/A</c:v>
                </c:pt>
                <c:pt idx="134">
                  <c:v>#N/A</c:v>
                </c:pt>
                <c:pt idx="135">
                  <c:v>12</c:v>
                </c:pt>
                <c:pt idx="136">
                  <c:v>#N/A</c:v>
                </c:pt>
                <c:pt idx="137">
                  <c:v>#N/A</c:v>
                </c:pt>
                <c:pt idx="138">
                  <c:v>#N/A</c:v>
                </c:pt>
                <c:pt idx="139">
                  <c:v>10</c:v>
                </c:pt>
                <c:pt idx="140">
                  <c:v>#N/A</c:v>
                </c:pt>
                <c:pt idx="141">
                  <c:v>#N/A</c:v>
                </c:pt>
                <c:pt idx="142">
                  <c:v>#N/A</c:v>
                </c:pt>
                <c:pt idx="143">
                  <c:v>9</c:v>
                </c:pt>
                <c:pt idx="144">
                  <c:v>#N/A</c:v>
                </c:pt>
                <c:pt idx="145">
                  <c:v>#N/A</c:v>
                </c:pt>
                <c:pt idx="146">
                  <c:v>#N/A</c:v>
                </c:pt>
                <c:pt idx="147">
                  <c:v>23</c:v>
                </c:pt>
                <c:pt idx="148">
                  <c:v>#N/A</c:v>
                </c:pt>
                <c:pt idx="149">
                  <c:v>#N/A</c:v>
                </c:pt>
                <c:pt idx="150">
                  <c:v>#N/A</c:v>
                </c:pt>
                <c:pt idx="151">
                  <c:v>11</c:v>
                </c:pt>
                <c:pt idx="152">
                  <c:v>#N/A</c:v>
                </c:pt>
                <c:pt idx="153">
                  <c:v>#N/A</c:v>
                </c:pt>
                <c:pt idx="154">
                  <c:v>#N/A</c:v>
                </c:pt>
                <c:pt idx="155">
                  <c:v>2</c:v>
                </c:pt>
                <c:pt idx="156">
                  <c:v>#N/A</c:v>
                </c:pt>
                <c:pt idx="157">
                  <c:v>#N/A</c:v>
                </c:pt>
                <c:pt idx="158">
                  <c:v>#N/A</c:v>
                </c:pt>
                <c:pt idx="159">
                  <c:v>5</c:v>
                </c:pt>
                <c:pt idx="160">
                  <c:v>#N/A</c:v>
                </c:pt>
                <c:pt idx="161">
                  <c:v>#N/A</c:v>
                </c:pt>
                <c:pt idx="162">
                  <c:v>#N/A</c:v>
                </c:pt>
                <c:pt idx="163">
                  <c:v>10</c:v>
                </c:pt>
                <c:pt idx="164">
                  <c:v>#N/A</c:v>
                </c:pt>
                <c:pt idx="165">
                  <c:v>#N/A</c:v>
                </c:pt>
                <c:pt idx="166">
                  <c:v>#N/A</c:v>
                </c:pt>
                <c:pt idx="167">
                  <c:v>12</c:v>
                </c:pt>
                <c:pt idx="168">
                  <c:v>#N/A</c:v>
                </c:pt>
                <c:pt idx="169">
                  <c:v>#N/A</c:v>
                </c:pt>
                <c:pt idx="170">
                  <c:v>#N/A</c:v>
                </c:pt>
                <c:pt idx="171">
                  <c:v>9</c:v>
                </c:pt>
                <c:pt idx="172">
                  <c:v>#N/A</c:v>
                </c:pt>
                <c:pt idx="173">
                  <c:v>#N/A</c:v>
                </c:pt>
                <c:pt idx="174">
                  <c:v>#N/A</c:v>
                </c:pt>
                <c:pt idx="175">
                  <c:v>14</c:v>
                </c:pt>
                <c:pt idx="176">
                  <c:v>#N/A</c:v>
                </c:pt>
                <c:pt idx="177">
                  <c:v>#N/A</c:v>
                </c:pt>
                <c:pt idx="178">
                  <c:v>#N/A</c:v>
                </c:pt>
                <c:pt idx="179">
                  <c:v>8</c:v>
                </c:pt>
                <c:pt idx="180">
                  <c:v>#N/A</c:v>
                </c:pt>
                <c:pt idx="181">
                  <c:v>#N/A</c:v>
                </c:pt>
                <c:pt idx="182">
                  <c:v>#N/A</c:v>
                </c:pt>
                <c:pt idx="183">
                  <c:v>6</c:v>
                </c:pt>
                <c:pt idx="184">
                  <c:v>#N/A</c:v>
                </c:pt>
                <c:pt idx="185">
                  <c:v>#N/A</c:v>
                </c:pt>
                <c:pt idx="186">
                  <c:v>#N/A</c:v>
                </c:pt>
                <c:pt idx="187">
                  <c:v>2</c:v>
                </c:pt>
              </c:numCache>
            </c:numRef>
          </c:val>
        </c:ser>
        <c:ser>
          <c:idx val="10"/>
          <c:order val="9"/>
          <c:tx>
            <c:v>Sev2 DiagBox</c:v>
          </c:tx>
          <c:spPr>
            <a:solidFill>
              <a:srgbClr val="FFCC00"/>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Stat!$J$340:$J$527</c:f>
              <c:numCache>
                <c:formatCode>General</c:formatCode>
                <c:ptCount val="188"/>
                <c:pt idx="0">
                  <c:v>#N/A</c:v>
                </c:pt>
                <c:pt idx="1">
                  <c:v>#N/A</c:v>
                </c:pt>
                <c:pt idx="2">
                  <c:v>#N/A</c:v>
                </c:pt>
                <c:pt idx="3">
                  <c:v>36</c:v>
                </c:pt>
                <c:pt idx="4">
                  <c:v>#N/A</c:v>
                </c:pt>
                <c:pt idx="5">
                  <c:v>#N/A</c:v>
                </c:pt>
                <c:pt idx="6">
                  <c:v>#N/A</c:v>
                </c:pt>
                <c:pt idx="7">
                  <c:v>107</c:v>
                </c:pt>
                <c:pt idx="8">
                  <c:v>#N/A</c:v>
                </c:pt>
                <c:pt idx="9">
                  <c:v>#N/A</c:v>
                </c:pt>
                <c:pt idx="10">
                  <c:v>#N/A</c:v>
                </c:pt>
                <c:pt idx="11">
                  <c:v>82</c:v>
                </c:pt>
                <c:pt idx="12">
                  <c:v>#N/A</c:v>
                </c:pt>
                <c:pt idx="13">
                  <c:v>#N/A</c:v>
                </c:pt>
                <c:pt idx="14">
                  <c:v>#N/A</c:v>
                </c:pt>
                <c:pt idx="15">
                  <c:v>50</c:v>
                </c:pt>
                <c:pt idx="16">
                  <c:v>#N/A</c:v>
                </c:pt>
                <c:pt idx="17">
                  <c:v>#N/A</c:v>
                </c:pt>
                <c:pt idx="18">
                  <c:v>#N/A</c:v>
                </c:pt>
                <c:pt idx="19">
                  <c:v>51</c:v>
                </c:pt>
                <c:pt idx="20">
                  <c:v>#N/A</c:v>
                </c:pt>
                <c:pt idx="21">
                  <c:v>#N/A</c:v>
                </c:pt>
                <c:pt idx="22">
                  <c:v>#N/A</c:v>
                </c:pt>
                <c:pt idx="23">
                  <c:v>41</c:v>
                </c:pt>
                <c:pt idx="24">
                  <c:v>#N/A</c:v>
                </c:pt>
                <c:pt idx="25">
                  <c:v>#N/A</c:v>
                </c:pt>
                <c:pt idx="26">
                  <c:v>#N/A</c:v>
                </c:pt>
                <c:pt idx="27">
                  <c:v>65</c:v>
                </c:pt>
                <c:pt idx="28">
                  <c:v>#N/A</c:v>
                </c:pt>
                <c:pt idx="29">
                  <c:v>#N/A</c:v>
                </c:pt>
                <c:pt idx="30">
                  <c:v>#N/A</c:v>
                </c:pt>
                <c:pt idx="31">
                  <c:v>71</c:v>
                </c:pt>
                <c:pt idx="32">
                  <c:v>#N/A</c:v>
                </c:pt>
                <c:pt idx="33">
                  <c:v>#N/A</c:v>
                </c:pt>
                <c:pt idx="34">
                  <c:v>#N/A</c:v>
                </c:pt>
                <c:pt idx="35">
                  <c:v>69</c:v>
                </c:pt>
                <c:pt idx="36">
                  <c:v>#N/A</c:v>
                </c:pt>
                <c:pt idx="37">
                  <c:v>#N/A</c:v>
                </c:pt>
                <c:pt idx="38">
                  <c:v>#N/A</c:v>
                </c:pt>
                <c:pt idx="39">
                  <c:v>53</c:v>
                </c:pt>
                <c:pt idx="40">
                  <c:v>#N/A</c:v>
                </c:pt>
                <c:pt idx="41">
                  <c:v>#N/A</c:v>
                </c:pt>
                <c:pt idx="42">
                  <c:v>#N/A</c:v>
                </c:pt>
                <c:pt idx="43">
                  <c:v>71</c:v>
                </c:pt>
                <c:pt idx="44">
                  <c:v>#N/A</c:v>
                </c:pt>
                <c:pt idx="45">
                  <c:v>#N/A</c:v>
                </c:pt>
                <c:pt idx="46">
                  <c:v>#N/A</c:v>
                </c:pt>
                <c:pt idx="47">
                  <c:v>64</c:v>
                </c:pt>
                <c:pt idx="48">
                  <c:v>#N/A</c:v>
                </c:pt>
                <c:pt idx="49">
                  <c:v>#N/A</c:v>
                </c:pt>
                <c:pt idx="50">
                  <c:v>#N/A</c:v>
                </c:pt>
                <c:pt idx="51">
                  <c:v>55</c:v>
                </c:pt>
                <c:pt idx="52">
                  <c:v>#N/A</c:v>
                </c:pt>
                <c:pt idx="53">
                  <c:v>#N/A</c:v>
                </c:pt>
                <c:pt idx="54">
                  <c:v>#N/A</c:v>
                </c:pt>
                <c:pt idx="55">
                  <c:v>59</c:v>
                </c:pt>
                <c:pt idx="56">
                  <c:v>#N/A</c:v>
                </c:pt>
                <c:pt idx="57">
                  <c:v>#N/A</c:v>
                </c:pt>
                <c:pt idx="58">
                  <c:v>#N/A</c:v>
                </c:pt>
                <c:pt idx="59">
                  <c:v>53</c:v>
                </c:pt>
                <c:pt idx="60">
                  <c:v>#N/A</c:v>
                </c:pt>
                <c:pt idx="61">
                  <c:v>#N/A</c:v>
                </c:pt>
                <c:pt idx="62">
                  <c:v>#N/A</c:v>
                </c:pt>
                <c:pt idx="63">
                  <c:v>75</c:v>
                </c:pt>
                <c:pt idx="64">
                  <c:v>#N/A</c:v>
                </c:pt>
                <c:pt idx="65">
                  <c:v>#N/A</c:v>
                </c:pt>
                <c:pt idx="66">
                  <c:v>#N/A</c:v>
                </c:pt>
                <c:pt idx="67">
                  <c:v>77</c:v>
                </c:pt>
                <c:pt idx="68">
                  <c:v>#N/A</c:v>
                </c:pt>
                <c:pt idx="69">
                  <c:v>#N/A</c:v>
                </c:pt>
                <c:pt idx="70">
                  <c:v>#N/A</c:v>
                </c:pt>
                <c:pt idx="71">
                  <c:v>109</c:v>
                </c:pt>
                <c:pt idx="72">
                  <c:v>#N/A</c:v>
                </c:pt>
                <c:pt idx="73">
                  <c:v>#N/A</c:v>
                </c:pt>
                <c:pt idx="74">
                  <c:v>#N/A</c:v>
                </c:pt>
                <c:pt idx="75">
                  <c:v>84</c:v>
                </c:pt>
                <c:pt idx="76">
                  <c:v>#N/A</c:v>
                </c:pt>
                <c:pt idx="77">
                  <c:v>#N/A</c:v>
                </c:pt>
                <c:pt idx="78">
                  <c:v>#N/A</c:v>
                </c:pt>
                <c:pt idx="79">
                  <c:v>96</c:v>
                </c:pt>
                <c:pt idx="80">
                  <c:v>#N/A</c:v>
                </c:pt>
                <c:pt idx="81">
                  <c:v>#N/A</c:v>
                </c:pt>
                <c:pt idx="82">
                  <c:v>#N/A</c:v>
                </c:pt>
                <c:pt idx="83">
                  <c:v>86</c:v>
                </c:pt>
                <c:pt idx="84">
                  <c:v>#N/A</c:v>
                </c:pt>
                <c:pt idx="85">
                  <c:v>#N/A</c:v>
                </c:pt>
                <c:pt idx="86">
                  <c:v>#N/A</c:v>
                </c:pt>
                <c:pt idx="87">
                  <c:v>82</c:v>
                </c:pt>
                <c:pt idx="88">
                  <c:v>#N/A</c:v>
                </c:pt>
                <c:pt idx="89">
                  <c:v>#N/A</c:v>
                </c:pt>
                <c:pt idx="90">
                  <c:v>#N/A</c:v>
                </c:pt>
                <c:pt idx="91">
                  <c:v>76</c:v>
                </c:pt>
                <c:pt idx="92">
                  <c:v>#N/A</c:v>
                </c:pt>
                <c:pt idx="93">
                  <c:v>#N/A</c:v>
                </c:pt>
                <c:pt idx="94">
                  <c:v>#N/A</c:v>
                </c:pt>
                <c:pt idx="95">
                  <c:v>115</c:v>
                </c:pt>
                <c:pt idx="96">
                  <c:v>#N/A</c:v>
                </c:pt>
                <c:pt idx="97">
                  <c:v>#N/A</c:v>
                </c:pt>
                <c:pt idx="98">
                  <c:v>#N/A</c:v>
                </c:pt>
                <c:pt idx="99">
                  <c:v>212</c:v>
                </c:pt>
                <c:pt idx="100">
                  <c:v>#N/A</c:v>
                </c:pt>
                <c:pt idx="101">
                  <c:v>#N/A</c:v>
                </c:pt>
                <c:pt idx="102">
                  <c:v>#N/A</c:v>
                </c:pt>
                <c:pt idx="103">
                  <c:v>208</c:v>
                </c:pt>
                <c:pt idx="104">
                  <c:v>#N/A</c:v>
                </c:pt>
                <c:pt idx="105">
                  <c:v>#N/A</c:v>
                </c:pt>
                <c:pt idx="106">
                  <c:v>#N/A</c:v>
                </c:pt>
                <c:pt idx="107">
                  <c:v>159</c:v>
                </c:pt>
                <c:pt idx="108">
                  <c:v>#N/A</c:v>
                </c:pt>
                <c:pt idx="109">
                  <c:v>#N/A</c:v>
                </c:pt>
                <c:pt idx="110">
                  <c:v>#N/A</c:v>
                </c:pt>
                <c:pt idx="111">
                  <c:v>152</c:v>
                </c:pt>
                <c:pt idx="112">
                  <c:v>#N/A</c:v>
                </c:pt>
                <c:pt idx="113">
                  <c:v>#N/A</c:v>
                </c:pt>
                <c:pt idx="114">
                  <c:v>#N/A</c:v>
                </c:pt>
                <c:pt idx="115">
                  <c:v>135</c:v>
                </c:pt>
                <c:pt idx="116">
                  <c:v>#N/A</c:v>
                </c:pt>
                <c:pt idx="117">
                  <c:v>#N/A</c:v>
                </c:pt>
                <c:pt idx="118">
                  <c:v>#N/A</c:v>
                </c:pt>
                <c:pt idx="119">
                  <c:v>122</c:v>
                </c:pt>
                <c:pt idx="120">
                  <c:v>#N/A</c:v>
                </c:pt>
                <c:pt idx="121">
                  <c:v>#N/A</c:v>
                </c:pt>
                <c:pt idx="122">
                  <c:v>#N/A</c:v>
                </c:pt>
                <c:pt idx="123">
                  <c:v>110</c:v>
                </c:pt>
                <c:pt idx="124">
                  <c:v>#N/A</c:v>
                </c:pt>
                <c:pt idx="125">
                  <c:v>#N/A</c:v>
                </c:pt>
                <c:pt idx="126">
                  <c:v>#N/A</c:v>
                </c:pt>
                <c:pt idx="127">
                  <c:v>107</c:v>
                </c:pt>
                <c:pt idx="128">
                  <c:v>#N/A</c:v>
                </c:pt>
                <c:pt idx="129">
                  <c:v>#N/A</c:v>
                </c:pt>
                <c:pt idx="130">
                  <c:v>#N/A</c:v>
                </c:pt>
                <c:pt idx="131">
                  <c:v>107</c:v>
                </c:pt>
                <c:pt idx="132">
                  <c:v>#N/A</c:v>
                </c:pt>
                <c:pt idx="133">
                  <c:v>#N/A</c:v>
                </c:pt>
                <c:pt idx="134">
                  <c:v>#N/A</c:v>
                </c:pt>
                <c:pt idx="135">
                  <c:v>167</c:v>
                </c:pt>
                <c:pt idx="136">
                  <c:v>#N/A</c:v>
                </c:pt>
                <c:pt idx="137">
                  <c:v>#N/A</c:v>
                </c:pt>
                <c:pt idx="138">
                  <c:v>#N/A</c:v>
                </c:pt>
                <c:pt idx="139">
                  <c:v>109</c:v>
                </c:pt>
                <c:pt idx="140">
                  <c:v>#N/A</c:v>
                </c:pt>
                <c:pt idx="141">
                  <c:v>#N/A</c:v>
                </c:pt>
                <c:pt idx="142">
                  <c:v>#N/A</c:v>
                </c:pt>
                <c:pt idx="143">
                  <c:v>108</c:v>
                </c:pt>
                <c:pt idx="144">
                  <c:v>#N/A</c:v>
                </c:pt>
                <c:pt idx="145">
                  <c:v>#N/A</c:v>
                </c:pt>
                <c:pt idx="146">
                  <c:v>#N/A</c:v>
                </c:pt>
                <c:pt idx="147">
                  <c:v>200</c:v>
                </c:pt>
                <c:pt idx="148">
                  <c:v>#N/A</c:v>
                </c:pt>
                <c:pt idx="149">
                  <c:v>#N/A</c:v>
                </c:pt>
                <c:pt idx="150">
                  <c:v>#N/A</c:v>
                </c:pt>
                <c:pt idx="151">
                  <c:v>165</c:v>
                </c:pt>
                <c:pt idx="152">
                  <c:v>#N/A</c:v>
                </c:pt>
                <c:pt idx="153">
                  <c:v>#N/A</c:v>
                </c:pt>
                <c:pt idx="154">
                  <c:v>#N/A</c:v>
                </c:pt>
                <c:pt idx="155">
                  <c:v>131</c:v>
                </c:pt>
                <c:pt idx="156">
                  <c:v>#N/A</c:v>
                </c:pt>
                <c:pt idx="157">
                  <c:v>#N/A</c:v>
                </c:pt>
                <c:pt idx="158">
                  <c:v>#N/A</c:v>
                </c:pt>
                <c:pt idx="159">
                  <c:v>138</c:v>
                </c:pt>
                <c:pt idx="160">
                  <c:v>#N/A</c:v>
                </c:pt>
                <c:pt idx="161">
                  <c:v>#N/A</c:v>
                </c:pt>
                <c:pt idx="162">
                  <c:v>#N/A</c:v>
                </c:pt>
                <c:pt idx="163">
                  <c:v>128</c:v>
                </c:pt>
                <c:pt idx="164">
                  <c:v>#N/A</c:v>
                </c:pt>
                <c:pt idx="165">
                  <c:v>#N/A</c:v>
                </c:pt>
                <c:pt idx="166">
                  <c:v>#N/A</c:v>
                </c:pt>
                <c:pt idx="167">
                  <c:v>113</c:v>
                </c:pt>
                <c:pt idx="168">
                  <c:v>#N/A</c:v>
                </c:pt>
                <c:pt idx="169">
                  <c:v>#N/A</c:v>
                </c:pt>
                <c:pt idx="170">
                  <c:v>#N/A</c:v>
                </c:pt>
                <c:pt idx="171">
                  <c:v>134</c:v>
                </c:pt>
                <c:pt idx="172">
                  <c:v>#N/A</c:v>
                </c:pt>
                <c:pt idx="173">
                  <c:v>#N/A</c:v>
                </c:pt>
                <c:pt idx="174">
                  <c:v>#N/A</c:v>
                </c:pt>
                <c:pt idx="175">
                  <c:v>124</c:v>
                </c:pt>
                <c:pt idx="176">
                  <c:v>#N/A</c:v>
                </c:pt>
                <c:pt idx="177">
                  <c:v>#N/A</c:v>
                </c:pt>
                <c:pt idx="178">
                  <c:v>#N/A</c:v>
                </c:pt>
                <c:pt idx="179">
                  <c:v>118</c:v>
                </c:pt>
                <c:pt idx="180">
                  <c:v>#N/A</c:v>
                </c:pt>
                <c:pt idx="181">
                  <c:v>#N/A</c:v>
                </c:pt>
                <c:pt idx="182">
                  <c:v>#N/A</c:v>
                </c:pt>
                <c:pt idx="183">
                  <c:v>110</c:v>
                </c:pt>
                <c:pt idx="184">
                  <c:v>#N/A</c:v>
                </c:pt>
                <c:pt idx="185">
                  <c:v>#N/A</c:v>
                </c:pt>
                <c:pt idx="186">
                  <c:v>#N/A</c:v>
                </c:pt>
                <c:pt idx="187">
                  <c:v>0</c:v>
                </c:pt>
              </c:numCache>
            </c:numRef>
          </c:val>
        </c:ser>
        <c:ser>
          <c:idx val="11"/>
          <c:order val="10"/>
          <c:tx>
            <c:v>Sev3 DiagBox</c:v>
          </c:tx>
          <c:spPr>
            <a:solidFill>
              <a:srgbClr val="FFFF99"/>
            </a:solidFill>
            <a:ln w="12700">
              <a:solidFill>
                <a:srgbClr val="000000"/>
              </a:solidFill>
              <a:prstDash val="solid"/>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Stat!$K$340:$K$527</c:f>
              <c:numCache>
                <c:formatCode>General</c:formatCode>
                <c:ptCount val="188"/>
                <c:pt idx="0">
                  <c:v>#N/A</c:v>
                </c:pt>
                <c:pt idx="1">
                  <c:v>#N/A</c:v>
                </c:pt>
                <c:pt idx="2">
                  <c:v>#N/A</c:v>
                </c:pt>
                <c:pt idx="3">
                  <c:v>4</c:v>
                </c:pt>
                <c:pt idx="4">
                  <c:v>#N/A</c:v>
                </c:pt>
                <c:pt idx="5">
                  <c:v>#N/A</c:v>
                </c:pt>
                <c:pt idx="6">
                  <c:v>#N/A</c:v>
                </c:pt>
                <c:pt idx="7">
                  <c:v>4</c:v>
                </c:pt>
                <c:pt idx="8">
                  <c:v>#N/A</c:v>
                </c:pt>
                <c:pt idx="9">
                  <c:v>#N/A</c:v>
                </c:pt>
                <c:pt idx="10">
                  <c:v>#N/A</c:v>
                </c:pt>
                <c:pt idx="11">
                  <c:v>3</c:v>
                </c:pt>
                <c:pt idx="12">
                  <c:v>#N/A</c:v>
                </c:pt>
                <c:pt idx="13">
                  <c:v>#N/A</c:v>
                </c:pt>
                <c:pt idx="14">
                  <c:v>#N/A</c:v>
                </c:pt>
                <c:pt idx="15">
                  <c:v>3</c:v>
                </c:pt>
                <c:pt idx="16">
                  <c:v>#N/A</c:v>
                </c:pt>
                <c:pt idx="17">
                  <c:v>#N/A</c:v>
                </c:pt>
                <c:pt idx="18">
                  <c:v>#N/A</c:v>
                </c:pt>
                <c:pt idx="19">
                  <c:v>2</c:v>
                </c:pt>
                <c:pt idx="20">
                  <c:v>#N/A</c:v>
                </c:pt>
                <c:pt idx="21">
                  <c:v>#N/A</c:v>
                </c:pt>
                <c:pt idx="22">
                  <c:v>#N/A</c:v>
                </c:pt>
                <c:pt idx="23">
                  <c:v>2</c:v>
                </c:pt>
                <c:pt idx="24">
                  <c:v>#N/A</c:v>
                </c:pt>
                <c:pt idx="25">
                  <c:v>#N/A</c:v>
                </c:pt>
                <c:pt idx="26">
                  <c:v>#N/A</c:v>
                </c:pt>
                <c:pt idx="27">
                  <c:v>1</c:v>
                </c:pt>
                <c:pt idx="28">
                  <c:v>#N/A</c:v>
                </c:pt>
                <c:pt idx="29">
                  <c:v>#N/A</c:v>
                </c:pt>
                <c:pt idx="30">
                  <c:v>#N/A</c:v>
                </c:pt>
                <c:pt idx="31">
                  <c:v>1</c:v>
                </c:pt>
                <c:pt idx="32">
                  <c:v>#N/A</c:v>
                </c:pt>
                <c:pt idx="33">
                  <c:v>#N/A</c:v>
                </c:pt>
                <c:pt idx="34">
                  <c:v>#N/A</c:v>
                </c:pt>
                <c:pt idx="35">
                  <c:v>1</c:v>
                </c:pt>
                <c:pt idx="36">
                  <c:v>#N/A</c:v>
                </c:pt>
                <c:pt idx="37">
                  <c:v>#N/A</c:v>
                </c:pt>
                <c:pt idx="38">
                  <c:v>#N/A</c:v>
                </c:pt>
                <c:pt idx="39">
                  <c:v>1</c:v>
                </c:pt>
                <c:pt idx="40">
                  <c:v>#N/A</c:v>
                </c:pt>
                <c:pt idx="41">
                  <c:v>#N/A</c:v>
                </c:pt>
                <c:pt idx="42">
                  <c:v>#N/A</c:v>
                </c:pt>
                <c:pt idx="43">
                  <c:v>0</c:v>
                </c:pt>
                <c:pt idx="44">
                  <c:v>#N/A</c:v>
                </c:pt>
                <c:pt idx="45">
                  <c:v>#N/A</c:v>
                </c:pt>
                <c:pt idx="46">
                  <c:v>#N/A</c:v>
                </c:pt>
                <c:pt idx="47">
                  <c:v>0</c:v>
                </c:pt>
                <c:pt idx="48">
                  <c:v>#N/A</c:v>
                </c:pt>
                <c:pt idx="49">
                  <c:v>#N/A</c:v>
                </c:pt>
                <c:pt idx="50">
                  <c:v>#N/A</c:v>
                </c:pt>
                <c:pt idx="51">
                  <c:v>0</c:v>
                </c:pt>
                <c:pt idx="52">
                  <c:v>#N/A</c:v>
                </c:pt>
                <c:pt idx="53">
                  <c:v>#N/A</c:v>
                </c:pt>
                <c:pt idx="54">
                  <c:v>#N/A</c:v>
                </c:pt>
                <c:pt idx="55">
                  <c:v>0</c:v>
                </c:pt>
                <c:pt idx="56">
                  <c:v>#N/A</c:v>
                </c:pt>
                <c:pt idx="57">
                  <c:v>#N/A</c:v>
                </c:pt>
                <c:pt idx="58">
                  <c:v>#N/A</c:v>
                </c:pt>
                <c:pt idx="59">
                  <c:v>0</c:v>
                </c:pt>
                <c:pt idx="60">
                  <c:v>#N/A</c:v>
                </c:pt>
                <c:pt idx="61">
                  <c:v>#N/A</c:v>
                </c:pt>
                <c:pt idx="62">
                  <c:v>#N/A</c:v>
                </c:pt>
                <c:pt idx="63">
                  <c:v>1</c:v>
                </c:pt>
                <c:pt idx="64">
                  <c:v>#N/A</c:v>
                </c:pt>
                <c:pt idx="65">
                  <c:v>#N/A</c:v>
                </c:pt>
                <c:pt idx="66">
                  <c:v>#N/A</c:v>
                </c:pt>
                <c:pt idx="67">
                  <c:v>1</c:v>
                </c:pt>
                <c:pt idx="68">
                  <c:v>#N/A</c:v>
                </c:pt>
                <c:pt idx="69">
                  <c:v>#N/A</c:v>
                </c:pt>
                <c:pt idx="70">
                  <c:v>#N/A</c:v>
                </c:pt>
                <c:pt idx="71">
                  <c:v>1</c:v>
                </c:pt>
                <c:pt idx="72">
                  <c:v>#N/A</c:v>
                </c:pt>
                <c:pt idx="73">
                  <c:v>#N/A</c:v>
                </c:pt>
                <c:pt idx="74">
                  <c:v>#N/A</c:v>
                </c:pt>
                <c:pt idx="75">
                  <c:v>1</c:v>
                </c:pt>
                <c:pt idx="76">
                  <c:v>#N/A</c:v>
                </c:pt>
                <c:pt idx="77">
                  <c:v>#N/A</c:v>
                </c:pt>
                <c:pt idx="78">
                  <c:v>#N/A</c:v>
                </c:pt>
                <c:pt idx="79">
                  <c:v>1</c:v>
                </c:pt>
                <c:pt idx="80">
                  <c:v>#N/A</c:v>
                </c:pt>
                <c:pt idx="81">
                  <c:v>#N/A</c:v>
                </c:pt>
                <c:pt idx="82">
                  <c:v>#N/A</c:v>
                </c:pt>
                <c:pt idx="83">
                  <c:v>2</c:v>
                </c:pt>
                <c:pt idx="84">
                  <c:v>#N/A</c:v>
                </c:pt>
                <c:pt idx="85">
                  <c:v>#N/A</c:v>
                </c:pt>
                <c:pt idx="86">
                  <c:v>#N/A</c:v>
                </c:pt>
                <c:pt idx="87">
                  <c:v>3</c:v>
                </c:pt>
                <c:pt idx="88">
                  <c:v>#N/A</c:v>
                </c:pt>
                <c:pt idx="89">
                  <c:v>#N/A</c:v>
                </c:pt>
                <c:pt idx="90">
                  <c:v>#N/A</c:v>
                </c:pt>
                <c:pt idx="91">
                  <c:v>5</c:v>
                </c:pt>
                <c:pt idx="92">
                  <c:v>#N/A</c:v>
                </c:pt>
                <c:pt idx="93">
                  <c:v>#N/A</c:v>
                </c:pt>
                <c:pt idx="94">
                  <c:v>#N/A</c:v>
                </c:pt>
                <c:pt idx="95">
                  <c:v>8</c:v>
                </c:pt>
                <c:pt idx="96">
                  <c:v>#N/A</c:v>
                </c:pt>
                <c:pt idx="97">
                  <c:v>#N/A</c:v>
                </c:pt>
                <c:pt idx="98">
                  <c:v>#N/A</c:v>
                </c:pt>
                <c:pt idx="99">
                  <c:v>8</c:v>
                </c:pt>
                <c:pt idx="100">
                  <c:v>#N/A</c:v>
                </c:pt>
                <c:pt idx="101">
                  <c:v>#N/A</c:v>
                </c:pt>
                <c:pt idx="102">
                  <c:v>#N/A</c:v>
                </c:pt>
                <c:pt idx="103">
                  <c:v>8</c:v>
                </c:pt>
                <c:pt idx="104">
                  <c:v>#N/A</c:v>
                </c:pt>
                <c:pt idx="105">
                  <c:v>#N/A</c:v>
                </c:pt>
                <c:pt idx="106">
                  <c:v>#N/A</c:v>
                </c:pt>
                <c:pt idx="107">
                  <c:v>4</c:v>
                </c:pt>
                <c:pt idx="108">
                  <c:v>#N/A</c:v>
                </c:pt>
                <c:pt idx="109">
                  <c:v>#N/A</c:v>
                </c:pt>
                <c:pt idx="110">
                  <c:v>#N/A</c:v>
                </c:pt>
                <c:pt idx="111">
                  <c:v>4</c:v>
                </c:pt>
                <c:pt idx="112">
                  <c:v>#N/A</c:v>
                </c:pt>
                <c:pt idx="113">
                  <c:v>#N/A</c:v>
                </c:pt>
                <c:pt idx="114">
                  <c:v>#N/A</c:v>
                </c:pt>
                <c:pt idx="115">
                  <c:v>6</c:v>
                </c:pt>
                <c:pt idx="116">
                  <c:v>#N/A</c:v>
                </c:pt>
                <c:pt idx="117">
                  <c:v>#N/A</c:v>
                </c:pt>
                <c:pt idx="118">
                  <c:v>#N/A</c:v>
                </c:pt>
                <c:pt idx="119">
                  <c:v>6</c:v>
                </c:pt>
                <c:pt idx="120">
                  <c:v>#N/A</c:v>
                </c:pt>
                <c:pt idx="121">
                  <c:v>#N/A</c:v>
                </c:pt>
                <c:pt idx="122">
                  <c:v>#N/A</c:v>
                </c:pt>
                <c:pt idx="123">
                  <c:v>10</c:v>
                </c:pt>
                <c:pt idx="124">
                  <c:v>#N/A</c:v>
                </c:pt>
                <c:pt idx="125">
                  <c:v>#N/A</c:v>
                </c:pt>
                <c:pt idx="126">
                  <c:v>#N/A</c:v>
                </c:pt>
                <c:pt idx="127">
                  <c:v>13</c:v>
                </c:pt>
                <c:pt idx="128">
                  <c:v>#N/A</c:v>
                </c:pt>
                <c:pt idx="129">
                  <c:v>#N/A</c:v>
                </c:pt>
                <c:pt idx="130">
                  <c:v>#N/A</c:v>
                </c:pt>
                <c:pt idx="131">
                  <c:v>14</c:v>
                </c:pt>
                <c:pt idx="132">
                  <c:v>#N/A</c:v>
                </c:pt>
                <c:pt idx="133">
                  <c:v>#N/A</c:v>
                </c:pt>
                <c:pt idx="134">
                  <c:v>#N/A</c:v>
                </c:pt>
                <c:pt idx="135">
                  <c:v>9</c:v>
                </c:pt>
                <c:pt idx="136">
                  <c:v>#N/A</c:v>
                </c:pt>
                <c:pt idx="137">
                  <c:v>#N/A</c:v>
                </c:pt>
                <c:pt idx="138">
                  <c:v>#N/A</c:v>
                </c:pt>
                <c:pt idx="139">
                  <c:v>8</c:v>
                </c:pt>
                <c:pt idx="140">
                  <c:v>#N/A</c:v>
                </c:pt>
                <c:pt idx="141">
                  <c:v>#N/A</c:v>
                </c:pt>
                <c:pt idx="142">
                  <c:v>#N/A</c:v>
                </c:pt>
                <c:pt idx="143">
                  <c:v>11</c:v>
                </c:pt>
                <c:pt idx="144">
                  <c:v>#N/A</c:v>
                </c:pt>
                <c:pt idx="145">
                  <c:v>#N/A</c:v>
                </c:pt>
                <c:pt idx="146">
                  <c:v>#N/A</c:v>
                </c:pt>
                <c:pt idx="147">
                  <c:v>23</c:v>
                </c:pt>
                <c:pt idx="148">
                  <c:v>#N/A</c:v>
                </c:pt>
                <c:pt idx="149">
                  <c:v>#N/A</c:v>
                </c:pt>
                <c:pt idx="150">
                  <c:v>#N/A</c:v>
                </c:pt>
                <c:pt idx="151">
                  <c:v>22</c:v>
                </c:pt>
                <c:pt idx="152">
                  <c:v>#N/A</c:v>
                </c:pt>
                <c:pt idx="153">
                  <c:v>#N/A</c:v>
                </c:pt>
                <c:pt idx="154">
                  <c:v>#N/A</c:v>
                </c:pt>
                <c:pt idx="155">
                  <c:v>18</c:v>
                </c:pt>
                <c:pt idx="156">
                  <c:v>#N/A</c:v>
                </c:pt>
                <c:pt idx="157">
                  <c:v>#N/A</c:v>
                </c:pt>
                <c:pt idx="158">
                  <c:v>#N/A</c:v>
                </c:pt>
                <c:pt idx="159">
                  <c:v>21</c:v>
                </c:pt>
                <c:pt idx="160">
                  <c:v>#N/A</c:v>
                </c:pt>
                <c:pt idx="161">
                  <c:v>#N/A</c:v>
                </c:pt>
                <c:pt idx="162">
                  <c:v>#N/A</c:v>
                </c:pt>
                <c:pt idx="163">
                  <c:v>20</c:v>
                </c:pt>
                <c:pt idx="164">
                  <c:v>#N/A</c:v>
                </c:pt>
                <c:pt idx="165">
                  <c:v>#N/A</c:v>
                </c:pt>
                <c:pt idx="166">
                  <c:v>#N/A</c:v>
                </c:pt>
                <c:pt idx="167">
                  <c:v>22</c:v>
                </c:pt>
                <c:pt idx="168">
                  <c:v>#N/A</c:v>
                </c:pt>
                <c:pt idx="169">
                  <c:v>#N/A</c:v>
                </c:pt>
                <c:pt idx="170">
                  <c:v>#N/A</c:v>
                </c:pt>
                <c:pt idx="171">
                  <c:v>24</c:v>
                </c:pt>
                <c:pt idx="172">
                  <c:v>#N/A</c:v>
                </c:pt>
                <c:pt idx="173">
                  <c:v>#N/A</c:v>
                </c:pt>
                <c:pt idx="174">
                  <c:v>#N/A</c:v>
                </c:pt>
                <c:pt idx="175">
                  <c:v>26</c:v>
                </c:pt>
                <c:pt idx="176">
                  <c:v>#N/A</c:v>
                </c:pt>
                <c:pt idx="177">
                  <c:v>#N/A</c:v>
                </c:pt>
                <c:pt idx="178">
                  <c:v>#N/A</c:v>
                </c:pt>
                <c:pt idx="179">
                  <c:v>27</c:v>
                </c:pt>
                <c:pt idx="180">
                  <c:v>#N/A</c:v>
                </c:pt>
                <c:pt idx="181">
                  <c:v>#N/A</c:v>
                </c:pt>
                <c:pt idx="182">
                  <c:v>#N/A</c:v>
                </c:pt>
                <c:pt idx="183">
                  <c:v>30</c:v>
                </c:pt>
                <c:pt idx="184">
                  <c:v>#N/A</c:v>
                </c:pt>
                <c:pt idx="185">
                  <c:v>#N/A</c:v>
                </c:pt>
                <c:pt idx="186">
                  <c:v>#N/A</c:v>
                </c:pt>
                <c:pt idx="187">
                  <c:v>1</c:v>
                </c:pt>
              </c:numCache>
            </c:numRef>
          </c:val>
        </c:ser>
        <c:gapWidth val="0"/>
        <c:overlap val="100"/>
        <c:axId val="100973568"/>
        <c:axId val="102974208"/>
      </c:barChart>
      <c:lineChart>
        <c:grouping val="standard"/>
        <c:ser>
          <c:idx val="7"/>
          <c:order val="6"/>
          <c:tx>
            <c:v>Entrées</c:v>
          </c:tx>
          <c:spPr>
            <a:ln w="25400">
              <a:solidFill>
                <a:srgbClr val="00FF00"/>
              </a:solidFill>
              <a:prstDash val="sysDash"/>
            </a:ln>
          </c:spPr>
          <c:marker>
            <c:symbol val="none"/>
          </c:marker>
          <c:val>
            <c:numRef>
              <c:f>Stat!$Q$340:$Q$527</c:f>
              <c:numCache>
                <c:formatCode>General</c:formatCode>
                <c:ptCount val="188"/>
                <c:pt idx="0">
                  <c:v>#N/A</c:v>
                </c:pt>
                <c:pt idx="1">
                  <c:v>#N/A</c:v>
                </c:pt>
                <c:pt idx="2">
                  <c:v>24</c:v>
                </c:pt>
                <c:pt idx="3">
                  <c:v>#N/A</c:v>
                </c:pt>
                <c:pt idx="4">
                  <c:v>#N/A</c:v>
                </c:pt>
                <c:pt idx="5">
                  <c:v>#N/A</c:v>
                </c:pt>
                <c:pt idx="6">
                  <c:v>123</c:v>
                </c:pt>
                <c:pt idx="7">
                  <c:v>#N/A</c:v>
                </c:pt>
                <c:pt idx="8">
                  <c:v>#N/A</c:v>
                </c:pt>
                <c:pt idx="9">
                  <c:v>#N/A</c:v>
                </c:pt>
                <c:pt idx="10">
                  <c:v>30</c:v>
                </c:pt>
                <c:pt idx="11">
                  <c:v>#N/A</c:v>
                </c:pt>
                <c:pt idx="12">
                  <c:v>#N/A</c:v>
                </c:pt>
                <c:pt idx="13">
                  <c:v>#N/A</c:v>
                </c:pt>
                <c:pt idx="14">
                  <c:v>36</c:v>
                </c:pt>
                <c:pt idx="15">
                  <c:v>#N/A</c:v>
                </c:pt>
                <c:pt idx="16">
                  <c:v>#N/A</c:v>
                </c:pt>
                <c:pt idx="17">
                  <c:v>#N/A</c:v>
                </c:pt>
                <c:pt idx="18">
                  <c:v>75</c:v>
                </c:pt>
                <c:pt idx="19">
                  <c:v>#N/A</c:v>
                </c:pt>
                <c:pt idx="20">
                  <c:v>#N/A</c:v>
                </c:pt>
                <c:pt idx="21">
                  <c:v>#N/A</c:v>
                </c:pt>
                <c:pt idx="22">
                  <c:v>34</c:v>
                </c:pt>
                <c:pt idx="23">
                  <c:v>#N/A</c:v>
                </c:pt>
                <c:pt idx="24">
                  <c:v>#N/A</c:v>
                </c:pt>
                <c:pt idx="25">
                  <c:v>#N/A</c:v>
                </c:pt>
                <c:pt idx="26">
                  <c:v>87</c:v>
                </c:pt>
                <c:pt idx="27">
                  <c:v>#N/A</c:v>
                </c:pt>
                <c:pt idx="28">
                  <c:v>#N/A</c:v>
                </c:pt>
                <c:pt idx="29">
                  <c:v>#N/A</c:v>
                </c:pt>
                <c:pt idx="30">
                  <c:v>39</c:v>
                </c:pt>
                <c:pt idx="31">
                  <c:v>#N/A</c:v>
                </c:pt>
                <c:pt idx="32">
                  <c:v>#N/A</c:v>
                </c:pt>
                <c:pt idx="33">
                  <c:v>#N/A</c:v>
                </c:pt>
                <c:pt idx="34">
                  <c:v>43</c:v>
                </c:pt>
                <c:pt idx="35">
                  <c:v>#N/A</c:v>
                </c:pt>
                <c:pt idx="36">
                  <c:v>#N/A</c:v>
                </c:pt>
                <c:pt idx="37">
                  <c:v>#N/A</c:v>
                </c:pt>
                <c:pt idx="38">
                  <c:v>43</c:v>
                </c:pt>
                <c:pt idx="39">
                  <c:v>#N/A</c:v>
                </c:pt>
                <c:pt idx="40">
                  <c:v>#N/A</c:v>
                </c:pt>
                <c:pt idx="41">
                  <c:v>#N/A</c:v>
                </c:pt>
                <c:pt idx="42">
                  <c:v>88</c:v>
                </c:pt>
                <c:pt idx="43">
                  <c:v>#N/A</c:v>
                </c:pt>
                <c:pt idx="44">
                  <c:v>#N/A</c:v>
                </c:pt>
                <c:pt idx="45">
                  <c:v>#N/A</c:v>
                </c:pt>
                <c:pt idx="46">
                  <c:v>35</c:v>
                </c:pt>
                <c:pt idx="47">
                  <c:v>#N/A</c:v>
                </c:pt>
                <c:pt idx="48">
                  <c:v>#N/A</c:v>
                </c:pt>
                <c:pt idx="49">
                  <c:v>#N/A</c:v>
                </c:pt>
                <c:pt idx="50">
                  <c:v>70</c:v>
                </c:pt>
                <c:pt idx="51">
                  <c:v>#N/A</c:v>
                </c:pt>
                <c:pt idx="52">
                  <c:v>#N/A</c:v>
                </c:pt>
                <c:pt idx="53">
                  <c:v>#N/A</c:v>
                </c:pt>
                <c:pt idx="54">
                  <c:v>32</c:v>
                </c:pt>
                <c:pt idx="55">
                  <c:v>#N/A</c:v>
                </c:pt>
                <c:pt idx="56">
                  <c:v>#N/A</c:v>
                </c:pt>
                <c:pt idx="57">
                  <c:v>#N/A</c:v>
                </c:pt>
                <c:pt idx="58">
                  <c:v>27</c:v>
                </c:pt>
                <c:pt idx="59">
                  <c:v>#N/A</c:v>
                </c:pt>
                <c:pt idx="60">
                  <c:v>#N/A</c:v>
                </c:pt>
                <c:pt idx="61">
                  <c:v>#N/A</c:v>
                </c:pt>
                <c:pt idx="62">
                  <c:v>78</c:v>
                </c:pt>
                <c:pt idx="63">
                  <c:v>#N/A</c:v>
                </c:pt>
                <c:pt idx="64">
                  <c:v>#N/A</c:v>
                </c:pt>
                <c:pt idx="65">
                  <c:v>#N/A</c:v>
                </c:pt>
                <c:pt idx="66">
                  <c:v>26</c:v>
                </c:pt>
                <c:pt idx="67">
                  <c:v>#N/A</c:v>
                </c:pt>
                <c:pt idx="68">
                  <c:v>#N/A</c:v>
                </c:pt>
                <c:pt idx="69">
                  <c:v>#N/A</c:v>
                </c:pt>
                <c:pt idx="70">
                  <c:v>126</c:v>
                </c:pt>
                <c:pt idx="71">
                  <c:v>#N/A</c:v>
                </c:pt>
                <c:pt idx="72">
                  <c:v>#N/A</c:v>
                </c:pt>
                <c:pt idx="73">
                  <c:v>#N/A</c:v>
                </c:pt>
                <c:pt idx="74">
                  <c:v>60</c:v>
                </c:pt>
                <c:pt idx="75">
                  <c:v>#N/A</c:v>
                </c:pt>
                <c:pt idx="76">
                  <c:v>#N/A</c:v>
                </c:pt>
                <c:pt idx="77">
                  <c:v>#N/A</c:v>
                </c:pt>
                <c:pt idx="78">
                  <c:v>55</c:v>
                </c:pt>
                <c:pt idx="79">
                  <c:v>#N/A</c:v>
                </c:pt>
                <c:pt idx="80">
                  <c:v>#N/A</c:v>
                </c:pt>
                <c:pt idx="81">
                  <c:v>#N/A</c:v>
                </c:pt>
                <c:pt idx="82">
                  <c:v>27</c:v>
                </c:pt>
                <c:pt idx="83">
                  <c:v>#N/A</c:v>
                </c:pt>
                <c:pt idx="84">
                  <c:v>#N/A</c:v>
                </c:pt>
                <c:pt idx="85">
                  <c:v>#N/A</c:v>
                </c:pt>
                <c:pt idx="86">
                  <c:v>20</c:v>
                </c:pt>
                <c:pt idx="87">
                  <c:v>#N/A</c:v>
                </c:pt>
                <c:pt idx="88">
                  <c:v>#N/A</c:v>
                </c:pt>
                <c:pt idx="89">
                  <c:v>#N/A</c:v>
                </c:pt>
                <c:pt idx="90">
                  <c:v>43</c:v>
                </c:pt>
                <c:pt idx="91">
                  <c:v>#N/A</c:v>
                </c:pt>
                <c:pt idx="92">
                  <c:v>#N/A</c:v>
                </c:pt>
                <c:pt idx="93">
                  <c:v>#N/A</c:v>
                </c:pt>
                <c:pt idx="94">
                  <c:v>48</c:v>
                </c:pt>
                <c:pt idx="95">
                  <c:v>#N/A</c:v>
                </c:pt>
                <c:pt idx="96">
                  <c:v>#N/A</c:v>
                </c:pt>
                <c:pt idx="97">
                  <c:v>#N/A</c:v>
                </c:pt>
                <c:pt idx="98">
                  <c:v>110</c:v>
                </c:pt>
                <c:pt idx="99">
                  <c:v>#N/A</c:v>
                </c:pt>
                <c:pt idx="100">
                  <c:v>#N/A</c:v>
                </c:pt>
                <c:pt idx="101">
                  <c:v>#N/A</c:v>
                </c:pt>
                <c:pt idx="102">
                  <c:v>15</c:v>
                </c:pt>
                <c:pt idx="103">
                  <c:v>#N/A</c:v>
                </c:pt>
                <c:pt idx="104">
                  <c:v>#N/A</c:v>
                </c:pt>
                <c:pt idx="105">
                  <c:v>#N/A</c:v>
                </c:pt>
                <c:pt idx="106">
                  <c:v>49</c:v>
                </c:pt>
                <c:pt idx="107">
                  <c:v>#N/A</c:v>
                </c:pt>
                <c:pt idx="108">
                  <c:v>#N/A</c:v>
                </c:pt>
                <c:pt idx="109">
                  <c:v>#N/A</c:v>
                </c:pt>
                <c:pt idx="110">
                  <c:v>22</c:v>
                </c:pt>
                <c:pt idx="111">
                  <c:v>#N/A</c:v>
                </c:pt>
                <c:pt idx="112">
                  <c:v>#N/A</c:v>
                </c:pt>
                <c:pt idx="113">
                  <c:v>#N/A</c:v>
                </c:pt>
                <c:pt idx="114">
                  <c:v>25</c:v>
                </c:pt>
                <c:pt idx="115">
                  <c:v>#N/A</c:v>
                </c:pt>
                <c:pt idx="116">
                  <c:v>#N/A</c:v>
                </c:pt>
                <c:pt idx="117">
                  <c:v>#N/A</c:v>
                </c:pt>
                <c:pt idx="118">
                  <c:v>33</c:v>
                </c:pt>
                <c:pt idx="119">
                  <c:v>#N/A</c:v>
                </c:pt>
                <c:pt idx="120">
                  <c:v>#N/A</c:v>
                </c:pt>
                <c:pt idx="121">
                  <c:v>#N/A</c:v>
                </c:pt>
                <c:pt idx="122">
                  <c:v>58</c:v>
                </c:pt>
                <c:pt idx="123">
                  <c:v>#N/A</c:v>
                </c:pt>
                <c:pt idx="124">
                  <c:v>#N/A</c:v>
                </c:pt>
                <c:pt idx="125">
                  <c:v>#N/A</c:v>
                </c:pt>
                <c:pt idx="126">
                  <c:v>21</c:v>
                </c:pt>
                <c:pt idx="127">
                  <c:v>#N/A</c:v>
                </c:pt>
                <c:pt idx="128">
                  <c:v>#N/A</c:v>
                </c:pt>
                <c:pt idx="129">
                  <c:v>#N/A</c:v>
                </c:pt>
                <c:pt idx="130">
                  <c:v>38</c:v>
                </c:pt>
                <c:pt idx="131">
                  <c:v>#N/A</c:v>
                </c:pt>
                <c:pt idx="132">
                  <c:v>#N/A</c:v>
                </c:pt>
                <c:pt idx="133">
                  <c:v>#N/A</c:v>
                </c:pt>
                <c:pt idx="134">
                  <c:v>127</c:v>
                </c:pt>
                <c:pt idx="135">
                  <c:v>#N/A</c:v>
                </c:pt>
                <c:pt idx="136">
                  <c:v>#N/A</c:v>
                </c:pt>
                <c:pt idx="137">
                  <c:v>#N/A</c:v>
                </c:pt>
                <c:pt idx="138">
                  <c:v>27</c:v>
                </c:pt>
                <c:pt idx="139">
                  <c:v>#N/A</c:v>
                </c:pt>
                <c:pt idx="140">
                  <c:v>#N/A</c:v>
                </c:pt>
                <c:pt idx="141">
                  <c:v>#N/A</c:v>
                </c:pt>
                <c:pt idx="142">
                  <c:v>32</c:v>
                </c:pt>
                <c:pt idx="143">
                  <c:v>#N/A</c:v>
                </c:pt>
                <c:pt idx="144">
                  <c:v>#N/A</c:v>
                </c:pt>
                <c:pt idx="145">
                  <c:v>#N/A</c:v>
                </c:pt>
                <c:pt idx="146">
                  <c:v>138</c:v>
                </c:pt>
                <c:pt idx="147">
                  <c:v>#N/A</c:v>
                </c:pt>
                <c:pt idx="148">
                  <c:v>#N/A</c:v>
                </c:pt>
                <c:pt idx="149">
                  <c:v>#N/A</c:v>
                </c:pt>
                <c:pt idx="150">
                  <c:v>23</c:v>
                </c:pt>
                <c:pt idx="151">
                  <c:v>#N/A</c:v>
                </c:pt>
                <c:pt idx="152">
                  <c:v>#N/A</c:v>
                </c:pt>
                <c:pt idx="153">
                  <c:v>#N/A</c:v>
                </c:pt>
                <c:pt idx="154">
                  <c:v>15</c:v>
                </c:pt>
                <c:pt idx="155">
                  <c:v>#N/A</c:v>
                </c:pt>
                <c:pt idx="156">
                  <c:v>#N/A</c:v>
                </c:pt>
                <c:pt idx="157">
                  <c:v>#N/A</c:v>
                </c:pt>
                <c:pt idx="158">
                  <c:v>61</c:v>
                </c:pt>
                <c:pt idx="159">
                  <c:v>#N/A</c:v>
                </c:pt>
                <c:pt idx="160">
                  <c:v>#N/A</c:v>
                </c:pt>
                <c:pt idx="161">
                  <c:v>#N/A</c:v>
                </c:pt>
                <c:pt idx="162">
                  <c:v>25</c:v>
                </c:pt>
                <c:pt idx="163">
                  <c:v>#N/A</c:v>
                </c:pt>
                <c:pt idx="164">
                  <c:v>#N/A</c:v>
                </c:pt>
                <c:pt idx="165">
                  <c:v>#N/A</c:v>
                </c:pt>
                <c:pt idx="166">
                  <c:v>43</c:v>
                </c:pt>
                <c:pt idx="167">
                  <c:v>#N/A</c:v>
                </c:pt>
                <c:pt idx="168">
                  <c:v>#N/A</c:v>
                </c:pt>
                <c:pt idx="169">
                  <c:v>#N/A</c:v>
                </c:pt>
                <c:pt idx="170">
                  <c:v>81</c:v>
                </c:pt>
                <c:pt idx="171">
                  <c:v>#N/A</c:v>
                </c:pt>
                <c:pt idx="172">
                  <c:v>#N/A</c:v>
                </c:pt>
                <c:pt idx="173">
                  <c:v>#N/A</c:v>
                </c:pt>
                <c:pt idx="174">
                  <c:v>111</c:v>
                </c:pt>
                <c:pt idx="175">
                  <c:v>#N/A</c:v>
                </c:pt>
                <c:pt idx="176">
                  <c:v>#N/A</c:v>
                </c:pt>
                <c:pt idx="177">
                  <c:v>#N/A</c:v>
                </c:pt>
                <c:pt idx="178">
                  <c:v>12</c:v>
                </c:pt>
                <c:pt idx="179">
                  <c:v>#N/A</c:v>
                </c:pt>
                <c:pt idx="180">
                  <c:v>#N/A</c:v>
                </c:pt>
                <c:pt idx="181">
                  <c:v>#N/A</c:v>
                </c:pt>
                <c:pt idx="182">
                  <c:v>66</c:v>
                </c:pt>
                <c:pt idx="183">
                  <c:v>#N/A</c:v>
                </c:pt>
                <c:pt idx="184">
                  <c:v>#N/A</c:v>
                </c:pt>
                <c:pt idx="185">
                  <c:v>#N/A</c:v>
                </c:pt>
                <c:pt idx="186">
                  <c:v>13</c:v>
                </c:pt>
                <c:pt idx="187">
                  <c:v>#N/A</c:v>
                </c:pt>
              </c:numCache>
            </c:numRef>
          </c:val>
        </c:ser>
        <c:ser>
          <c:idx val="8"/>
          <c:order val="7"/>
          <c:tx>
            <c:v>Sorties</c:v>
          </c:tx>
          <c:spPr>
            <a:ln w="25400">
              <a:solidFill>
                <a:srgbClr val="FF6600"/>
              </a:solidFill>
              <a:prstDash val="sysDash"/>
            </a:ln>
          </c:spPr>
          <c:marker>
            <c:symbol val="none"/>
          </c:marker>
          <c:val>
            <c:numRef>
              <c:f>Stat!$R$340:$R$527</c:f>
              <c:numCache>
                <c:formatCode>General</c:formatCode>
                <c:ptCount val="188"/>
                <c:pt idx="0">
                  <c:v>#N/A</c:v>
                </c:pt>
                <c:pt idx="1">
                  <c:v>#N/A</c:v>
                </c:pt>
                <c:pt idx="2">
                  <c:v>74</c:v>
                </c:pt>
                <c:pt idx="3">
                  <c:v>#N/A</c:v>
                </c:pt>
                <c:pt idx="4">
                  <c:v>#N/A</c:v>
                </c:pt>
                <c:pt idx="5">
                  <c:v>#N/A</c:v>
                </c:pt>
                <c:pt idx="6">
                  <c:v>35</c:v>
                </c:pt>
                <c:pt idx="7">
                  <c:v>#N/A</c:v>
                </c:pt>
                <c:pt idx="8">
                  <c:v>#N/A</c:v>
                </c:pt>
                <c:pt idx="9">
                  <c:v>#N/A</c:v>
                </c:pt>
                <c:pt idx="10">
                  <c:v>49</c:v>
                </c:pt>
                <c:pt idx="11">
                  <c:v>#N/A</c:v>
                </c:pt>
                <c:pt idx="12">
                  <c:v>#N/A</c:v>
                </c:pt>
                <c:pt idx="13">
                  <c:v>#N/A</c:v>
                </c:pt>
                <c:pt idx="14">
                  <c:v>76</c:v>
                </c:pt>
                <c:pt idx="15">
                  <c:v>#N/A</c:v>
                </c:pt>
                <c:pt idx="16">
                  <c:v>#N/A</c:v>
                </c:pt>
                <c:pt idx="17">
                  <c:v>#N/A</c:v>
                </c:pt>
                <c:pt idx="18">
                  <c:v>72</c:v>
                </c:pt>
                <c:pt idx="19">
                  <c:v>#N/A</c:v>
                </c:pt>
                <c:pt idx="20">
                  <c:v>#N/A</c:v>
                </c:pt>
                <c:pt idx="21">
                  <c:v>#N/A</c:v>
                </c:pt>
                <c:pt idx="22">
                  <c:v>49</c:v>
                </c:pt>
                <c:pt idx="23">
                  <c:v>#N/A</c:v>
                </c:pt>
                <c:pt idx="24">
                  <c:v>#N/A</c:v>
                </c:pt>
                <c:pt idx="25">
                  <c:v>#N/A</c:v>
                </c:pt>
                <c:pt idx="26">
                  <c:v>74</c:v>
                </c:pt>
                <c:pt idx="27">
                  <c:v>#N/A</c:v>
                </c:pt>
                <c:pt idx="28">
                  <c:v>#N/A</c:v>
                </c:pt>
                <c:pt idx="29">
                  <c:v>#N/A</c:v>
                </c:pt>
                <c:pt idx="30">
                  <c:v>33</c:v>
                </c:pt>
                <c:pt idx="31">
                  <c:v>#N/A</c:v>
                </c:pt>
                <c:pt idx="32">
                  <c:v>#N/A</c:v>
                </c:pt>
                <c:pt idx="33">
                  <c:v>#N/A</c:v>
                </c:pt>
                <c:pt idx="34">
                  <c:v>41</c:v>
                </c:pt>
                <c:pt idx="35">
                  <c:v>#N/A</c:v>
                </c:pt>
                <c:pt idx="36">
                  <c:v>#N/A</c:v>
                </c:pt>
                <c:pt idx="37">
                  <c:v>#N/A</c:v>
                </c:pt>
                <c:pt idx="38">
                  <c:v>62</c:v>
                </c:pt>
                <c:pt idx="39">
                  <c:v>#N/A</c:v>
                </c:pt>
                <c:pt idx="40">
                  <c:v>#N/A</c:v>
                </c:pt>
                <c:pt idx="41">
                  <c:v>#N/A</c:v>
                </c:pt>
                <c:pt idx="42">
                  <c:v>68</c:v>
                </c:pt>
                <c:pt idx="43">
                  <c:v>#N/A</c:v>
                </c:pt>
                <c:pt idx="44">
                  <c:v>#N/A</c:v>
                </c:pt>
                <c:pt idx="45">
                  <c:v>#N/A</c:v>
                </c:pt>
                <c:pt idx="46">
                  <c:v>43</c:v>
                </c:pt>
                <c:pt idx="47">
                  <c:v>#N/A</c:v>
                </c:pt>
                <c:pt idx="48">
                  <c:v>#N/A</c:v>
                </c:pt>
                <c:pt idx="49">
                  <c:v>#N/A</c:v>
                </c:pt>
                <c:pt idx="50">
                  <c:v>82</c:v>
                </c:pt>
                <c:pt idx="51">
                  <c:v>#N/A</c:v>
                </c:pt>
                <c:pt idx="52">
                  <c:v>#N/A</c:v>
                </c:pt>
                <c:pt idx="53">
                  <c:v>#N/A</c:v>
                </c:pt>
                <c:pt idx="54">
                  <c:v>32</c:v>
                </c:pt>
                <c:pt idx="55">
                  <c:v>#N/A</c:v>
                </c:pt>
                <c:pt idx="56">
                  <c:v>#N/A</c:v>
                </c:pt>
                <c:pt idx="57">
                  <c:v>#N/A</c:v>
                </c:pt>
                <c:pt idx="58">
                  <c:v>29</c:v>
                </c:pt>
                <c:pt idx="59">
                  <c:v>#N/A</c:v>
                </c:pt>
                <c:pt idx="60">
                  <c:v>#N/A</c:v>
                </c:pt>
                <c:pt idx="61">
                  <c:v>#N/A</c:v>
                </c:pt>
                <c:pt idx="62">
                  <c:v>59</c:v>
                </c:pt>
                <c:pt idx="63">
                  <c:v>#N/A</c:v>
                </c:pt>
                <c:pt idx="64">
                  <c:v>#N/A</c:v>
                </c:pt>
                <c:pt idx="65">
                  <c:v>#N/A</c:v>
                </c:pt>
                <c:pt idx="66">
                  <c:v>23</c:v>
                </c:pt>
                <c:pt idx="67">
                  <c:v>#N/A</c:v>
                </c:pt>
                <c:pt idx="68">
                  <c:v>#N/A</c:v>
                </c:pt>
                <c:pt idx="69">
                  <c:v>#N/A</c:v>
                </c:pt>
                <c:pt idx="70">
                  <c:v>97</c:v>
                </c:pt>
                <c:pt idx="71">
                  <c:v>#N/A</c:v>
                </c:pt>
                <c:pt idx="72">
                  <c:v>#N/A</c:v>
                </c:pt>
                <c:pt idx="73">
                  <c:v>#N/A</c:v>
                </c:pt>
                <c:pt idx="74">
                  <c:v>86</c:v>
                </c:pt>
                <c:pt idx="75">
                  <c:v>#N/A</c:v>
                </c:pt>
                <c:pt idx="76">
                  <c:v>#N/A</c:v>
                </c:pt>
                <c:pt idx="77">
                  <c:v>#N/A</c:v>
                </c:pt>
                <c:pt idx="78">
                  <c:v>43</c:v>
                </c:pt>
                <c:pt idx="79">
                  <c:v>#N/A</c:v>
                </c:pt>
                <c:pt idx="80">
                  <c:v>#N/A</c:v>
                </c:pt>
                <c:pt idx="81">
                  <c:v>#N/A</c:v>
                </c:pt>
                <c:pt idx="82">
                  <c:v>41</c:v>
                </c:pt>
                <c:pt idx="83">
                  <c:v>#N/A</c:v>
                </c:pt>
                <c:pt idx="84">
                  <c:v>#N/A</c:v>
                </c:pt>
                <c:pt idx="85">
                  <c:v>#N/A</c:v>
                </c:pt>
                <c:pt idx="86">
                  <c:v>22</c:v>
                </c:pt>
                <c:pt idx="87">
                  <c:v>#N/A</c:v>
                </c:pt>
                <c:pt idx="88">
                  <c:v>#N/A</c:v>
                </c:pt>
                <c:pt idx="89">
                  <c:v>#N/A</c:v>
                </c:pt>
                <c:pt idx="90">
                  <c:v>48</c:v>
                </c:pt>
                <c:pt idx="91">
                  <c:v>#N/A</c:v>
                </c:pt>
                <c:pt idx="92">
                  <c:v>#N/A</c:v>
                </c:pt>
                <c:pt idx="93">
                  <c:v>#N/A</c:v>
                </c:pt>
                <c:pt idx="94">
                  <c:v>0</c:v>
                </c:pt>
                <c:pt idx="95">
                  <c:v>#N/A</c:v>
                </c:pt>
                <c:pt idx="96">
                  <c:v>#N/A</c:v>
                </c:pt>
                <c:pt idx="97">
                  <c:v>#N/A</c:v>
                </c:pt>
                <c:pt idx="98">
                  <c:v>12</c:v>
                </c:pt>
                <c:pt idx="99">
                  <c:v>#N/A</c:v>
                </c:pt>
                <c:pt idx="100">
                  <c:v>#N/A</c:v>
                </c:pt>
                <c:pt idx="101">
                  <c:v>#N/A</c:v>
                </c:pt>
                <c:pt idx="102">
                  <c:v>22</c:v>
                </c:pt>
                <c:pt idx="103">
                  <c:v>#N/A</c:v>
                </c:pt>
                <c:pt idx="104">
                  <c:v>#N/A</c:v>
                </c:pt>
                <c:pt idx="105">
                  <c:v>#N/A</c:v>
                </c:pt>
                <c:pt idx="106">
                  <c:v>98</c:v>
                </c:pt>
                <c:pt idx="107">
                  <c:v>#N/A</c:v>
                </c:pt>
                <c:pt idx="108">
                  <c:v>#N/A</c:v>
                </c:pt>
                <c:pt idx="109">
                  <c:v>#N/A</c:v>
                </c:pt>
                <c:pt idx="110">
                  <c:v>27</c:v>
                </c:pt>
                <c:pt idx="111">
                  <c:v>#N/A</c:v>
                </c:pt>
                <c:pt idx="112">
                  <c:v>#N/A</c:v>
                </c:pt>
                <c:pt idx="113">
                  <c:v>#N/A</c:v>
                </c:pt>
                <c:pt idx="114">
                  <c:v>37</c:v>
                </c:pt>
                <c:pt idx="115">
                  <c:v>#N/A</c:v>
                </c:pt>
                <c:pt idx="116">
                  <c:v>#N/A</c:v>
                </c:pt>
                <c:pt idx="117">
                  <c:v>#N/A</c:v>
                </c:pt>
                <c:pt idx="118">
                  <c:v>51</c:v>
                </c:pt>
                <c:pt idx="119">
                  <c:v>#N/A</c:v>
                </c:pt>
                <c:pt idx="120">
                  <c:v>#N/A</c:v>
                </c:pt>
                <c:pt idx="121">
                  <c:v>#N/A</c:v>
                </c:pt>
                <c:pt idx="122">
                  <c:v>62</c:v>
                </c:pt>
                <c:pt idx="123">
                  <c:v>#N/A</c:v>
                </c:pt>
                <c:pt idx="124">
                  <c:v>#N/A</c:v>
                </c:pt>
                <c:pt idx="125">
                  <c:v>#N/A</c:v>
                </c:pt>
                <c:pt idx="126">
                  <c:v>21</c:v>
                </c:pt>
                <c:pt idx="127">
                  <c:v>#N/A</c:v>
                </c:pt>
                <c:pt idx="128">
                  <c:v>#N/A</c:v>
                </c:pt>
                <c:pt idx="129">
                  <c:v>#N/A</c:v>
                </c:pt>
                <c:pt idx="130">
                  <c:v>32</c:v>
                </c:pt>
                <c:pt idx="131">
                  <c:v>#N/A</c:v>
                </c:pt>
                <c:pt idx="132">
                  <c:v>#N/A</c:v>
                </c:pt>
                <c:pt idx="133">
                  <c:v>#N/A</c:v>
                </c:pt>
                <c:pt idx="134">
                  <c:v>76</c:v>
                </c:pt>
                <c:pt idx="135">
                  <c:v>#N/A</c:v>
                </c:pt>
                <c:pt idx="136">
                  <c:v>#N/A</c:v>
                </c:pt>
                <c:pt idx="137">
                  <c:v>#N/A</c:v>
                </c:pt>
                <c:pt idx="138">
                  <c:v>88</c:v>
                </c:pt>
                <c:pt idx="139">
                  <c:v>#N/A</c:v>
                </c:pt>
                <c:pt idx="140">
                  <c:v>#N/A</c:v>
                </c:pt>
                <c:pt idx="141">
                  <c:v>#N/A</c:v>
                </c:pt>
                <c:pt idx="142">
                  <c:v>31</c:v>
                </c:pt>
                <c:pt idx="143">
                  <c:v>#N/A</c:v>
                </c:pt>
                <c:pt idx="144">
                  <c:v>#N/A</c:v>
                </c:pt>
                <c:pt idx="145">
                  <c:v>#N/A</c:v>
                </c:pt>
                <c:pt idx="146">
                  <c:v>17</c:v>
                </c:pt>
                <c:pt idx="147">
                  <c:v>#N/A</c:v>
                </c:pt>
                <c:pt idx="148">
                  <c:v>#N/A</c:v>
                </c:pt>
                <c:pt idx="149">
                  <c:v>#N/A</c:v>
                </c:pt>
                <c:pt idx="150">
                  <c:v>74</c:v>
                </c:pt>
                <c:pt idx="151">
                  <c:v>#N/A</c:v>
                </c:pt>
                <c:pt idx="152">
                  <c:v>#N/A</c:v>
                </c:pt>
                <c:pt idx="153">
                  <c:v>#N/A</c:v>
                </c:pt>
                <c:pt idx="154">
                  <c:v>70</c:v>
                </c:pt>
                <c:pt idx="155">
                  <c:v>#N/A</c:v>
                </c:pt>
                <c:pt idx="156">
                  <c:v>#N/A</c:v>
                </c:pt>
                <c:pt idx="157">
                  <c:v>#N/A</c:v>
                </c:pt>
                <c:pt idx="158">
                  <c:v>50</c:v>
                </c:pt>
                <c:pt idx="159">
                  <c:v>#N/A</c:v>
                </c:pt>
                <c:pt idx="160">
                  <c:v>#N/A</c:v>
                </c:pt>
                <c:pt idx="161">
                  <c:v>#N/A</c:v>
                </c:pt>
                <c:pt idx="162">
                  <c:v>33</c:v>
                </c:pt>
                <c:pt idx="163">
                  <c:v>#N/A</c:v>
                </c:pt>
                <c:pt idx="164">
                  <c:v>#N/A</c:v>
                </c:pt>
                <c:pt idx="165">
                  <c:v>#N/A</c:v>
                </c:pt>
                <c:pt idx="166">
                  <c:v>53</c:v>
                </c:pt>
                <c:pt idx="167">
                  <c:v>#N/A</c:v>
                </c:pt>
                <c:pt idx="168">
                  <c:v>#N/A</c:v>
                </c:pt>
                <c:pt idx="169">
                  <c:v>#N/A</c:v>
                </c:pt>
                <c:pt idx="170">
                  <c:v>60</c:v>
                </c:pt>
                <c:pt idx="171">
                  <c:v>#N/A</c:v>
                </c:pt>
                <c:pt idx="172">
                  <c:v>#N/A</c:v>
                </c:pt>
                <c:pt idx="173">
                  <c:v>#N/A</c:v>
                </c:pt>
                <c:pt idx="174">
                  <c:v>112</c:v>
                </c:pt>
                <c:pt idx="175">
                  <c:v>#N/A</c:v>
                </c:pt>
                <c:pt idx="176">
                  <c:v>#N/A</c:v>
                </c:pt>
                <c:pt idx="177">
                  <c:v>#N/A</c:v>
                </c:pt>
                <c:pt idx="178">
                  <c:v>15</c:v>
                </c:pt>
                <c:pt idx="179">
                  <c:v>#N/A</c:v>
                </c:pt>
                <c:pt idx="180">
                  <c:v>#N/A</c:v>
                </c:pt>
                <c:pt idx="181">
                  <c:v>#N/A</c:v>
                </c:pt>
                <c:pt idx="182">
                  <c:v>77</c:v>
                </c:pt>
                <c:pt idx="183">
                  <c:v>#N/A</c:v>
                </c:pt>
                <c:pt idx="184">
                  <c:v>#N/A</c:v>
                </c:pt>
                <c:pt idx="185">
                  <c:v>#N/A</c:v>
                </c:pt>
                <c:pt idx="186">
                  <c:v>0</c:v>
                </c:pt>
                <c:pt idx="187">
                  <c:v>#N/A</c:v>
                </c:pt>
              </c:numCache>
            </c:numRef>
          </c:val>
        </c:ser>
        <c:marker val="1"/>
        <c:axId val="102975744"/>
        <c:axId val="102981632"/>
      </c:lineChart>
      <c:catAx>
        <c:axId val="100973568"/>
        <c:scaling>
          <c:orientation val="minMax"/>
        </c:scaling>
        <c:axPos val="b"/>
        <c:numFmt formatCode="General" sourceLinked="1"/>
        <c:tickLblPos val="nextTo"/>
        <c:spPr>
          <a:ln w="3175">
            <a:solidFill>
              <a:srgbClr val="000000"/>
            </a:solidFill>
            <a:prstDash val="solid"/>
          </a:ln>
        </c:spPr>
        <c:txPr>
          <a:bodyPr rot="-5400000" vert="horz"/>
          <a:lstStyle/>
          <a:p>
            <a:pPr>
              <a:defRPr sz="575" b="0" i="0" u="none" strike="noStrike" baseline="0">
                <a:solidFill>
                  <a:srgbClr val="000000"/>
                </a:solidFill>
                <a:latin typeface="Arial"/>
                <a:ea typeface="Arial"/>
                <a:cs typeface="Arial"/>
              </a:defRPr>
            </a:pPr>
            <a:endParaRPr lang="fr-FR"/>
          </a:p>
        </c:txPr>
        <c:crossAx val="102974208"/>
        <c:crosses val="autoZero"/>
        <c:auto val="1"/>
        <c:lblAlgn val="ctr"/>
        <c:lblOffset val="0"/>
        <c:tickLblSkip val="1"/>
        <c:tickMarkSkip val="1"/>
      </c:catAx>
      <c:valAx>
        <c:axId val="102974208"/>
        <c:scaling>
          <c:orientation val="minMax"/>
          <c:max val="240"/>
          <c:min val="0"/>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100973568"/>
        <c:crosses val="autoZero"/>
        <c:crossBetween val="between"/>
      </c:valAx>
      <c:catAx>
        <c:axId val="102975744"/>
        <c:scaling>
          <c:orientation val="minMax"/>
        </c:scaling>
        <c:delete val="1"/>
        <c:axPos val="b"/>
        <c:tickLblPos val="none"/>
        <c:crossAx val="102981632"/>
        <c:crosses val="autoZero"/>
        <c:auto val="1"/>
        <c:lblAlgn val="ctr"/>
        <c:lblOffset val="100"/>
      </c:catAx>
      <c:valAx>
        <c:axId val="102981632"/>
        <c:scaling>
          <c:orientation val="minMax"/>
          <c:max val="240"/>
          <c:min val="0"/>
        </c:scaling>
        <c:axPos val="r"/>
        <c:numFmt formatCode="General" sourceLinked="1"/>
        <c:tickLblPos val="nextTo"/>
        <c:spPr>
          <a:ln w="3175">
            <a:solidFill>
              <a:srgbClr val="000000"/>
            </a:solidFill>
            <a:prstDash val="solid"/>
          </a:ln>
        </c:spPr>
        <c:txPr>
          <a:bodyPr rot="0" vert="horz"/>
          <a:lstStyle/>
          <a:p>
            <a:pPr>
              <a:defRPr sz="900" b="0" i="0" u="none" strike="noStrike" baseline="0">
                <a:solidFill>
                  <a:srgbClr val="000000"/>
                </a:solidFill>
                <a:latin typeface="Arial"/>
                <a:ea typeface="Arial"/>
                <a:cs typeface="Arial"/>
              </a:defRPr>
            </a:pPr>
            <a:endParaRPr lang="fr-FR"/>
          </a:p>
        </c:txPr>
        <c:crossAx val="102975744"/>
        <c:crosses val="max"/>
        <c:crossBetween val="between"/>
      </c:valAx>
      <c:spPr>
        <a:gradFill rotWithShape="0">
          <a:gsLst>
            <a:gs pos="0">
              <a:srgbClr val="C0C0C0"/>
            </a:gs>
            <a:gs pos="100000">
              <a:srgbClr val="C0C0C0">
                <a:gamma/>
                <a:tint val="0"/>
                <a:invGamma/>
              </a:srgbClr>
            </a:gs>
          </a:gsLst>
          <a:lin ang="5400000" scaled="1"/>
        </a:gradFill>
        <a:ln w="12700">
          <a:solidFill>
            <a:srgbClr val="808080"/>
          </a:solidFill>
          <a:prstDash val="solid"/>
        </a:ln>
      </c:spPr>
    </c:plotArea>
    <c:legend>
      <c:legendPos val="r"/>
      <c:layout>
        <c:manualLayout>
          <c:xMode val="edge"/>
          <c:yMode val="edge"/>
          <c:x val="0.39941690962112086"/>
          <c:y val="0.88010899182559998"/>
          <c:w val="0.55587949465521558"/>
          <c:h val="0.10626702997275222"/>
        </c:manualLayout>
      </c:layout>
      <c:spPr>
        <a:solidFill>
          <a:srgbClr val="FFFFFF"/>
        </a:solidFill>
        <a:ln w="3175">
          <a:solidFill>
            <a:srgbClr val="000000"/>
          </a:solidFill>
          <a:prstDash val="solid"/>
        </a:ln>
      </c:spPr>
      <c:txPr>
        <a:bodyPr/>
        <a:lstStyle/>
        <a:p>
          <a:pPr>
            <a:defRPr sz="860" b="0" i="0" u="none" strike="noStrike" baseline="0">
              <a:solidFill>
                <a:srgbClr val="000000"/>
              </a:solidFill>
              <a:latin typeface="Arial"/>
              <a:ea typeface="Arial"/>
              <a:cs typeface="Arial"/>
            </a:defRPr>
          </a:pPr>
          <a:endParaRPr lang="fr-FR"/>
        </a:p>
      </c:txPr>
    </c:legend>
    <c:plotVisOnly val="1"/>
    <c:dispBlanksAs val="gap"/>
  </c:chart>
  <c:spPr>
    <a:noFill/>
    <a:ln w="9525">
      <a:noFill/>
    </a:ln>
  </c:spPr>
  <c:txPr>
    <a:bodyPr/>
    <a:lstStyle/>
    <a:p>
      <a:pPr>
        <a:defRPr sz="1100" b="0" i="0" u="none" strike="noStrike" baseline="0">
          <a:solidFill>
            <a:srgbClr val="000000"/>
          </a:solidFill>
          <a:latin typeface="Arial"/>
          <a:ea typeface="Arial"/>
          <a:cs typeface="Arial"/>
        </a:defRPr>
      </a:pPr>
      <a:endParaRPr lang="fr-FR"/>
    </a:p>
  </c:txPr>
</c:chartSpace>
</file>

<file path=xl/charts/chart2.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en-US"/>
              <a:t>Evolution des FI DiagBox</a:t>
            </a:r>
          </a:p>
        </c:rich>
      </c:tx>
      <c:layout>
        <c:manualLayout>
          <c:xMode val="edge"/>
          <c:yMode val="edge"/>
          <c:x val="0.37131209078130284"/>
          <c:y val="3.7523218106742001E-2"/>
        </c:manualLayout>
      </c:layout>
      <c:overlay val="1"/>
    </c:title>
    <c:plotArea>
      <c:layout>
        <c:manualLayout>
          <c:layoutTarget val="inner"/>
          <c:xMode val="edge"/>
          <c:yMode val="edge"/>
          <c:x val="6.2205932186164797E-2"/>
          <c:y val="2.7313816882757812E-2"/>
          <c:w val="0.82398007111344962"/>
          <c:h val="0.9349492500938329"/>
        </c:manualLayout>
      </c:layout>
      <c:barChart>
        <c:barDir val="col"/>
        <c:grouping val="stacked"/>
        <c:ser>
          <c:idx val="0"/>
          <c:order val="0"/>
          <c:tx>
            <c:v>Sev1 Nouvelles</c:v>
          </c:tx>
          <c:spPr>
            <a:solidFill>
              <a:srgbClr val="FF0000"/>
            </a:solidFill>
            <a:ln>
              <a:solidFill>
                <a:prstClr val="black"/>
              </a:solidFill>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Stat!$U$340:$U$527</c:f>
              <c:numCache>
                <c:formatCode>General</c:formatCode>
                <c:ptCount val="188"/>
                <c:pt idx="0">
                  <c:v>#N/A</c:v>
                </c:pt>
                <c:pt idx="1">
                  <c:v>3</c:v>
                </c:pt>
                <c:pt idx="2">
                  <c:v>#N/A</c:v>
                </c:pt>
                <c:pt idx="3">
                  <c:v>#N/A</c:v>
                </c:pt>
                <c:pt idx="4">
                  <c:v>#N/A</c:v>
                </c:pt>
                <c:pt idx="5">
                  <c:v>15</c:v>
                </c:pt>
                <c:pt idx="6">
                  <c:v>#N/A</c:v>
                </c:pt>
                <c:pt idx="7">
                  <c:v>#N/A</c:v>
                </c:pt>
                <c:pt idx="8">
                  <c:v>#N/A</c:v>
                </c:pt>
                <c:pt idx="9">
                  <c:v>3</c:v>
                </c:pt>
                <c:pt idx="10">
                  <c:v>#N/A</c:v>
                </c:pt>
                <c:pt idx="11">
                  <c:v>#N/A</c:v>
                </c:pt>
                <c:pt idx="12">
                  <c:v>#N/A</c:v>
                </c:pt>
                <c:pt idx="13">
                  <c:v>5</c:v>
                </c:pt>
                <c:pt idx="14">
                  <c:v>#N/A</c:v>
                </c:pt>
                <c:pt idx="15">
                  <c:v>#N/A</c:v>
                </c:pt>
                <c:pt idx="16">
                  <c:v>#N/A</c:v>
                </c:pt>
                <c:pt idx="17">
                  <c:v>8</c:v>
                </c:pt>
                <c:pt idx="18">
                  <c:v>#N/A</c:v>
                </c:pt>
                <c:pt idx="19">
                  <c:v>#N/A</c:v>
                </c:pt>
                <c:pt idx="20">
                  <c:v>#N/A</c:v>
                </c:pt>
                <c:pt idx="21">
                  <c:v>2</c:v>
                </c:pt>
                <c:pt idx="22">
                  <c:v>#N/A</c:v>
                </c:pt>
                <c:pt idx="23">
                  <c:v>#N/A</c:v>
                </c:pt>
                <c:pt idx="24">
                  <c:v>#N/A</c:v>
                </c:pt>
                <c:pt idx="25">
                  <c:v>2</c:v>
                </c:pt>
                <c:pt idx="26">
                  <c:v>#N/A</c:v>
                </c:pt>
                <c:pt idx="27">
                  <c:v>#N/A</c:v>
                </c:pt>
                <c:pt idx="28">
                  <c:v>#N/A</c:v>
                </c:pt>
                <c:pt idx="29">
                  <c:v>1</c:v>
                </c:pt>
                <c:pt idx="30">
                  <c:v>#N/A</c:v>
                </c:pt>
                <c:pt idx="31">
                  <c:v>#N/A</c:v>
                </c:pt>
                <c:pt idx="32">
                  <c:v>#N/A</c:v>
                </c:pt>
                <c:pt idx="33">
                  <c:v>12</c:v>
                </c:pt>
                <c:pt idx="34">
                  <c:v>#N/A</c:v>
                </c:pt>
                <c:pt idx="35">
                  <c:v>#N/A</c:v>
                </c:pt>
                <c:pt idx="36">
                  <c:v>#N/A</c:v>
                </c:pt>
                <c:pt idx="37">
                  <c:v>6</c:v>
                </c:pt>
                <c:pt idx="38">
                  <c:v>#N/A</c:v>
                </c:pt>
                <c:pt idx="39">
                  <c:v>#N/A</c:v>
                </c:pt>
                <c:pt idx="40">
                  <c:v>#N/A</c:v>
                </c:pt>
                <c:pt idx="41">
                  <c:v>4</c:v>
                </c:pt>
                <c:pt idx="42">
                  <c:v>#N/A</c:v>
                </c:pt>
                <c:pt idx="43">
                  <c:v>#N/A</c:v>
                </c:pt>
                <c:pt idx="44">
                  <c:v>#N/A</c:v>
                </c:pt>
                <c:pt idx="45">
                  <c:v>3</c:v>
                </c:pt>
                <c:pt idx="46">
                  <c:v>#N/A</c:v>
                </c:pt>
                <c:pt idx="47">
                  <c:v>#N/A</c:v>
                </c:pt>
                <c:pt idx="48">
                  <c:v>#N/A</c:v>
                </c:pt>
                <c:pt idx="49">
                  <c:v>6</c:v>
                </c:pt>
                <c:pt idx="50">
                  <c:v>#N/A</c:v>
                </c:pt>
                <c:pt idx="51">
                  <c:v>#N/A</c:v>
                </c:pt>
                <c:pt idx="52">
                  <c:v>#N/A</c:v>
                </c:pt>
                <c:pt idx="53">
                  <c:v>4</c:v>
                </c:pt>
                <c:pt idx="54">
                  <c:v>#N/A</c:v>
                </c:pt>
                <c:pt idx="55">
                  <c:v>#N/A</c:v>
                </c:pt>
                <c:pt idx="56">
                  <c:v>#N/A</c:v>
                </c:pt>
                <c:pt idx="57">
                  <c:v>3</c:v>
                </c:pt>
                <c:pt idx="58">
                  <c:v>#N/A</c:v>
                </c:pt>
                <c:pt idx="59">
                  <c:v>#N/A</c:v>
                </c:pt>
                <c:pt idx="60">
                  <c:v>#N/A</c:v>
                </c:pt>
                <c:pt idx="61">
                  <c:v>12</c:v>
                </c:pt>
                <c:pt idx="62">
                  <c:v>#N/A</c:v>
                </c:pt>
                <c:pt idx="63">
                  <c:v>#N/A</c:v>
                </c:pt>
                <c:pt idx="64">
                  <c:v>#N/A</c:v>
                </c:pt>
                <c:pt idx="65">
                  <c:v>8</c:v>
                </c:pt>
                <c:pt idx="66">
                  <c:v>#N/A</c:v>
                </c:pt>
                <c:pt idx="67">
                  <c:v>#N/A</c:v>
                </c:pt>
                <c:pt idx="68">
                  <c:v>#N/A</c:v>
                </c:pt>
                <c:pt idx="69">
                  <c:v>6</c:v>
                </c:pt>
                <c:pt idx="70">
                  <c:v>#N/A</c:v>
                </c:pt>
                <c:pt idx="71">
                  <c:v>#N/A</c:v>
                </c:pt>
                <c:pt idx="72">
                  <c:v>#N/A</c:v>
                </c:pt>
                <c:pt idx="73">
                  <c:v>4</c:v>
                </c:pt>
                <c:pt idx="74">
                  <c:v>#N/A</c:v>
                </c:pt>
                <c:pt idx="75">
                  <c:v>#N/A</c:v>
                </c:pt>
                <c:pt idx="76">
                  <c:v>#N/A</c:v>
                </c:pt>
                <c:pt idx="77">
                  <c:v>3</c:v>
                </c:pt>
                <c:pt idx="78">
                  <c:v>#N/A</c:v>
                </c:pt>
                <c:pt idx="79">
                  <c:v>#N/A</c:v>
                </c:pt>
                <c:pt idx="80">
                  <c:v>#N/A</c:v>
                </c:pt>
                <c:pt idx="81">
                  <c:v>4</c:v>
                </c:pt>
                <c:pt idx="82">
                  <c:v>#N/A</c:v>
                </c:pt>
                <c:pt idx="83">
                  <c:v>#N/A</c:v>
                </c:pt>
                <c:pt idx="84">
                  <c:v>#N/A</c:v>
                </c:pt>
                <c:pt idx="85">
                  <c:v>6</c:v>
                </c:pt>
                <c:pt idx="87">
                  <c:v>#N/A</c:v>
                </c:pt>
                <c:pt idx="88">
                  <c:v>#N/A</c:v>
                </c:pt>
                <c:pt idx="89">
                  <c:v>1</c:v>
                </c:pt>
                <c:pt idx="91">
                  <c:v>#N/A</c:v>
                </c:pt>
                <c:pt idx="92">
                  <c:v>#N/A</c:v>
                </c:pt>
                <c:pt idx="93">
                  <c:v>6</c:v>
                </c:pt>
                <c:pt idx="95">
                  <c:v>#N/A</c:v>
                </c:pt>
                <c:pt idx="96">
                  <c:v>#N/A</c:v>
                </c:pt>
                <c:pt idx="97">
                  <c:v>2</c:v>
                </c:pt>
                <c:pt idx="99">
                  <c:v>#N/A</c:v>
                </c:pt>
                <c:pt idx="100">
                  <c:v>#N/A</c:v>
                </c:pt>
                <c:pt idx="101">
                  <c:v>1</c:v>
                </c:pt>
                <c:pt idx="103">
                  <c:v>#N/A</c:v>
                </c:pt>
                <c:pt idx="104">
                  <c:v>#N/A</c:v>
                </c:pt>
                <c:pt idx="105">
                  <c:v>5</c:v>
                </c:pt>
                <c:pt idx="107">
                  <c:v>#N/A</c:v>
                </c:pt>
                <c:pt idx="108">
                  <c:v>#N/A</c:v>
                </c:pt>
                <c:pt idx="109">
                  <c:v>8</c:v>
                </c:pt>
                <c:pt idx="111">
                  <c:v>#N/A</c:v>
                </c:pt>
                <c:pt idx="112">
                  <c:v>#N/A</c:v>
                </c:pt>
                <c:pt idx="113">
                  <c:v>4</c:v>
                </c:pt>
                <c:pt idx="115">
                  <c:v>#N/A</c:v>
                </c:pt>
                <c:pt idx="116">
                  <c:v>#N/A</c:v>
                </c:pt>
                <c:pt idx="117">
                  <c:v>1</c:v>
                </c:pt>
                <c:pt idx="119">
                  <c:v>#N/A</c:v>
                </c:pt>
                <c:pt idx="120">
                  <c:v>#N/A</c:v>
                </c:pt>
                <c:pt idx="121">
                  <c:v>7</c:v>
                </c:pt>
                <c:pt idx="123">
                  <c:v>#N/A</c:v>
                </c:pt>
                <c:pt idx="124">
                  <c:v>#N/A</c:v>
                </c:pt>
                <c:pt idx="125">
                  <c:v>2</c:v>
                </c:pt>
                <c:pt idx="127">
                  <c:v>#N/A</c:v>
                </c:pt>
                <c:pt idx="128">
                  <c:v>#N/A</c:v>
                </c:pt>
                <c:pt idx="129">
                  <c:v>4</c:v>
                </c:pt>
                <c:pt idx="131">
                  <c:v>#N/A</c:v>
                </c:pt>
                <c:pt idx="132">
                  <c:v>#N/A</c:v>
                </c:pt>
                <c:pt idx="133">
                  <c:v>4</c:v>
                </c:pt>
                <c:pt idx="135">
                  <c:v>#N/A</c:v>
                </c:pt>
                <c:pt idx="136">
                  <c:v>#N/A</c:v>
                </c:pt>
                <c:pt idx="137">
                  <c:v>3</c:v>
                </c:pt>
                <c:pt idx="139">
                  <c:v>#N/A</c:v>
                </c:pt>
                <c:pt idx="140">
                  <c:v>#N/A</c:v>
                </c:pt>
                <c:pt idx="141">
                  <c:v>19</c:v>
                </c:pt>
                <c:pt idx="143">
                  <c:v>#N/A</c:v>
                </c:pt>
                <c:pt idx="144">
                  <c:v>#N/A</c:v>
                </c:pt>
                <c:pt idx="145">
                  <c:v>16</c:v>
                </c:pt>
                <c:pt idx="147">
                  <c:v>#N/A</c:v>
                </c:pt>
                <c:pt idx="148">
                  <c:v>#N/A</c:v>
                </c:pt>
                <c:pt idx="149">
                  <c:v>1</c:v>
                </c:pt>
                <c:pt idx="151">
                  <c:v>#N/A</c:v>
                </c:pt>
                <c:pt idx="152">
                  <c:v>#N/A</c:v>
                </c:pt>
                <c:pt idx="153">
                  <c:v>0</c:v>
                </c:pt>
                <c:pt idx="155">
                  <c:v>#N/A</c:v>
                </c:pt>
                <c:pt idx="156">
                  <c:v>#N/A</c:v>
                </c:pt>
                <c:pt idx="157">
                  <c:v>3</c:v>
                </c:pt>
                <c:pt idx="159">
                  <c:v>#N/A</c:v>
                </c:pt>
                <c:pt idx="160">
                  <c:v>#N/A</c:v>
                </c:pt>
                <c:pt idx="161">
                  <c:v>6</c:v>
                </c:pt>
                <c:pt idx="163">
                  <c:v>#N/A</c:v>
                </c:pt>
                <c:pt idx="164">
                  <c:v>#N/A</c:v>
                </c:pt>
                <c:pt idx="165">
                  <c:v>4</c:v>
                </c:pt>
                <c:pt idx="167">
                  <c:v>#N/A</c:v>
                </c:pt>
                <c:pt idx="168">
                  <c:v>#N/A</c:v>
                </c:pt>
                <c:pt idx="169">
                  <c:v>3</c:v>
                </c:pt>
                <c:pt idx="171">
                  <c:v>#N/A</c:v>
                </c:pt>
                <c:pt idx="172">
                  <c:v>#N/A</c:v>
                </c:pt>
                <c:pt idx="173">
                  <c:v>3</c:v>
                </c:pt>
                <c:pt idx="175">
                  <c:v>#N/A</c:v>
                </c:pt>
                <c:pt idx="176">
                  <c:v>#N/A</c:v>
                </c:pt>
                <c:pt idx="177">
                  <c:v>7</c:v>
                </c:pt>
                <c:pt idx="179">
                  <c:v>#N/A</c:v>
                </c:pt>
                <c:pt idx="180">
                  <c:v>#N/A</c:v>
                </c:pt>
                <c:pt idx="181">
                  <c:v>3</c:v>
                </c:pt>
                <c:pt idx="183">
                  <c:v>#N/A</c:v>
                </c:pt>
                <c:pt idx="184">
                  <c:v>#N/A</c:v>
                </c:pt>
                <c:pt idx="185">
                  <c:v>3</c:v>
                </c:pt>
                <c:pt idx="187">
                  <c:v>#N/A</c:v>
                </c:pt>
              </c:numCache>
            </c:numRef>
          </c:val>
        </c:ser>
        <c:ser>
          <c:idx val="1"/>
          <c:order val="1"/>
          <c:tx>
            <c:v>Sev2 Nouvelles</c:v>
          </c:tx>
          <c:spPr>
            <a:solidFill>
              <a:srgbClr val="FFC000"/>
            </a:solidFill>
            <a:ln>
              <a:solidFill>
                <a:prstClr val="black"/>
              </a:solidFill>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Stat!$V$340:$V$527</c:f>
              <c:numCache>
                <c:formatCode>General</c:formatCode>
                <c:ptCount val="188"/>
                <c:pt idx="0">
                  <c:v>#N/A</c:v>
                </c:pt>
                <c:pt idx="1">
                  <c:v>15</c:v>
                </c:pt>
                <c:pt idx="2">
                  <c:v>#N/A</c:v>
                </c:pt>
                <c:pt idx="3">
                  <c:v>#N/A</c:v>
                </c:pt>
                <c:pt idx="4">
                  <c:v>#N/A</c:v>
                </c:pt>
                <c:pt idx="5">
                  <c:v>82</c:v>
                </c:pt>
                <c:pt idx="6">
                  <c:v>#N/A</c:v>
                </c:pt>
                <c:pt idx="7">
                  <c:v>#N/A</c:v>
                </c:pt>
                <c:pt idx="8">
                  <c:v>#N/A</c:v>
                </c:pt>
                <c:pt idx="9">
                  <c:v>9</c:v>
                </c:pt>
                <c:pt idx="10">
                  <c:v>#N/A</c:v>
                </c:pt>
                <c:pt idx="11">
                  <c:v>#N/A</c:v>
                </c:pt>
                <c:pt idx="12">
                  <c:v>#N/A</c:v>
                </c:pt>
                <c:pt idx="13">
                  <c:v>24</c:v>
                </c:pt>
                <c:pt idx="14">
                  <c:v>#N/A</c:v>
                </c:pt>
                <c:pt idx="15">
                  <c:v>#N/A</c:v>
                </c:pt>
                <c:pt idx="16">
                  <c:v>#N/A</c:v>
                </c:pt>
                <c:pt idx="17">
                  <c:v>62</c:v>
                </c:pt>
                <c:pt idx="18">
                  <c:v>#N/A</c:v>
                </c:pt>
                <c:pt idx="19">
                  <c:v>#N/A</c:v>
                </c:pt>
                <c:pt idx="20">
                  <c:v>#N/A</c:v>
                </c:pt>
                <c:pt idx="21">
                  <c:v>29</c:v>
                </c:pt>
                <c:pt idx="22">
                  <c:v>#N/A</c:v>
                </c:pt>
                <c:pt idx="23">
                  <c:v>#N/A</c:v>
                </c:pt>
                <c:pt idx="24">
                  <c:v>#N/A</c:v>
                </c:pt>
                <c:pt idx="25">
                  <c:v>74</c:v>
                </c:pt>
                <c:pt idx="26">
                  <c:v>#N/A</c:v>
                </c:pt>
                <c:pt idx="27">
                  <c:v>#N/A</c:v>
                </c:pt>
                <c:pt idx="28">
                  <c:v>#N/A</c:v>
                </c:pt>
                <c:pt idx="29">
                  <c:v>35</c:v>
                </c:pt>
                <c:pt idx="30">
                  <c:v>#N/A</c:v>
                </c:pt>
                <c:pt idx="31">
                  <c:v>#N/A</c:v>
                </c:pt>
                <c:pt idx="32">
                  <c:v>#N/A</c:v>
                </c:pt>
                <c:pt idx="33">
                  <c:v>30</c:v>
                </c:pt>
                <c:pt idx="34">
                  <c:v>#N/A</c:v>
                </c:pt>
                <c:pt idx="35">
                  <c:v>#N/A</c:v>
                </c:pt>
                <c:pt idx="36">
                  <c:v>#N/A</c:v>
                </c:pt>
                <c:pt idx="37">
                  <c:v>33</c:v>
                </c:pt>
                <c:pt idx="38">
                  <c:v>#N/A</c:v>
                </c:pt>
                <c:pt idx="39">
                  <c:v>#N/A</c:v>
                </c:pt>
                <c:pt idx="40">
                  <c:v>#N/A</c:v>
                </c:pt>
                <c:pt idx="41">
                  <c:v>75</c:v>
                </c:pt>
                <c:pt idx="42">
                  <c:v>#N/A</c:v>
                </c:pt>
                <c:pt idx="43">
                  <c:v>#N/A</c:v>
                </c:pt>
                <c:pt idx="44">
                  <c:v>#N/A</c:v>
                </c:pt>
                <c:pt idx="45">
                  <c:v>28</c:v>
                </c:pt>
                <c:pt idx="46">
                  <c:v>#N/A</c:v>
                </c:pt>
                <c:pt idx="47">
                  <c:v>#N/A</c:v>
                </c:pt>
                <c:pt idx="48">
                  <c:v>#N/A</c:v>
                </c:pt>
                <c:pt idx="49">
                  <c:v>60</c:v>
                </c:pt>
                <c:pt idx="50">
                  <c:v>#N/A</c:v>
                </c:pt>
                <c:pt idx="51">
                  <c:v>#N/A</c:v>
                </c:pt>
                <c:pt idx="52">
                  <c:v>#N/A</c:v>
                </c:pt>
                <c:pt idx="53">
                  <c:v>26</c:v>
                </c:pt>
                <c:pt idx="54">
                  <c:v>#N/A</c:v>
                </c:pt>
                <c:pt idx="55">
                  <c:v>#N/A</c:v>
                </c:pt>
                <c:pt idx="56">
                  <c:v>#N/A</c:v>
                </c:pt>
                <c:pt idx="57">
                  <c:v>22</c:v>
                </c:pt>
                <c:pt idx="58">
                  <c:v>#N/A</c:v>
                </c:pt>
                <c:pt idx="59">
                  <c:v>#N/A</c:v>
                </c:pt>
                <c:pt idx="60">
                  <c:v>#N/A</c:v>
                </c:pt>
                <c:pt idx="61">
                  <c:v>63</c:v>
                </c:pt>
                <c:pt idx="62">
                  <c:v>#N/A</c:v>
                </c:pt>
                <c:pt idx="63">
                  <c:v>#N/A</c:v>
                </c:pt>
                <c:pt idx="64">
                  <c:v>#N/A</c:v>
                </c:pt>
                <c:pt idx="65">
                  <c:v>18</c:v>
                </c:pt>
                <c:pt idx="66">
                  <c:v>#N/A</c:v>
                </c:pt>
                <c:pt idx="67">
                  <c:v>#N/A</c:v>
                </c:pt>
                <c:pt idx="68">
                  <c:v>#N/A</c:v>
                </c:pt>
                <c:pt idx="69">
                  <c:v>119</c:v>
                </c:pt>
                <c:pt idx="70">
                  <c:v>#N/A</c:v>
                </c:pt>
                <c:pt idx="71">
                  <c:v>#N/A</c:v>
                </c:pt>
                <c:pt idx="72">
                  <c:v>#N/A</c:v>
                </c:pt>
                <c:pt idx="73">
                  <c:v>55</c:v>
                </c:pt>
                <c:pt idx="74">
                  <c:v>#N/A</c:v>
                </c:pt>
                <c:pt idx="75">
                  <c:v>#N/A</c:v>
                </c:pt>
                <c:pt idx="76">
                  <c:v>#N/A</c:v>
                </c:pt>
                <c:pt idx="77">
                  <c:v>51</c:v>
                </c:pt>
                <c:pt idx="78">
                  <c:v>#N/A</c:v>
                </c:pt>
                <c:pt idx="79">
                  <c:v>#N/A</c:v>
                </c:pt>
                <c:pt idx="80">
                  <c:v>#N/A</c:v>
                </c:pt>
                <c:pt idx="81">
                  <c:v>19</c:v>
                </c:pt>
                <c:pt idx="82">
                  <c:v>#N/A</c:v>
                </c:pt>
                <c:pt idx="83">
                  <c:v>#N/A</c:v>
                </c:pt>
                <c:pt idx="84">
                  <c:v>#N/A</c:v>
                </c:pt>
                <c:pt idx="85">
                  <c:v>13</c:v>
                </c:pt>
                <c:pt idx="87">
                  <c:v>#N/A</c:v>
                </c:pt>
                <c:pt idx="88">
                  <c:v>#N/A</c:v>
                </c:pt>
                <c:pt idx="89">
                  <c:v>35</c:v>
                </c:pt>
                <c:pt idx="91">
                  <c:v>#N/A</c:v>
                </c:pt>
                <c:pt idx="92">
                  <c:v>#N/A</c:v>
                </c:pt>
                <c:pt idx="93">
                  <c:v>39</c:v>
                </c:pt>
                <c:pt idx="95">
                  <c:v>#N/A</c:v>
                </c:pt>
                <c:pt idx="96">
                  <c:v>#N/A</c:v>
                </c:pt>
                <c:pt idx="97">
                  <c:v>108</c:v>
                </c:pt>
                <c:pt idx="99">
                  <c:v>#N/A</c:v>
                </c:pt>
                <c:pt idx="100">
                  <c:v>#N/A</c:v>
                </c:pt>
                <c:pt idx="101">
                  <c:v>14</c:v>
                </c:pt>
                <c:pt idx="103">
                  <c:v>#N/A</c:v>
                </c:pt>
                <c:pt idx="104">
                  <c:v>#N/A</c:v>
                </c:pt>
                <c:pt idx="105">
                  <c:v>44</c:v>
                </c:pt>
                <c:pt idx="107">
                  <c:v>#N/A</c:v>
                </c:pt>
                <c:pt idx="108">
                  <c:v>#N/A</c:v>
                </c:pt>
                <c:pt idx="109">
                  <c:v>13</c:v>
                </c:pt>
                <c:pt idx="111">
                  <c:v>#N/A</c:v>
                </c:pt>
                <c:pt idx="112">
                  <c:v>#N/A</c:v>
                </c:pt>
                <c:pt idx="113">
                  <c:v>10</c:v>
                </c:pt>
                <c:pt idx="115">
                  <c:v>#N/A</c:v>
                </c:pt>
                <c:pt idx="116">
                  <c:v>#N/A</c:v>
                </c:pt>
                <c:pt idx="117">
                  <c:v>22</c:v>
                </c:pt>
                <c:pt idx="119">
                  <c:v>#N/A</c:v>
                </c:pt>
                <c:pt idx="120">
                  <c:v>#N/A</c:v>
                </c:pt>
                <c:pt idx="121">
                  <c:v>44</c:v>
                </c:pt>
                <c:pt idx="123">
                  <c:v>#N/A</c:v>
                </c:pt>
                <c:pt idx="124">
                  <c:v>#N/A</c:v>
                </c:pt>
                <c:pt idx="125">
                  <c:v>15</c:v>
                </c:pt>
                <c:pt idx="127">
                  <c:v>#N/A</c:v>
                </c:pt>
                <c:pt idx="128">
                  <c:v>#N/A</c:v>
                </c:pt>
                <c:pt idx="129">
                  <c:v>30</c:v>
                </c:pt>
                <c:pt idx="131">
                  <c:v>#N/A</c:v>
                </c:pt>
                <c:pt idx="132">
                  <c:v>#N/A</c:v>
                </c:pt>
                <c:pt idx="133">
                  <c:v>122</c:v>
                </c:pt>
                <c:pt idx="135">
                  <c:v>#N/A</c:v>
                </c:pt>
                <c:pt idx="136">
                  <c:v>#N/A</c:v>
                </c:pt>
                <c:pt idx="137">
                  <c:v>22</c:v>
                </c:pt>
                <c:pt idx="139">
                  <c:v>#N/A</c:v>
                </c:pt>
                <c:pt idx="140">
                  <c:v>#N/A</c:v>
                </c:pt>
                <c:pt idx="141">
                  <c:v>127</c:v>
                </c:pt>
                <c:pt idx="143">
                  <c:v>#N/A</c:v>
                </c:pt>
                <c:pt idx="144">
                  <c:v>#N/A</c:v>
                </c:pt>
                <c:pt idx="145">
                  <c:v>110</c:v>
                </c:pt>
                <c:pt idx="147">
                  <c:v>#N/A</c:v>
                </c:pt>
                <c:pt idx="148">
                  <c:v>#N/A</c:v>
                </c:pt>
                <c:pt idx="149">
                  <c:v>20</c:v>
                </c:pt>
                <c:pt idx="151">
                  <c:v>#N/A</c:v>
                </c:pt>
                <c:pt idx="152">
                  <c:v>#N/A</c:v>
                </c:pt>
                <c:pt idx="153">
                  <c:v>15</c:v>
                </c:pt>
                <c:pt idx="155">
                  <c:v>#N/A</c:v>
                </c:pt>
                <c:pt idx="156">
                  <c:v>#N/A</c:v>
                </c:pt>
                <c:pt idx="157">
                  <c:v>54</c:v>
                </c:pt>
                <c:pt idx="159">
                  <c:v>#N/A</c:v>
                </c:pt>
                <c:pt idx="160">
                  <c:v>#N/A</c:v>
                </c:pt>
                <c:pt idx="161">
                  <c:v>19</c:v>
                </c:pt>
                <c:pt idx="163">
                  <c:v>#N/A</c:v>
                </c:pt>
                <c:pt idx="164">
                  <c:v>#N/A</c:v>
                </c:pt>
                <c:pt idx="165">
                  <c:v>36</c:v>
                </c:pt>
                <c:pt idx="167">
                  <c:v>#N/A</c:v>
                </c:pt>
                <c:pt idx="168">
                  <c:v>#N/A</c:v>
                </c:pt>
                <c:pt idx="169">
                  <c:v>75</c:v>
                </c:pt>
                <c:pt idx="171">
                  <c:v>#N/A</c:v>
                </c:pt>
                <c:pt idx="172">
                  <c:v>#N/A</c:v>
                </c:pt>
                <c:pt idx="173">
                  <c:v>94</c:v>
                </c:pt>
                <c:pt idx="175">
                  <c:v>#N/A</c:v>
                </c:pt>
                <c:pt idx="176">
                  <c:v>#N/A</c:v>
                </c:pt>
                <c:pt idx="177">
                  <c:v>3</c:v>
                </c:pt>
                <c:pt idx="179">
                  <c:v>#N/A</c:v>
                </c:pt>
                <c:pt idx="180">
                  <c:v>#N/A</c:v>
                </c:pt>
                <c:pt idx="181">
                  <c:v>62</c:v>
                </c:pt>
                <c:pt idx="183">
                  <c:v>#N/A</c:v>
                </c:pt>
                <c:pt idx="184">
                  <c:v>#N/A</c:v>
                </c:pt>
                <c:pt idx="185">
                  <c:v>4</c:v>
                </c:pt>
                <c:pt idx="187">
                  <c:v>#N/A</c:v>
                </c:pt>
              </c:numCache>
            </c:numRef>
          </c:val>
        </c:ser>
        <c:ser>
          <c:idx val="2"/>
          <c:order val="2"/>
          <c:tx>
            <c:v>Sev3 Nouvelles</c:v>
          </c:tx>
          <c:spPr>
            <a:solidFill>
              <a:srgbClr val="FFFF00"/>
            </a:solidFill>
            <a:ln>
              <a:solidFill>
                <a:prstClr val="black"/>
              </a:solidFill>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Stat!$W$340:$W$527</c:f>
              <c:numCache>
                <c:formatCode>General</c:formatCode>
                <c:ptCount val="188"/>
                <c:pt idx="0">
                  <c:v>#N/A</c:v>
                </c:pt>
                <c:pt idx="1">
                  <c:v>1</c:v>
                </c:pt>
                <c:pt idx="2">
                  <c:v>#N/A</c:v>
                </c:pt>
                <c:pt idx="3">
                  <c:v>#N/A</c:v>
                </c:pt>
                <c:pt idx="4">
                  <c:v>#N/A</c:v>
                </c:pt>
                <c:pt idx="5">
                  <c:v>0</c:v>
                </c:pt>
                <c:pt idx="6">
                  <c:v>#N/A</c:v>
                </c:pt>
                <c:pt idx="7">
                  <c:v>#N/A</c:v>
                </c:pt>
                <c:pt idx="8">
                  <c:v>#N/A</c:v>
                </c:pt>
                <c:pt idx="9">
                  <c:v>0</c:v>
                </c:pt>
                <c:pt idx="10">
                  <c:v>#N/A</c:v>
                </c:pt>
                <c:pt idx="11">
                  <c:v>#N/A</c:v>
                </c:pt>
                <c:pt idx="12">
                  <c:v>#N/A</c:v>
                </c:pt>
                <c:pt idx="13">
                  <c:v>0</c:v>
                </c:pt>
                <c:pt idx="14">
                  <c:v>#N/A</c:v>
                </c:pt>
                <c:pt idx="15">
                  <c:v>#N/A</c:v>
                </c:pt>
                <c:pt idx="16">
                  <c:v>#N/A</c:v>
                </c:pt>
                <c:pt idx="17">
                  <c:v>0</c:v>
                </c:pt>
                <c:pt idx="18">
                  <c:v>#N/A</c:v>
                </c:pt>
                <c:pt idx="19">
                  <c:v>#N/A</c:v>
                </c:pt>
                <c:pt idx="20">
                  <c:v>#N/A</c:v>
                </c:pt>
                <c:pt idx="21">
                  <c:v>0</c:v>
                </c:pt>
                <c:pt idx="22">
                  <c:v>#N/A</c:v>
                </c:pt>
                <c:pt idx="23">
                  <c:v>#N/A</c:v>
                </c:pt>
                <c:pt idx="24">
                  <c:v>#N/A</c:v>
                </c:pt>
                <c:pt idx="25">
                  <c:v>0</c:v>
                </c:pt>
                <c:pt idx="26">
                  <c:v>#N/A</c:v>
                </c:pt>
                <c:pt idx="27">
                  <c:v>#N/A</c:v>
                </c:pt>
                <c:pt idx="28">
                  <c:v>#N/A</c:v>
                </c:pt>
                <c:pt idx="29">
                  <c:v>0</c:v>
                </c:pt>
                <c:pt idx="30">
                  <c:v>#N/A</c:v>
                </c:pt>
                <c:pt idx="31">
                  <c:v>#N/A</c:v>
                </c:pt>
                <c:pt idx="32">
                  <c:v>#N/A</c:v>
                </c:pt>
                <c:pt idx="33">
                  <c:v>0</c:v>
                </c:pt>
                <c:pt idx="34">
                  <c:v>#N/A</c:v>
                </c:pt>
                <c:pt idx="35">
                  <c:v>#N/A</c:v>
                </c:pt>
                <c:pt idx="36">
                  <c:v>#N/A</c:v>
                </c:pt>
                <c:pt idx="37">
                  <c:v>1</c:v>
                </c:pt>
                <c:pt idx="38">
                  <c:v>#N/A</c:v>
                </c:pt>
                <c:pt idx="39">
                  <c:v>#N/A</c:v>
                </c:pt>
                <c:pt idx="40">
                  <c:v>#N/A</c:v>
                </c:pt>
                <c:pt idx="41">
                  <c:v>0</c:v>
                </c:pt>
                <c:pt idx="42">
                  <c:v>#N/A</c:v>
                </c:pt>
                <c:pt idx="43">
                  <c:v>#N/A</c:v>
                </c:pt>
                <c:pt idx="44">
                  <c:v>#N/A</c:v>
                </c:pt>
                <c:pt idx="45">
                  <c:v>0</c:v>
                </c:pt>
                <c:pt idx="46">
                  <c:v>#N/A</c:v>
                </c:pt>
                <c:pt idx="47">
                  <c:v>#N/A</c:v>
                </c:pt>
                <c:pt idx="48">
                  <c:v>#N/A</c:v>
                </c:pt>
                <c:pt idx="49">
                  <c:v>0</c:v>
                </c:pt>
                <c:pt idx="50">
                  <c:v>#N/A</c:v>
                </c:pt>
                <c:pt idx="51">
                  <c:v>#N/A</c:v>
                </c:pt>
                <c:pt idx="52">
                  <c:v>#N/A</c:v>
                </c:pt>
                <c:pt idx="53">
                  <c:v>0</c:v>
                </c:pt>
                <c:pt idx="54">
                  <c:v>#N/A</c:v>
                </c:pt>
                <c:pt idx="55">
                  <c:v>#N/A</c:v>
                </c:pt>
                <c:pt idx="56">
                  <c:v>#N/A</c:v>
                </c:pt>
                <c:pt idx="57">
                  <c:v>0</c:v>
                </c:pt>
                <c:pt idx="58">
                  <c:v>#N/A</c:v>
                </c:pt>
                <c:pt idx="59">
                  <c:v>#N/A</c:v>
                </c:pt>
                <c:pt idx="60">
                  <c:v>#N/A</c:v>
                </c:pt>
                <c:pt idx="61">
                  <c:v>2</c:v>
                </c:pt>
                <c:pt idx="62">
                  <c:v>#N/A</c:v>
                </c:pt>
                <c:pt idx="63">
                  <c:v>#N/A</c:v>
                </c:pt>
                <c:pt idx="64">
                  <c:v>#N/A</c:v>
                </c:pt>
                <c:pt idx="65">
                  <c:v>0</c:v>
                </c:pt>
                <c:pt idx="66">
                  <c:v>#N/A</c:v>
                </c:pt>
                <c:pt idx="67">
                  <c:v>#N/A</c:v>
                </c:pt>
                <c:pt idx="68">
                  <c:v>#N/A</c:v>
                </c:pt>
                <c:pt idx="69">
                  <c:v>0</c:v>
                </c:pt>
                <c:pt idx="70">
                  <c:v>#N/A</c:v>
                </c:pt>
                <c:pt idx="71">
                  <c:v>#N/A</c:v>
                </c:pt>
                <c:pt idx="72">
                  <c:v>#N/A</c:v>
                </c:pt>
                <c:pt idx="73">
                  <c:v>0</c:v>
                </c:pt>
                <c:pt idx="74">
                  <c:v>#N/A</c:v>
                </c:pt>
                <c:pt idx="75">
                  <c:v>#N/A</c:v>
                </c:pt>
                <c:pt idx="76">
                  <c:v>#N/A</c:v>
                </c:pt>
                <c:pt idx="77">
                  <c:v>1</c:v>
                </c:pt>
                <c:pt idx="78">
                  <c:v>#N/A</c:v>
                </c:pt>
                <c:pt idx="79">
                  <c:v>#N/A</c:v>
                </c:pt>
                <c:pt idx="80">
                  <c:v>#N/A</c:v>
                </c:pt>
                <c:pt idx="81">
                  <c:v>3</c:v>
                </c:pt>
                <c:pt idx="82">
                  <c:v>#N/A</c:v>
                </c:pt>
                <c:pt idx="83">
                  <c:v>#N/A</c:v>
                </c:pt>
                <c:pt idx="84">
                  <c:v>#N/A</c:v>
                </c:pt>
                <c:pt idx="85">
                  <c:v>1</c:v>
                </c:pt>
                <c:pt idx="87">
                  <c:v>#N/A</c:v>
                </c:pt>
                <c:pt idx="88">
                  <c:v>#N/A</c:v>
                </c:pt>
                <c:pt idx="89">
                  <c:v>3</c:v>
                </c:pt>
                <c:pt idx="91">
                  <c:v>#N/A</c:v>
                </c:pt>
                <c:pt idx="92">
                  <c:v>#N/A</c:v>
                </c:pt>
                <c:pt idx="93">
                  <c:v>3</c:v>
                </c:pt>
                <c:pt idx="95">
                  <c:v>#N/A</c:v>
                </c:pt>
                <c:pt idx="96">
                  <c:v>#N/A</c:v>
                </c:pt>
                <c:pt idx="97">
                  <c:v>0</c:v>
                </c:pt>
                <c:pt idx="99">
                  <c:v>#N/A</c:v>
                </c:pt>
                <c:pt idx="100">
                  <c:v>#N/A</c:v>
                </c:pt>
                <c:pt idx="101">
                  <c:v>0</c:v>
                </c:pt>
                <c:pt idx="103">
                  <c:v>#N/A</c:v>
                </c:pt>
                <c:pt idx="104">
                  <c:v>#N/A</c:v>
                </c:pt>
                <c:pt idx="105">
                  <c:v>0</c:v>
                </c:pt>
                <c:pt idx="107">
                  <c:v>#N/A</c:v>
                </c:pt>
                <c:pt idx="108">
                  <c:v>#N/A</c:v>
                </c:pt>
                <c:pt idx="109">
                  <c:v>0</c:v>
                </c:pt>
                <c:pt idx="111">
                  <c:v>#N/A</c:v>
                </c:pt>
                <c:pt idx="112">
                  <c:v>#N/A</c:v>
                </c:pt>
                <c:pt idx="113">
                  <c:v>9</c:v>
                </c:pt>
                <c:pt idx="115">
                  <c:v>#N/A</c:v>
                </c:pt>
                <c:pt idx="116">
                  <c:v>#N/A</c:v>
                </c:pt>
                <c:pt idx="117">
                  <c:v>9</c:v>
                </c:pt>
                <c:pt idx="119">
                  <c:v>#N/A</c:v>
                </c:pt>
                <c:pt idx="120">
                  <c:v>#N/A</c:v>
                </c:pt>
                <c:pt idx="121">
                  <c:v>5</c:v>
                </c:pt>
                <c:pt idx="123">
                  <c:v>#N/A</c:v>
                </c:pt>
                <c:pt idx="124">
                  <c:v>#N/A</c:v>
                </c:pt>
                <c:pt idx="125">
                  <c:v>4</c:v>
                </c:pt>
                <c:pt idx="127">
                  <c:v>#N/A</c:v>
                </c:pt>
                <c:pt idx="128">
                  <c:v>#N/A</c:v>
                </c:pt>
                <c:pt idx="129">
                  <c:v>3</c:v>
                </c:pt>
                <c:pt idx="131">
                  <c:v>#N/A</c:v>
                </c:pt>
                <c:pt idx="132">
                  <c:v>#N/A</c:v>
                </c:pt>
                <c:pt idx="133">
                  <c:v>1</c:v>
                </c:pt>
                <c:pt idx="135">
                  <c:v>#N/A</c:v>
                </c:pt>
                <c:pt idx="136">
                  <c:v>#N/A</c:v>
                </c:pt>
                <c:pt idx="137">
                  <c:v>2</c:v>
                </c:pt>
                <c:pt idx="139">
                  <c:v>#N/A</c:v>
                </c:pt>
                <c:pt idx="140">
                  <c:v>#N/A</c:v>
                </c:pt>
                <c:pt idx="141">
                  <c:v>13</c:v>
                </c:pt>
                <c:pt idx="143">
                  <c:v>#N/A</c:v>
                </c:pt>
                <c:pt idx="144">
                  <c:v>#N/A</c:v>
                </c:pt>
                <c:pt idx="145">
                  <c:v>11</c:v>
                </c:pt>
                <c:pt idx="147">
                  <c:v>#N/A</c:v>
                </c:pt>
                <c:pt idx="148">
                  <c:v>#N/A</c:v>
                </c:pt>
                <c:pt idx="149">
                  <c:v>1</c:v>
                </c:pt>
                <c:pt idx="151">
                  <c:v>#N/A</c:v>
                </c:pt>
                <c:pt idx="152">
                  <c:v>#N/A</c:v>
                </c:pt>
                <c:pt idx="153">
                  <c:v>0</c:v>
                </c:pt>
                <c:pt idx="155">
                  <c:v>#N/A</c:v>
                </c:pt>
                <c:pt idx="156">
                  <c:v>#N/A</c:v>
                </c:pt>
                <c:pt idx="157">
                  <c:v>4</c:v>
                </c:pt>
                <c:pt idx="159">
                  <c:v>#N/A</c:v>
                </c:pt>
                <c:pt idx="160">
                  <c:v>#N/A</c:v>
                </c:pt>
                <c:pt idx="161">
                  <c:v>0</c:v>
                </c:pt>
                <c:pt idx="163">
                  <c:v>#N/A</c:v>
                </c:pt>
                <c:pt idx="164">
                  <c:v>#N/A</c:v>
                </c:pt>
                <c:pt idx="165">
                  <c:v>2</c:v>
                </c:pt>
                <c:pt idx="167">
                  <c:v>#N/A</c:v>
                </c:pt>
                <c:pt idx="168">
                  <c:v>#N/A</c:v>
                </c:pt>
                <c:pt idx="169">
                  <c:v>3</c:v>
                </c:pt>
                <c:pt idx="171">
                  <c:v>#N/A</c:v>
                </c:pt>
                <c:pt idx="172">
                  <c:v>#N/A</c:v>
                </c:pt>
                <c:pt idx="173">
                  <c:v>14</c:v>
                </c:pt>
                <c:pt idx="175">
                  <c:v>#N/A</c:v>
                </c:pt>
                <c:pt idx="176">
                  <c:v>#N/A</c:v>
                </c:pt>
                <c:pt idx="177">
                  <c:v>2</c:v>
                </c:pt>
                <c:pt idx="179">
                  <c:v>#N/A</c:v>
                </c:pt>
                <c:pt idx="180">
                  <c:v>#N/A</c:v>
                </c:pt>
                <c:pt idx="181">
                  <c:v>1</c:v>
                </c:pt>
                <c:pt idx="183">
                  <c:v>#N/A</c:v>
                </c:pt>
                <c:pt idx="184">
                  <c:v>#N/A</c:v>
                </c:pt>
                <c:pt idx="185">
                  <c:v>6</c:v>
                </c:pt>
                <c:pt idx="187">
                  <c:v>#N/A</c:v>
                </c:pt>
              </c:numCache>
            </c:numRef>
          </c:val>
        </c:ser>
        <c:ser>
          <c:idx val="4"/>
          <c:order val="4"/>
          <c:tx>
            <c:v>Sev1 Traitées</c:v>
          </c:tx>
          <c:spPr>
            <a:solidFill>
              <a:schemeClr val="accent3">
                <a:lumMod val="50000"/>
              </a:schemeClr>
            </a:solidFill>
            <a:ln>
              <a:solidFill>
                <a:prstClr val="black"/>
              </a:solidFill>
            </a:ln>
          </c:spPr>
          <c:val>
            <c:numRef>
              <c:f>Stat!$X$340:$X$527</c:f>
              <c:numCache>
                <c:formatCode>General</c:formatCode>
                <c:ptCount val="188"/>
                <c:pt idx="0">
                  <c:v>#N/A</c:v>
                </c:pt>
                <c:pt idx="1">
                  <c:v>#N/A</c:v>
                </c:pt>
                <c:pt idx="2">
                  <c:v>-4</c:v>
                </c:pt>
                <c:pt idx="3">
                  <c:v>#N/A</c:v>
                </c:pt>
                <c:pt idx="4">
                  <c:v>#N/A</c:v>
                </c:pt>
                <c:pt idx="5">
                  <c:v>#N/A</c:v>
                </c:pt>
                <c:pt idx="6">
                  <c:v>-11</c:v>
                </c:pt>
                <c:pt idx="7">
                  <c:v>#N/A</c:v>
                </c:pt>
                <c:pt idx="8">
                  <c:v>#N/A</c:v>
                </c:pt>
                <c:pt idx="9">
                  <c:v>#N/A</c:v>
                </c:pt>
                <c:pt idx="10">
                  <c:v>-5</c:v>
                </c:pt>
                <c:pt idx="11">
                  <c:v>#N/A</c:v>
                </c:pt>
                <c:pt idx="12">
                  <c:v>#N/A</c:v>
                </c:pt>
                <c:pt idx="13">
                  <c:v>#N/A</c:v>
                </c:pt>
                <c:pt idx="14">
                  <c:v>-8</c:v>
                </c:pt>
                <c:pt idx="15">
                  <c:v>#N/A</c:v>
                </c:pt>
                <c:pt idx="16">
                  <c:v>#N/A</c:v>
                </c:pt>
                <c:pt idx="17">
                  <c:v>#N/A</c:v>
                </c:pt>
                <c:pt idx="18">
                  <c:v>-5</c:v>
                </c:pt>
                <c:pt idx="19">
                  <c:v>#N/A</c:v>
                </c:pt>
                <c:pt idx="20">
                  <c:v>#N/A</c:v>
                </c:pt>
                <c:pt idx="21">
                  <c:v>#N/A</c:v>
                </c:pt>
                <c:pt idx="22">
                  <c:v>-6</c:v>
                </c:pt>
                <c:pt idx="23">
                  <c:v>#N/A</c:v>
                </c:pt>
                <c:pt idx="24">
                  <c:v>#N/A</c:v>
                </c:pt>
                <c:pt idx="25">
                  <c:v>#N/A</c:v>
                </c:pt>
                <c:pt idx="26">
                  <c:v>-5</c:v>
                </c:pt>
                <c:pt idx="27">
                  <c:v>#N/A</c:v>
                </c:pt>
                <c:pt idx="28">
                  <c:v>#N/A</c:v>
                </c:pt>
                <c:pt idx="29">
                  <c:v>#N/A</c:v>
                </c:pt>
                <c:pt idx="30">
                  <c:v>0</c:v>
                </c:pt>
                <c:pt idx="31">
                  <c:v>#N/A</c:v>
                </c:pt>
                <c:pt idx="32">
                  <c:v>#N/A</c:v>
                </c:pt>
                <c:pt idx="33">
                  <c:v>#N/A</c:v>
                </c:pt>
                <c:pt idx="34">
                  <c:v>-6</c:v>
                </c:pt>
                <c:pt idx="35">
                  <c:v>#N/A</c:v>
                </c:pt>
                <c:pt idx="36">
                  <c:v>#N/A</c:v>
                </c:pt>
                <c:pt idx="37">
                  <c:v>#N/A</c:v>
                </c:pt>
                <c:pt idx="38">
                  <c:v>-7</c:v>
                </c:pt>
                <c:pt idx="39">
                  <c:v>#N/A</c:v>
                </c:pt>
                <c:pt idx="40">
                  <c:v>#N/A</c:v>
                </c:pt>
                <c:pt idx="41">
                  <c:v>#N/A</c:v>
                </c:pt>
                <c:pt idx="42">
                  <c:v>-6</c:v>
                </c:pt>
                <c:pt idx="43">
                  <c:v>#N/A</c:v>
                </c:pt>
                <c:pt idx="44">
                  <c:v>#N/A</c:v>
                </c:pt>
                <c:pt idx="45">
                  <c:v>#N/A</c:v>
                </c:pt>
                <c:pt idx="46">
                  <c:v>-4</c:v>
                </c:pt>
                <c:pt idx="47">
                  <c:v>#N/A</c:v>
                </c:pt>
                <c:pt idx="48">
                  <c:v>#N/A</c:v>
                </c:pt>
                <c:pt idx="49">
                  <c:v>#N/A</c:v>
                </c:pt>
                <c:pt idx="50">
                  <c:v>-6</c:v>
                </c:pt>
                <c:pt idx="51">
                  <c:v>#N/A</c:v>
                </c:pt>
                <c:pt idx="52">
                  <c:v>#N/A</c:v>
                </c:pt>
                <c:pt idx="53">
                  <c:v>#N/A</c:v>
                </c:pt>
                <c:pt idx="54">
                  <c:v>-6</c:v>
                </c:pt>
                <c:pt idx="55">
                  <c:v>#N/A</c:v>
                </c:pt>
                <c:pt idx="56">
                  <c:v>#N/A</c:v>
                </c:pt>
                <c:pt idx="57">
                  <c:v>#N/A</c:v>
                </c:pt>
                <c:pt idx="58">
                  <c:v>0</c:v>
                </c:pt>
                <c:pt idx="59">
                  <c:v>#N/A</c:v>
                </c:pt>
                <c:pt idx="60">
                  <c:v>#N/A</c:v>
                </c:pt>
                <c:pt idx="61">
                  <c:v>#N/A</c:v>
                </c:pt>
                <c:pt idx="62">
                  <c:v>-10</c:v>
                </c:pt>
                <c:pt idx="63">
                  <c:v>#N/A</c:v>
                </c:pt>
                <c:pt idx="64">
                  <c:v>#N/A</c:v>
                </c:pt>
                <c:pt idx="65">
                  <c:v>#N/A</c:v>
                </c:pt>
                <c:pt idx="66">
                  <c:v>-6</c:v>
                </c:pt>
                <c:pt idx="67">
                  <c:v>#N/A</c:v>
                </c:pt>
                <c:pt idx="68">
                  <c:v>#N/A</c:v>
                </c:pt>
                <c:pt idx="69">
                  <c:v>#N/A</c:v>
                </c:pt>
                <c:pt idx="70">
                  <c:v>-8</c:v>
                </c:pt>
                <c:pt idx="71">
                  <c:v>#N/A</c:v>
                </c:pt>
                <c:pt idx="72">
                  <c:v>#N/A</c:v>
                </c:pt>
                <c:pt idx="73">
                  <c:v>#N/A</c:v>
                </c:pt>
                <c:pt idx="74">
                  <c:v>-5</c:v>
                </c:pt>
                <c:pt idx="75">
                  <c:v>#N/A</c:v>
                </c:pt>
                <c:pt idx="76">
                  <c:v>#N/A</c:v>
                </c:pt>
                <c:pt idx="77">
                  <c:v>#N/A</c:v>
                </c:pt>
                <c:pt idx="78">
                  <c:v>-3</c:v>
                </c:pt>
                <c:pt idx="79">
                  <c:v>#N/A</c:v>
                </c:pt>
                <c:pt idx="80">
                  <c:v>#N/A</c:v>
                </c:pt>
                <c:pt idx="81">
                  <c:v>#N/A</c:v>
                </c:pt>
                <c:pt idx="82">
                  <c:v>-5</c:v>
                </c:pt>
                <c:pt idx="83">
                  <c:v>#N/A</c:v>
                </c:pt>
                <c:pt idx="84">
                  <c:v>#N/A</c:v>
                </c:pt>
                <c:pt idx="86">
                  <c:v>-4</c:v>
                </c:pt>
                <c:pt idx="87">
                  <c:v>#N/A</c:v>
                </c:pt>
                <c:pt idx="88">
                  <c:v>#N/A</c:v>
                </c:pt>
                <c:pt idx="90">
                  <c:v>-2</c:v>
                </c:pt>
                <c:pt idx="91">
                  <c:v>#N/A</c:v>
                </c:pt>
                <c:pt idx="92">
                  <c:v>#N/A</c:v>
                </c:pt>
                <c:pt idx="94">
                  <c:v>0</c:v>
                </c:pt>
                <c:pt idx="95">
                  <c:v>#N/A</c:v>
                </c:pt>
                <c:pt idx="96">
                  <c:v>#N/A</c:v>
                </c:pt>
                <c:pt idx="98">
                  <c:v>-3</c:v>
                </c:pt>
                <c:pt idx="99">
                  <c:v>#N/A</c:v>
                </c:pt>
                <c:pt idx="100">
                  <c:v>#N/A</c:v>
                </c:pt>
                <c:pt idx="102">
                  <c:v>-4</c:v>
                </c:pt>
                <c:pt idx="103">
                  <c:v>#N/A</c:v>
                </c:pt>
                <c:pt idx="104">
                  <c:v>#N/A</c:v>
                </c:pt>
                <c:pt idx="106">
                  <c:v>-4</c:v>
                </c:pt>
                <c:pt idx="107">
                  <c:v>#N/A</c:v>
                </c:pt>
                <c:pt idx="108">
                  <c:v>#N/A</c:v>
                </c:pt>
                <c:pt idx="110">
                  <c:v>-8</c:v>
                </c:pt>
                <c:pt idx="111">
                  <c:v>#N/A</c:v>
                </c:pt>
                <c:pt idx="112">
                  <c:v>#N/A</c:v>
                </c:pt>
                <c:pt idx="114">
                  <c:v>-1</c:v>
                </c:pt>
                <c:pt idx="115">
                  <c:v>#N/A</c:v>
                </c:pt>
                <c:pt idx="116">
                  <c:v>#N/A</c:v>
                </c:pt>
                <c:pt idx="118">
                  <c:v>-6</c:v>
                </c:pt>
                <c:pt idx="119">
                  <c:v>#N/A</c:v>
                </c:pt>
                <c:pt idx="120">
                  <c:v>#N/A</c:v>
                </c:pt>
                <c:pt idx="122">
                  <c:v>-2</c:v>
                </c:pt>
                <c:pt idx="123">
                  <c:v>#N/A</c:v>
                </c:pt>
                <c:pt idx="124">
                  <c:v>#N/A</c:v>
                </c:pt>
                <c:pt idx="126">
                  <c:v>-2</c:v>
                </c:pt>
                <c:pt idx="127">
                  <c:v>#N/A</c:v>
                </c:pt>
                <c:pt idx="128">
                  <c:v>#N/A</c:v>
                </c:pt>
                <c:pt idx="130">
                  <c:v>-2</c:v>
                </c:pt>
                <c:pt idx="131">
                  <c:v>#N/A</c:v>
                </c:pt>
                <c:pt idx="132">
                  <c:v>#N/A</c:v>
                </c:pt>
                <c:pt idx="134">
                  <c:v>-3</c:v>
                </c:pt>
                <c:pt idx="135">
                  <c:v>#N/A</c:v>
                </c:pt>
                <c:pt idx="136">
                  <c:v>#N/A</c:v>
                </c:pt>
                <c:pt idx="138">
                  <c:v>-5</c:v>
                </c:pt>
                <c:pt idx="139">
                  <c:v>#N/A</c:v>
                </c:pt>
                <c:pt idx="140">
                  <c:v>#N/A</c:v>
                </c:pt>
                <c:pt idx="142">
                  <c:v>-6</c:v>
                </c:pt>
                <c:pt idx="143">
                  <c:v>#N/A</c:v>
                </c:pt>
                <c:pt idx="144">
                  <c:v>#N/A</c:v>
                </c:pt>
                <c:pt idx="146">
                  <c:v>-2</c:v>
                </c:pt>
                <c:pt idx="147">
                  <c:v>#N/A</c:v>
                </c:pt>
                <c:pt idx="148">
                  <c:v>#N/A</c:v>
                </c:pt>
                <c:pt idx="150">
                  <c:v>-15</c:v>
                </c:pt>
                <c:pt idx="151">
                  <c:v>#N/A</c:v>
                </c:pt>
                <c:pt idx="152">
                  <c:v>#N/A</c:v>
                </c:pt>
                <c:pt idx="154">
                  <c:v>-10</c:v>
                </c:pt>
                <c:pt idx="155">
                  <c:v>#N/A</c:v>
                </c:pt>
                <c:pt idx="156">
                  <c:v>#N/A</c:v>
                </c:pt>
                <c:pt idx="158">
                  <c:v>0</c:v>
                </c:pt>
                <c:pt idx="159">
                  <c:v>#N/A</c:v>
                </c:pt>
                <c:pt idx="160">
                  <c:v>#N/A</c:v>
                </c:pt>
                <c:pt idx="162">
                  <c:v>-3</c:v>
                </c:pt>
                <c:pt idx="163">
                  <c:v>#N/A</c:v>
                </c:pt>
                <c:pt idx="164">
                  <c:v>#N/A</c:v>
                </c:pt>
                <c:pt idx="166">
                  <c:v>-2</c:v>
                </c:pt>
                <c:pt idx="167">
                  <c:v>#N/A</c:v>
                </c:pt>
                <c:pt idx="168">
                  <c:v>#N/A</c:v>
                </c:pt>
                <c:pt idx="170">
                  <c:v>-7</c:v>
                </c:pt>
                <c:pt idx="171">
                  <c:v>#N/A</c:v>
                </c:pt>
                <c:pt idx="172">
                  <c:v>#N/A</c:v>
                </c:pt>
                <c:pt idx="174">
                  <c:v>-3</c:v>
                </c:pt>
                <c:pt idx="175">
                  <c:v>#N/A</c:v>
                </c:pt>
                <c:pt idx="176">
                  <c:v>#N/A</c:v>
                </c:pt>
                <c:pt idx="178">
                  <c:v>-13</c:v>
                </c:pt>
                <c:pt idx="179">
                  <c:v>#N/A</c:v>
                </c:pt>
                <c:pt idx="180">
                  <c:v>#N/A</c:v>
                </c:pt>
                <c:pt idx="182">
                  <c:v>-6</c:v>
                </c:pt>
                <c:pt idx="183">
                  <c:v>#N/A</c:v>
                </c:pt>
                <c:pt idx="184">
                  <c:v>#N/A</c:v>
                </c:pt>
                <c:pt idx="186">
                  <c:v>0</c:v>
                </c:pt>
                <c:pt idx="187">
                  <c:v>#N/A</c:v>
                </c:pt>
              </c:numCache>
            </c:numRef>
          </c:val>
        </c:ser>
        <c:ser>
          <c:idx val="5"/>
          <c:order val="5"/>
          <c:tx>
            <c:v>Sev2 Traitées</c:v>
          </c:tx>
          <c:spPr>
            <a:solidFill>
              <a:srgbClr val="00B050"/>
            </a:solidFill>
            <a:ln>
              <a:solidFill>
                <a:prstClr val="black"/>
              </a:solidFill>
            </a:ln>
          </c:spPr>
          <c:val>
            <c:numRef>
              <c:f>Stat!$Y$340:$Y$527</c:f>
              <c:numCache>
                <c:formatCode>General</c:formatCode>
                <c:ptCount val="188"/>
                <c:pt idx="0">
                  <c:v>#N/A</c:v>
                </c:pt>
                <c:pt idx="1">
                  <c:v>#N/A</c:v>
                </c:pt>
                <c:pt idx="2">
                  <c:v>-38</c:v>
                </c:pt>
                <c:pt idx="3">
                  <c:v>#N/A</c:v>
                </c:pt>
                <c:pt idx="4">
                  <c:v>#N/A</c:v>
                </c:pt>
                <c:pt idx="5">
                  <c:v>#N/A</c:v>
                </c:pt>
                <c:pt idx="6">
                  <c:v>-15</c:v>
                </c:pt>
                <c:pt idx="7">
                  <c:v>#N/A</c:v>
                </c:pt>
                <c:pt idx="8">
                  <c:v>#N/A</c:v>
                </c:pt>
                <c:pt idx="9">
                  <c:v>#N/A</c:v>
                </c:pt>
                <c:pt idx="10">
                  <c:v>-35</c:v>
                </c:pt>
                <c:pt idx="11">
                  <c:v>#N/A</c:v>
                </c:pt>
                <c:pt idx="12">
                  <c:v>#N/A</c:v>
                </c:pt>
                <c:pt idx="13">
                  <c:v>#N/A</c:v>
                </c:pt>
                <c:pt idx="14">
                  <c:v>-54</c:v>
                </c:pt>
                <c:pt idx="15">
                  <c:v>#N/A</c:v>
                </c:pt>
                <c:pt idx="16">
                  <c:v>#N/A</c:v>
                </c:pt>
                <c:pt idx="17">
                  <c:v>#N/A</c:v>
                </c:pt>
                <c:pt idx="18">
                  <c:v>-61</c:v>
                </c:pt>
                <c:pt idx="19">
                  <c:v>#N/A</c:v>
                </c:pt>
                <c:pt idx="20">
                  <c:v>#N/A</c:v>
                </c:pt>
                <c:pt idx="21">
                  <c:v>#N/A</c:v>
                </c:pt>
                <c:pt idx="22">
                  <c:v>-36</c:v>
                </c:pt>
                <c:pt idx="23">
                  <c:v>#N/A</c:v>
                </c:pt>
                <c:pt idx="24">
                  <c:v>#N/A</c:v>
                </c:pt>
                <c:pt idx="25">
                  <c:v>#N/A</c:v>
                </c:pt>
                <c:pt idx="26">
                  <c:v>-52</c:v>
                </c:pt>
                <c:pt idx="27">
                  <c:v>#N/A</c:v>
                </c:pt>
                <c:pt idx="28">
                  <c:v>#N/A</c:v>
                </c:pt>
                <c:pt idx="29">
                  <c:v>#N/A</c:v>
                </c:pt>
                <c:pt idx="30">
                  <c:v>-29</c:v>
                </c:pt>
                <c:pt idx="31">
                  <c:v>#N/A</c:v>
                </c:pt>
                <c:pt idx="32">
                  <c:v>#N/A</c:v>
                </c:pt>
                <c:pt idx="33">
                  <c:v>#N/A</c:v>
                </c:pt>
                <c:pt idx="34">
                  <c:v>-32</c:v>
                </c:pt>
                <c:pt idx="35">
                  <c:v>#N/A</c:v>
                </c:pt>
                <c:pt idx="36">
                  <c:v>#N/A</c:v>
                </c:pt>
                <c:pt idx="37">
                  <c:v>#N/A</c:v>
                </c:pt>
                <c:pt idx="38">
                  <c:v>-47</c:v>
                </c:pt>
                <c:pt idx="39">
                  <c:v>#N/A</c:v>
                </c:pt>
                <c:pt idx="40">
                  <c:v>#N/A</c:v>
                </c:pt>
                <c:pt idx="41">
                  <c:v>#N/A</c:v>
                </c:pt>
                <c:pt idx="42">
                  <c:v>-56</c:v>
                </c:pt>
                <c:pt idx="43">
                  <c:v>#N/A</c:v>
                </c:pt>
                <c:pt idx="44">
                  <c:v>#N/A</c:v>
                </c:pt>
                <c:pt idx="45">
                  <c:v>#N/A</c:v>
                </c:pt>
                <c:pt idx="46">
                  <c:v>-34</c:v>
                </c:pt>
                <c:pt idx="47">
                  <c:v>#N/A</c:v>
                </c:pt>
                <c:pt idx="48">
                  <c:v>#N/A</c:v>
                </c:pt>
                <c:pt idx="49">
                  <c:v>#N/A</c:v>
                </c:pt>
                <c:pt idx="50">
                  <c:v>-69</c:v>
                </c:pt>
                <c:pt idx="51">
                  <c:v>#N/A</c:v>
                </c:pt>
                <c:pt idx="52">
                  <c:v>#N/A</c:v>
                </c:pt>
                <c:pt idx="53">
                  <c:v>#N/A</c:v>
                </c:pt>
                <c:pt idx="54">
                  <c:v>-23</c:v>
                </c:pt>
                <c:pt idx="55">
                  <c:v>#N/A</c:v>
                </c:pt>
                <c:pt idx="56">
                  <c:v>#N/A</c:v>
                </c:pt>
                <c:pt idx="57">
                  <c:v>#N/A</c:v>
                </c:pt>
                <c:pt idx="58">
                  <c:v>-29</c:v>
                </c:pt>
                <c:pt idx="59">
                  <c:v>#N/A</c:v>
                </c:pt>
                <c:pt idx="60">
                  <c:v>#N/A</c:v>
                </c:pt>
                <c:pt idx="61">
                  <c:v>#N/A</c:v>
                </c:pt>
                <c:pt idx="62">
                  <c:v>-44</c:v>
                </c:pt>
                <c:pt idx="63">
                  <c:v>#N/A</c:v>
                </c:pt>
                <c:pt idx="64">
                  <c:v>#N/A</c:v>
                </c:pt>
                <c:pt idx="65">
                  <c:v>#N/A</c:v>
                </c:pt>
                <c:pt idx="66">
                  <c:v>-15</c:v>
                </c:pt>
                <c:pt idx="67">
                  <c:v>#N/A</c:v>
                </c:pt>
                <c:pt idx="68">
                  <c:v>#N/A</c:v>
                </c:pt>
                <c:pt idx="69">
                  <c:v>#N/A</c:v>
                </c:pt>
                <c:pt idx="70">
                  <c:v>-89</c:v>
                </c:pt>
                <c:pt idx="71">
                  <c:v>#N/A</c:v>
                </c:pt>
                <c:pt idx="72">
                  <c:v>#N/A</c:v>
                </c:pt>
                <c:pt idx="73">
                  <c:v>#N/A</c:v>
                </c:pt>
                <c:pt idx="74">
                  <c:v>-80</c:v>
                </c:pt>
                <c:pt idx="75">
                  <c:v>#N/A</c:v>
                </c:pt>
                <c:pt idx="76">
                  <c:v>#N/A</c:v>
                </c:pt>
                <c:pt idx="77">
                  <c:v>#N/A</c:v>
                </c:pt>
                <c:pt idx="78">
                  <c:v>-39</c:v>
                </c:pt>
                <c:pt idx="79">
                  <c:v>#N/A</c:v>
                </c:pt>
                <c:pt idx="80">
                  <c:v>#N/A</c:v>
                </c:pt>
                <c:pt idx="81">
                  <c:v>#N/A</c:v>
                </c:pt>
                <c:pt idx="82">
                  <c:v>-31</c:v>
                </c:pt>
                <c:pt idx="83">
                  <c:v>#N/A</c:v>
                </c:pt>
                <c:pt idx="84">
                  <c:v>#N/A</c:v>
                </c:pt>
                <c:pt idx="86">
                  <c:v>-18</c:v>
                </c:pt>
                <c:pt idx="87">
                  <c:v>#N/A</c:v>
                </c:pt>
                <c:pt idx="88">
                  <c:v>#N/A</c:v>
                </c:pt>
                <c:pt idx="90">
                  <c:v>-41</c:v>
                </c:pt>
                <c:pt idx="91">
                  <c:v>#N/A</c:v>
                </c:pt>
                <c:pt idx="92">
                  <c:v>#N/A</c:v>
                </c:pt>
                <c:pt idx="94">
                  <c:v>0</c:v>
                </c:pt>
                <c:pt idx="95">
                  <c:v>#N/A</c:v>
                </c:pt>
                <c:pt idx="96">
                  <c:v>#N/A</c:v>
                </c:pt>
                <c:pt idx="98">
                  <c:v>-9</c:v>
                </c:pt>
                <c:pt idx="99">
                  <c:v>#N/A</c:v>
                </c:pt>
                <c:pt idx="100">
                  <c:v>#N/A</c:v>
                </c:pt>
                <c:pt idx="102">
                  <c:v>-18</c:v>
                </c:pt>
                <c:pt idx="103">
                  <c:v>#N/A</c:v>
                </c:pt>
                <c:pt idx="104">
                  <c:v>#N/A</c:v>
                </c:pt>
                <c:pt idx="106">
                  <c:v>-90</c:v>
                </c:pt>
                <c:pt idx="107">
                  <c:v>#N/A</c:v>
                </c:pt>
                <c:pt idx="108">
                  <c:v>#N/A</c:v>
                </c:pt>
                <c:pt idx="110">
                  <c:v>-18</c:v>
                </c:pt>
                <c:pt idx="111">
                  <c:v>#N/A</c:v>
                </c:pt>
                <c:pt idx="112">
                  <c:v>#N/A</c:v>
                </c:pt>
                <c:pt idx="114">
                  <c:v>-27</c:v>
                </c:pt>
                <c:pt idx="115">
                  <c:v>#N/A</c:v>
                </c:pt>
                <c:pt idx="116">
                  <c:v>#N/A</c:v>
                </c:pt>
                <c:pt idx="118">
                  <c:v>-36</c:v>
                </c:pt>
                <c:pt idx="119">
                  <c:v>#N/A</c:v>
                </c:pt>
                <c:pt idx="120">
                  <c:v>#N/A</c:v>
                </c:pt>
                <c:pt idx="122">
                  <c:v>-56</c:v>
                </c:pt>
                <c:pt idx="123">
                  <c:v>#N/A</c:v>
                </c:pt>
                <c:pt idx="124">
                  <c:v>#N/A</c:v>
                </c:pt>
                <c:pt idx="126">
                  <c:v>-17</c:v>
                </c:pt>
                <c:pt idx="127">
                  <c:v>#N/A</c:v>
                </c:pt>
                <c:pt idx="128">
                  <c:v>#N/A</c:v>
                </c:pt>
                <c:pt idx="130">
                  <c:v>-27</c:v>
                </c:pt>
                <c:pt idx="131">
                  <c:v>#N/A</c:v>
                </c:pt>
                <c:pt idx="132">
                  <c:v>#N/A</c:v>
                </c:pt>
                <c:pt idx="134">
                  <c:v>-67</c:v>
                </c:pt>
                <c:pt idx="135">
                  <c:v>#N/A</c:v>
                </c:pt>
                <c:pt idx="136">
                  <c:v>#N/A</c:v>
                </c:pt>
                <c:pt idx="138">
                  <c:v>-80</c:v>
                </c:pt>
                <c:pt idx="139">
                  <c:v>#N/A</c:v>
                </c:pt>
                <c:pt idx="140">
                  <c:v>#N/A</c:v>
                </c:pt>
                <c:pt idx="142">
                  <c:v>-80</c:v>
                </c:pt>
                <c:pt idx="143">
                  <c:v>#N/A</c:v>
                </c:pt>
                <c:pt idx="144">
                  <c:v>#N/A</c:v>
                </c:pt>
                <c:pt idx="146">
                  <c:v>-17</c:v>
                </c:pt>
                <c:pt idx="147">
                  <c:v>#N/A</c:v>
                </c:pt>
                <c:pt idx="148">
                  <c:v>#N/A</c:v>
                </c:pt>
                <c:pt idx="150">
                  <c:v>-56</c:v>
                </c:pt>
                <c:pt idx="151">
                  <c:v>#N/A</c:v>
                </c:pt>
                <c:pt idx="152">
                  <c:v>#N/A</c:v>
                </c:pt>
                <c:pt idx="154">
                  <c:v>-54</c:v>
                </c:pt>
                <c:pt idx="155">
                  <c:v>#N/A</c:v>
                </c:pt>
                <c:pt idx="156">
                  <c:v>#N/A</c:v>
                </c:pt>
                <c:pt idx="158">
                  <c:v>-49</c:v>
                </c:pt>
                <c:pt idx="159">
                  <c:v>#N/A</c:v>
                </c:pt>
                <c:pt idx="160">
                  <c:v>#N/A</c:v>
                </c:pt>
                <c:pt idx="162">
                  <c:v>-29</c:v>
                </c:pt>
                <c:pt idx="163">
                  <c:v>#N/A</c:v>
                </c:pt>
                <c:pt idx="164">
                  <c:v>#N/A</c:v>
                </c:pt>
                <c:pt idx="166">
                  <c:v>-49</c:v>
                </c:pt>
                <c:pt idx="167">
                  <c:v>#N/A</c:v>
                </c:pt>
                <c:pt idx="168">
                  <c:v>#N/A</c:v>
                </c:pt>
                <c:pt idx="170">
                  <c:v>-52</c:v>
                </c:pt>
                <c:pt idx="171">
                  <c:v>#N/A</c:v>
                </c:pt>
                <c:pt idx="172">
                  <c:v>#N/A</c:v>
                </c:pt>
                <c:pt idx="174">
                  <c:v>-95</c:v>
                </c:pt>
                <c:pt idx="175">
                  <c:v>#N/A</c:v>
                </c:pt>
                <c:pt idx="176">
                  <c:v>#N/A</c:v>
                </c:pt>
                <c:pt idx="178">
                  <c:v>-2</c:v>
                </c:pt>
                <c:pt idx="179">
                  <c:v>#N/A</c:v>
                </c:pt>
                <c:pt idx="180">
                  <c:v>#N/A</c:v>
                </c:pt>
                <c:pt idx="182">
                  <c:v>-71</c:v>
                </c:pt>
                <c:pt idx="183">
                  <c:v>#N/A</c:v>
                </c:pt>
                <c:pt idx="184">
                  <c:v>#N/A</c:v>
                </c:pt>
                <c:pt idx="186">
                  <c:v>0</c:v>
                </c:pt>
                <c:pt idx="187">
                  <c:v>#N/A</c:v>
                </c:pt>
              </c:numCache>
            </c:numRef>
          </c:val>
        </c:ser>
        <c:ser>
          <c:idx val="6"/>
          <c:order val="6"/>
          <c:tx>
            <c:v>Sev3 Traitées</c:v>
          </c:tx>
          <c:spPr>
            <a:solidFill>
              <a:schemeClr val="accent3">
                <a:lumMod val="60000"/>
                <a:lumOff val="40000"/>
              </a:schemeClr>
            </a:solidFill>
            <a:ln>
              <a:solidFill>
                <a:prstClr val="black"/>
              </a:solidFill>
            </a:ln>
          </c:spPr>
          <c:val>
            <c:numRef>
              <c:f>Stat!$Z$340:$Z$527</c:f>
              <c:numCache>
                <c:formatCode>General</c:formatCode>
                <c:ptCount val="188"/>
                <c:pt idx="0">
                  <c:v>#N/A</c:v>
                </c:pt>
                <c:pt idx="1">
                  <c:v>#N/A</c:v>
                </c:pt>
                <c:pt idx="2">
                  <c:v>0</c:v>
                </c:pt>
                <c:pt idx="3">
                  <c:v>#N/A</c:v>
                </c:pt>
                <c:pt idx="4">
                  <c:v>#N/A</c:v>
                </c:pt>
                <c:pt idx="5">
                  <c:v>#N/A</c:v>
                </c:pt>
                <c:pt idx="6">
                  <c:v>0</c:v>
                </c:pt>
                <c:pt idx="7">
                  <c:v>#N/A</c:v>
                </c:pt>
                <c:pt idx="8">
                  <c:v>#N/A</c:v>
                </c:pt>
                <c:pt idx="9">
                  <c:v>#N/A</c:v>
                </c:pt>
                <c:pt idx="10">
                  <c:v>-1</c:v>
                </c:pt>
                <c:pt idx="11">
                  <c:v>#N/A</c:v>
                </c:pt>
                <c:pt idx="12">
                  <c:v>#N/A</c:v>
                </c:pt>
                <c:pt idx="13">
                  <c:v>#N/A</c:v>
                </c:pt>
                <c:pt idx="14">
                  <c:v>0</c:v>
                </c:pt>
                <c:pt idx="15">
                  <c:v>#N/A</c:v>
                </c:pt>
                <c:pt idx="16">
                  <c:v>#N/A</c:v>
                </c:pt>
                <c:pt idx="17">
                  <c:v>#N/A</c:v>
                </c:pt>
                <c:pt idx="18">
                  <c:v>-1</c:v>
                </c:pt>
                <c:pt idx="19">
                  <c:v>#N/A</c:v>
                </c:pt>
                <c:pt idx="20">
                  <c:v>#N/A</c:v>
                </c:pt>
                <c:pt idx="21">
                  <c:v>#N/A</c:v>
                </c:pt>
                <c:pt idx="22">
                  <c:v>0</c:v>
                </c:pt>
                <c:pt idx="23">
                  <c:v>#N/A</c:v>
                </c:pt>
                <c:pt idx="24">
                  <c:v>#N/A</c:v>
                </c:pt>
                <c:pt idx="25">
                  <c:v>#N/A</c:v>
                </c:pt>
                <c:pt idx="26">
                  <c:v>-1</c:v>
                </c:pt>
                <c:pt idx="27">
                  <c:v>#N/A</c:v>
                </c:pt>
                <c:pt idx="28">
                  <c:v>#N/A</c:v>
                </c:pt>
                <c:pt idx="29">
                  <c:v>#N/A</c:v>
                </c:pt>
                <c:pt idx="30">
                  <c:v>0</c:v>
                </c:pt>
                <c:pt idx="31">
                  <c:v>#N/A</c:v>
                </c:pt>
                <c:pt idx="32">
                  <c:v>#N/A</c:v>
                </c:pt>
                <c:pt idx="33">
                  <c:v>#N/A</c:v>
                </c:pt>
                <c:pt idx="34">
                  <c:v>0</c:v>
                </c:pt>
                <c:pt idx="35">
                  <c:v>#N/A</c:v>
                </c:pt>
                <c:pt idx="36">
                  <c:v>#N/A</c:v>
                </c:pt>
                <c:pt idx="37">
                  <c:v>#N/A</c:v>
                </c:pt>
                <c:pt idx="38">
                  <c:v>-1</c:v>
                </c:pt>
                <c:pt idx="39">
                  <c:v>#N/A</c:v>
                </c:pt>
                <c:pt idx="40">
                  <c:v>#N/A</c:v>
                </c:pt>
                <c:pt idx="41">
                  <c:v>#N/A</c:v>
                </c:pt>
                <c:pt idx="42">
                  <c:v>-1</c:v>
                </c:pt>
                <c:pt idx="43">
                  <c:v>#N/A</c:v>
                </c:pt>
                <c:pt idx="44">
                  <c:v>#N/A</c:v>
                </c:pt>
                <c:pt idx="45">
                  <c:v>#N/A</c:v>
                </c:pt>
                <c:pt idx="46">
                  <c:v>0</c:v>
                </c:pt>
                <c:pt idx="47">
                  <c:v>#N/A</c:v>
                </c:pt>
                <c:pt idx="48">
                  <c:v>#N/A</c:v>
                </c:pt>
                <c:pt idx="49">
                  <c:v>#N/A</c:v>
                </c:pt>
                <c:pt idx="50">
                  <c:v>0</c:v>
                </c:pt>
                <c:pt idx="51">
                  <c:v>#N/A</c:v>
                </c:pt>
                <c:pt idx="52">
                  <c:v>#N/A</c:v>
                </c:pt>
                <c:pt idx="53">
                  <c:v>#N/A</c:v>
                </c:pt>
                <c:pt idx="54">
                  <c:v>0</c:v>
                </c:pt>
                <c:pt idx="55">
                  <c:v>#N/A</c:v>
                </c:pt>
                <c:pt idx="56">
                  <c:v>#N/A</c:v>
                </c:pt>
                <c:pt idx="57">
                  <c:v>#N/A</c:v>
                </c:pt>
                <c:pt idx="58">
                  <c:v>0</c:v>
                </c:pt>
                <c:pt idx="59">
                  <c:v>#N/A</c:v>
                </c:pt>
                <c:pt idx="60">
                  <c:v>#N/A</c:v>
                </c:pt>
                <c:pt idx="61">
                  <c:v>#N/A</c:v>
                </c:pt>
                <c:pt idx="62">
                  <c:v>-1</c:v>
                </c:pt>
                <c:pt idx="63">
                  <c:v>#N/A</c:v>
                </c:pt>
                <c:pt idx="64">
                  <c:v>#N/A</c:v>
                </c:pt>
                <c:pt idx="65">
                  <c:v>#N/A</c:v>
                </c:pt>
                <c:pt idx="66">
                  <c:v>0</c:v>
                </c:pt>
                <c:pt idx="67">
                  <c:v>#N/A</c:v>
                </c:pt>
                <c:pt idx="68">
                  <c:v>#N/A</c:v>
                </c:pt>
                <c:pt idx="69">
                  <c:v>#N/A</c:v>
                </c:pt>
                <c:pt idx="70">
                  <c:v>0</c:v>
                </c:pt>
                <c:pt idx="71">
                  <c:v>#N/A</c:v>
                </c:pt>
                <c:pt idx="72">
                  <c:v>#N/A</c:v>
                </c:pt>
                <c:pt idx="73">
                  <c:v>#N/A</c:v>
                </c:pt>
                <c:pt idx="74">
                  <c:v>0</c:v>
                </c:pt>
                <c:pt idx="75">
                  <c:v>#N/A</c:v>
                </c:pt>
                <c:pt idx="76">
                  <c:v>#N/A</c:v>
                </c:pt>
                <c:pt idx="77">
                  <c:v>#N/A</c:v>
                </c:pt>
                <c:pt idx="78">
                  <c:v>-1</c:v>
                </c:pt>
                <c:pt idx="79">
                  <c:v>#N/A</c:v>
                </c:pt>
                <c:pt idx="80">
                  <c:v>#N/A</c:v>
                </c:pt>
                <c:pt idx="81">
                  <c:v>#N/A</c:v>
                </c:pt>
                <c:pt idx="82">
                  <c:v>-2</c:v>
                </c:pt>
                <c:pt idx="83">
                  <c:v>#N/A</c:v>
                </c:pt>
                <c:pt idx="84">
                  <c:v>#N/A</c:v>
                </c:pt>
                <c:pt idx="86">
                  <c:v>0</c:v>
                </c:pt>
                <c:pt idx="87">
                  <c:v>#N/A</c:v>
                </c:pt>
                <c:pt idx="88">
                  <c:v>#N/A</c:v>
                </c:pt>
                <c:pt idx="90">
                  <c:v>-1</c:v>
                </c:pt>
                <c:pt idx="91">
                  <c:v>#N/A</c:v>
                </c:pt>
                <c:pt idx="92">
                  <c:v>#N/A</c:v>
                </c:pt>
                <c:pt idx="94">
                  <c:v>0</c:v>
                </c:pt>
                <c:pt idx="95">
                  <c:v>#N/A</c:v>
                </c:pt>
                <c:pt idx="96">
                  <c:v>#N/A</c:v>
                </c:pt>
                <c:pt idx="98">
                  <c:v>0</c:v>
                </c:pt>
                <c:pt idx="99">
                  <c:v>#N/A</c:v>
                </c:pt>
                <c:pt idx="100">
                  <c:v>#N/A</c:v>
                </c:pt>
                <c:pt idx="102">
                  <c:v>0</c:v>
                </c:pt>
                <c:pt idx="103">
                  <c:v>#N/A</c:v>
                </c:pt>
                <c:pt idx="104">
                  <c:v>#N/A</c:v>
                </c:pt>
                <c:pt idx="106">
                  <c:v>-4</c:v>
                </c:pt>
                <c:pt idx="107">
                  <c:v>#N/A</c:v>
                </c:pt>
                <c:pt idx="108">
                  <c:v>#N/A</c:v>
                </c:pt>
                <c:pt idx="110">
                  <c:v>0</c:v>
                </c:pt>
                <c:pt idx="111">
                  <c:v>#N/A</c:v>
                </c:pt>
                <c:pt idx="112">
                  <c:v>#N/A</c:v>
                </c:pt>
                <c:pt idx="114">
                  <c:v>-7</c:v>
                </c:pt>
                <c:pt idx="115">
                  <c:v>#N/A</c:v>
                </c:pt>
                <c:pt idx="116">
                  <c:v>#N/A</c:v>
                </c:pt>
                <c:pt idx="118">
                  <c:v>-9</c:v>
                </c:pt>
                <c:pt idx="119">
                  <c:v>#N/A</c:v>
                </c:pt>
                <c:pt idx="120">
                  <c:v>#N/A</c:v>
                </c:pt>
                <c:pt idx="122">
                  <c:v>-1</c:v>
                </c:pt>
                <c:pt idx="123">
                  <c:v>#N/A</c:v>
                </c:pt>
                <c:pt idx="124">
                  <c:v>#N/A</c:v>
                </c:pt>
                <c:pt idx="126">
                  <c:v>-1</c:v>
                </c:pt>
                <c:pt idx="127">
                  <c:v>#N/A</c:v>
                </c:pt>
                <c:pt idx="128">
                  <c:v>#N/A</c:v>
                </c:pt>
                <c:pt idx="130">
                  <c:v>-2</c:v>
                </c:pt>
                <c:pt idx="131">
                  <c:v>#N/A</c:v>
                </c:pt>
                <c:pt idx="132">
                  <c:v>#N/A</c:v>
                </c:pt>
                <c:pt idx="134">
                  <c:v>-6</c:v>
                </c:pt>
                <c:pt idx="135">
                  <c:v>#N/A</c:v>
                </c:pt>
                <c:pt idx="136">
                  <c:v>#N/A</c:v>
                </c:pt>
                <c:pt idx="138">
                  <c:v>-3</c:v>
                </c:pt>
                <c:pt idx="139">
                  <c:v>#N/A</c:v>
                </c:pt>
                <c:pt idx="140">
                  <c:v>#N/A</c:v>
                </c:pt>
                <c:pt idx="142">
                  <c:v>0</c:v>
                </c:pt>
                <c:pt idx="143">
                  <c:v>#N/A</c:v>
                </c:pt>
                <c:pt idx="144">
                  <c:v>#N/A</c:v>
                </c:pt>
                <c:pt idx="146">
                  <c:v>0</c:v>
                </c:pt>
                <c:pt idx="147">
                  <c:v>#N/A</c:v>
                </c:pt>
                <c:pt idx="148">
                  <c:v>#N/A</c:v>
                </c:pt>
                <c:pt idx="150">
                  <c:v>-1</c:v>
                </c:pt>
                <c:pt idx="151">
                  <c:v>#N/A</c:v>
                </c:pt>
                <c:pt idx="152">
                  <c:v>#N/A</c:v>
                </c:pt>
                <c:pt idx="154">
                  <c:v>-4</c:v>
                </c:pt>
                <c:pt idx="155">
                  <c:v>#N/A</c:v>
                </c:pt>
                <c:pt idx="156">
                  <c:v>#N/A</c:v>
                </c:pt>
                <c:pt idx="158">
                  <c:v>-1</c:v>
                </c:pt>
                <c:pt idx="159">
                  <c:v>#N/A</c:v>
                </c:pt>
                <c:pt idx="160">
                  <c:v>#N/A</c:v>
                </c:pt>
                <c:pt idx="162">
                  <c:v>-1</c:v>
                </c:pt>
                <c:pt idx="163">
                  <c:v>#N/A</c:v>
                </c:pt>
                <c:pt idx="164">
                  <c:v>#N/A</c:v>
                </c:pt>
                <c:pt idx="166">
                  <c:v>-1</c:v>
                </c:pt>
                <c:pt idx="167">
                  <c:v>#N/A</c:v>
                </c:pt>
                <c:pt idx="168">
                  <c:v>#N/A</c:v>
                </c:pt>
                <c:pt idx="170">
                  <c:v>-1</c:v>
                </c:pt>
                <c:pt idx="171">
                  <c:v>#N/A</c:v>
                </c:pt>
                <c:pt idx="172">
                  <c:v>#N/A</c:v>
                </c:pt>
                <c:pt idx="174">
                  <c:v>-14</c:v>
                </c:pt>
                <c:pt idx="175">
                  <c:v>#N/A</c:v>
                </c:pt>
                <c:pt idx="176">
                  <c:v>#N/A</c:v>
                </c:pt>
                <c:pt idx="178">
                  <c:v>0</c:v>
                </c:pt>
                <c:pt idx="179">
                  <c:v>#N/A</c:v>
                </c:pt>
                <c:pt idx="180">
                  <c:v>#N/A</c:v>
                </c:pt>
                <c:pt idx="182">
                  <c:v>0</c:v>
                </c:pt>
                <c:pt idx="183">
                  <c:v>#N/A</c:v>
                </c:pt>
                <c:pt idx="184">
                  <c:v>#N/A</c:v>
                </c:pt>
                <c:pt idx="186">
                  <c:v>0</c:v>
                </c:pt>
                <c:pt idx="187">
                  <c:v>#N/A</c:v>
                </c:pt>
              </c:numCache>
            </c:numRef>
          </c:val>
        </c:ser>
        <c:gapWidth val="0"/>
        <c:overlap val="100"/>
        <c:axId val="103089664"/>
        <c:axId val="103091200"/>
      </c:barChart>
      <c:lineChart>
        <c:grouping val="standard"/>
        <c:ser>
          <c:idx val="3"/>
          <c:order val="3"/>
          <c:tx>
            <c:v>ouvertes</c:v>
          </c:tx>
          <c:spPr>
            <a:ln>
              <a:solidFill>
                <a:srgbClr val="C00000"/>
              </a:solidFill>
            </a:ln>
          </c:spPr>
          <c:marker>
            <c:symbol val="x"/>
            <c:size val="4"/>
          </c:marker>
          <c:val>
            <c:numRef>
              <c:f>Stat!$AA$340:$AA$527</c:f>
              <c:numCache>
                <c:formatCode>General</c:formatCode>
                <c:ptCount val="188"/>
                <c:pt idx="0">
                  <c:v>71</c:v>
                </c:pt>
                <c:pt idx="1">
                  <c:v>#N/A</c:v>
                </c:pt>
                <c:pt idx="2">
                  <c:v>50</c:v>
                </c:pt>
                <c:pt idx="3">
                  <c:v>#N/A</c:v>
                </c:pt>
                <c:pt idx="4">
                  <c:v>#N/A</c:v>
                </c:pt>
                <c:pt idx="5">
                  <c:v>#N/A</c:v>
                </c:pt>
                <c:pt idx="6">
                  <c:v>125</c:v>
                </c:pt>
                <c:pt idx="7">
                  <c:v>#N/A</c:v>
                </c:pt>
                <c:pt idx="8">
                  <c:v>#N/A</c:v>
                </c:pt>
                <c:pt idx="9">
                  <c:v>#N/A</c:v>
                </c:pt>
                <c:pt idx="10">
                  <c:v>96</c:v>
                </c:pt>
                <c:pt idx="11">
                  <c:v>#N/A</c:v>
                </c:pt>
                <c:pt idx="12">
                  <c:v>#N/A</c:v>
                </c:pt>
                <c:pt idx="13">
                  <c:v>#N/A</c:v>
                </c:pt>
                <c:pt idx="14">
                  <c:v>61</c:v>
                </c:pt>
                <c:pt idx="15">
                  <c:v>#N/A</c:v>
                </c:pt>
                <c:pt idx="16">
                  <c:v>#N/A</c:v>
                </c:pt>
                <c:pt idx="17">
                  <c:v>#N/A</c:v>
                </c:pt>
                <c:pt idx="18">
                  <c:v>64</c:v>
                </c:pt>
                <c:pt idx="19">
                  <c:v>#N/A</c:v>
                </c:pt>
                <c:pt idx="20">
                  <c:v>#N/A</c:v>
                </c:pt>
                <c:pt idx="21">
                  <c:v>#N/A</c:v>
                </c:pt>
                <c:pt idx="22">
                  <c:v>50</c:v>
                </c:pt>
                <c:pt idx="23">
                  <c:v>#N/A</c:v>
                </c:pt>
                <c:pt idx="24">
                  <c:v>#N/A</c:v>
                </c:pt>
                <c:pt idx="25">
                  <c:v>#N/A</c:v>
                </c:pt>
                <c:pt idx="26">
                  <c:v>70</c:v>
                </c:pt>
                <c:pt idx="27">
                  <c:v>#N/A</c:v>
                </c:pt>
                <c:pt idx="28">
                  <c:v>#N/A</c:v>
                </c:pt>
                <c:pt idx="29">
                  <c:v>#N/A</c:v>
                </c:pt>
                <c:pt idx="30">
                  <c:v>77</c:v>
                </c:pt>
                <c:pt idx="31">
                  <c:v>#N/A</c:v>
                </c:pt>
                <c:pt idx="32">
                  <c:v>#N/A</c:v>
                </c:pt>
                <c:pt idx="33">
                  <c:v>#N/A</c:v>
                </c:pt>
                <c:pt idx="34">
                  <c:v>80</c:v>
                </c:pt>
                <c:pt idx="35">
                  <c:v>#N/A</c:v>
                </c:pt>
                <c:pt idx="36">
                  <c:v>#N/A</c:v>
                </c:pt>
                <c:pt idx="37">
                  <c:v>#N/A</c:v>
                </c:pt>
                <c:pt idx="38">
                  <c:v>62</c:v>
                </c:pt>
                <c:pt idx="39">
                  <c:v>#N/A</c:v>
                </c:pt>
                <c:pt idx="40">
                  <c:v>#N/A</c:v>
                </c:pt>
                <c:pt idx="41">
                  <c:v>#N/A</c:v>
                </c:pt>
                <c:pt idx="42">
                  <c:v>78</c:v>
                </c:pt>
                <c:pt idx="43">
                  <c:v>#N/A</c:v>
                </c:pt>
                <c:pt idx="44">
                  <c:v>#N/A</c:v>
                </c:pt>
                <c:pt idx="45">
                  <c:v>#N/A</c:v>
                </c:pt>
                <c:pt idx="46">
                  <c:v>71</c:v>
                </c:pt>
                <c:pt idx="47">
                  <c:v>#N/A</c:v>
                </c:pt>
                <c:pt idx="48">
                  <c:v>#N/A</c:v>
                </c:pt>
                <c:pt idx="49">
                  <c:v>#N/A</c:v>
                </c:pt>
                <c:pt idx="50">
                  <c:v>62</c:v>
                </c:pt>
                <c:pt idx="51">
                  <c:v>#N/A</c:v>
                </c:pt>
                <c:pt idx="52">
                  <c:v>#N/A</c:v>
                </c:pt>
                <c:pt idx="53">
                  <c:v>#N/A</c:v>
                </c:pt>
                <c:pt idx="54">
                  <c:v>64</c:v>
                </c:pt>
                <c:pt idx="55">
                  <c:v>#N/A</c:v>
                </c:pt>
                <c:pt idx="56">
                  <c:v>#N/A</c:v>
                </c:pt>
                <c:pt idx="57">
                  <c:v>#N/A</c:v>
                </c:pt>
                <c:pt idx="58">
                  <c:v>61</c:v>
                </c:pt>
                <c:pt idx="59">
                  <c:v>#N/A</c:v>
                </c:pt>
                <c:pt idx="60">
                  <c:v>#N/A</c:v>
                </c:pt>
                <c:pt idx="61">
                  <c:v>#N/A</c:v>
                </c:pt>
                <c:pt idx="62">
                  <c:v>86</c:v>
                </c:pt>
                <c:pt idx="63">
                  <c:v>#N/A</c:v>
                </c:pt>
                <c:pt idx="64">
                  <c:v>#N/A</c:v>
                </c:pt>
                <c:pt idx="65">
                  <c:v>#N/A</c:v>
                </c:pt>
                <c:pt idx="66">
                  <c:v>89</c:v>
                </c:pt>
                <c:pt idx="67">
                  <c:v>#N/A</c:v>
                </c:pt>
                <c:pt idx="68">
                  <c:v>#N/A</c:v>
                </c:pt>
                <c:pt idx="69">
                  <c:v>#N/A</c:v>
                </c:pt>
                <c:pt idx="70">
                  <c:v>117</c:v>
                </c:pt>
                <c:pt idx="71">
                  <c:v>#N/A</c:v>
                </c:pt>
                <c:pt idx="72">
                  <c:v>#N/A</c:v>
                </c:pt>
                <c:pt idx="73">
                  <c:v>#N/A</c:v>
                </c:pt>
                <c:pt idx="74">
                  <c:v>91</c:v>
                </c:pt>
                <c:pt idx="75">
                  <c:v>#N/A</c:v>
                </c:pt>
                <c:pt idx="76">
                  <c:v>#N/A</c:v>
                </c:pt>
                <c:pt idx="77">
                  <c:v>#N/A</c:v>
                </c:pt>
                <c:pt idx="78">
                  <c:v>103</c:v>
                </c:pt>
                <c:pt idx="79">
                  <c:v>#N/A</c:v>
                </c:pt>
                <c:pt idx="80">
                  <c:v>#N/A</c:v>
                </c:pt>
                <c:pt idx="81">
                  <c:v>#N/A</c:v>
                </c:pt>
                <c:pt idx="82">
                  <c:v>93</c:v>
                </c:pt>
                <c:pt idx="83">
                  <c:v>#N/A</c:v>
                </c:pt>
                <c:pt idx="84">
                  <c:v>#N/A</c:v>
                </c:pt>
                <c:pt idx="85">
                  <c:v>#N/A</c:v>
                </c:pt>
                <c:pt idx="86">
                  <c:v>93</c:v>
                </c:pt>
                <c:pt idx="87">
                  <c:v>#N/A</c:v>
                </c:pt>
                <c:pt idx="88">
                  <c:v>#N/A</c:v>
                </c:pt>
                <c:pt idx="89">
                  <c:v>#N/A</c:v>
                </c:pt>
                <c:pt idx="90">
                  <c:v>88</c:v>
                </c:pt>
                <c:pt idx="91">
                  <c:v>#N/A</c:v>
                </c:pt>
                <c:pt idx="92">
                  <c:v>#N/A</c:v>
                </c:pt>
                <c:pt idx="93">
                  <c:v>#N/A</c:v>
                </c:pt>
                <c:pt idx="94">
                  <c:v>135</c:v>
                </c:pt>
                <c:pt idx="95">
                  <c:v>#N/A</c:v>
                </c:pt>
                <c:pt idx="96">
                  <c:v>#N/A</c:v>
                </c:pt>
                <c:pt idx="97">
                  <c:v>#N/A</c:v>
                </c:pt>
                <c:pt idx="98">
                  <c:v>231</c:v>
                </c:pt>
                <c:pt idx="99">
                  <c:v>#N/A</c:v>
                </c:pt>
                <c:pt idx="100">
                  <c:v>#N/A</c:v>
                </c:pt>
                <c:pt idx="101">
                  <c:v>#N/A</c:v>
                </c:pt>
                <c:pt idx="102">
                  <c:v>224</c:v>
                </c:pt>
                <c:pt idx="103">
                  <c:v>#N/A</c:v>
                </c:pt>
                <c:pt idx="104">
                  <c:v>#N/A</c:v>
                </c:pt>
                <c:pt idx="105">
                  <c:v>#N/A</c:v>
                </c:pt>
                <c:pt idx="106">
                  <c:v>170</c:v>
                </c:pt>
                <c:pt idx="107">
                  <c:v>#N/A</c:v>
                </c:pt>
                <c:pt idx="108">
                  <c:v>#N/A</c:v>
                </c:pt>
                <c:pt idx="109">
                  <c:v>#N/A</c:v>
                </c:pt>
                <c:pt idx="110">
                  <c:v>164</c:v>
                </c:pt>
                <c:pt idx="111">
                  <c:v>#N/A</c:v>
                </c:pt>
                <c:pt idx="112">
                  <c:v>#N/A</c:v>
                </c:pt>
                <c:pt idx="113">
                  <c:v>#N/A</c:v>
                </c:pt>
                <c:pt idx="114">
                  <c:v>150</c:v>
                </c:pt>
                <c:pt idx="115">
                  <c:v>#N/A</c:v>
                </c:pt>
                <c:pt idx="116">
                  <c:v>#N/A</c:v>
                </c:pt>
                <c:pt idx="117">
                  <c:v>#N/A</c:v>
                </c:pt>
                <c:pt idx="118">
                  <c:v>132</c:v>
                </c:pt>
                <c:pt idx="119">
                  <c:v>#N/A</c:v>
                </c:pt>
                <c:pt idx="120">
                  <c:v>#N/A</c:v>
                </c:pt>
                <c:pt idx="121">
                  <c:v>#N/A</c:v>
                </c:pt>
                <c:pt idx="122">
                  <c:v>129</c:v>
                </c:pt>
                <c:pt idx="123">
                  <c:v>#N/A</c:v>
                </c:pt>
                <c:pt idx="124">
                  <c:v>#N/A</c:v>
                </c:pt>
                <c:pt idx="125">
                  <c:v>#N/A</c:v>
                </c:pt>
                <c:pt idx="126">
                  <c:v>129</c:v>
                </c:pt>
                <c:pt idx="127">
                  <c:v>#N/A</c:v>
                </c:pt>
                <c:pt idx="128">
                  <c:v>#N/A</c:v>
                </c:pt>
                <c:pt idx="129">
                  <c:v>#N/A</c:v>
                </c:pt>
                <c:pt idx="130">
                  <c:v>132</c:v>
                </c:pt>
                <c:pt idx="131">
                  <c:v>#N/A</c:v>
                </c:pt>
                <c:pt idx="132">
                  <c:v>#N/A</c:v>
                </c:pt>
                <c:pt idx="133">
                  <c:v>#N/A</c:v>
                </c:pt>
                <c:pt idx="134">
                  <c:v>188</c:v>
                </c:pt>
                <c:pt idx="135">
                  <c:v>#N/A</c:v>
                </c:pt>
                <c:pt idx="136">
                  <c:v>#N/A</c:v>
                </c:pt>
                <c:pt idx="137">
                  <c:v>#N/A</c:v>
                </c:pt>
                <c:pt idx="138">
                  <c:v>127</c:v>
                </c:pt>
                <c:pt idx="139">
                  <c:v>#N/A</c:v>
                </c:pt>
                <c:pt idx="140">
                  <c:v>#N/A</c:v>
                </c:pt>
                <c:pt idx="141">
                  <c:v>#N/A</c:v>
                </c:pt>
                <c:pt idx="142">
                  <c:v>128</c:v>
                </c:pt>
                <c:pt idx="143">
                  <c:v>#N/A</c:v>
                </c:pt>
                <c:pt idx="144">
                  <c:v>#N/A</c:v>
                </c:pt>
                <c:pt idx="145">
                  <c:v>#N/A</c:v>
                </c:pt>
                <c:pt idx="146">
                  <c:v>246</c:v>
                </c:pt>
                <c:pt idx="147">
                  <c:v>#N/A</c:v>
                </c:pt>
                <c:pt idx="148">
                  <c:v>#N/A</c:v>
                </c:pt>
                <c:pt idx="149">
                  <c:v>#N/A</c:v>
                </c:pt>
                <c:pt idx="150">
                  <c:v>198</c:v>
                </c:pt>
                <c:pt idx="151">
                  <c:v>#N/A</c:v>
                </c:pt>
                <c:pt idx="152">
                  <c:v>#N/A</c:v>
                </c:pt>
                <c:pt idx="153">
                  <c:v>#N/A</c:v>
                </c:pt>
                <c:pt idx="154">
                  <c:v>151</c:v>
                </c:pt>
                <c:pt idx="155">
                  <c:v>#N/A</c:v>
                </c:pt>
                <c:pt idx="156">
                  <c:v>#N/A</c:v>
                </c:pt>
                <c:pt idx="157">
                  <c:v>#N/A</c:v>
                </c:pt>
                <c:pt idx="158">
                  <c:v>164</c:v>
                </c:pt>
                <c:pt idx="159">
                  <c:v>#N/A</c:v>
                </c:pt>
                <c:pt idx="160">
                  <c:v>#N/A</c:v>
                </c:pt>
                <c:pt idx="161">
                  <c:v>#N/A</c:v>
                </c:pt>
                <c:pt idx="162">
                  <c:v>158</c:v>
                </c:pt>
                <c:pt idx="163">
                  <c:v>#N/A</c:v>
                </c:pt>
                <c:pt idx="164">
                  <c:v>#N/A</c:v>
                </c:pt>
                <c:pt idx="165">
                  <c:v>#N/A</c:v>
                </c:pt>
                <c:pt idx="166">
                  <c:v>147</c:v>
                </c:pt>
                <c:pt idx="167">
                  <c:v>#N/A</c:v>
                </c:pt>
                <c:pt idx="168">
                  <c:v>#N/A</c:v>
                </c:pt>
                <c:pt idx="169">
                  <c:v>#N/A</c:v>
                </c:pt>
                <c:pt idx="170">
                  <c:v>167</c:v>
                </c:pt>
                <c:pt idx="171">
                  <c:v>#N/A</c:v>
                </c:pt>
                <c:pt idx="172">
                  <c:v>#N/A</c:v>
                </c:pt>
                <c:pt idx="173">
                  <c:v>#N/A</c:v>
                </c:pt>
                <c:pt idx="174">
                  <c:v>164</c:v>
                </c:pt>
                <c:pt idx="175">
                  <c:v>#N/A</c:v>
                </c:pt>
                <c:pt idx="176">
                  <c:v>#N/A</c:v>
                </c:pt>
                <c:pt idx="177">
                  <c:v>#N/A</c:v>
                </c:pt>
                <c:pt idx="178">
                  <c:v>153</c:v>
                </c:pt>
                <c:pt idx="179">
                  <c:v>#N/A</c:v>
                </c:pt>
                <c:pt idx="180">
                  <c:v>#N/A</c:v>
                </c:pt>
                <c:pt idx="181">
                  <c:v>#N/A</c:v>
                </c:pt>
                <c:pt idx="182">
                  <c:v>146</c:v>
                </c:pt>
                <c:pt idx="183">
                  <c:v>#N/A</c:v>
                </c:pt>
                <c:pt idx="184">
                  <c:v>#N/A</c:v>
                </c:pt>
                <c:pt idx="185">
                  <c:v>#N/A</c:v>
                </c:pt>
                <c:pt idx="186">
                  <c:v>3</c:v>
                </c:pt>
                <c:pt idx="187">
                  <c:v>#N/A</c:v>
                </c:pt>
              </c:numCache>
            </c:numRef>
          </c:val>
        </c:ser>
        <c:marker val="1"/>
        <c:axId val="103089664"/>
        <c:axId val="103091200"/>
      </c:lineChart>
      <c:catAx>
        <c:axId val="103089664"/>
        <c:scaling>
          <c:orientation val="minMax"/>
        </c:scaling>
        <c:axPos val="b"/>
        <c:numFmt formatCode="General" sourceLinked="1"/>
        <c:tickLblPos val="nextTo"/>
        <c:crossAx val="103091200"/>
        <c:crossesAt val="0"/>
        <c:auto val="1"/>
        <c:lblAlgn val="ctr"/>
        <c:lblOffset val="100"/>
      </c:catAx>
      <c:valAx>
        <c:axId val="103091200"/>
        <c:scaling>
          <c:orientation val="minMax"/>
          <c:min val="-100"/>
        </c:scaling>
        <c:axPos val="l"/>
        <c:majorGridlines/>
        <c:numFmt formatCode="General" sourceLinked="1"/>
        <c:tickLblPos val="nextTo"/>
        <c:crossAx val="103089664"/>
        <c:crosses val="autoZero"/>
        <c:crossBetween val="between"/>
        <c:majorUnit val="20"/>
      </c:valAx>
      <c:spPr>
        <a:gradFill flip="none" rotWithShape="1">
          <a:gsLst>
            <a:gs pos="0">
              <a:srgbClr val="C0504D">
                <a:lumMod val="60000"/>
                <a:lumOff val="40000"/>
                <a:alpha val="70000"/>
              </a:srgbClr>
            </a:gs>
            <a:gs pos="72000">
              <a:sysClr val="window" lastClr="EFEEE7">
                <a:alpha val="38000"/>
              </a:sysClr>
            </a:gs>
            <a:gs pos="100000">
              <a:srgbClr val="1F497D">
                <a:lumMod val="60000"/>
                <a:lumOff val="40000"/>
                <a:alpha val="70000"/>
              </a:srgbClr>
            </a:gs>
            <a:gs pos="100000">
              <a:srgbClr val="FFEBFA"/>
            </a:gs>
          </a:gsLst>
          <a:lin ang="5400000" scaled="0"/>
          <a:tileRect/>
        </a:gradFill>
      </c:spPr>
    </c:plotArea>
    <c:legend>
      <c:legendPos val="r"/>
      <c:layout>
        <c:manualLayout>
          <c:xMode val="edge"/>
          <c:yMode val="edge"/>
          <c:x val="0.88289735846970763"/>
          <c:y val="0.36806370345959138"/>
          <c:w val="0.11437106603390186"/>
          <c:h val="0.29305715413146061"/>
        </c:manualLayout>
      </c:layout>
    </c:legend>
    <c:plotVisOnly val="1"/>
    <c:dispBlanksAs val="gap"/>
  </c:chart>
  <c:txPr>
    <a:bodyPr/>
    <a:lstStyle/>
    <a:p>
      <a:pPr>
        <a:defRPr sz="900" baseline="0"/>
      </a:pPr>
      <a:endParaRPr lang="fr-FR"/>
    </a:p>
  </c:txPr>
  <c:userShapes r:id="rId1"/>
</c:chartSpace>
</file>

<file path=xl/charts/chart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en-US"/>
              <a:t>Evolution des FI DiagBox de sévérité 1</a:t>
            </a:r>
          </a:p>
        </c:rich>
      </c:tx>
      <c:overlay val="1"/>
    </c:title>
    <c:plotArea>
      <c:layout>
        <c:manualLayout>
          <c:layoutTarget val="inner"/>
          <c:xMode val="edge"/>
          <c:yMode val="edge"/>
          <c:x val="6.7669083178947334E-2"/>
          <c:y val="2.7313816882757812E-2"/>
          <c:w val="0.81851692012059996"/>
          <c:h val="0.93078000363742164"/>
        </c:manualLayout>
      </c:layout>
      <c:barChart>
        <c:barDir val="col"/>
        <c:grouping val="stacked"/>
        <c:ser>
          <c:idx val="3"/>
          <c:order val="0"/>
          <c:tx>
            <c:v>Sev1 En cours</c:v>
          </c:tx>
          <c:spPr>
            <a:solidFill>
              <a:srgbClr val="FFFF00"/>
            </a:solidFill>
            <a:ln>
              <a:solidFill>
                <a:srgbClr val="C00000"/>
              </a:solidFill>
            </a:ln>
          </c:spPr>
          <c:val>
            <c:numRef>
              <c:f>Stat!$I$340:$I$527</c:f>
              <c:numCache>
                <c:formatCode>General</c:formatCode>
                <c:ptCount val="188"/>
                <c:pt idx="0">
                  <c:v>#N/A</c:v>
                </c:pt>
                <c:pt idx="1">
                  <c:v>#N/A</c:v>
                </c:pt>
                <c:pt idx="2">
                  <c:v>#N/A</c:v>
                </c:pt>
                <c:pt idx="3">
                  <c:v>10</c:v>
                </c:pt>
                <c:pt idx="4">
                  <c:v>#N/A</c:v>
                </c:pt>
                <c:pt idx="5">
                  <c:v>#N/A</c:v>
                </c:pt>
                <c:pt idx="6">
                  <c:v>#N/A</c:v>
                </c:pt>
                <c:pt idx="7">
                  <c:v>14</c:v>
                </c:pt>
                <c:pt idx="8">
                  <c:v>#N/A</c:v>
                </c:pt>
                <c:pt idx="9">
                  <c:v>#N/A</c:v>
                </c:pt>
                <c:pt idx="10">
                  <c:v>#N/A</c:v>
                </c:pt>
                <c:pt idx="11">
                  <c:v>11</c:v>
                </c:pt>
                <c:pt idx="12">
                  <c:v>#N/A</c:v>
                </c:pt>
                <c:pt idx="13">
                  <c:v>#N/A</c:v>
                </c:pt>
                <c:pt idx="14">
                  <c:v>#N/A</c:v>
                </c:pt>
                <c:pt idx="15">
                  <c:v>8</c:v>
                </c:pt>
                <c:pt idx="16">
                  <c:v>#N/A</c:v>
                </c:pt>
                <c:pt idx="17">
                  <c:v>#N/A</c:v>
                </c:pt>
                <c:pt idx="18">
                  <c:v>#N/A</c:v>
                </c:pt>
                <c:pt idx="19">
                  <c:v>11</c:v>
                </c:pt>
                <c:pt idx="20">
                  <c:v>#N/A</c:v>
                </c:pt>
                <c:pt idx="21">
                  <c:v>#N/A</c:v>
                </c:pt>
                <c:pt idx="22">
                  <c:v>#N/A</c:v>
                </c:pt>
                <c:pt idx="23">
                  <c:v>7</c:v>
                </c:pt>
                <c:pt idx="24">
                  <c:v>#N/A</c:v>
                </c:pt>
                <c:pt idx="25">
                  <c:v>#N/A</c:v>
                </c:pt>
                <c:pt idx="26">
                  <c:v>#N/A</c:v>
                </c:pt>
                <c:pt idx="27">
                  <c:v>4</c:v>
                </c:pt>
                <c:pt idx="28">
                  <c:v>#N/A</c:v>
                </c:pt>
                <c:pt idx="29">
                  <c:v>#N/A</c:v>
                </c:pt>
                <c:pt idx="30">
                  <c:v>#N/A</c:v>
                </c:pt>
                <c:pt idx="31">
                  <c:v>5</c:v>
                </c:pt>
                <c:pt idx="32">
                  <c:v>#N/A</c:v>
                </c:pt>
                <c:pt idx="33">
                  <c:v>#N/A</c:v>
                </c:pt>
                <c:pt idx="34">
                  <c:v>#N/A</c:v>
                </c:pt>
                <c:pt idx="35">
                  <c:v>10</c:v>
                </c:pt>
                <c:pt idx="36">
                  <c:v>#N/A</c:v>
                </c:pt>
                <c:pt idx="37">
                  <c:v>#N/A</c:v>
                </c:pt>
                <c:pt idx="38">
                  <c:v>#N/A</c:v>
                </c:pt>
                <c:pt idx="39">
                  <c:v>8</c:v>
                </c:pt>
                <c:pt idx="40">
                  <c:v>#N/A</c:v>
                </c:pt>
                <c:pt idx="41">
                  <c:v>#N/A</c:v>
                </c:pt>
                <c:pt idx="42">
                  <c:v>#N/A</c:v>
                </c:pt>
                <c:pt idx="43">
                  <c:v>7</c:v>
                </c:pt>
                <c:pt idx="44">
                  <c:v>#N/A</c:v>
                </c:pt>
                <c:pt idx="45">
                  <c:v>#N/A</c:v>
                </c:pt>
                <c:pt idx="46">
                  <c:v>#N/A</c:v>
                </c:pt>
                <c:pt idx="47">
                  <c:v>7</c:v>
                </c:pt>
                <c:pt idx="48">
                  <c:v>#N/A</c:v>
                </c:pt>
                <c:pt idx="49">
                  <c:v>#N/A</c:v>
                </c:pt>
                <c:pt idx="50">
                  <c:v>#N/A</c:v>
                </c:pt>
                <c:pt idx="51">
                  <c:v>7</c:v>
                </c:pt>
                <c:pt idx="52">
                  <c:v>#N/A</c:v>
                </c:pt>
                <c:pt idx="53">
                  <c:v>#N/A</c:v>
                </c:pt>
                <c:pt idx="54">
                  <c:v>#N/A</c:v>
                </c:pt>
                <c:pt idx="55">
                  <c:v>5</c:v>
                </c:pt>
                <c:pt idx="56">
                  <c:v>#N/A</c:v>
                </c:pt>
                <c:pt idx="57">
                  <c:v>#N/A</c:v>
                </c:pt>
                <c:pt idx="58">
                  <c:v>#N/A</c:v>
                </c:pt>
                <c:pt idx="59">
                  <c:v>8</c:v>
                </c:pt>
                <c:pt idx="60">
                  <c:v>#N/A</c:v>
                </c:pt>
                <c:pt idx="61">
                  <c:v>#N/A</c:v>
                </c:pt>
                <c:pt idx="62">
                  <c:v>#N/A</c:v>
                </c:pt>
                <c:pt idx="63">
                  <c:v>10</c:v>
                </c:pt>
                <c:pt idx="64">
                  <c:v>#N/A</c:v>
                </c:pt>
                <c:pt idx="65">
                  <c:v>#N/A</c:v>
                </c:pt>
                <c:pt idx="66">
                  <c:v>#N/A</c:v>
                </c:pt>
                <c:pt idx="67">
                  <c:v>11</c:v>
                </c:pt>
                <c:pt idx="68">
                  <c:v>#N/A</c:v>
                </c:pt>
                <c:pt idx="69">
                  <c:v>#N/A</c:v>
                </c:pt>
                <c:pt idx="70">
                  <c:v>#N/A</c:v>
                </c:pt>
                <c:pt idx="71">
                  <c:v>7</c:v>
                </c:pt>
                <c:pt idx="72">
                  <c:v>#N/A</c:v>
                </c:pt>
                <c:pt idx="73">
                  <c:v>#N/A</c:v>
                </c:pt>
                <c:pt idx="74">
                  <c:v>#N/A</c:v>
                </c:pt>
                <c:pt idx="75">
                  <c:v>6</c:v>
                </c:pt>
                <c:pt idx="76">
                  <c:v>#N/A</c:v>
                </c:pt>
                <c:pt idx="77">
                  <c:v>#N/A</c:v>
                </c:pt>
                <c:pt idx="78">
                  <c:v>#N/A</c:v>
                </c:pt>
                <c:pt idx="79">
                  <c:v>6</c:v>
                </c:pt>
                <c:pt idx="80">
                  <c:v>#N/A</c:v>
                </c:pt>
                <c:pt idx="81">
                  <c:v>#N/A</c:v>
                </c:pt>
                <c:pt idx="82">
                  <c:v>#N/A</c:v>
                </c:pt>
                <c:pt idx="83">
                  <c:v>5</c:v>
                </c:pt>
                <c:pt idx="84">
                  <c:v>#N/A</c:v>
                </c:pt>
                <c:pt idx="85">
                  <c:v>#N/A</c:v>
                </c:pt>
                <c:pt idx="86">
                  <c:v>#N/A</c:v>
                </c:pt>
                <c:pt idx="87">
                  <c:v>8</c:v>
                </c:pt>
                <c:pt idx="88">
                  <c:v>#N/A</c:v>
                </c:pt>
                <c:pt idx="89">
                  <c:v>#N/A</c:v>
                </c:pt>
                <c:pt idx="90">
                  <c:v>#N/A</c:v>
                </c:pt>
                <c:pt idx="91">
                  <c:v>7</c:v>
                </c:pt>
                <c:pt idx="92">
                  <c:v>#N/A</c:v>
                </c:pt>
                <c:pt idx="93">
                  <c:v>#N/A</c:v>
                </c:pt>
                <c:pt idx="94">
                  <c:v>#N/A</c:v>
                </c:pt>
                <c:pt idx="95">
                  <c:v>12</c:v>
                </c:pt>
                <c:pt idx="96">
                  <c:v>#N/A</c:v>
                </c:pt>
                <c:pt idx="97">
                  <c:v>#N/A</c:v>
                </c:pt>
                <c:pt idx="98">
                  <c:v>#N/A</c:v>
                </c:pt>
                <c:pt idx="99">
                  <c:v>11</c:v>
                </c:pt>
                <c:pt idx="100">
                  <c:v>#N/A</c:v>
                </c:pt>
                <c:pt idx="101">
                  <c:v>#N/A</c:v>
                </c:pt>
                <c:pt idx="102">
                  <c:v>#N/A</c:v>
                </c:pt>
                <c:pt idx="103">
                  <c:v>8</c:v>
                </c:pt>
                <c:pt idx="104">
                  <c:v>#N/A</c:v>
                </c:pt>
                <c:pt idx="105">
                  <c:v>#N/A</c:v>
                </c:pt>
                <c:pt idx="106">
                  <c:v>#N/A</c:v>
                </c:pt>
                <c:pt idx="107">
                  <c:v>7</c:v>
                </c:pt>
                <c:pt idx="108">
                  <c:v>#N/A</c:v>
                </c:pt>
                <c:pt idx="109">
                  <c:v>#N/A</c:v>
                </c:pt>
                <c:pt idx="110">
                  <c:v>#N/A</c:v>
                </c:pt>
                <c:pt idx="111">
                  <c:v>8</c:v>
                </c:pt>
                <c:pt idx="112">
                  <c:v>#N/A</c:v>
                </c:pt>
                <c:pt idx="113">
                  <c:v>#N/A</c:v>
                </c:pt>
                <c:pt idx="114">
                  <c:v>#N/A</c:v>
                </c:pt>
                <c:pt idx="115">
                  <c:v>9</c:v>
                </c:pt>
                <c:pt idx="116">
                  <c:v>#N/A</c:v>
                </c:pt>
                <c:pt idx="117">
                  <c:v>#N/A</c:v>
                </c:pt>
                <c:pt idx="118">
                  <c:v>#N/A</c:v>
                </c:pt>
                <c:pt idx="119">
                  <c:v>4</c:v>
                </c:pt>
                <c:pt idx="120">
                  <c:v>#N/A</c:v>
                </c:pt>
                <c:pt idx="121">
                  <c:v>#N/A</c:v>
                </c:pt>
                <c:pt idx="122">
                  <c:v>#N/A</c:v>
                </c:pt>
                <c:pt idx="123">
                  <c:v>9</c:v>
                </c:pt>
                <c:pt idx="124">
                  <c:v>#N/A</c:v>
                </c:pt>
                <c:pt idx="125">
                  <c:v>#N/A</c:v>
                </c:pt>
                <c:pt idx="126">
                  <c:v>#N/A</c:v>
                </c:pt>
                <c:pt idx="127">
                  <c:v>9</c:v>
                </c:pt>
                <c:pt idx="128">
                  <c:v>#N/A</c:v>
                </c:pt>
                <c:pt idx="129">
                  <c:v>#N/A</c:v>
                </c:pt>
                <c:pt idx="130">
                  <c:v>#N/A</c:v>
                </c:pt>
                <c:pt idx="131">
                  <c:v>11</c:v>
                </c:pt>
                <c:pt idx="132">
                  <c:v>#N/A</c:v>
                </c:pt>
                <c:pt idx="133">
                  <c:v>#N/A</c:v>
                </c:pt>
                <c:pt idx="134">
                  <c:v>#N/A</c:v>
                </c:pt>
                <c:pt idx="135">
                  <c:v>12</c:v>
                </c:pt>
                <c:pt idx="136">
                  <c:v>#N/A</c:v>
                </c:pt>
                <c:pt idx="137">
                  <c:v>#N/A</c:v>
                </c:pt>
                <c:pt idx="138">
                  <c:v>#N/A</c:v>
                </c:pt>
                <c:pt idx="139">
                  <c:v>10</c:v>
                </c:pt>
                <c:pt idx="140">
                  <c:v>#N/A</c:v>
                </c:pt>
                <c:pt idx="141">
                  <c:v>#N/A</c:v>
                </c:pt>
                <c:pt idx="142">
                  <c:v>#N/A</c:v>
                </c:pt>
                <c:pt idx="143">
                  <c:v>9</c:v>
                </c:pt>
                <c:pt idx="144">
                  <c:v>#N/A</c:v>
                </c:pt>
                <c:pt idx="145">
                  <c:v>#N/A</c:v>
                </c:pt>
                <c:pt idx="146">
                  <c:v>#N/A</c:v>
                </c:pt>
                <c:pt idx="147">
                  <c:v>23</c:v>
                </c:pt>
                <c:pt idx="148">
                  <c:v>#N/A</c:v>
                </c:pt>
                <c:pt idx="149">
                  <c:v>#N/A</c:v>
                </c:pt>
                <c:pt idx="150">
                  <c:v>#N/A</c:v>
                </c:pt>
                <c:pt idx="151">
                  <c:v>11</c:v>
                </c:pt>
                <c:pt idx="152">
                  <c:v>#N/A</c:v>
                </c:pt>
                <c:pt idx="153">
                  <c:v>#N/A</c:v>
                </c:pt>
                <c:pt idx="154">
                  <c:v>#N/A</c:v>
                </c:pt>
                <c:pt idx="155">
                  <c:v>2</c:v>
                </c:pt>
                <c:pt idx="156">
                  <c:v>#N/A</c:v>
                </c:pt>
                <c:pt idx="157">
                  <c:v>#N/A</c:v>
                </c:pt>
                <c:pt idx="158">
                  <c:v>#N/A</c:v>
                </c:pt>
                <c:pt idx="159">
                  <c:v>5</c:v>
                </c:pt>
                <c:pt idx="160">
                  <c:v>#N/A</c:v>
                </c:pt>
                <c:pt idx="161">
                  <c:v>#N/A</c:v>
                </c:pt>
                <c:pt idx="162">
                  <c:v>#N/A</c:v>
                </c:pt>
                <c:pt idx="163">
                  <c:v>10</c:v>
                </c:pt>
                <c:pt idx="164">
                  <c:v>#N/A</c:v>
                </c:pt>
                <c:pt idx="165">
                  <c:v>#N/A</c:v>
                </c:pt>
                <c:pt idx="166">
                  <c:v>#N/A</c:v>
                </c:pt>
                <c:pt idx="167">
                  <c:v>12</c:v>
                </c:pt>
                <c:pt idx="168">
                  <c:v>#N/A</c:v>
                </c:pt>
                <c:pt idx="169">
                  <c:v>#N/A</c:v>
                </c:pt>
                <c:pt idx="170">
                  <c:v>#N/A</c:v>
                </c:pt>
                <c:pt idx="171">
                  <c:v>9</c:v>
                </c:pt>
                <c:pt idx="172">
                  <c:v>#N/A</c:v>
                </c:pt>
                <c:pt idx="173">
                  <c:v>#N/A</c:v>
                </c:pt>
                <c:pt idx="174">
                  <c:v>#N/A</c:v>
                </c:pt>
                <c:pt idx="175">
                  <c:v>14</c:v>
                </c:pt>
                <c:pt idx="176">
                  <c:v>#N/A</c:v>
                </c:pt>
                <c:pt idx="177">
                  <c:v>#N/A</c:v>
                </c:pt>
                <c:pt idx="178">
                  <c:v>#N/A</c:v>
                </c:pt>
                <c:pt idx="179">
                  <c:v>8</c:v>
                </c:pt>
                <c:pt idx="180">
                  <c:v>#N/A</c:v>
                </c:pt>
                <c:pt idx="181">
                  <c:v>#N/A</c:v>
                </c:pt>
                <c:pt idx="182">
                  <c:v>#N/A</c:v>
                </c:pt>
                <c:pt idx="183">
                  <c:v>6</c:v>
                </c:pt>
                <c:pt idx="184">
                  <c:v>#N/A</c:v>
                </c:pt>
                <c:pt idx="185">
                  <c:v>#N/A</c:v>
                </c:pt>
                <c:pt idx="186">
                  <c:v>#N/A</c:v>
                </c:pt>
                <c:pt idx="187">
                  <c:v>2</c:v>
                </c:pt>
              </c:numCache>
            </c:numRef>
          </c:val>
        </c:ser>
        <c:ser>
          <c:idx val="4"/>
          <c:order val="1"/>
          <c:tx>
            <c:v>Sev1 Fermées</c:v>
          </c:tx>
          <c:spPr>
            <a:solidFill>
              <a:srgbClr val="00B050"/>
            </a:solidFill>
            <a:ln>
              <a:solidFill>
                <a:prstClr val="black"/>
              </a:solidFill>
            </a:ln>
          </c:spPr>
          <c:val>
            <c:numRef>
              <c:f>Stat!$X$340:$X$527</c:f>
              <c:numCache>
                <c:formatCode>General</c:formatCode>
                <c:ptCount val="188"/>
                <c:pt idx="0">
                  <c:v>#N/A</c:v>
                </c:pt>
                <c:pt idx="1">
                  <c:v>#N/A</c:v>
                </c:pt>
                <c:pt idx="2">
                  <c:v>-4</c:v>
                </c:pt>
                <c:pt idx="3">
                  <c:v>#N/A</c:v>
                </c:pt>
                <c:pt idx="4">
                  <c:v>#N/A</c:v>
                </c:pt>
                <c:pt idx="5">
                  <c:v>#N/A</c:v>
                </c:pt>
                <c:pt idx="6">
                  <c:v>-11</c:v>
                </c:pt>
                <c:pt idx="7">
                  <c:v>#N/A</c:v>
                </c:pt>
                <c:pt idx="8">
                  <c:v>#N/A</c:v>
                </c:pt>
                <c:pt idx="9">
                  <c:v>#N/A</c:v>
                </c:pt>
                <c:pt idx="10">
                  <c:v>-5</c:v>
                </c:pt>
                <c:pt idx="11">
                  <c:v>#N/A</c:v>
                </c:pt>
                <c:pt idx="12">
                  <c:v>#N/A</c:v>
                </c:pt>
                <c:pt idx="13">
                  <c:v>#N/A</c:v>
                </c:pt>
                <c:pt idx="14">
                  <c:v>-8</c:v>
                </c:pt>
                <c:pt idx="15">
                  <c:v>#N/A</c:v>
                </c:pt>
                <c:pt idx="16">
                  <c:v>#N/A</c:v>
                </c:pt>
                <c:pt idx="17">
                  <c:v>#N/A</c:v>
                </c:pt>
                <c:pt idx="18">
                  <c:v>-5</c:v>
                </c:pt>
                <c:pt idx="19">
                  <c:v>#N/A</c:v>
                </c:pt>
                <c:pt idx="20">
                  <c:v>#N/A</c:v>
                </c:pt>
                <c:pt idx="21">
                  <c:v>#N/A</c:v>
                </c:pt>
                <c:pt idx="22">
                  <c:v>-6</c:v>
                </c:pt>
                <c:pt idx="23">
                  <c:v>#N/A</c:v>
                </c:pt>
                <c:pt idx="24">
                  <c:v>#N/A</c:v>
                </c:pt>
                <c:pt idx="25">
                  <c:v>#N/A</c:v>
                </c:pt>
                <c:pt idx="26">
                  <c:v>-5</c:v>
                </c:pt>
                <c:pt idx="27">
                  <c:v>#N/A</c:v>
                </c:pt>
                <c:pt idx="28">
                  <c:v>#N/A</c:v>
                </c:pt>
                <c:pt idx="29">
                  <c:v>#N/A</c:v>
                </c:pt>
                <c:pt idx="30">
                  <c:v>0</c:v>
                </c:pt>
                <c:pt idx="31">
                  <c:v>#N/A</c:v>
                </c:pt>
                <c:pt idx="32">
                  <c:v>#N/A</c:v>
                </c:pt>
                <c:pt idx="33">
                  <c:v>#N/A</c:v>
                </c:pt>
                <c:pt idx="34">
                  <c:v>-6</c:v>
                </c:pt>
                <c:pt idx="35">
                  <c:v>#N/A</c:v>
                </c:pt>
                <c:pt idx="36">
                  <c:v>#N/A</c:v>
                </c:pt>
                <c:pt idx="37">
                  <c:v>#N/A</c:v>
                </c:pt>
                <c:pt idx="38">
                  <c:v>-7</c:v>
                </c:pt>
                <c:pt idx="39">
                  <c:v>#N/A</c:v>
                </c:pt>
                <c:pt idx="40">
                  <c:v>#N/A</c:v>
                </c:pt>
                <c:pt idx="41">
                  <c:v>#N/A</c:v>
                </c:pt>
                <c:pt idx="42">
                  <c:v>-6</c:v>
                </c:pt>
                <c:pt idx="43">
                  <c:v>#N/A</c:v>
                </c:pt>
                <c:pt idx="44">
                  <c:v>#N/A</c:v>
                </c:pt>
                <c:pt idx="45">
                  <c:v>#N/A</c:v>
                </c:pt>
                <c:pt idx="46">
                  <c:v>-4</c:v>
                </c:pt>
                <c:pt idx="47">
                  <c:v>#N/A</c:v>
                </c:pt>
                <c:pt idx="48">
                  <c:v>#N/A</c:v>
                </c:pt>
                <c:pt idx="49">
                  <c:v>#N/A</c:v>
                </c:pt>
                <c:pt idx="50">
                  <c:v>-6</c:v>
                </c:pt>
                <c:pt idx="51">
                  <c:v>#N/A</c:v>
                </c:pt>
                <c:pt idx="52">
                  <c:v>#N/A</c:v>
                </c:pt>
                <c:pt idx="53">
                  <c:v>#N/A</c:v>
                </c:pt>
                <c:pt idx="54">
                  <c:v>-6</c:v>
                </c:pt>
                <c:pt idx="55">
                  <c:v>#N/A</c:v>
                </c:pt>
                <c:pt idx="56">
                  <c:v>#N/A</c:v>
                </c:pt>
                <c:pt idx="57">
                  <c:v>#N/A</c:v>
                </c:pt>
                <c:pt idx="58">
                  <c:v>0</c:v>
                </c:pt>
                <c:pt idx="59">
                  <c:v>#N/A</c:v>
                </c:pt>
                <c:pt idx="60">
                  <c:v>#N/A</c:v>
                </c:pt>
                <c:pt idx="61">
                  <c:v>#N/A</c:v>
                </c:pt>
                <c:pt idx="62">
                  <c:v>-10</c:v>
                </c:pt>
                <c:pt idx="63">
                  <c:v>#N/A</c:v>
                </c:pt>
                <c:pt idx="64">
                  <c:v>#N/A</c:v>
                </c:pt>
                <c:pt idx="65">
                  <c:v>#N/A</c:v>
                </c:pt>
                <c:pt idx="66">
                  <c:v>-6</c:v>
                </c:pt>
                <c:pt idx="67">
                  <c:v>#N/A</c:v>
                </c:pt>
                <c:pt idx="68">
                  <c:v>#N/A</c:v>
                </c:pt>
                <c:pt idx="69">
                  <c:v>#N/A</c:v>
                </c:pt>
                <c:pt idx="70">
                  <c:v>-8</c:v>
                </c:pt>
                <c:pt idx="71">
                  <c:v>#N/A</c:v>
                </c:pt>
                <c:pt idx="72">
                  <c:v>#N/A</c:v>
                </c:pt>
                <c:pt idx="73">
                  <c:v>#N/A</c:v>
                </c:pt>
                <c:pt idx="74">
                  <c:v>-5</c:v>
                </c:pt>
                <c:pt idx="75">
                  <c:v>#N/A</c:v>
                </c:pt>
                <c:pt idx="76">
                  <c:v>#N/A</c:v>
                </c:pt>
                <c:pt idx="77">
                  <c:v>#N/A</c:v>
                </c:pt>
                <c:pt idx="78">
                  <c:v>-3</c:v>
                </c:pt>
                <c:pt idx="79">
                  <c:v>#N/A</c:v>
                </c:pt>
                <c:pt idx="80">
                  <c:v>#N/A</c:v>
                </c:pt>
                <c:pt idx="81">
                  <c:v>#N/A</c:v>
                </c:pt>
                <c:pt idx="82">
                  <c:v>-5</c:v>
                </c:pt>
                <c:pt idx="83">
                  <c:v>#N/A</c:v>
                </c:pt>
                <c:pt idx="84">
                  <c:v>#N/A</c:v>
                </c:pt>
                <c:pt idx="86">
                  <c:v>-4</c:v>
                </c:pt>
                <c:pt idx="87">
                  <c:v>#N/A</c:v>
                </c:pt>
                <c:pt idx="88">
                  <c:v>#N/A</c:v>
                </c:pt>
                <c:pt idx="90">
                  <c:v>-2</c:v>
                </c:pt>
                <c:pt idx="91">
                  <c:v>#N/A</c:v>
                </c:pt>
                <c:pt idx="92">
                  <c:v>#N/A</c:v>
                </c:pt>
                <c:pt idx="94">
                  <c:v>0</c:v>
                </c:pt>
                <c:pt idx="95">
                  <c:v>#N/A</c:v>
                </c:pt>
                <c:pt idx="96">
                  <c:v>#N/A</c:v>
                </c:pt>
                <c:pt idx="98">
                  <c:v>-3</c:v>
                </c:pt>
                <c:pt idx="99">
                  <c:v>#N/A</c:v>
                </c:pt>
                <c:pt idx="100">
                  <c:v>#N/A</c:v>
                </c:pt>
                <c:pt idx="102">
                  <c:v>-4</c:v>
                </c:pt>
                <c:pt idx="103">
                  <c:v>#N/A</c:v>
                </c:pt>
                <c:pt idx="104">
                  <c:v>#N/A</c:v>
                </c:pt>
                <c:pt idx="106">
                  <c:v>-4</c:v>
                </c:pt>
                <c:pt idx="107">
                  <c:v>#N/A</c:v>
                </c:pt>
                <c:pt idx="108">
                  <c:v>#N/A</c:v>
                </c:pt>
                <c:pt idx="110">
                  <c:v>-8</c:v>
                </c:pt>
                <c:pt idx="111">
                  <c:v>#N/A</c:v>
                </c:pt>
                <c:pt idx="112">
                  <c:v>#N/A</c:v>
                </c:pt>
                <c:pt idx="114">
                  <c:v>-1</c:v>
                </c:pt>
                <c:pt idx="115">
                  <c:v>#N/A</c:v>
                </c:pt>
                <c:pt idx="116">
                  <c:v>#N/A</c:v>
                </c:pt>
                <c:pt idx="118">
                  <c:v>-6</c:v>
                </c:pt>
                <c:pt idx="119">
                  <c:v>#N/A</c:v>
                </c:pt>
                <c:pt idx="120">
                  <c:v>#N/A</c:v>
                </c:pt>
                <c:pt idx="122">
                  <c:v>-2</c:v>
                </c:pt>
                <c:pt idx="123">
                  <c:v>#N/A</c:v>
                </c:pt>
                <c:pt idx="124">
                  <c:v>#N/A</c:v>
                </c:pt>
                <c:pt idx="126">
                  <c:v>-2</c:v>
                </c:pt>
                <c:pt idx="127">
                  <c:v>#N/A</c:v>
                </c:pt>
                <c:pt idx="128">
                  <c:v>#N/A</c:v>
                </c:pt>
                <c:pt idx="130">
                  <c:v>-2</c:v>
                </c:pt>
                <c:pt idx="131">
                  <c:v>#N/A</c:v>
                </c:pt>
                <c:pt idx="132">
                  <c:v>#N/A</c:v>
                </c:pt>
                <c:pt idx="134">
                  <c:v>-3</c:v>
                </c:pt>
                <c:pt idx="135">
                  <c:v>#N/A</c:v>
                </c:pt>
                <c:pt idx="136">
                  <c:v>#N/A</c:v>
                </c:pt>
                <c:pt idx="138">
                  <c:v>-5</c:v>
                </c:pt>
                <c:pt idx="139">
                  <c:v>#N/A</c:v>
                </c:pt>
                <c:pt idx="140">
                  <c:v>#N/A</c:v>
                </c:pt>
                <c:pt idx="142">
                  <c:v>-6</c:v>
                </c:pt>
                <c:pt idx="143">
                  <c:v>#N/A</c:v>
                </c:pt>
                <c:pt idx="144">
                  <c:v>#N/A</c:v>
                </c:pt>
                <c:pt idx="146">
                  <c:v>-2</c:v>
                </c:pt>
                <c:pt idx="147">
                  <c:v>#N/A</c:v>
                </c:pt>
                <c:pt idx="148">
                  <c:v>#N/A</c:v>
                </c:pt>
                <c:pt idx="150">
                  <c:v>-15</c:v>
                </c:pt>
                <c:pt idx="151">
                  <c:v>#N/A</c:v>
                </c:pt>
                <c:pt idx="152">
                  <c:v>#N/A</c:v>
                </c:pt>
                <c:pt idx="154">
                  <c:v>-10</c:v>
                </c:pt>
                <c:pt idx="155">
                  <c:v>#N/A</c:v>
                </c:pt>
                <c:pt idx="156">
                  <c:v>#N/A</c:v>
                </c:pt>
                <c:pt idx="158">
                  <c:v>0</c:v>
                </c:pt>
                <c:pt idx="159">
                  <c:v>#N/A</c:v>
                </c:pt>
                <c:pt idx="160">
                  <c:v>#N/A</c:v>
                </c:pt>
                <c:pt idx="162">
                  <c:v>-3</c:v>
                </c:pt>
                <c:pt idx="163">
                  <c:v>#N/A</c:v>
                </c:pt>
                <c:pt idx="164">
                  <c:v>#N/A</c:v>
                </c:pt>
                <c:pt idx="166">
                  <c:v>-2</c:v>
                </c:pt>
                <c:pt idx="167">
                  <c:v>#N/A</c:v>
                </c:pt>
                <c:pt idx="168">
                  <c:v>#N/A</c:v>
                </c:pt>
                <c:pt idx="170">
                  <c:v>-7</c:v>
                </c:pt>
                <c:pt idx="171">
                  <c:v>#N/A</c:v>
                </c:pt>
                <c:pt idx="172">
                  <c:v>#N/A</c:v>
                </c:pt>
                <c:pt idx="174">
                  <c:v>-3</c:v>
                </c:pt>
                <c:pt idx="175">
                  <c:v>#N/A</c:v>
                </c:pt>
                <c:pt idx="176">
                  <c:v>#N/A</c:v>
                </c:pt>
                <c:pt idx="178">
                  <c:v>-13</c:v>
                </c:pt>
                <c:pt idx="179">
                  <c:v>#N/A</c:v>
                </c:pt>
                <c:pt idx="180">
                  <c:v>#N/A</c:v>
                </c:pt>
                <c:pt idx="182">
                  <c:v>-6</c:v>
                </c:pt>
                <c:pt idx="183">
                  <c:v>#N/A</c:v>
                </c:pt>
                <c:pt idx="184">
                  <c:v>#N/A</c:v>
                </c:pt>
                <c:pt idx="186">
                  <c:v>0</c:v>
                </c:pt>
                <c:pt idx="187">
                  <c:v>#N/A</c:v>
                </c:pt>
              </c:numCache>
            </c:numRef>
          </c:val>
        </c:ser>
        <c:ser>
          <c:idx val="0"/>
          <c:order val="2"/>
          <c:tx>
            <c:v>Sev1 Nouvelles</c:v>
          </c:tx>
          <c:spPr>
            <a:solidFill>
              <a:srgbClr val="FF0000"/>
            </a:solidFill>
            <a:ln>
              <a:solidFill>
                <a:prstClr val="black"/>
              </a:solidFill>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Stat!$U$340:$U$527</c:f>
              <c:numCache>
                <c:formatCode>General</c:formatCode>
                <c:ptCount val="188"/>
                <c:pt idx="0">
                  <c:v>#N/A</c:v>
                </c:pt>
                <c:pt idx="1">
                  <c:v>3</c:v>
                </c:pt>
                <c:pt idx="2">
                  <c:v>#N/A</c:v>
                </c:pt>
                <c:pt idx="3">
                  <c:v>#N/A</c:v>
                </c:pt>
                <c:pt idx="4">
                  <c:v>#N/A</c:v>
                </c:pt>
                <c:pt idx="5">
                  <c:v>15</c:v>
                </c:pt>
                <c:pt idx="6">
                  <c:v>#N/A</c:v>
                </c:pt>
                <c:pt idx="7">
                  <c:v>#N/A</c:v>
                </c:pt>
                <c:pt idx="8">
                  <c:v>#N/A</c:v>
                </c:pt>
                <c:pt idx="9">
                  <c:v>3</c:v>
                </c:pt>
                <c:pt idx="10">
                  <c:v>#N/A</c:v>
                </c:pt>
                <c:pt idx="11">
                  <c:v>#N/A</c:v>
                </c:pt>
                <c:pt idx="12">
                  <c:v>#N/A</c:v>
                </c:pt>
                <c:pt idx="13">
                  <c:v>5</c:v>
                </c:pt>
                <c:pt idx="14">
                  <c:v>#N/A</c:v>
                </c:pt>
                <c:pt idx="15">
                  <c:v>#N/A</c:v>
                </c:pt>
                <c:pt idx="16">
                  <c:v>#N/A</c:v>
                </c:pt>
                <c:pt idx="17">
                  <c:v>8</c:v>
                </c:pt>
                <c:pt idx="18">
                  <c:v>#N/A</c:v>
                </c:pt>
                <c:pt idx="19">
                  <c:v>#N/A</c:v>
                </c:pt>
                <c:pt idx="20">
                  <c:v>#N/A</c:v>
                </c:pt>
                <c:pt idx="21">
                  <c:v>2</c:v>
                </c:pt>
                <c:pt idx="22">
                  <c:v>#N/A</c:v>
                </c:pt>
                <c:pt idx="23">
                  <c:v>#N/A</c:v>
                </c:pt>
                <c:pt idx="24">
                  <c:v>#N/A</c:v>
                </c:pt>
                <c:pt idx="25">
                  <c:v>2</c:v>
                </c:pt>
                <c:pt idx="26">
                  <c:v>#N/A</c:v>
                </c:pt>
                <c:pt idx="27">
                  <c:v>#N/A</c:v>
                </c:pt>
                <c:pt idx="28">
                  <c:v>#N/A</c:v>
                </c:pt>
                <c:pt idx="29">
                  <c:v>1</c:v>
                </c:pt>
                <c:pt idx="30">
                  <c:v>#N/A</c:v>
                </c:pt>
                <c:pt idx="31">
                  <c:v>#N/A</c:v>
                </c:pt>
                <c:pt idx="32">
                  <c:v>#N/A</c:v>
                </c:pt>
                <c:pt idx="33">
                  <c:v>12</c:v>
                </c:pt>
                <c:pt idx="34">
                  <c:v>#N/A</c:v>
                </c:pt>
                <c:pt idx="35">
                  <c:v>#N/A</c:v>
                </c:pt>
                <c:pt idx="36">
                  <c:v>#N/A</c:v>
                </c:pt>
                <c:pt idx="37">
                  <c:v>6</c:v>
                </c:pt>
                <c:pt idx="38">
                  <c:v>#N/A</c:v>
                </c:pt>
                <c:pt idx="39">
                  <c:v>#N/A</c:v>
                </c:pt>
                <c:pt idx="40">
                  <c:v>#N/A</c:v>
                </c:pt>
                <c:pt idx="41">
                  <c:v>4</c:v>
                </c:pt>
                <c:pt idx="42">
                  <c:v>#N/A</c:v>
                </c:pt>
                <c:pt idx="43">
                  <c:v>#N/A</c:v>
                </c:pt>
                <c:pt idx="44">
                  <c:v>#N/A</c:v>
                </c:pt>
                <c:pt idx="45">
                  <c:v>3</c:v>
                </c:pt>
                <c:pt idx="46">
                  <c:v>#N/A</c:v>
                </c:pt>
                <c:pt idx="47">
                  <c:v>#N/A</c:v>
                </c:pt>
                <c:pt idx="48">
                  <c:v>#N/A</c:v>
                </c:pt>
                <c:pt idx="49">
                  <c:v>6</c:v>
                </c:pt>
                <c:pt idx="50">
                  <c:v>#N/A</c:v>
                </c:pt>
                <c:pt idx="51">
                  <c:v>#N/A</c:v>
                </c:pt>
                <c:pt idx="52">
                  <c:v>#N/A</c:v>
                </c:pt>
                <c:pt idx="53">
                  <c:v>4</c:v>
                </c:pt>
                <c:pt idx="54">
                  <c:v>#N/A</c:v>
                </c:pt>
                <c:pt idx="55">
                  <c:v>#N/A</c:v>
                </c:pt>
                <c:pt idx="56">
                  <c:v>#N/A</c:v>
                </c:pt>
                <c:pt idx="57">
                  <c:v>3</c:v>
                </c:pt>
                <c:pt idx="58">
                  <c:v>#N/A</c:v>
                </c:pt>
                <c:pt idx="59">
                  <c:v>#N/A</c:v>
                </c:pt>
                <c:pt idx="60">
                  <c:v>#N/A</c:v>
                </c:pt>
                <c:pt idx="61">
                  <c:v>12</c:v>
                </c:pt>
                <c:pt idx="62">
                  <c:v>#N/A</c:v>
                </c:pt>
                <c:pt idx="63">
                  <c:v>#N/A</c:v>
                </c:pt>
                <c:pt idx="64">
                  <c:v>#N/A</c:v>
                </c:pt>
                <c:pt idx="65">
                  <c:v>8</c:v>
                </c:pt>
                <c:pt idx="66">
                  <c:v>#N/A</c:v>
                </c:pt>
                <c:pt idx="67">
                  <c:v>#N/A</c:v>
                </c:pt>
                <c:pt idx="68">
                  <c:v>#N/A</c:v>
                </c:pt>
                <c:pt idx="69">
                  <c:v>6</c:v>
                </c:pt>
                <c:pt idx="70">
                  <c:v>#N/A</c:v>
                </c:pt>
                <c:pt idx="71">
                  <c:v>#N/A</c:v>
                </c:pt>
                <c:pt idx="72">
                  <c:v>#N/A</c:v>
                </c:pt>
                <c:pt idx="73">
                  <c:v>4</c:v>
                </c:pt>
                <c:pt idx="74">
                  <c:v>#N/A</c:v>
                </c:pt>
                <c:pt idx="75">
                  <c:v>#N/A</c:v>
                </c:pt>
                <c:pt idx="76">
                  <c:v>#N/A</c:v>
                </c:pt>
                <c:pt idx="77">
                  <c:v>3</c:v>
                </c:pt>
                <c:pt idx="78">
                  <c:v>#N/A</c:v>
                </c:pt>
                <c:pt idx="79">
                  <c:v>#N/A</c:v>
                </c:pt>
                <c:pt idx="80">
                  <c:v>#N/A</c:v>
                </c:pt>
                <c:pt idx="81">
                  <c:v>4</c:v>
                </c:pt>
                <c:pt idx="82">
                  <c:v>#N/A</c:v>
                </c:pt>
                <c:pt idx="83">
                  <c:v>#N/A</c:v>
                </c:pt>
                <c:pt idx="84">
                  <c:v>#N/A</c:v>
                </c:pt>
                <c:pt idx="85">
                  <c:v>6</c:v>
                </c:pt>
                <c:pt idx="87">
                  <c:v>#N/A</c:v>
                </c:pt>
                <c:pt idx="88">
                  <c:v>#N/A</c:v>
                </c:pt>
                <c:pt idx="89">
                  <c:v>1</c:v>
                </c:pt>
                <c:pt idx="91">
                  <c:v>#N/A</c:v>
                </c:pt>
                <c:pt idx="92">
                  <c:v>#N/A</c:v>
                </c:pt>
                <c:pt idx="93">
                  <c:v>6</c:v>
                </c:pt>
                <c:pt idx="95">
                  <c:v>#N/A</c:v>
                </c:pt>
                <c:pt idx="96">
                  <c:v>#N/A</c:v>
                </c:pt>
                <c:pt idx="97">
                  <c:v>2</c:v>
                </c:pt>
                <c:pt idx="99">
                  <c:v>#N/A</c:v>
                </c:pt>
                <c:pt idx="100">
                  <c:v>#N/A</c:v>
                </c:pt>
                <c:pt idx="101">
                  <c:v>1</c:v>
                </c:pt>
                <c:pt idx="103">
                  <c:v>#N/A</c:v>
                </c:pt>
                <c:pt idx="104">
                  <c:v>#N/A</c:v>
                </c:pt>
                <c:pt idx="105">
                  <c:v>5</c:v>
                </c:pt>
                <c:pt idx="107">
                  <c:v>#N/A</c:v>
                </c:pt>
                <c:pt idx="108">
                  <c:v>#N/A</c:v>
                </c:pt>
                <c:pt idx="109">
                  <c:v>8</c:v>
                </c:pt>
                <c:pt idx="111">
                  <c:v>#N/A</c:v>
                </c:pt>
                <c:pt idx="112">
                  <c:v>#N/A</c:v>
                </c:pt>
                <c:pt idx="113">
                  <c:v>4</c:v>
                </c:pt>
                <c:pt idx="115">
                  <c:v>#N/A</c:v>
                </c:pt>
                <c:pt idx="116">
                  <c:v>#N/A</c:v>
                </c:pt>
                <c:pt idx="117">
                  <c:v>1</c:v>
                </c:pt>
                <c:pt idx="119">
                  <c:v>#N/A</c:v>
                </c:pt>
                <c:pt idx="120">
                  <c:v>#N/A</c:v>
                </c:pt>
                <c:pt idx="121">
                  <c:v>7</c:v>
                </c:pt>
                <c:pt idx="123">
                  <c:v>#N/A</c:v>
                </c:pt>
                <c:pt idx="124">
                  <c:v>#N/A</c:v>
                </c:pt>
                <c:pt idx="125">
                  <c:v>2</c:v>
                </c:pt>
                <c:pt idx="127">
                  <c:v>#N/A</c:v>
                </c:pt>
                <c:pt idx="128">
                  <c:v>#N/A</c:v>
                </c:pt>
                <c:pt idx="129">
                  <c:v>4</c:v>
                </c:pt>
                <c:pt idx="131">
                  <c:v>#N/A</c:v>
                </c:pt>
                <c:pt idx="132">
                  <c:v>#N/A</c:v>
                </c:pt>
                <c:pt idx="133">
                  <c:v>4</c:v>
                </c:pt>
                <c:pt idx="135">
                  <c:v>#N/A</c:v>
                </c:pt>
                <c:pt idx="136">
                  <c:v>#N/A</c:v>
                </c:pt>
                <c:pt idx="137">
                  <c:v>3</c:v>
                </c:pt>
                <c:pt idx="139">
                  <c:v>#N/A</c:v>
                </c:pt>
                <c:pt idx="140">
                  <c:v>#N/A</c:v>
                </c:pt>
                <c:pt idx="141">
                  <c:v>19</c:v>
                </c:pt>
                <c:pt idx="143">
                  <c:v>#N/A</c:v>
                </c:pt>
                <c:pt idx="144">
                  <c:v>#N/A</c:v>
                </c:pt>
                <c:pt idx="145">
                  <c:v>16</c:v>
                </c:pt>
                <c:pt idx="147">
                  <c:v>#N/A</c:v>
                </c:pt>
                <c:pt idx="148">
                  <c:v>#N/A</c:v>
                </c:pt>
                <c:pt idx="149">
                  <c:v>1</c:v>
                </c:pt>
                <c:pt idx="151">
                  <c:v>#N/A</c:v>
                </c:pt>
                <c:pt idx="152">
                  <c:v>#N/A</c:v>
                </c:pt>
                <c:pt idx="153">
                  <c:v>0</c:v>
                </c:pt>
                <c:pt idx="155">
                  <c:v>#N/A</c:v>
                </c:pt>
                <c:pt idx="156">
                  <c:v>#N/A</c:v>
                </c:pt>
                <c:pt idx="157">
                  <c:v>3</c:v>
                </c:pt>
                <c:pt idx="159">
                  <c:v>#N/A</c:v>
                </c:pt>
                <c:pt idx="160">
                  <c:v>#N/A</c:v>
                </c:pt>
                <c:pt idx="161">
                  <c:v>6</c:v>
                </c:pt>
                <c:pt idx="163">
                  <c:v>#N/A</c:v>
                </c:pt>
                <c:pt idx="164">
                  <c:v>#N/A</c:v>
                </c:pt>
                <c:pt idx="165">
                  <c:v>4</c:v>
                </c:pt>
                <c:pt idx="167">
                  <c:v>#N/A</c:v>
                </c:pt>
                <c:pt idx="168">
                  <c:v>#N/A</c:v>
                </c:pt>
                <c:pt idx="169">
                  <c:v>3</c:v>
                </c:pt>
                <c:pt idx="171">
                  <c:v>#N/A</c:v>
                </c:pt>
                <c:pt idx="172">
                  <c:v>#N/A</c:v>
                </c:pt>
                <c:pt idx="173">
                  <c:v>3</c:v>
                </c:pt>
                <c:pt idx="175">
                  <c:v>#N/A</c:v>
                </c:pt>
                <c:pt idx="176">
                  <c:v>#N/A</c:v>
                </c:pt>
                <c:pt idx="177">
                  <c:v>7</c:v>
                </c:pt>
                <c:pt idx="179">
                  <c:v>#N/A</c:v>
                </c:pt>
                <c:pt idx="180">
                  <c:v>#N/A</c:v>
                </c:pt>
                <c:pt idx="181">
                  <c:v>3</c:v>
                </c:pt>
                <c:pt idx="183">
                  <c:v>#N/A</c:v>
                </c:pt>
                <c:pt idx="184">
                  <c:v>#N/A</c:v>
                </c:pt>
                <c:pt idx="185">
                  <c:v>3</c:v>
                </c:pt>
                <c:pt idx="187">
                  <c:v>#N/A</c:v>
                </c:pt>
              </c:numCache>
            </c:numRef>
          </c:val>
        </c:ser>
        <c:gapWidth val="0"/>
        <c:overlap val="100"/>
        <c:axId val="103138432"/>
        <c:axId val="103139968"/>
      </c:barChart>
      <c:catAx>
        <c:axId val="103138432"/>
        <c:scaling>
          <c:orientation val="minMax"/>
        </c:scaling>
        <c:axPos val="b"/>
        <c:numFmt formatCode="General" sourceLinked="1"/>
        <c:tickLblPos val="nextTo"/>
        <c:txPr>
          <a:bodyPr/>
          <a:lstStyle/>
          <a:p>
            <a:pPr>
              <a:defRPr sz="900"/>
            </a:pPr>
            <a:endParaRPr lang="fr-FR"/>
          </a:p>
        </c:txPr>
        <c:crossAx val="103139968"/>
        <c:crossesAt val="0"/>
        <c:auto val="1"/>
        <c:lblAlgn val="ctr"/>
        <c:lblOffset val="100"/>
      </c:catAx>
      <c:valAx>
        <c:axId val="103139968"/>
        <c:scaling>
          <c:orientation val="minMax"/>
        </c:scaling>
        <c:axPos val="l"/>
        <c:majorGridlines/>
        <c:numFmt formatCode="General" sourceLinked="1"/>
        <c:tickLblPos val="nextTo"/>
        <c:crossAx val="103138432"/>
        <c:crosses val="autoZero"/>
        <c:crossBetween val="between"/>
      </c:valAx>
      <c:spPr>
        <a:noFill/>
      </c:spPr>
    </c:plotArea>
    <c:legend>
      <c:legendPos val="r"/>
      <c:layout>
        <c:manualLayout>
          <c:xMode val="edge"/>
          <c:yMode val="edge"/>
          <c:x val="0.88289735846970763"/>
          <c:y val="0.36806370345959138"/>
          <c:w val="0.11437106603390186"/>
          <c:h val="0.29305715413146061"/>
        </c:manualLayout>
      </c:layout>
      <c:txPr>
        <a:bodyPr/>
        <a:lstStyle/>
        <a:p>
          <a:pPr>
            <a:defRPr sz="800"/>
          </a:pPr>
          <a:endParaRPr lang="fr-FR"/>
        </a:p>
      </c:txPr>
    </c:legend>
    <c:plotVisOnly val="1"/>
    <c:dispBlanksAs val="gap"/>
  </c:chart>
  <c:userShapes r:id="rId1"/>
</c:chartSpace>
</file>

<file path=xl/charts/chart4.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a:pPr>
            <a:r>
              <a:rPr lang="en-US"/>
              <a:t>Evolution des FI DiagBox de sévérité 2</a:t>
            </a:r>
          </a:p>
        </c:rich>
      </c:tx>
      <c:overlay val="1"/>
    </c:title>
    <c:plotArea>
      <c:layout>
        <c:manualLayout>
          <c:layoutTarget val="inner"/>
          <c:xMode val="edge"/>
          <c:yMode val="edge"/>
          <c:x val="6.3571719934360463E-2"/>
          <c:y val="2.7313816882757812E-2"/>
          <c:w val="0.82261428336525366"/>
          <c:h val="0.92452613395289951"/>
        </c:manualLayout>
      </c:layout>
      <c:barChart>
        <c:barDir val="col"/>
        <c:grouping val="stacked"/>
        <c:ser>
          <c:idx val="3"/>
          <c:order val="0"/>
          <c:tx>
            <c:v>Sev2 En cours</c:v>
          </c:tx>
          <c:spPr>
            <a:solidFill>
              <a:srgbClr val="FFFF00"/>
            </a:solidFill>
            <a:ln>
              <a:solidFill>
                <a:srgbClr val="C00000"/>
              </a:solidFill>
            </a:ln>
          </c:spPr>
          <c:val>
            <c:numRef>
              <c:f>Stat!$J$340:$J$527</c:f>
              <c:numCache>
                <c:formatCode>General</c:formatCode>
                <c:ptCount val="188"/>
                <c:pt idx="0">
                  <c:v>#N/A</c:v>
                </c:pt>
                <c:pt idx="1">
                  <c:v>#N/A</c:v>
                </c:pt>
                <c:pt idx="2">
                  <c:v>#N/A</c:v>
                </c:pt>
                <c:pt idx="3">
                  <c:v>36</c:v>
                </c:pt>
                <c:pt idx="4">
                  <c:v>#N/A</c:v>
                </c:pt>
                <c:pt idx="5">
                  <c:v>#N/A</c:v>
                </c:pt>
                <c:pt idx="6">
                  <c:v>#N/A</c:v>
                </c:pt>
                <c:pt idx="7">
                  <c:v>107</c:v>
                </c:pt>
                <c:pt idx="8">
                  <c:v>#N/A</c:v>
                </c:pt>
                <c:pt idx="9">
                  <c:v>#N/A</c:v>
                </c:pt>
                <c:pt idx="10">
                  <c:v>#N/A</c:v>
                </c:pt>
                <c:pt idx="11">
                  <c:v>82</c:v>
                </c:pt>
                <c:pt idx="12">
                  <c:v>#N/A</c:v>
                </c:pt>
                <c:pt idx="13">
                  <c:v>#N/A</c:v>
                </c:pt>
                <c:pt idx="14">
                  <c:v>#N/A</c:v>
                </c:pt>
                <c:pt idx="15">
                  <c:v>50</c:v>
                </c:pt>
                <c:pt idx="16">
                  <c:v>#N/A</c:v>
                </c:pt>
                <c:pt idx="17">
                  <c:v>#N/A</c:v>
                </c:pt>
                <c:pt idx="18">
                  <c:v>#N/A</c:v>
                </c:pt>
                <c:pt idx="19">
                  <c:v>51</c:v>
                </c:pt>
                <c:pt idx="20">
                  <c:v>#N/A</c:v>
                </c:pt>
                <c:pt idx="21">
                  <c:v>#N/A</c:v>
                </c:pt>
                <c:pt idx="22">
                  <c:v>#N/A</c:v>
                </c:pt>
                <c:pt idx="23">
                  <c:v>41</c:v>
                </c:pt>
                <c:pt idx="24">
                  <c:v>#N/A</c:v>
                </c:pt>
                <c:pt idx="25">
                  <c:v>#N/A</c:v>
                </c:pt>
                <c:pt idx="26">
                  <c:v>#N/A</c:v>
                </c:pt>
                <c:pt idx="27">
                  <c:v>65</c:v>
                </c:pt>
                <c:pt idx="28">
                  <c:v>#N/A</c:v>
                </c:pt>
                <c:pt idx="29">
                  <c:v>#N/A</c:v>
                </c:pt>
                <c:pt idx="30">
                  <c:v>#N/A</c:v>
                </c:pt>
                <c:pt idx="31">
                  <c:v>71</c:v>
                </c:pt>
                <c:pt idx="32">
                  <c:v>#N/A</c:v>
                </c:pt>
                <c:pt idx="33">
                  <c:v>#N/A</c:v>
                </c:pt>
                <c:pt idx="34">
                  <c:v>#N/A</c:v>
                </c:pt>
                <c:pt idx="35">
                  <c:v>69</c:v>
                </c:pt>
                <c:pt idx="36">
                  <c:v>#N/A</c:v>
                </c:pt>
                <c:pt idx="37">
                  <c:v>#N/A</c:v>
                </c:pt>
                <c:pt idx="38">
                  <c:v>#N/A</c:v>
                </c:pt>
                <c:pt idx="39">
                  <c:v>53</c:v>
                </c:pt>
                <c:pt idx="40">
                  <c:v>#N/A</c:v>
                </c:pt>
                <c:pt idx="41">
                  <c:v>#N/A</c:v>
                </c:pt>
                <c:pt idx="42">
                  <c:v>#N/A</c:v>
                </c:pt>
                <c:pt idx="43">
                  <c:v>71</c:v>
                </c:pt>
                <c:pt idx="44">
                  <c:v>#N/A</c:v>
                </c:pt>
                <c:pt idx="45">
                  <c:v>#N/A</c:v>
                </c:pt>
                <c:pt idx="46">
                  <c:v>#N/A</c:v>
                </c:pt>
                <c:pt idx="47">
                  <c:v>64</c:v>
                </c:pt>
                <c:pt idx="48">
                  <c:v>#N/A</c:v>
                </c:pt>
                <c:pt idx="49">
                  <c:v>#N/A</c:v>
                </c:pt>
                <c:pt idx="50">
                  <c:v>#N/A</c:v>
                </c:pt>
                <c:pt idx="51">
                  <c:v>55</c:v>
                </c:pt>
                <c:pt idx="52">
                  <c:v>#N/A</c:v>
                </c:pt>
                <c:pt idx="53">
                  <c:v>#N/A</c:v>
                </c:pt>
                <c:pt idx="54">
                  <c:v>#N/A</c:v>
                </c:pt>
                <c:pt idx="55">
                  <c:v>59</c:v>
                </c:pt>
                <c:pt idx="56">
                  <c:v>#N/A</c:v>
                </c:pt>
                <c:pt idx="57">
                  <c:v>#N/A</c:v>
                </c:pt>
                <c:pt idx="58">
                  <c:v>#N/A</c:v>
                </c:pt>
                <c:pt idx="59">
                  <c:v>53</c:v>
                </c:pt>
                <c:pt idx="60">
                  <c:v>#N/A</c:v>
                </c:pt>
                <c:pt idx="61">
                  <c:v>#N/A</c:v>
                </c:pt>
                <c:pt idx="62">
                  <c:v>#N/A</c:v>
                </c:pt>
                <c:pt idx="63">
                  <c:v>75</c:v>
                </c:pt>
                <c:pt idx="64">
                  <c:v>#N/A</c:v>
                </c:pt>
                <c:pt idx="65">
                  <c:v>#N/A</c:v>
                </c:pt>
                <c:pt idx="66">
                  <c:v>#N/A</c:v>
                </c:pt>
                <c:pt idx="67">
                  <c:v>77</c:v>
                </c:pt>
                <c:pt idx="68">
                  <c:v>#N/A</c:v>
                </c:pt>
                <c:pt idx="69">
                  <c:v>#N/A</c:v>
                </c:pt>
                <c:pt idx="70">
                  <c:v>#N/A</c:v>
                </c:pt>
                <c:pt idx="71">
                  <c:v>109</c:v>
                </c:pt>
                <c:pt idx="72">
                  <c:v>#N/A</c:v>
                </c:pt>
                <c:pt idx="73">
                  <c:v>#N/A</c:v>
                </c:pt>
                <c:pt idx="74">
                  <c:v>#N/A</c:v>
                </c:pt>
                <c:pt idx="75">
                  <c:v>84</c:v>
                </c:pt>
                <c:pt idx="76">
                  <c:v>#N/A</c:v>
                </c:pt>
                <c:pt idx="77">
                  <c:v>#N/A</c:v>
                </c:pt>
                <c:pt idx="78">
                  <c:v>#N/A</c:v>
                </c:pt>
                <c:pt idx="79">
                  <c:v>96</c:v>
                </c:pt>
                <c:pt idx="80">
                  <c:v>#N/A</c:v>
                </c:pt>
                <c:pt idx="81">
                  <c:v>#N/A</c:v>
                </c:pt>
                <c:pt idx="82">
                  <c:v>#N/A</c:v>
                </c:pt>
                <c:pt idx="83">
                  <c:v>86</c:v>
                </c:pt>
                <c:pt idx="84">
                  <c:v>#N/A</c:v>
                </c:pt>
                <c:pt idx="85">
                  <c:v>#N/A</c:v>
                </c:pt>
                <c:pt idx="86">
                  <c:v>#N/A</c:v>
                </c:pt>
                <c:pt idx="87">
                  <c:v>82</c:v>
                </c:pt>
                <c:pt idx="88">
                  <c:v>#N/A</c:v>
                </c:pt>
                <c:pt idx="89">
                  <c:v>#N/A</c:v>
                </c:pt>
                <c:pt idx="90">
                  <c:v>#N/A</c:v>
                </c:pt>
                <c:pt idx="91">
                  <c:v>76</c:v>
                </c:pt>
                <c:pt idx="92">
                  <c:v>#N/A</c:v>
                </c:pt>
                <c:pt idx="93">
                  <c:v>#N/A</c:v>
                </c:pt>
                <c:pt idx="94">
                  <c:v>#N/A</c:v>
                </c:pt>
                <c:pt idx="95">
                  <c:v>115</c:v>
                </c:pt>
                <c:pt idx="96">
                  <c:v>#N/A</c:v>
                </c:pt>
                <c:pt idx="97">
                  <c:v>#N/A</c:v>
                </c:pt>
                <c:pt idx="98">
                  <c:v>#N/A</c:v>
                </c:pt>
                <c:pt idx="99">
                  <c:v>212</c:v>
                </c:pt>
                <c:pt idx="100">
                  <c:v>#N/A</c:v>
                </c:pt>
                <c:pt idx="101">
                  <c:v>#N/A</c:v>
                </c:pt>
                <c:pt idx="102">
                  <c:v>#N/A</c:v>
                </c:pt>
                <c:pt idx="103">
                  <c:v>208</c:v>
                </c:pt>
                <c:pt idx="104">
                  <c:v>#N/A</c:v>
                </c:pt>
                <c:pt idx="105">
                  <c:v>#N/A</c:v>
                </c:pt>
                <c:pt idx="106">
                  <c:v>#N/A</c:v>
                </c:pt>
                <c:pt idx="107">
                  <c:v>159</c:v>
                </c:pt>
                <c:pt idx="108">
                  <c:v>#N/A</c:v>
                </c:pt>
                <c:pt idx="109">
                  <c:v>#N/A</c:v>
                </c:pt>
                <c:pt idx="110">
                  <c:v>#N/A</c:v>
                </c:pt>
                <c:pt idx="111">
                  <c:v>152</c:v>
                </c:pt>
                <c:pt idx="112">
                  <c:v>#N/A</c:v>
                </c:pt>
                <c:pt idx="113">
                  <c:v>#N/A</c:v>
                </c:pt>
                <c:pt idx="114">
                  <c:v>#N/A</c:v>
                </c:pt>
                <c:pt idx="115">
                  <c:v>135</c:v>
                </c:pt>
                <c:pt idx="116">
                  <c:v>#N/A</c:v>
                </c:pt>
                <c:pt idx="117">
                  <c:v>#N/A</c:v>
                </c:pt>
                <c:pt idx="118">
                  <c:v>#N/A</c:v>
                </c:pt>
                <c:pt idx="119">
                  <c:v>122</c:v>
                </c:pt>
                <c:pt idx="120">
                  <c:v>#N/A</c:v>
                </c:pt>
                <c:pt idx="121">
                  <c:v>#N/A</c:v>
                </c:pt>
                <c:pt idx="122">
                  <c:v>#N/A</c:v>
                </c:pt>
                <c:pt idx="123">
                  <c:v>110</c:v>
                </c:pt>
                <c:pt idx="124">
                  <c:v>#N/A</c:v>
                </c:pt>
                <c:pt idx="125">
                  <c:v>#N/A</c:v>
                </c:pt>
                <c:pt idx="126">
                  <c:v>#N/A</c:v>
                </c:pt>
                <c:pt idx="127">
                  <c:v>107</c:v>
                </c:pt>
                <c:pt idx="128">
                  <c:v>#N/A</c:v>
                </c:pt>
                <c:pt idx="129">
                  <c:v>#N/A</c:v>
                </c:pt>
                <c:pt idx="130">
                  <c:v>#N/A</c:v>
                </c:pt>
                <c:pt idx="131">
                  <c:v>107</c:v>
                </c:pt>
                <c:pt idx="132">
                  <c:v>#N/A</c:v>
                </c:pt>
                <c:pt idx="133">
                  <c:v>#N/A</c:v>
                </c:pt>
                <c:pt idx="134">
                  <c:v>#N/A</c:v>
                </c:pt>
                <c:pt idx="135">
                  <c:v>167</c:v>
                </c:pt>
                <c:pt idx="136">
                  <c:v>#N/A</c:v>
                </c:pt>
                <c:pt idx="137">
                  <c:v>#N/A</c:v>
                </c:pt>
                <c:pt idx="138">
                  <c:v>#N/A</c:v>
                </c:pt>
                <c:pt idx="139">
                  <c:v>109</c:v>
                </c:pt>
                <c:pt idx="140">
                  <c:v>#N/A</c:v>
                </c:pt>
                <c:pt idx="141">
                  <c:v>#N/A</c:v>
                </c:pt>
                <c:pt idx="142">
                  <c:v>#N/A</c:v>
                </c:pt>
                <c:pt idx="143">
                  <c:v>108</c:v>
                </c:pt>
                <c:pt idx="144">
                  <c:v>#N/A</c:v>
                </c:pt>
                <c:pt idx="145">
                  <c:v>#N/A</c:v>
                </c:pt>
                <c:pt idx="146">
                  <c:v>#N/A</c:v>
                </c:pt>
                <c:pt idx="147">
                  <c:v>200</c:v>
                </c:pt>
                <c:pt idx="148">
                  <c:v>#N/A</c:v>
                </c:pt>
                <c:pt idx="149">
                  <c:v>#N/A</c:v>
                </c:pt>
                <c:pt idx="150">
                  <c:v>#N/A</c:v>
                </c:pt>
                <c:pt idx="151">
                  <c:v>165</c:v>
                </c:pt>
                <c:pt idx="152">
                  <c:v>#N/A</c:v>
                </c:pt>
                <c:pt idx="153">
                  <c:v>#N/A</c:v>
                </c:pt>
                <c:pt idx="154">
                  <c:v>#N/A</c:v>
                </c:pt>
                <c:pt idx="155">
                  <c:v>131</c:v>
                </c:pt>
                <c:pt idx="156">
                  <c:v>#N/A</c:v>
                </c:pt>
                <c:pt idx="157">
                  <c:v>#N/A</c:v>
                </c:pt>
                <c:pt idx="158">
                  <c:v>#N/A</c:v>
                </c:pt>
                <c:pt idx="159">
                  <c:v>138</c:v>
                </c:pt>
                <c:pt idx="160">
                  <c:v>#N/A</c:v>
                </c:pt>
                <c:pt idx="161">
                  <c:v>#N/A</c:v>
                </c:pt>
                <c:pt idx="162">
                  <c:v>#N/A</c:v>
                </c:pt>
                <c:pt idx="163">
                  <c:v>128</c:v>
                </c:pt>
                <c:pt idx="164">
                  <c:v>#N/A</c:v>
                </c:pt>
                <c:pt idx="165">
                  <c:v>#N/A</c:v>
                </c:pt>
                <c:pt idx="166">
                  <c:v>#N/A</c:v>
                </c:pt>
                <c:pt idx="167">
                  <c:v>113</c:v>
                </c:pt>
                <c:pt idx="168">
                  <c:v>#N/A</c:v>
                </c:pt>
                <c:pt idx="169">
                  <c:v>#N/A</c:v>
                </c:pt>
                <c:pt idx="170">
                  <c:v>#N/A</c:v>
                </c:pt>
                <c:pt idx="171">
                  <c:v>134</c:v>
                </c:pt>
                <c:pt idx="172">
                  <c:v>#N/A</c:v>
                </c:pt>
                <c:pt idx="173">
                  <c:v>#N/A</c:v>
                </c:pt>
                <c:pt idx="174">
                  <c:v>#N/A</c:v>
                </c:pt>
                <c:pt idx="175">
                  <c:v>124</c:v>
                </c:pt>
                <c:pt idx="176">
                  <c:v>#N/A</c:v>
                </c:pt>
                <c:pt idx="177">
                  <c:v>#N/A</c:v>
                </c:pt>
                <c:pt idx="178">
                  <c:v>#N/A</c:v>
                </c:pt>
                <c:pt idx="179">
                  <c:v>118</c:v>
                </c:pt>
                <c:pt idx="180">
                  <c:v>#N/A</c:v>
                </c:pt>
                <c:pt idx="181">
                  <c:v>#N/A</c:v>
                </c:pt>
                <c:pt idx="182">
                  <c:v>#N/A</c:v>
                </c:pt>
                <c:pt idx="183">
                  <c:v>110</c:v>
                </c:pt>
                <c:pt idx="184">
                  <c:v>#N/A</c:v>
                </c:pt>
                <c:pt idx="185">
                  <c:v>#N/A</c:v>
                </c:pt>
                <c:pt idx="186">
                  <c:v>#N/A</c:v>
                </c:pt>
                <c:pt idx="187">
                  <c:v>0</c:v>
                </c:pt>
              </c:numCache>
            </c:numRef>
          </c:val>
        </c:ser>
        <c:ser>
          <c:idx val="5"/>
          <c:order val="1"/>
          <c:tx>
            <c:v>Sev2 Fermées</c:v>
          </c:tx>
          <c:spPr>
            <a:solidFill>
              <a:srgbClr val="00B050"/>
            </a:solidFill>
            <a:ln>
              <a:solidFill>
                <a:prstClr val="black"/>
              </a:solidFill>
            </a:ln>
          </c:spPr>
          <c:val>
            <c:numRef>
              <c:f>Stat!$Y$340:$Y$527</c:f>
              <c:numCache>
                <c:formatCode>General</c:formatCode>
                <c:ptCount val="188"/>
                <c:pt idx="0">
                  <c:v>#N/A</c:v>
                </c:pt>
                <c:pt idx="1">
                  <c:v>#N/A</c:v>
                </c:pt>
                <c:pt idx="2">
                  <c:v>-38</c:v>
                </c:pt>
                <c:pt idx="3">
                  <c:v>#N/A</c:v>
                </c:pt>
                <c:pt idx="4">
                  <c:v>#N/A</c:v>
                </c:pt>
                <c:pt idx="5">
                  <c:v>#N/A</c:v>
                </c:pt>
                <c:pt idx="6">
                  <c:v>-15</c:v>
                </c:pt>
                <c:pt idx="7">
                  <c:v>#N/A</c:v>
                </c:pt>
                <c:pt idx="8">
                  <c:v>#N/A</c:v>
                </c:pt>
                <c:pt idx="9">
                  <c:v>#N/A</c:v>
                </c:pt>
                <c:pt idx="10">
                  <c:v>-35</c:v>
                </c:pt>
                <c:pt idx="11">
                  <c:v>#N/A</c:v>
                </c:pt>
                <c:pt idx="12">
                  <c:v>#N/A</c:v>
                </c:pt>
                <c:pt idx="13">
                  <c:v>#N/A</c:v>
                </c:pt>
                <c:pt idx="14">
                  <c:v>-54</c:v>
                </c:pt>
                <c:pt idx="15">
                  <c:v>#N/A</c:v>
                </c:pt>
                <c:pt idx="16">
                  <c:v>#N/A</c:v>
                </c:pt>
                <c:pt idx="17">
                  <c:v>#N/A</c:v>
                </c:pt>
                <c:pt idx="18">
                  <c:v>-61</c:v>
                </c:pt>
                <c:pt idx="19">
                  <c:v>#N/A</c:v>
                </c:pt>
                <c:pt idx="20">
                  <c:v>#N/A</c:v>
                </c:pt>
                <c:pt idx="21">
                  <c:v>#N/A</c:v>
                </c:pt>
                <c:pt idx="22">
                  <c:v>-36</c:v>
                </c:pt>
                <c:pt idx="23">
                  <c:v>#N/A</c:v>
                </c:pt>
                <c:pt idx="24">
                  <c:v>#N/A</c:v>
                </c:pt>
                <c:pt idx="25">
                  <c:v>#N/A</c:v>
                </c:pt>
                <c:pt idx="26">
                  <c:v>-52</c:v>
                </c:pt>
                <c:pt idx="27">
                  <c:v>#N/A</c:v>
                </c:pt>
                <c:pt idx="28">
                  <c:v>#N/A</c:v>
                </c:pt>
                <c:pt idx="29">
                  <c:v>#N/A</c:v>
                </c:pt>
                <c:pt idx="30">
                  <c:v>-29</c:v>
                </c:pt>
                <c:pt idx="31">
                  <c:v>#N/A</c:v>
                </c:pt>
                <c:pt idx="32">
                  <c:v>#N/A</c:v>
                </c:pt>
                <c:pt idx="33">
                  <c:v>#N/A</c:v>
                </c:pt>
                <c:pt idx="34">
                  <c:v>-32</c:v>
                </c:pt>
                <c:pt idx="35">
                  <c:v>#N/A</c:v>
                </c:pt>
                <c:pt idx="36">
                  <c:v>#N/A</c:v>
                </c:pt>
                <c:pt idx="37">
                  <c:v>#N/A</c:v>
                </c:pt>
                <c:pt idx="38">
                  <c:v>-47</c:v>
                </c:pt>
                <c:pt idx="39">
                  <c:v>#N/A</c:v>
                </c:pt>
                <c:pt idx="40">
                  <c:v>#N/A</c:v>
                </c:pt>
                <c:pt idx="41">
                  <c:v>#N/A</c:v>
                </c:pt>
                <c:pt idx="42">
                  <c:v>-56</c:v>
                </c:pt>
                <c:pt idx="43">
                  <c:v>#N/A</c:v>
                </c:pt>
                <c:pt idx="44">
                  <c:v>#N/A</c:v>
                </c:pt>
                <c:pt idx="45">
                  <c:v>#N/A</c:v>
                </c:pt>
                <c:pt idx="46">
                  <c:v>-34</c:v>
                </c:pt>
                <c:pt idx="47">
                  <c:v>#N/A</c:v>
                </c:pt>
                <c:pt idx="48">
                  <c:v>#N/A</c:v>
                </c:pt>
                <c:pt idx="49">
                  <c:v>#N/A</c:v>
                </c:pt>
                <c:pt idx="50">
                  <c:v>-69</c:v>
                </c:pt>
                <c:pt idx="51">
                  <c:v>#N/A</c:v>
                </c:pt>
                <c:pt idx="52">
                  <c:v>#N/A</c:v>
                </c:pt>
                <c:pt idx="53">
                  <c:v>#N/A</c:v>
                </c:pt>
                <c:pt idx="54">
                  <c:v>-23</c:v>
                </c:pt>
                <c:pt idx="55">
                  <c:v>#N/A</c:v>
                </c:pt>
                <c:pt idx="56">
                  <c:v>#N/A</c:v>
                </c:pt>
                <c:pt idx="57">
                  <c:v>#N/A</c:v>
                </c:pt>
                <c:pt idx="58">
                  <c:v>-29</c:v>
                </c:pt>
                <c:pt idx="59">
                  <c:v>#N/A</c:v>
                </c:pt>
                <c:pt idx="60">
                  <c:v>#N/A</c:v>
                </c:pt>
                <c:pt idx="61">
                  <c:v>#N/A</c:v>
                </c:pt>
                <c:pt idx="62">
                  <c:v>-44</c:v>
                </c:pt>
                <c:pt idx="63">
                  <c:v>#N/A</c:v>
                </c:pt>
                <c:pt idx="64">
                  <c:v>#N/A</c:v>
                </c:pt>
                <c:pt idx="65">
                  <c:v>#N/A</c:v>
                </c:pt>
                <c:pt idx="66">
                  <c:v>-15</c:v>
                </c:pt>
                <c:pt idx="67">
                  <c:v>#N/A</c:v>
                </c:pt>
                <c:pt idx="68">
                  <c:v>#N/A</c:v>
                </c:pt>
                <c:pt idx="69">
                  <c:v>#N/A</c:v>
                </c:pt>
                <c:pt idx="70">
                  <c:v>-89</c:v>
                </c:pt>
                <c:pt idx="71">
                  <c:v>#N/A</c:v>
                </c:pt>
                <c:pt idx="72">
                  <c:v>#N/A</c:v>
                </c:pt>
                <c:pt idx="73">
                  <c:v>#N/A</c:v>
                </c:pt>
                <c:pt idx="74">
                  <c:v>-80</c:v>
                </c:pt>
                <c:pt idx="75">
                  <c:v>#N/A</c:v>
                </c:pt>
                <c:pt idx="76">
                  <c:v>#N/A</c:v>
                </c:pt>
                <c:pt idx="77">
                  <c:v>#N/A</c:v>
                </c:pt>
                <c:pt idx="78">
                  <c:v>-39</c:v>
                </c:pt>
                <c:pt idx="79">
                  <c:v>#N/A</c:v>
                </c:pt>
                <c:pt idx="80">
                  <c:v>#N/A</c:v>
                </c:pt>
                <c:pt idx="81">
                  <c:v>#N/A</c:v>
                </c:pt>
                <c:pt idx="82">
                  <c:v>-31</c:v>
                </c:pt>
                <c:pt idx="83">
                  <c:v>#N/A</c:v>
                </c:pt>
                <c:pt idx="84">
                  <c:v>#N/A</c:v>
                </c:pt>
                <c:pt idx="86">
                  <c:v>-18</c:v>
                </c:pt>
                <c:pt idx="87">
                  <c:v>#N/A</c:v>
                </c:pt>
                <c:pt idx="88">
                  <c:v>#N/A</c:v>
                </c:pt>
                <c:pt idx="90">
                  <c:v>-41</c:v>
                </c:pt>
                <c:pt idx="91">
                  <c:v>#N/A</c:v>
                </c:pt>
                <c:pt idx="92">
                  <c:v>#N/A</c:v>
                </c:pt>
                <c:pt idx="94">
                  <c:v>0</c:v>
                </c:pt>
                <c:pt idx="95">
                  <c:v>#N/A</c:v>
                </c:pt>
                <c:pt idx="96">
                  <c:v>#N/A</c:v>
                </c:pt>
                <c:pt idx="98">
                  <c:v>-9</c:v>
                </c:pt>
                <c:pt idx="99">
                  <c:v>#N/A</c:v>
                </c:pt>
                <c:pt idx="100">
                  <c:v>#N/A</c:v>
                </c:pt>
                <c:pt idx="102">
                  <c:v>-18</c:v>
                </c:pt>
                <c:pt idx="103">
                  <c:v>#N/A</c:v>
                </c:pt>
                <c:pt idx="104">
                  <c:v>#N/A</c:v>
                </c:pt>
                <c:pt idx="106">
                  <c:v>-90</c:v>
                </c:pt>
                <c:pt idx="107">
                  <c:v>#N/A</c:v>
                </c:pt>
                <c:pt idx="108">
                  <c:v>#N/A</c:v>
                </c:pt>
                <c:pt idx="110">
                  <c:v>-18</c:v>
                </c:pt>
                <c:pt idx="111">
                  <c:v>#N/A</c:v>
                </c:pt>
                <c:pt idx="112">
                  <c:v>#N/A</c:v>
                </c:pt>
                <c:pt idx="114">
                  <c:v>-27</c:v>
                </c:pt>
                <c:pt idx="115">
                  <c:v>#N/A</c:v>
                </c:pt>
                <c:pt idx="116">
                  <c:v>#N/A</c:v>
                </c:pt>
                <c:pt idx="118">
                  <c:v>-36</c:v>
                </c:pt>
                <c:pt idx="119">
                  <c:v>#N/A</c:v>
                </c:pt>
                <c:pt idx="120">
                  <c:v>#N/A</c:v>
                </c:pt>
                <c:pt idx="122">
                  <c:v>-56</c:v>
                </c:pt>
                <c:pt idx="123">
                  <c:v>#N/A</c:v>
                </c:pt>
                <c:pt idx="124">
                  <c:v>#N/A</c:v>
                </c:pt>
                <c:pt idx="126">
                  <c:v>-17</c:v>
                </c:pt>
                <c:pt idx="127">
                  <c:v>#N/A</c:v>
                </c:pt>
                <c:pt idx="128">
                  <c:v>#N/A</c:v>
                </c:pt>
                <c:pt idx="130">
                  <c:v>-27</c:v>
                </c:pt>
                <c:pt idx="131">
                  <c:v>#N/A</c:v>
                </c:pt>
                <c:pt idx="132">
                  <c:v>#N/A</c:v>
                </c:pt>
                <c:pt idx="134">
                  <c:v>-67</c:v>
                </c:pt>
                <c:pt idx="135">
                  <c:v>#N/A</c:v>
                </c:pt>
                <c:pt idx="136">
                  <c:v>#N/A</c:v>
                </c:pt>
                <c:pt idx="138">
                  <c:v>-80</c:v>
                </c:pt>
                <c:pt idx="139">
                  <c:v>#N/A</c:v>
                </c:pt>
                <c:pt idx="140">
                  <c:v>#N/A</c:v>
                </c:pt>
                <c:pt idx="142">
                  <c:v>-80</c:v>
                </c:pt>
                <c:pt idx="143">
                  <c:v>#N/A</c:v>
                </c:pt>
                <c:pt idx="144">
                  <c:v>#N/A</c:v>
                </c:pt>
                <c:pt idx="146">
                  <c:v>-17</c:v>
                </c:pt>
                <c:pt idx="147">
                  <c:v>#N/A</c:v>
                </c:pt>
                <c:pt idx="148">
                  <c:v>#N/A</c:v>
                </c:pt>
                <c:pt idx="150">
                  <c:v>-56</c:v>
                </c:pt>
                <c:pt idx="151">
                  <c:v>#N/A</c:v>
                </c:pt>
                <c:pt idx="152">
                  <c:v>#N/A</c:v>
                </c:pt>
                <c:pt idx="154">
                  <c:v>-54</c:v>
                </c:pt>
                <c:pt idx="155">
                  <c:v>#N/A</c:v>
                </c:pt>
                <c:pt idx="156">
                  <c:v>#N/A</c:v>
                </c:pt>
                <c:pt idx="158">
                  <c:v>-49</c:v>
                </c:pt>
                <c:pt idx="159">
                  <c:v>#N/A</c:v>
                </c:pt>
                <c:pt idx="160">
                  <c:v>#N/A</c:v>
                </c:pt>
                <c:pt idx="162">
                  <c:v>-29</c:v>
                </c:pt>
                <c:pt idx="163">
                  <c:v>#N/A</c:v>
                </c:pt>
                <c:pt idx="164">
                  <c:v>#N/A</c:v>
                </c:pt>
                <c:pt idx="166">
                  <c:v>-49</c:v>
                </c:pt>
                <c:pt idx="167">
                  <c:v>#N/A</c:v>
                </c:pt>
                <c:pt idx="168">
                  <c:v>#N/A</c:v>
                </c:pt>
                <c:pt idx="170">
                  <c:v>-52</c:v>
                </c:pt>
                <c:pt idx="171">
                  <c:v>#N/A</c:v>
                </c:pt>
                <c:pt idx="172">
                  <c:v>#N/A</c:v>
                </c:pt>
                <c:pt idx="174">
                  <c:v>-95</c:v>
                </c:pt>
                <c:pt idx="175">
                  <c:v>#N/A</c:v>
                </c:pt>
                <c:pt idx="176">
                  <c:v>#N/A</c:v>
                </c:pt>
                <c:pt idx="178">
                  <c:v>-2</c:v>
                </c:pt>
                <c:pt idx="179">
                  <c:v>#N/A</c:v>
                </c:pt>
                <c:pt idx="180">
                  <c:v>#N/A</c:v>
                </c:pt>
                <c:pt idx="182">
                  <c:v>-71</c:v>
                </c:pt>
                <c:pt idx="183">
                  <c:v>#N/A</c:v>
                </c:pt>
                <c:pt idx="184">
                  <c:v>#N/A</c:v>
                </c:pt>
                <c:pt idx="186">
                  <c:v>0</c:v>
                </c:pt>
                <c:pt idx="187">
                  <c:v>#N/A</c:v>
                </c:pt>
              </c:numCache>
            </c:numRef>
          </c:val>
        </c:ser>
        <c:ser>
          <c:idx val="1"/>
          <c:order val="2"/>
          <c:tx>
            <c:v>Sev2 Nouvelles</c:v>
          </c:tx>
          <c:spPr>
            <a:solidFill>
              <a:srgbClr val="FF0000"/>
            </a:solidFill>
            <a:ln>
              <a:solidFill>
                <a:prstClr val="black"/>
              </a:solidFill>
            </a:ln>
          </c:spPr>
          <c:cat>
            <c:strRef>
              <c:f>Stat!$A$340:$A$527</c:f>
              <c:strCache>
                <c:ptCount val="187"/>
                <c:pt idx="2">
                  <c:v>S1</c:v>
                </c:pt>
                <c:pt idx="5">
                  <c:v>S2</c:v>
                </c:pt>
                <c:pt idx="6">
                  <c:v>-3</c:v>
                </c:pt>
                <c:pt idx="10">
                  <c:v>S4</c:v>
                </c:pt>
                <c:pt idx="14">
                  <c:v>S5</c:v>
                </c:pt>
                <c:pt idx="18">
                  <c:v>S6</c:v>
                </c:pt>
                <c:pt idx="22">
                  <c:v>S7</c:v>
                </c:pt>
                <c:pt idx="26">
                  <c:v>S8</c:v>
                </c:pt>
                <c:pt idx="30">
                  <c:v>S9</c:v>
                </c:pt>
                <c:pt idx="34">
                  <c:v>S10</c:v>
                </c:pt>
                <c:pt idx="38">
                  <c:v>S11</c:v>
                </c:pt>
                <c:pt idx="42">
                  <c:v>S12</c:v>
                </c:pt>
                <c:pt idx="46">
                  <c:v>S13</c:v>
                </c:pt>
                <c:pt idx="49">
                  <c:v>S14</c:v>
                </c:pt>
                <c:pt idx="50">
                  <c:v>-15</c:v>
                </c:pt>
                <c:pt idx="54">
                  <c:v>S16</c:v>
                </c:pt>
                <c:pt idx="58">
                  <c:v>S17</c:v>
                </c:pt>
                <c:pt idx="62">
                  <c:v>S18</c:v>
                </c:pt>
                <c:pt idx="66">
                  <c:v>S19</c:v>
                </c:pt>
                <c:pt idx="70">
                  <c:v>S20</c:v>
                </c:pt>
                <c:pt idx="74">
                  <c:v>S21</c:v>
                </c:pt>
                <c:pt idx="78">
                  <c:v>S22</c:v>
                </c:pt>
                <c:pt idx="82">
                  <c:v>S23</c:v>
                </c:pt>
                <c:pt idx="86">
                  <c:v>S24</c:v>
                </c:pt>
                <c:pt idx="90">
                  <c:v>S25</c:v>
                </c:pt>
                <c:pt idx="94">
                  <c:v>S26</c:v>
                </c:pt>
                <c:pt idx="98">
                  <c:v>S27</c:v>
                </c:pt>
                <c:pt idx="102">
                  <c:v>S28</c:v>
                </c:pt>
                <c:pt idx="106">
                  <c:v>S29</c:v>
                </c:pt>
                <c:pt idx="110">
                  <c:v>S30</c:v>
                </c:pt>
                <c:pt idx="114">
                  <c:v>S31</c:v>
                </c:pt>
                <c:pt idx="118">
                  <c:v>S32</c:v>
                </c:pt>
                <c:pt idx="121">
                  <c:v>S33</c:v>
                </c:pt>
                <c:pt idx="122">
                  <c:v>-34</c:v>
                </c:pt>
                <c:pt idx="126">
                  <c:v>S35</c:v>
                </c:pt>
                <c:pt idx="130">
                  <c:v>S36</c:v>
                </c:pt>
                <c:pt idx="134">
                  <c:v>S37</c:v>
                </c:pt>
                <c:pt idx="138">
                  <c:v>S38</c:v>
                </c:pt>
                <c:pt idx="142">
                  <c:v>S39</c:v>
                </c:pt>
                <c:pt idx="145">
                  <c:v>S40</c:v>
                </c:pt>
                <c:pt idx="146">
                  <c:v>-41</c:v>
                </c:pt>
                <c:pt idx="150">
                  <c:v>S42</c:v>
                </c:pt>
                <c:pt idx="154">
                  <c:v>S43</c:v>
                </c:pt>
                <c:pt idx="158">
                  <c:v>S44</c:v>
                </c:pt>
                <c:pt idx="162">
                  <c:v>S45</c:v>
                </c:pt>
                <c:pt idx="166">
                  <c:v>S46</c:v>
                </c:pt>
                <c:pt idx="170">
                  <c:v>S47</c:v>
                </c:pt>
                <c:pt idx="174">
                  <c:v>S48</c:v>
                </c:pt>
                <c:pt idx="178">
                  <c:v>S49</c:v>
                </c:pt>
                <c:pt idx="182">
                  <c:v>S50</c:v>
                </c:pt>
                <c:pt idx="186">
                  <c:v>S51</c:v>
                </c:pt>
              </c:strCache>
            </c:strRef>
          </c:cat>
          <c:val>
            <c:numRef>
              <c:f>Stat!$V$340:$V$527</c:f>
              <c:numCache>
                <c:formatCode>General</c:formatCode>
                <c:ptCount val="188"/>
                <c:pt idx="0">
                  <c:v>#N/A</c:v>
                </c:pt>
                <c:pt idx="1">
                  <c:v>15</c:v>
                </c:pt>
                <c:pt idx="2">
                  <c:v>#N/A</c:v>
                </c:pt>
                <c:pt idx="3">
                  <c:v>#N/A</c:v>
                </c:pt>
                <c:pt idx="4">
                  <c:v>#N/A</c:v>
                </c:pt>
                <c:pt idx="5">
                  <c:v>82</c:v>
                </c:pt>
                <c:pt idx="6">
                  <c:v>#N/A</c:v>
                </c:pt>
                <c:pt idx="7">
                  <c:v>#N/A</c:v>
                </c:pt>
                <c:pt idx="8">
                  <c:v>#N/A</c:v>
                </c:pt>
                <c:pt idx="9">
                  <c:v>9</c:v>
                </c:pt>
                <c:pt idx="10">
                  <c:v>#N/A</c:v>
                </c:pt>
                <c:pt idx="11">
                  <c:v>#N/A</c:v>
                </c:pt>
                <c:pt idx="12">
                  <c:v>#N/A</c:v>
                </c:pt>
                <c:pt idx="13">
                  <c:v>24</c:v>
                </c:pt>
                <c:pt idx="14">
                  <c:v>#N/A</c:v>
                </c:pt>
                <c:pt idx="15">
                  <c:v>#N/A</c:v>
                </c:pt>
                <c:pt idx="16">
                  <c:v>#N/A</c:v>
                </c:pt>
                <c:pt idx="17">
                  <c:v>62</c:v>
                </c:pt>
                <c:pt idx="18">
                  <c:v>#N/A</c:v>
                </c:pt>
                <c:pt idx="19">
                  <c:v>#N/A</c:v>
                </c:pt>
                <c:pt idx="20">
                  <c:v>#N/A</c:v>
                </c:pt>
                <c:pt idx="21">
                  <c:v>29</c:v>
                </c:pt>
                <c:pt idx="22">
                  <c:v>#N/A</c:v>
                </c:pt>
                <c:pt idx="23">
                  <c:v>#N/A</c:v>
                </c:pt>
                <c:pt idx="24">
                  <c:v>#N/A</c:v>
                </c:pt>
                <c:pt idx="25">
                  <c:v>74</c:v>
                </c:pt>
                <c:pt idx="26">
                  <c:v>#N/A</c:v>
                </c:pt>
                <c:pt idx="27">
                  <c:v>#N/A</c:v>
                </c:pt>
                <c:pt idx="28">
                  <c:v>#N/A</c:v>
                </c:pt>
                <c:pt idx="29">
                  <c:v>35</c:v>
                </c:pt>
                <c:pt idx="30">
                  <c:v>#N/A</c:v>
                </c:pt>
                <c:pt idx="31">
                  <c:v>#N/A</c:v>
                </c:pt>
                <c:pt idx="32">
                  <c:v>#N/A</c:v>
                </c:pt>
                <c:pt idx="33">
                  <c:v>30</c:v>
                </c:pt>
                <c:pt idx="34">
                  <c:v>#N/A</c:v>
                </c:pt>
                <c:pt idx="35">
                  <c:v>#N/A</c:v>
                </c:pt>
                <c:pt idx="36">
                  <c:v>#N/A</c:v>
                </c:pt>
                <c:pt idx="37">
                  <c:v>33</c:v>
                </c:pt>
                <c:pt idx="38">
                  <c:v>#N/A</c:v>
                </c:pt>
                <c:pt idx="39">
                  <c:v>#N/A</c:v>
                </c:pt>
                <c:pt idx="40">
                  <c:v>#N/A</c:v>
                </c:pt>
                <c:pt idx="41">
                  <c:v>75</c:v>
                </c:pt>
                <c:pt idx="42">
                  <c:v>#N/A</c:v>
                </c:pt>
                <c:pt idx="43">
                  <c:v>#N/A</c:v>
                </c:pt>
                <c:pt idx="44">
                  <c:v>#N/A</c:v>
                </c:pt>
                <c:pt idx="45">
                  <c:v>28</c:v>
                </c:pt>
                <c:pt idx="46">
                  <c:v>#N/A</c:v>
                </c:pt>
                <c:pt idx="47">
                  <c:v>#N/A</c:v>
                </c:pt>
                <c:pt idx="48">
                  <c:v>#N/A</c:v>
                </c:pt>
                <c:pt idx="49">
                  <c:v>60</c:v>
                </c:pt>
                <c:pt idx="50">
                  <c:v>#N/A</c:v>
                </c:pt>
                <c:pt idx="51">
                  <c:v>#N/A</c:v>
                </c:pt>
                <c:pt idx="52">
                  <c:v>#N/A</c:v>
                </c:pt>
                <c:pt idx="53">
                  <c:v>26</c:v>
                </c:pt>
                <c:pt idx="54">
                  <c:v>#N/A</c:v>
                </c:pt>
                <c:pt idx="55">
                  <c:v>#N/A</c:v>
                </c:pt>
                <c:pt idx="56">
                  <c:v>#N/A</c:v>
                </c:pt>
                <c:pt idx="57">
                  <c:v>22</c:v>
                </c:pt>
                <c:pt idx="58">
                  <c:v>#N/A</c:v>
                </c:pt>
                <c:pt idx="59">
                  <c:v>#N/A</c:v>
                </c:pt>
                <c:pt idx="60">
                  <c:v>#N/A</c:v>
                </c:pt>
                <c:pt idx="61">
                  <c:v>63</c:v>
                </c:pt>
                <c:pt idx="62">
                  <c:v>#N/A</c:v>
                </c:pt>
                <c:pt idx="63">
                  <c:v>#N/A</c:v>
                </c:pt>
                <c:pt idx="64">
                  <c:v>#N/A</c:v>
                </c:pt>
                <c:pt idx="65">
                  <c:v>18</c:v>
                </c:pt>
                <c:pt idx="66">
                  <c:v>#N/A</c:v>
                </c:pt>
                <c:pt idx="67">
                  <c:v>#N/A</c:v>
                </c:pt>
                <c:pt idx="68">
                  <c:v>#N/A</c:v>
                </c:pt>
                <c:pt idx="69">
                  <c:v>119</c:v>
                </c:pt>
                <c:pt idx="70">
                  <c:v>#N/A</c:v>
                </c:pt>
                <c:pt idx="71">
                  <c:v>#N/A</c:v>
                </c:pt>
                <c:pt idx="72">
                  <c:v>#N/A</c:v>
                </c:pt>
                <c:pt idx="73">
                  <c:v>55</c:v>
                </c:pt>
                <c:pt idx="74">
                  <c:v>#N/A</c:v>
                </c:pt>
                <c:pt idx="75">
                  <c:v>#N/A</c:v>
                </c:pt>
                <c:pt idx="76">
                  <c:v>#N/A</c:v>
                </c:pt>
                <c:pt idx="77">
                  <c:v>51</c:v>
                </c:pt>
                <c:pt idx="78">
                  <c:v>#N/A</c:v>
                </c:pt>
                <c:pt idx="79">
                  <c:v>#N/A</c:v>
                </c:pt>
                <c:pt idx="80">
                  <c:v>#N/A</c:v>
                </c:pt>
                <c:pt idx="81">
                  <c:v>19</c:v>
                </c:pt>
                <c:pt idx="82">
                  <c:v>#N/A</c:v>
                </c:pt>
                <c:pt idx="83">
                  <c:v>#N/A</c:v>
                </c:pt>
                <c:pt idx="84">
                  <c:v>#N/A</c:v>
                </c:pt>
                <c:pt idx="85">
                  <c:v>13</c:v>
                </c:pt>
                <c:pt idx="87">
                  <c:v>#N/A</c:v>
                </c:pt>
                <c:pt idx="88">
                  <c:v>#N/A</c:v>
                </c:pt>
                <c:pt idx="89">
                  <c:v>35</c:v>
                </c:pt>
                <c:pt idx="91">
                  <c:v>#N/A</c:v>
                </c:pt>
                <c:pt idx="92">
                  <c:v>#N/A</c:v>
                </c:pt>
                <c:pt idx="93">
                  <c:v>39</c:v>
                </c:pt>
                <c:pt idx="95">
                  <c:v>#N/A</c:v>
                </c:pt>
                <c:pt idx="96">
                  <c:v>#N/A</c:v>
                </c:pt>
                <c:pt idx="97">
                  <c:v>108</c:v>
                </c:pt>
                <c:pt idx="99">
                  <c:v>#N/A</c:v>
                </c:pt>
                <c:pt idx="100">
                  <c:v>#N/A</c:v>
                </c:pt>
                <c:pt idx="101">
                  <c:v>14</c:v>
                </c:pt>
                <c:pt idx="103">
                  <c:v>#N/A</c:v>
                </c:pt>
                <c:pt idx="104">
                  <c:v>#N/A</c:v>
                </c:pt>
                <c:pt idx="105">
                  <c:v>44</c:v>
                </c:pt>
                <c:pt idx="107">
                  <c:v>#N/A</c:v>
                </c:pt>
                <c:pt idx="108">
                  <c:v>#N/A</c:v>
                </c:pt>
                <c:pt idx="109">
                  <c:v>13</c:v>
                </c:pt>
                <c:pt idx="111">
                  <c:v>#N/A</c:v>
                </c:pt>
                <c:pt idx="112">
                  <c:v>#N/A</c:v>
                </c:pt>
                <c:pt idx="113">
                  <c:v>10</c:v>
                </c:pt>
                <c:pt idx="115">
                  <c:v>#N/A</c:v>
                </c:pt>
                <c:pt idx="116">
                  <c:v>#N/A</c:v>
                </c:pt>
                <c:pt idx="117">
                  <c:v>22</c:v>
                </c:pt>
                <c:pt idx="119">
                  <c:v>#N/A</c:v>
                </c:pt>
                <c:pt idx="120">
                  <c:v>#N/A</c:v>
                </c:pt>
                <c:pt idx="121">
                  <c:v>44</c:v>
                </c:pt>
                <c:pt idx="123">
                  <c:v>#N/A</c:v>
                </c:pt>
                <c:pt idx="124">
                  <c:v>#N/A</c:v>
                </c:pt>
                <c:pt idx="125">
                  <c:v>15</c:v>
                </c:pt>
                <c:pt idx="127">
                  <c:v>#N/A</c:v>
                </c:pt>
                <c:pt idx="128">
                  <c:v>#N/A</c:v>
                </c:pt>
                <c:pt idx="129">
                  <c:v>30</c:v>
                </c:pt>
                <c:pt idx="131">
                  <c:v>#N/A</c:v>
                </c:pt>
                <c:pt idx="132">
                  <c:v>#N/A</c:v>
                </c:pt>
                <c:pt idx="133">
                  <c:v>122</c:v>
                </c:pt>
                <c:pt idx="135">
                  <c:v>#N/A</c:v>
                </c:pt>
                <c:pt idx="136">
                  <c:v>#N/A</c:v>
                </c:pt>
                <c:pt idx="137">
                  <c:v>22</c:v>
                </c:pt>
                <c:pt idx="139">
                  <c:v>#N/A</c:v>
                </c:pt>
                <c:pt idx="140">
                  <c:v>#N/A</c:v>
                </c:pt>
                <c:pt idx="141">
                  <c:v>127</c:v>
                </c:pt>
                <c:pt idx="143">
                  <c:v>#N/A</c:v>
                </c:pt>
                <c:pt idx="144">
                  <c:v>#N/A</c:v>
                </c:pt>
                <c:pt idx="145">
                  <c:v>110</c:v>
                </c:pt>
                <c:pt idx="147">
                  <c:v>#N/A</c:v>
                </c:pt>
                <c:pt idx="148">
                  <c:v>#N/A</c:v>
                </c:pt>
                <c:pt idx="149">
                  <c:v>20</c:v>
                </c:pt>
                <c:pt idx="151">
                  <c:v>#N/A</c:v>
                </c:pt>
                <c:pt idx="152">
                  <c:v>#N/A</c:v>
                </c:pt>
                <c:pt idx="153">
                  <c:v>15</c:v>
                </c:pt>
                <c:pt idx="155">
                  <c:v>#N/A</c:v>
                </c:pt>
                <c:pt idx="156">
                  <c:v>#N/A</c:v>
                </c:pt>
                <c:pt idx="157">
                  <c:v>54</c:v>
                </c:pt>
                <c:pt idx="159">
                  <c:v>#N/A</c:v>
                </c:pt>
                <c:pt idx="160">
                  <c:v>#N/A</c:v>
                </c:pt>
                <c:pt idx="161">
                  <c:v>19</c:v>
                </c:pt>
                <c:pt idx="163">
                  <c:v>#N/A</c:v>
                </c:pt>
                <c:pt idx="164">
                  <c:v>#N/A</c:v>
                </c:pt>
                <c:pt idx="165">
                  <c:v>36</c:v>
                </c:pt>
                <c:pt idx="167">
                  <c:v>#N/A</c:v>
                </c:pt>
                <c:pt idx="168">
                  <c:v>#N/A</c:v>
                </c:pt>
                <c:pt idx="169">
                  <c:v>75</c:v>
                </c:pt>
                <c:pt idx="171">
                  <c:v>#N/A</c:v>
                </c:pt>
                <c:pt idx="172">
                  <c:v>#N/A</c:v>
                </c:pt>
                <c:pt idx="173">
                  <c:v>94</c:v>
                </c:pt>
                <c:pt idx="175">
                  <c:v>#N/A</c:v>
                </c:pt>
                <c:pt idx="176">
                  <c:v>#N/A</c:v>
                </c:pt>
                <c:pt idx="177">
                  <c:v>3</c:v>
                </c:pt>
                <c:pt idx="179">
                  <c:v>#N/A</c:v>
                </c:pt>
                <c:pt idx="180">
                  <c:v>#N/A</c:v>
                </c:pt>
                <c:pt idx="181">
                  <c:v>62</c:v>
                </c:pt>
                <c:pt idx="183">
                  <c:v>#N/A</c:v>
                </c:pt>
                <c:pt idx="184">
                  <c:v>#N/A</c:v>
                </c:pt>
                <c:pt idx="185">
                  <c:v>4</c:v>
                </c:pt>
                <c:pt idx="187">
                  <c:v>#N/A</c:v>
                </c:pt>
              </c:numCache>
            </c:numRef>
          </c:val>
        </c:ser>
        <c:gapWidth val="0"/>
        <c:overlap val="100"/>
        <c:axId val="103281408"/>
        <c:axId val="103282944"/>
      </c:barChart>
      <c:catAx>
        <c:axId val="103281408"/>
        <c:scaling>
          <c:orientation val="minMax"/>
        </c:scaling>
        <c:axPos val="b"/>
        <c:numFmt formatCode="General" sourceLinked="1"/>
        <c:tickLblPos val="nextTo"/>
        <c:txPr>
          <a:bodyPr/>
          <a:lstStyle/>
          <a:p>
            <a:pPr>
              <a:defRPr sz="900"/>
            </a:pPr>
            <a:endParaRPr lang="fr-FR"/>
          </a:p>
        </c:txPr>
        <c:crossAx val="103282944"/>
        <c:crossesAt val="0"/>
        <c:auto val="1"/>
        <c:lblAlgn val="ctr"/>
        <c:lblOffset val="100"/>
      </c:catAx>
      <c:valAx>
        <c:axId val="103282944"/>
        <c:scaling>
          <c:orientation val="minMax"/>
          <c:min val="-100"/>
        </c:scaling>
        <c:axPos val="l"/>
        <c:majorGridlines/>
        <c:numFmt formatCode="General" sourceLinked="1"/>
        <c:tickLblPos val="nextTo"/>
        <c:crossAx val="103281408"/>
        <c:crosses val="autoZero"/>
        <c:crossBetween val="between"/>
        <c:majorUnit val="20"/>
      </c:valAx>
      <c:spPr>
        <a:noFill/>
      </c:spPr>
    </c:plotArea>
    <c:legend>
      <c:legendPos val="r"/>
      <c:layout>
        <c:manualLayout>
          <c:xMode val="edge"/>
          <c:yMode val="edge"/>
          <c:x val="0.88289735846970763"/>
          <c:y val="0.36806370345959138"/>
          <c:w val="0.11437106603390186"/>
          <c:h val="0.29305715413146061"/>
        </c:manualLayout>
      </c:layout>
      <c:txPr>
        <a:bodyPr/>
        <a:lstStyle/>
        <a:p>
          <a:pPr>
            <a:defRPr sz="800"/>
          </a:pPr>
          <a:endParaRPr lang="fr-FR"/>
        </a:p>
      </c:txPr>
    </c:legend>
    <c:plotVisOnly val="1"/>
    <c:dispBlanksAs val="gap"/>
  </c:chart>
  <c:userShapes r:id="rId1"/>
</c:chartSpace>
</file>

<file path=xl/charts/chart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Nombre de FI pour chaque MAJ  du CD45</a:t>
            </a:r>
          </a:p>
        </c:rich>
      </c:tx>
      <c:layout>
        <c:manualLayout>
          <c:xMode val="edge"/>
          <c:yMode val="edge"/>
          <c:x val="0.21662494958910991"/>
          <c:y val="3.6764705882352942E-2"/>
        </c:manualLayout>
      </c:layout>
      <c:spPr>
        <a:noFill/>
        <a:ln w="25400">
          <a:noFill/>
        </a:ln>
      </c:spPr>
    </c:title>
    <c:plotArea>
      <c:layout>
        <c:manualLayout>
          <c:layoutTarget val="inner"/>
          <c:xMode val="edge"/>
          <c:yMode val="edge"/>
          <c:x val="9.3199107071477508E-2"/>
          <c:y val="0.20955882352941191"/>
          <c:w val="0.74559285657191265"/>
          <c:h val="0.58823529411760656"/>
        </c:manualLayout>
      </c:layout>
      <c:barChart>
        <c:barDir val="col"/>
        <c:grouping val="stacked"/>
        <c:ser>
          <c:idx val="0"/>
          <c:order val="0"/>
          <c:tx>
            <c:strRef>
              <c:f>IQx!$C$11</c:f>
              <c:strCache>
                <c:ptCount val="1"/>
                <c:pt idx="0">
                  <c:v>SEV1</c:v>
                </c:pt>
              </c:strCache>
            </c:strRef>
          </c:tx>
          <c:spPr>
            <a:solidFill>
              <a:srgbClr val="FF0000"/>
            </a:solidFill>
            <a:ln w="12700">
              <a:solidFill>
                <a:srgbClr val="000000"/>
              </a:solidFill>
              <a:prstDash val="solid"/>
            </a:ln>
          </c:spPr>
          <c:cat>
            <c:strRef>
              <c:f>IQx!$B$12:$B$23</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IQx!$C$12:$C$23</c:f>
              <c:numCache>
                <c:formatCode>General</c:formatCode>
                <c:ptCount val="12"/>
                <c:pt idx="0">
                  <c:v>2</c:v>
                </c:pt>
                <c:pt idx="1">
                  <c:v>4</c:v>
                </c:pt>
                <c:pt idx="2">
                  <c:v>4</c:v>
                </c:pt>
                <c:pt idx="3">
                  <c:v>1</c:v>
                </c:pt>
                <c:pt idx="4">
                  <c:v>8</c:v>
                </c:pt>
                <c:pt idx="5">
                  <c:v>11</c:v>
                </c:pt>
                <c:pt idx="6">
                  <c:v>8</c:v>
                </c:pt>
                <c:pt idx="7">
                  <c:v>6</c:v>
                </c:pt>
                <c:pt idx="8">
                  <c:v>8</c:v>
                </c:pt>
                <c:pt idx="9">
                  <c:v>4</c:v>
                </c:pt>
                <c:pt idx="10">
                  <c:v>4</c:v>
                </c:pt>
                <c:pt idx="11">
                  <c:v>20</c:v>
                </c:pt>
              </c:numCache>
            </c:numRef>
          </c:val>
        </c:ser>
        <c:ser>
          <c:idx val="1"/>
          <c:order val="1"/>
          <c:tx>
            <c:strRef>
              <c:f>IQx!$D$11</c:f>
              <c:strCache>
                <c:ptCount val="1"/>
                <c:pt idx="0">
                  <c:v>SEV2</c:v>
                </c:pt>
              </c:strCache>
            </c:strRef>
          </c:tx>
          <c:spPr>
            <a:solidFill>
              <a:srgbClr val="FF9900"/>
            </a:solidFill>
            <a:ln w="12700">
              <a:solidFill>
                <a:srgbClr val="000000"/>
              </a:solidFill>
              <a:prstDash val="solid"/>
            </a:ln>
          </c:spPr>
          <c:cat>
            <c:strRef>
              <c:f>IQx!$B$12:$B$23</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IQx!$D$12:$D$23</c:f>
              <c:numCache>
                <c:formatCode>General</c:formatCode>
                <c:ptCount val="12"/>
                <c:pt idx="0">
                  <c:v>11</c:v>
                </c:pt>
                <c:pt idx="1">
                  <c:v>11</c:v>
                </c:pt>
                <c:pt idx="2">
                  <c:v>10</c:v>
                </c:pt>
                <c:pt idx="3">
                  <c:v>18</c:v>
                </c:pt>
                <c:pt idx="4">
                  <c:v>15</c:v>
                </c:pt>
                <c:pt idx="5">
                  <c:v>9</c:v>
                </c:pt>
                <c:pt idx="6">
                  <c:v>40</c:v>
                </c:pt>
                <c:pt idx="7">
                  <c:v>4</c:v>
                </c:pt>
                <c:pt idx="8">
                  <c:v>14</c:v>
                </c:pt>
                <c:pt idx="9">
                  <c:v>22</c:v>
                </c:pt>
                <c:pt idx="10">
                  <c:v>10</c:v>
                </c:pt>
                <c:pt idx="11">
                  <c:v>69</c:v>
                </c:pt>
              </c:numCache>
            </c:numRef>
          </c:val>
        </c:ser>
        <c:ser>
          <c:idx val="2"/>
          <c:order val="2"/>
          <c:tx>
            <c:strRef>
              <c:f>IQx!$E$11</c:f>
              <c:strCache>
                <c:ptCount val="1"/>
                <c:pt idx="0">
                  <c:v>SEV3</c:v>
                </c:pt>
              </c:strCache>
            </c:strRef>
          </c:tx>
          <c:spPr>
            <a:solidFill>
              <a:srgbClr val="FFFF00"/>
            </a:solidFill>
            <a:ln w="12700">
              <a:solidFill>
                <a:srgbClr val="000000"/>
              </a:solidFill>
              <a:prstDash val="solid"/>
            </a:ln>
          </c:spPr>
          <c:cat>
            <c:strRef>
              <c:f>IQx!$B$12:$B$23</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IQx!$E$12:$E$23</c:f>
              <c:numCache>
                <c:formatCode>General</c:formatCode>
                <c:ptCount val="12"/>
                <c:pt idx="0">
                  <c:v>1</c:v>
                </c:pt>
                <c:pt idx="1">
                  <c:v>2</c:v>
                </c:pt>
                <c:pt idx="2">
                  <c:v>0</c:v>
                </c:pt>
                <c:pt idx="3">
                  <c:v>0</c:v>
                </c:pt>
                <c:pt idx="4">
                  <c:v>0</c:v>
                </c:pt>
                <c:pt idx="5">
                  <c:v>1</c:v>
                </c:pt>
                <c:pt idx="6">
                  <c:v>12</c:v>
                </c:pt>
                <c:pt idx="7">
                  <c:v>4</c:v>
                </c:pt>
                <c:pt idx="8">
                  <c:v>1</c:v>
                </c:pt>
                <c:pt idx="9">
                  <c:v>2</c:v>
                </c:pt>
                <c:pt idx="10">
                  <c:v>4</c:v>
                </c:pt>
                <c:pt idx="11">
                  <c:v>7</c:v>
                </c:pt>
              </c:numCache>
            </c:numRef>
          </c:val>
        </c:ser>
        <c:overlap val="100"/>
        <c:axId val="104715008"/>
        <c:axId val="104716544"/>
      </c:barChart>
      <c:catAx>
        <c:axId val="104715008"/>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716544"/>
        <c:crosses val="autoZero"/>
        <c:auto val="1"/>
        <c:lblAlgn val="ctr"/>
        <c:lblOffset val="100"/>
        <c:tickLblSkip val="1"/>
        <c:tickMarkSkip val="1"/>
      </c:catAx>
      <c:valAx>
        <c:axId val="104716544"/>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715008"/>
        <c:crosses val="autoZero"/>
        <c:crossBetween val="between"/>
      </c:valAx>
      <c:spPr>
        <a:solidFill>
          <a:srgbClr val="C0C0C0"/>
        </a:solidFill>
        <a:ln w="12700">
          <a:solidFill>
            <a:srgbClr val="808080"/>
          </a:solidFill>
          <a:prstDash val="solid"/>
        </a:ln>
      </c:spPr>
    </c:plotArea>
    <c:legend>
      <c:legendPos val="r"/>
      <c:layout>
        <c:manualLayout>
          <c:xMode val="edge"/>
          <c:yMode val="edge"/>
          <c:x val="0.86649979835643964"/>
          <c:y val="0.39705882352954808"/>
          <c:w val="0.11335039039515504"/>
          <c:h val="0.21323529411751277"/>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000" b="1" i="0" u="none" strike="noStrike" baseline="0">
                <a:solidFill>
                  <a:srgbClr val="000000"/>
                </a:solidFill>
                <a:latin typeface="Arial"/>
                <a:ea typeface="Arial"/>
                <a:cs typeface="Arial"/>
              </a:defRPr>
            </a:pPr>
            <a:r>
              <a:rPr lang="fr-FR"/>
              <a:t>Nombre de FI pour chaque MAJ  du CD09B</a:t>
            </a:r>
          </a:p>
        </c:rich>
      </c:tx>
      <c:layout>
        <c:manualLayout>
          <c:xMode val="edge"/>
          <c:yMode val="edge"/>
          <c:x val="0.15577889447242754"/>
          <c:y val="3.6630036630036632E-2"/>
        </c:manualLayout>
      </c:layout>
      <c:spPr>
        <a:noFill/>
        <a:ln w="25400">
          <a:noFill/>
        </a:ln>
      </c:spPr>
    </c:title>
    <c:plotArea>
      <c:layout>
        <c:manualLayout>
          <c:layoutTarget val="inner"/>
          <c:xMode val="edge"/>
          <c:yMode val="edge"/>
          <c:x val="0.10301507537689022"/>
          <c:y val="0.21611798920411671"/>
          <c:w val="0.73618090452261309"/>
          <c:h val="0.56410458199040558"/>
        </c:manualLayout>
      </c:layout>
      <c:barChart>
        <c:barDir val="col"/>
        <c:grouping val="stacked"/>
        <c:ser>
          <c:idx val="0"/>
          <c:order val="0"/>
          <c:tx>
            <c:strRef>
              <c:f>IQx!$J$11</c:f>
              <c:strCache>
                <c:ptCount val="1"/>
                <c:pt idx="0">
                  <c:v>SEV1</c:v>
                </c:pt>
              </c:strCache>
            </c:strRef>
          </c:tx>
          <c:spPr>
            <a:solidFill>
              <a:srgbClr val="FF0000"/>
            </a:solidFill>
            <a:ln w="12700">
              <a:solidFill>
                <a:srgbClr val="000000"/>
              </a:solidFill>
              <a:prstDash val="solid"/>
            </a:ln>
          </c:spPr>
          <c:cat>
            <c:strRef>
              <c:f>IQx!$I$12:$I$23</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IQx!$J$12:$J$23</c:f>
              <c:numCache>
                <c:formatCode>General</c:formatCode>
                <c:ptCount val="12"/>
                <c:pt idx="0">
                  <c:v>4</c:v>
                </c:pt>
                <c:pt idx="1">
                  <c:v>7</c:v>
                </c:pt>
                <c:pt idx="2">
                  <c:v>2</c:v>
                </c:pt>
                <c:pt idx="3">
                  <c:v>8</c:v>
                </c:pt>
                <c:pt idx="4">
                  <c:v>2</c:v>
                </c:pt>
                <c:pt idx="5">
                  <c:v>10</c:v>
                </c:pt>
                <c:pt idx="6">
                  <c:v>2</c:v>
                </c:pt>
                <c:pt idx="7">
                  <c:v>2</c:v>
                </c:pt>
                <c:pt idx="8">
                  <c:v>12</c:v>
                </c:pt>
                <c:pt idx="9">
                  <c:v>3</c:v>
                </c:pt>
                <c:pt idx="10">
                  <c:v>3</c:v>
                </c:pt>
                <c:pt idx="11">
                  <c:v>41</c:v>
                </c:pt>
              </c:numCache>
            </c:numRef>
          </c:val>
        </c:ser>
        <c:ser>
          <c:idx val="1"/>
          <c:order val="1"/>
          <c:tx>
            <c:strRef>
              <c:f>IQx!$K$11</c:f>
              <c:strCache>
                <c:ptCount val="1"/>
                <c:pt idx="0">
                  <c:v>SEV2</c:v>
                </c:pt>
              </c:strCache>
            </c:strRef>
          </c:tx>
          <c:spPr>
            <a:solidFill>
              <a:srgbClr val="FF9900"/>
            </a:solidFill>
            <a:ln w="12700">
              <a:solidFill>
                <a:srgbClr val="000000"/>
              </a:solidFill>
              <a:prstDash val="solid"/>
            </a:ln>
          </c:spPr>
          <c:cat>
            <c:strRef>
              <c:f>IQx!$I$12:$I$23</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IQx!$K$12:$K$23</c:f>
              <c:numCache>
                <c:formatCode>General</c:formatCode>
                <c:ptCount val="12"/>
                <c:pt idx="0">
                  <c:v>10</c:v>
                </c:pt>
                <c:pt idx="1">
                  <c:v>29</c:v>
                </c:pt>
                <c:pt idx="2">
                  <c:v>11</c:v>
                </c:pt>
                <c:pt idx="3">
                  <c:v>24</c:v>
                </c:pt>
                <c:pt idx="4">
                  <c:v>8</c:v>
                </c:pt>
                <c:pt idx="5">
                  <c:v>19</c:v>
                </c:pt>
                <c:pt idx="6">
                  <c:v>13</c:v>
                </c:pt>
                <c:pt idx="7">
                  <c:v>19</c:v>
                </c:pt>
                <c:pt idx="8">
                  <c:v>18</c:v>
                </c:pt>
                <c:pt idx="9">
                  <c:v>8</c:v>
                </c:pt>
                <c:pt idx="10">
                  <c:v>27</c:v>
                </c:pt>
                <c:pt idx="11">
                  <c:v>125</c:v>
                </c:pt>
              </c:numCache>
            </c:numRef>
          </c:val>
        </c:ser>
        <c:ser>
          <c:idx val="2"/>
          <c:order val="2"/>
          <c:tx>
            <c:strRef>
              <c:f>IQx!$L$11</c:f>
              <c:strCache>
                <c:ptCount val="1"/>
                <c:pt idx="0">
                  <c:v>SEV3</c:v>
                </c:pt>
              </c:strCache>
            </c:strRef>
          </c:tx>
          <c:spPr>
            <a:solidFill>
              <a:srgbClr val="FFFF00"/>
            </a:solidFill>
            <a:ln w="12700">
              <a:solidFill>
                <a:srgbClr val="000000"/>
              </a:solidFill>
              <a:prstDash val="solid"/>
            </a:ln>
          </c:spPr>
          <c:cat>
            <c:strRef>
              <c:f>IQx!$I$12:$I$23</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IQx!$L$12:$L$23</c:f>
              <c:numCache>
                <c:formatCode>General</c:formatCode>
                <c:ptCount val="12"/>
                <c:pt idx="0">
                  <c:v>1</c:v>
                </c:pt>
                <c:pt idx="1">
                  <c:v>0</c:v>
                </c:pt>
                <c:pt idx="2">
                  <c:v>0</c:v>
                </c:pt>
                <c:pt idx="3">
                  <c:v>0</c:v>
                </c:pt>
                <c:pt idx="4">
                  <c:v>0</c:v>
                </c:pt>
                <c:pt idx="5">
                  <c:v>5</c:v>
                </c:pt>
                <c:pt idx="6">
                  <c:v>4</c:v>
                </c:pt>
                <c:pt idx="7">
                  <c:v>11</c:v>
                </c:pt>
                <c:pt idx="8">
                  <c:v>5</c:v>
                </c:pt>
                <c:pt idx="9">
                  <c:v>1</c:v>
                </c:pt>
                <c:pt idx="10">
                  <c:v>5</c:v>
                </c:pt>
                <c:pt idx="11">
                  <c:v>1</c:v>
                </c:pt>
              </c:numCache>
            </c:numRef>
          </c:val>
        </c:ser>
        <c:overlap val="100"/>
        <c:axId val="103570816"/>
        <c:axId val="103593088"/>
      </c:barChart>
      <c:catAx>
        <c:axId val="103570816"/>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3593088"/>
        <c:crosses val="autoZero"/>
        <c:auto val="1"/>
        <c:lblAlgn val="ctr"/>
        <c:lblOffset val="100"/>
        <c:tickLblSkip val="1"/>
        <c:tickMarkSkip val="1"/>
      </c:catAx>
      <c:valAx>
        <c:axId val="103593088"/>
        <c:scaling>
          <c:orientation val="minMax"/>
        </c:scaling>
        <c:axPos val="l"/>
        <c:majorGridlines>
          <c:spPr>
            <a:ln w="3175">
              <a:solidFill>
                <a:srgbClr val="000000"/>
              </a:solidFill>
              <a:prstDash val="solid"/>
            </a:ln>
          </c:spPr>
        </c:majorGridlines>
        <c:numFmt formatCode="General"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3570816"/>
        <c:crosses val="autoZero"/>
        <c:crossBetween val="between"/>
      </c:valAx>
      <c:spPr>
        <a:solidFill>
          <a:srgbClr val="C0C0C0"/>
        </a:solidFill>
        <a:ln w="12700">
          <a:solidFill>
            <a:srgbClr val="808080"/>
          </a:solidFill>
          <a:prstDash val="solid"/>
        </a:ln>
      </c:spPr>
    </c:plotArea>
    <c:legend>
      <c:legendPos val="r"/>
      <c:layout>
        <c:manualLayout>
          <c:xMode val="edge"/>
          <c:yMode val="edge"/>
          <c:x val="0.86683417085427161"/>
          <c:y val="0.39194293021075116"/>
          <c:w val="0.11306532663340289"/>
          <c:h val="0.21245498158873649"/>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Délai d'analyse des incidents pour chaque MAJ du CD45</a:t>
            </a:r>
          </a:p>
        </c:rich>
      </c:tx>
      <c:layout>
        <c:manualLayout>
          <c:xMode val="edge"/>
          <c:yMode val="edge"/>
          <c:x val="0.11528848367638254"/>
          <c:y val="3.6630036630036632E-2"/>
        </c:manualLayout>
      </c:layout>
      <c:spPr>
        <a:noFill/>
        <a:ln w="25400">
          <a:noFill/>
        </a:ln>
      </c:spPr>
    </c:title>
    <c:plotArea>
      <c:layout>
        <c:manualLayout>
          <c:layoutTarget val="inner"/>
          <c:xMode val="edge"/>
          <c:yMode val="edge"/>
          <c:x val="0.1152885027228783"/>
          <c:y val="0.15384670417924701"/>
          <c:w val="0.72431254971524939"/>
          <c:h val="0.64469095084620065"/>
        </c:manualLayout>
      </c:layout>
      <c:barChart>
        <c:barDir val="col"/>
        <c:grouping val="clustered"/>
        <c:ser>
          <c:idx val="0"/>
          <c:order val="0"/>
          <c:tx>
            <c:strRef>
              <c:f>IQx!$C$33</c:f>
              <c:strCache>
                <c:ptCount val="1"/>
                <c:pt idx="0">
                  <c:v>SEV1</c:v>
                </c:pt>
              </c:strCache>
            </c:strRef>
          </c:tx>
          <c:spPr>
            <a:solidFill>
              <a:srgbClr val="FF0000"/>
            </a:solidFill>
            <a:ln w="12700">
              <a:solidFill>
                <a:srgbClr val="000000"/>
              </a:solidFill>
              <a:prstDash val="solid"/>
            </a:ln>
          </c:spPr>
          <c:cat>
            <c:strRef>
              <c:f>IQx!$B$34:$B$45</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IQx!$C$34:$C$45</c:f>
              <c:numCache>
                <c:formatCode>0.0</c:formatCode>
                <c:ptCount val="12"/>
                <c:pt idx="0">
                  <c:v>0</c:v>
                </c:pt>
                <c:pt idx="1">
                  <c:v>10.25</c:v>
                </c:pt>
                <c:pt idx="2">
                  <c:v>4.5</c:v>
                </c:pt>
                <c:pt idx="3">
                  <c:v>0</c:v>
                </c:pt>
                <c:pt idx="4">
                  <c:v>4.75</c:v>
                </c:pt>
                <c:pt idx="5">
                  <c:v>6.1818181818181817</c:v>
                </c:pt>
                <c:pt idx="6">
                  <c:v>8</c:v>
                </c:pt>
                <c:pt idx="7">
                  <c:v>6.833333333333333</c:v>
                </c:pt>
                <c:pt idx="8">
                  <c:v>4</c:v>
                </c:pt>
                <c:pt idx="9">
                  <c:v>2.5</c:v>
                </c:pt>
                <c:pt idx="10">
                  <c:v>4.25</c:v>
                </c:pt>
                <c:pt idx="11">
                  <c:v>4.7</c:v>
                </c:pt>
              </c:numCache>
            </c:numRef>
          </c:val>
        </c:ser>
        <c:ser>
          <c:idx val="1"/>
          <c:order val="1"/>
          <c:tx>
            <c:strRef>
              <c:f>IQx!$D$33</c:f>
              <c:strCache>
                <c:ptCount val="1"/>
                <c:pt idx="0">
                  <c:v>SEV2</c:v>
                </c:pt>
              </c:strCache>
            </c:strRef>
          </c:tx>
          <c:spPr>
            <a:solidFill>
              <a:srgbClr val="FF9900"/>
            </a:solidFill>
            <a:ln w="12700">
              <a:solidFill>
                <a:srgbClr val="000000"/>
              </a:solidFill>
              <a:prstDash val="solid"/>
            </a:ln>
          </c:spPr>
          <c:cat>
            <c:strRef>
              <c:f>IQx!$B$34:$B$45</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IQx!$D$34:$D$45</c:f>
              <c:numCache>
                <c:formatCode>0.0</c:formatCode>
                <c:ptCount val="12"/>
                <c:pt idx="0">
                  <c:v>22.636363636363637</c:v>
                </c:pt>
                <c:pt idx="1">
                  <c:v>20.636363636363637</c:v>
                </c:pt>
                <c:pt idx="2">
                  <c:v>24.1</c:v>
                </c:pt>
                <c:pt idx="3">
                  <c:v>4.7222222222222223</c:v>
                </c:pt>
                <c:pt idx="4">
                  <c:v>4.1333333333333337</c:v>
                </c:pt>
                <c:pt idx="5">
                  <c:v>9.4444444444444446</c:v>
                </c:pt>
                <c:pt idx="6">
                  <c:v>8.9749999999999996</c:v>
                </c:pt>
                <c:pt idx="7">
                  <c:v>6.25</c:v>
                </c:pt>
                <c:pt idx="8">
                  <c:v>1.5</c:v>
                </c:pt>
                <c:pt idx="9">
                  <c:v>24.09090909090909</c:v>
                </c:pt>
                <c:pt idx="10">
                  <c:v>4.5</c:v>
                </c:pt>
                <c:pt idx="11">
                  <c:v>5.7681159420289854</c:v>
                </c:pt>
              </c:numCache>
            </c:numRef>
          </c:val>
        </c:ser>
        <c:ser>
          <c:idx val="2"/>
          <c:order val="2"/>
          <c:tx>
            <c:strRef>
              <c:f>IQx!$E$33</c:f>
              <c:strCache>
                <c:ptCount val="1"/>
                <c:pt idx="0">
                  <c:v>SEV3</c:v>
                </c:pt>
              </c:strCache>
            </c:strRef>
          </c:tx>
          <c:spPr>
            <a:solidFill>
              <a:srgbClr val="FFFF00"/>
            </a:solidFill>
            <a:ln w="12700">
              <a:solidFill>
                <a:srgbClr val="000000"/>
              </a:solidFill>
              <a:prstDash val="solid"/>
            </a:ln>
          </c:spPr>
          <c:cat>
            <c:strRef>
              <c:f>IQx!$B$34:$B$45</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IQx!$E$34:$E$45</c:f>
              <c:numCache>
                <c:formatCode>0.0</c:formatCode>
                <c:ptCount val="12"/>
                <c:pt idx="0">
                  <c:v>0</c:v>
                </c:pt>
                <c:pt idx="1">
                  <c:v>2.5</c:v>
                </c:pt>
                <c:pt idx="2">
                  <c:v>#N/A</c:v>
                </c:pt>
                <c:pt idx="3">
                  <c:v>#N/A</c:v>
                </c:pt>
                <c:pt idx="4">
                  <c:v>#N/A</c:v>
                </c:pt>
                <c:pt idx="5">
                  <c:v>3</c:v>
                </c:pt>
                <c:pt idx="6">
                  <c:v>1.9166666666666667</c:v>
                </c:pt>
                <c:pt idx="7">
                  <c:v>0</c:v>
                </c:pt>
                <c:pt idx="8">
                  <c:v>0</c:v>
                </c:pt>
                <c:pt idx="9">
                  <c:v>0</c:v>
                </c:pt>
                <c:pt idx="10">
                  <c:v>12.5</c:v>
                </c:pt>
                <c:pt idx="11">
                  <c:v>19.428571428571427</c:v>
                </c:pt>
              </c:numCache>
            </c:numRef>
          </c:val>
        </c:ser>
        <c:axId val="104610048"/>
        <c:axId val="104624128"/>
      </c:barChart>
      <c:catAx>
        <c:axId val="104610048"/>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624128"/>
        <c:crosses val="autoZero"/>
        <c:auto val="1"/>
        <c:lblAlgn val="ctr"/>
        <c:lblOffset val="100"/>
        <c:tickLblSkip val="1"/>
        <c:tickMarkSkip val="1"/>
      </c:catAx>
      <c:valAx>
        <c:axId val="104624128"/>
        <c:scaling>
          <c:orientation val="minMax"/>
        </c:scaling>
        <c:axPos val="l"/>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610048"/>
        <c:crosses val="autoZero"/>
        <c:crossBetween val="between"/>
      </c:valAx>
      <c:spPr>
        <a:solidFill>
          <a:srgbClr val="C0C0C0"/>
        </a:solidFill>
        <a:ln w="12700">
          <a:solidFill>
            <a:srgbClr val="808080"/>
          </a:solidFill>
          <a:prstDash val="solid"/>
        </a:ln>
      </c:spPr>
    </c:plotArea>
    <c:legend>
      <c:legendPos val="r"/>
      <c:layout>
        <c:manualLayout>
          <c:xMode val="edge"/>
          <c:yMode val="edge"/>
          <c:x val="0.86967629046391826"/>
          <c:y val="0.39560593387373238"/>
          <c:w val="0.11278221801198279"/>
          <c:h val="0.21245498158875845"/>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Délai d'analyse des incidents pour chaque MAJ du CD09B</a:t>
            </a:r>
          </a:p>
        </c:rich>
      </c:tx>
      <c:layout>
        <c:manualLayout>
          <c:xMode val="edge"/>
          <c:yMode val="edge"/>
          <c:x val="0.14000026246721844"/>
          <c:y val="4.3795620437957032E-2"/>
        </c:manualLayout>
      </c:layout>
      <c:spPr>
        <a:noFill/>
        <a:ln w="25400">
          <a:noFill/>
        </a:ln>
      </c:spPr>
    </c:title>
    <c:plotArea>
      <c:layout>
        <c:manualLayout>
          <c:layoutTarget val="inner"/>
          <c:xMode val="edge"/>
          <c:yMode val="edge"/>
          <c:x val="0.11500014038104329"/>
          <c:y val="0.1678835108553669"/>
          <c:w val="0.72500088501084592"/>
          <c:h val="0.61313977877612269"/>
        </c:manualLayout>
      </c:layout>
      <c:barChart>
        <c:barDir val="col"/>
        <c:grouping val="clustered"/>
        <c:ser>
          <c:idx val="0"/>
          <c:order val="0"/>
          <c:tx>
            <c:strRef>
              <c:f>IQx!$J$33</c:f>
              <c:strCache>
                <c:ptCount val="1"/>
                <c:pt idx="0">
                  <c:v>SEV1</c:v>
                </c:pt>
              </c:strCache>
            </c:strRef>
          </c:tx>
          <c:spPr>
            <a:solidFill>
              <a:srgbClr val="FF0000"/>
            </a:solidFill>
            <a:ln w="12700">
              <a:solidFill>
                <a:srgbClr val="000000"/>
              </a:solidFill>
              <a:prstDash val="solid"/>
            </a:ln>
          </c:spPr>
          <c:cat>
            <c:strRef>
              <c:f>IQx!$I$34:$I$45</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IQx!$J$34:$J$45</c:f>
              <c:numCache>
                <c:formatCode>0.0</c:formatCode>
                <c:ptCount val="12"/>
                <c:pt idx="0">
                  <c:v>10</c:v>
                </c:pt>
                <c:pt idx="1">
                  <c:v>11.142857142857142</c:v>
                </c:pt>
                <c:pt idx="2">
                  <c:v>20.5</c:v>
                </c:pt>
                <c:pt idx="3">
                  <c:v>14.375</c:v>
                </c:pt>
                <c:pt idx="4">
                  <c:v>5</c:v>
                </c:pt>
                <c:pt idx="5">
                  <c:v>3.4</c:v>
                </c:pt>
                <c:pt idx="6">
                  <c:v>0</c:v>
                </c:pt>
                <c:pt idx="7">
                  <c:v>3.5</c:v>
                </c:pt>
                <c:pt idx="8">
                  <c:v>8.0833333333333339</c:v>
                </c:pt>
                <c:pt idx="9">
                  <c:v>0</c:v>
                </c:pt>
                <c:pt idx="10">
                  <c:v>5</c:v>
                </c:pt>
                <c:pt idx="11">
                  <c:v>6.1951219512195124</c:v>
                </c:pt>
              </c:numCache>
            </c:numRef>
          </c:val>
        </c:ser>
        <c:ser>
          <c:idx val="1"/>
          <c:order val="1"/>
          <c:tx>
            <c:strRef>
              <c:f>IQx!$K$33</c:f>
              <c:strCache>
                <c:ptCount val="1"/>
                <c:pt idx="0">
                  <c:v>SEV2</c:v>
                </c:pt>
              </c:strCache>
            </c:strRef>
          </c:tx>
          <c:spPr>
            <a:solidFill>
              <a:srgbClr val="FF9900"/>
            </a:solidFill>
            <a:ln w="12700">
              <a:solidFill>
                <a:srgbClr val="000000"/>
              </a:solidFill>
              <a:prstDash val="solid"/>
            </a:ln>
          </c:spPr>
          <c:cat>
            <c:strRef>
              <c:f>IQx!$I$34:$I$45</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IQx!$K$34:$K$45</c:f>
              <c:numCache>
                <c:formatCode>0.0</c:formatCode>
                <c:ptCount val="12"/>
                <c:pt idx="0">
                  <c:v>36.1</c:v>
                </c:pt>
                <c:pt idx="1">
                  <c:v>26.379310344827587</c:v>
                </c:pt>
                <c:pt idx="2">
                  <c:v>6.2727272727272725</c:v>
                </c:pt>
                <c:pt idx="3">
                  <c:v>9.7916666666666661</c:v>
                </c:pt>
                <c:pt idx="4">
                  <c:v>6.875</c:v>
                </c:pt>
                <c:pt idx="5">
                  <c:v>11.894736842105264</c:v>
                </c:pt>
                <c:pt idx="6">
                  <c:v>3.7692307692307692</c:v>
                </c:pt>
                <c:pt idx="7">
                  <c:v>3.4736842105263159</c:v>
                </c:pt>
                <c:pt idx="8">
                  <c:v>3.3888888888888888</c:v>
                </c:pt>
                <c:pt idx="9">
                  <c:v>6.375</c:v>
                </c:pt>
                <c:pt idx="10">
                  <c:v>2.7777777777777777</c:v>
                </c:pt>
                <c:pt idx="11">
                  <c:v>9.2720000000000002</c:v>
                </c:pt>
              </c:numCache>
            </c:numRef>
          </c:val>
        </c:ser>
        <c:ser>
          <c:idx val="2"/>
          <c:order val="2"/>
          <c:tx>
            <c:strRef>
              <c:f>IQx!$L$33</c:f>
              <c:strCache>
                <c:ptCount val="1"/>
                <c:pt idx="0">
                  <c:v>SEV3</c:v>
                </c:pt>
              </c:strCache>
            </c:strRef>
          </c:tx>
          <c:spPr>
            <a:solidFill>
              <a:srgbClr val="FFFF00"/>
            </a:solidFill>
            <a:ln w="12700">
              <a:solidFill>
                <a:srgbClr val="000000"/>
              </a:solidFill>
              <a:prstDash val="solid"/>
            </a:ln>
          </c:spPr>
          <c:cat>
            <c:strRef>
              <c:f>IQx!$I$34:$I$45</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IQx!$L$34:$L$45</c:f>
              <c:numCache>
                <c:formatCode>0.0</c:formatCode>
                <c:ptCount val="12"/>
                <c:pt idx="0">
                  <c:v>6</c:v>
                </c:pt>
                <c:pt idx="1">
                  <c:v>#N/A</c:v>
                </c:pt>
                <c:pt idx="2">
                  <c:v>#N/A</c:v>
                </c:pt>
                <c:pt idx="3">
                  <c:v>#N/A</c:v>
                </c:pt>
                <c:pt idx="4">
                  <c:v>#N/A</c:v>
                </c:pt>
                <c:pt idx="5">
                  <c:v>0</c:v>
                </c:pt>
                <c:pt idx="6">
                  <c:v>5.5</c:v>
                </c:pt>
                <c:pt idx="7">
                  <c:v>0</c:v>
                </c:pt>
                <c:pt idx="8">
                  <c:v>0</c:v>
                </c:pt>
                <c:pt idx="9">
                  <c:v>0</c:v>
                </c:pt>
                <c:pt idx="10">
                  <c:v>1.6</c:v>
                </c:pt>
                <c:pt idx="11">
                  <c:v>0</c:v>
                </c:pt>
              </c:numCache>
            </c:numRef>
          </c:val>
        </c:ser>
        <c:axId val="104735872"/>
        <c:axId val="104737408"/>
      </c:barChart>
      <c:catAx>
        <c:axId val="104735872"/>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737408"/>
        <c:crosses val="autoZero"/>
        <c:auto val="1"/>
        <c:lblAlgn val="ctr"/>
        <c:lblOffset val="100"/>
        <c:tickLblSkip val="1"/>
        <c:tickMarkSkip val="1"/>
      </c:catAx>
      <c:valAx>
        <c:axId val="104737408"/>
        <c:scaling>
          <c:orientation val="minMax"/>
        </c:scaling>
        <c:axPos val="l"/>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735872"/>
        <c:crosses val="autoZero"/>
        <c:crossBetween val="between"/>
      </c:valAx>
      <c:spPr>
        <a:solidFill>
          <a:srgbClr val="C0C0C0"/>
        </a:solidFill>
        <a:ln w="12700">
          <a:solidFill>
            <a:srgbClr val="808080"/>
          </a:solidFill>
          <a:prstDash val="solid"/>
        </a:ln>
      </c:spPr>
    </c:plotArea>
    <c:legend>
      <c:legendPos val="r"/>
      <c:layout>
        <c:manualLayout>
          <c:xMode val="edge"/>
          <c:yMode val="edge"/>
          <c:x val="0.86500104986876669"/>
          <c:y val="0.39781098530589576"/>
          <c:w val="0.11250026246719126"/>
          <c:h val="0.21167921528034633"/>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Pourcentage d'analyse hors délai des Sev1 pour chaque MAJ du CD45</a:t>
            </a:r>
          </a:p>
        </c:rich>
      </c:tx>
      <c:layout>
        <c:manualLayout>
          <c:xMode val="edge"/>
          <c:yMode val="edge"/>
          <c:x val="0.11000026246719159"/>
          <c:y val="3.6764705882352942E-2"/>
        </c:manualLayout>
      </c:layout>
      <c:spPr>
        <a:noFill/>
        <a:ln w="25400">
          <a:noFill/>
        </a:ln>
      </c:spPr>
    </c:title>
    <c:plotArea>
      <c:layout>
        <c:manualLayout>
          <c:layoutTarget val="inner"/>
          <c:xMode val="edge"/>
          <c:yMode val="edge"/>
          <c:x val="0.17000020751978456"/>
          <c:y val="0.26470588235296238"/>
          <c:w val="0.68500083618266161"/>
          <c:h val="0.53308823529411764"/>
        </c:manualLayout>
      </c:layout>
      <c:barChart>
        <c:barDir val="col"/>
        <c:grouping val="clustered"/>
        <c:ser>
          <c:idx val="0"/>
          <c:order val="0"/>
          <c:tx>
            <c:strRef>
              <c:f>IQx!$C$55</c:f>
              <c:strCache>
                <c:ptCount val="1"/>
                <c:pt idx="0">
                  <c:v>&lt;=5</c:v>
                </c:pt>
              </c:strCache>
            </c:strRef>
          </c:tx>
          <c:spPr>
            <a:solidFill>
              <a:srgbClr val="00FF00"/>
            </a:solidFill>
            <a:ln w="12700">
              <a:solidFill>
                <a:srgbClr val="000000"/>
              </a:solidFill>
              <a:prstDash val="solid"/>
            </a:ln>
          </c:spPr>
          <c:cat>
            <c:strRef>
              <c:f>IQx!$B$56:$B$67</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IQx!$C$56:$C$67</c:f>
              <c:numCache>
                <c:formatCode>0.00%</c:formatCode>
                <c:ptCount val="12"/>
                <c:pt idx="0">
                  <c:v>1</c:v>
                </c:pt>
                <c:pt idx="1">
                  <c:v>0.5</c:v>
                </c:pt>
                <c:pt idx="2">
                  <c:v>0.75</c:v>
                </c:pt>
                <c:pt idx="3">
                  <c:v>1</c:v>
                </c:pt>
                <c:pt idx="4">
                  <c:v>0.625</c:v>
                </c:pt>
                <c:pt idx="5">
                  <c:v>0.72727272727272729</c:v>
                </c:pt>
                <c:pt idx="6">
                  <c:v>0.625</c:v>
                </c:pt>
                <c:pt idx="7">
                  <c:v>0.33333333333333337</c:v>
                </c:pt>
                <c:pt idx="8">
                  <c:v>0.875</c:v>
                </c:pt>
                <c:pt idx="9">
                  <c:v>0.75</c:v>
                </c:pt>
                <c:pt idx="10">
                  <c:v>0.75</c:v>
                </c:pt>
                <c:pt idx="11">
                  <c:v>0.85</c:v>
                </c:pt>
              </c:numCache>
            </c:numRef>
          </c:val>
        </c:ser>
        <c:ser>
          <c:idx val="1"/>
          <c:order val="1"/>
          <c:tx>
            <c:strRef>
              <c:f>IQx!$D$55</c:f>
              <c:strCache>
                <c:ptCount val="1"/>
                <c:pt idx="0">
                  <c:v>&gt; 5</c:v>
                </c:pt>
              </c:strCache>
            </c:strRef>
          </c:tx>
          <c:spPr>
            <a:solidFill>
              <a:srgbClr val="FFFF00"/>
            </a:solidFill>
            <a:ln w="12700">
              <a:solidFill>
                <a:srgbClr val="000000"/>
              </a:solidFill>
              <a:prstDash val="solid"/>
            </a:ln>
          </c:spPr>
          <c:cat>
            <c:strRef>
              <c:f>IQx!$B$56:$B$67</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IQx!$D$56:$D$67</c:f>
              <c:numCache>
                <c:formatCode>0.00%</c:formatCode>
                <c:ptCount val="12"/>
                <c:pt idx="0">
                  <c:v>0</c:v>
                </c:pt>
                <c:pt idx="1">
                  <c:v>0.5</c:v>
                </c:pt>
                <c:pt idx="2">
                  <c:v>0.25</c:v>
                </c:pt>
                <c:pt idx="3">
                  <c:v>0</c:v>
                </c:pt>
                <c:pt idx="4">
                  <c:v>0.375</c:v>
                </c:pt>
                <c:pt idx="5">
                  <c:v>0.27272727272727271</c:v>
                </c:pt>
                <c:pt idx="6">
                  <c:v>0.375</c:v>
                </c:pt>
                <c:pt idx="7">
                  <c:v>0.66666666666666663</c:v>
                </c:pt>
                <c:pt idx="8">
                  <c:v>0.125</c:v>
                </c:pt>
                <c:pt idx="9">
                  <c:v>0.25</c:v>
                </c:pt>
                <c:pt idx="10">
                  <c:v>0.25</c:v>
                </c:pt>
                <c:pt idx="11">
                  <c:v>0.15</c:v>
                </c:pt>
              </c:numCache>
            </c:numRef>
          </c:val>
        </c:ser>
        <c:ser>
          <c:idx val="2"/>
          <c:order val="2"/>
          <c:tx>
            <c:strRef>
              <c:f>IQx!$E$55</c:f>
              <c:strCache>
                <c:ptCount val="1"/>
                <c:pt idx="0">
                  <c:v>&gt; 10</c:v>
                </c:pt>
              </c:strCache>
            </c:strRef>
          </c:tx>
          <c:spPr>
            <a:solidFill>
              <a:srgbClr val="FF9900"/>
            </a:solidFill>
            <a:ln w="12700">
              <a:solidFill>
                <a:srgbClr val="000000"/>
              </a:solidFill>
              <a:prstDash val="solid"/>
            </a:ln>
          </c:spPr>
          <c:cat>
            <c:strRef>
              <c:f>IQx!$B$56:$B$67</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IQx!$E$56:$E$67</c:f>
              <c:numCache>
                <c:formatCode>0.00%</c:formatCode>
                <c:ptCount val="12"/>
                <c:pt idx="0">
                  <c:v>0</c:v>
                </c:pt>
                <c:pt idx="1">
                  <c:v>0.25</c:v>
                </c:pt>
                <c:pt idx="2">
                  <c:v>0.25</c:v>
                </c:pt>
                <c:pt idx="3">
                  <c:v>0</c:v>
                </c:pt>
                <c:pt idx="4">
                  <c:v>0.25</c:v>
                </c:pt>
                <c:pt idx="5">
                  <c:v>0.18181818181818182</c:v>
                </c:pt>
                <c:pt idx="6">
                  <c:v>0.25</c:v>
                </c:pt>
                <c:pt idx="7">
                  <c:v>0.16666666666666666</c:v>
                </c:pt>
                <c:pt idx="8">
                  <c:v>0.125</c:v>
                </c:pt>
                <c:pt idx="9">
                  <c:v>0</c:v>
                </c:pt>
                <c:pt idx="10">
                  <c:v>0.25</c:v>
                </c:pt>
                <c:pt idx="11">
                  <c:v>0.15</c:v>
                </c:pt>
              </c:numCache>
            </c:numRef>
          </c:val>
        </c:ser>
        <c:ser>
          <c:idx val="3"/>
          <c:order val="3"/>
          <c:tx>
            <c:strRef>
              <c:f>IQx!$F$55</c:f>
              <c:strCache>
                <c:ptCount val="1"/>
                <c:pt idx="0">
                  <c:v>&gt; 20</c:v>
                </c:pt>
              </c:strCache>
            </c:strRef>
          </c:tx>
          <c:spPr>
            <a:solidFill>
              <a:srgbClr val="FF0000"/>
            </a:solidFill>
            <a:ln w="12700">
              <a:solidFill>
                <a:srgbClr val="000000"/>
              </a:solidFill>
              <a:prstDash val="solid"/>
            </a:ln>
          </c:spPr>
          <c:cat>
            <c:strRef>
              <c:f>IQx!$B$56:$B$67</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IQx!$F$56:$F$67</c:f>
              <c:numCache>
                <c:formatCode>0.00%</c:formatCode>
                <c:ptCount val="12"/>
                <c:pt idx="0">
                  <c:v>0</c:v>
                </c:pt>
                <c:pt idx="1">
                  <c:v>0.25</c:v>
                </c:pt>
                <c:pt idx="2">
                  <c:v>0</c:v>
                </c:pt>
                <c:pt idx="3">
                  <c:v>0</c:v>
                </c:pt>
                <c:pt idx="4">
                  <c:v>0</c:v>
                </c:pt>
                <c:pt idx="5">
                  <c:v>9.0909090909090912E-2</c:v>
                </c:pt>
                <c:pt idx="6">
                  <c:v>0.125</c:v>
                </c:pt>
                <c:pt idx="7">
                  <c:v>0</c:v>
                </c:pt>
                <c:pt idx="8">
                  <c:v>0</c:v>
                </c:pt>
                <c:pt idx="9">
                  <c:v>0</c:v>
                </c:pt>
                <c:pt idx="10">
                  <c:v>0</c:v>
                </c:pt>
                <c:pt idx="11">
                  <c:v>0.1</c:v>
                </c:pt>
              </c:numCache>
            </c:numRef>
          </c:val>
        </c:ser>
        <c:axId val="104788736"/>
        <c:axId val="104790272"/>
      </c:barChart>
      <c:catAx>
        <c:axId val="104788736"/>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790272"/>
        <c:crosses val="autoZero"/>
        <c:auto val="1"/>
        <c:lblAlgn val="ctr"/>
        <c:lblOffset val="100"/>
        <c:tickLblSkip val="1"/>
        <c:tickMarkSkip val="1"/>
      </c:catAx>
      <c:valAx>
        <c:axId val="104790272"/>
        <c:scaling>
          <c:orientation val="minMax"/>
          <c:max val="1"/>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788736"/>
        <c:crosses val="autoZero"/>
        <c:crossBetween val="between"/>
      </c:valAx>
      <c:spPr>
        <a:solidFill>
          <a:srgbClr val="C0C0C0"/>
        </a:solidFill>
        <a:ln w="12700">
          <a:solidFill>
            <a:srgbClr val="808080"/>
          </a:solidFill>
          <a:prstDash val="solid"/>
        </a:ln>
      </c:spPr>
    </c:plotArea>
    <c:legend>
      <c:legendPos val="r"/>
      <c:layout>
        <c:manualLayout>
          <c:xMode val="edge"/>
          <c:yMode val="edge"/>
          <c:x val="0.88250104986874756"/>
          <c:y val="0.38970588235303188"/>
          <c:w val="9.7500000000018017E-2"/>
          <c:h val="0.28308823529428812"/>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Pourcentage d'analyse hors délai des Sev1 pour chaque MAJ du CD09B</a:t>
            </a:r>
          </a:p>
        </c:rich>
      </c:tx>
      <c:layout>
        <c:manualLayout>
          <c:xMode val="edge"/>
          <c:yMode val="edge"/>
          <c:x val="0.11221945137157109"/>
          <c:y val="3.6630036630036632E-2"/>
        </c:manualLayout>
      </c:layout>
      <c:spPr>
        <a:noFill/>
        <a:ln w="25400">
          <a:noFill/>
        </a:ln>
      </c:spPr>
    </c:title>
    <c:plotArea>
      <c:layout>
        <c:manualLayout>
          <c:layoutTarget val="inner"/>
          <c:xMode val="edge"/>
          <c:yMode val="edge"/>
          <c:x val="0.16957605985037424"/>
          <c:y val="0.26373720716434568"/>
          <c:w val="0.68578553615965065"/>
          <c:h val="0.51648536403017697"/>
        </c:manualLayout>
      </c:layout>
      <c:barChart>
        <c:barDir val="col"/>
        <c:grouping val="clustered"/>
        <c:ser>
          <c:idx val="0"/>
          <c:order val="0"/>
          <c:tx>
            <c:strRef>
              <c:f>IQx!$J$55</c:f>
              <c:strCache>
                <c:ptCount val="1"/>
                <c:pt idx="0">
                  <c:v>&lt;=5</c:v>
                </c:pt>
              </c:strCache>
            </c:strRef>
          </c:tx>
          <c:spPr>
            <a:solidFill>
              <a:srgbClr val="00FF00"/>
            </a:solidFill>
            <a:ln w="12700">
              <a:solidFill>
                <a:srgbClr val="000000"/>
              </a:solidFill>
              <a:prstDash val="solid"/>
            </a:ln>
          </c:spPr>
          <c:cat>
            <c:strRef>
              <c:f>IQx!$I$56:$I$67</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IQx!$J$56:$J$67</c:f>
              <c:numCache>
                <c:formatCode>0.00%</c:formatCode>
                <c:ptCount val="12"/>
                <c:pt idx="0">
                  <c:v>0.75</c:v>
                </c:pt>
                <c:pt idx="1">
                  <c:v>0.4285714285714286</c:v>
                </c:pt>
                <c:pt idx="2">
                  <c:v>0.5</c:v>
                </c:pt>
                <c:pt idx="3">
                  <c:v>0.5</c:v>
                </c:pt>
                <c:pt idx="4">
                  <c:v>0.5</c:v>
                </c:pt>
                <c:pt idx="5">
                  <c:v>0.8</c:v>
                </c:pt>
                <c:pt idx="6">
                  <c:v>1</c:v>
                </c:pt>
                <c:pt idx="7">
                  <c:v>0.5</c:v>
                </c:pt>
                <c:pt idx="8">
                  <c:v>0.83333333333333337</c:v>
                </c:pt>
                <c:pt idx="9">
                  <c:v>1</c:v>
                </c:pt>
                <c:pt idx="10">
                  <c:v>0.66666666666666674</c:v>
                </c:pt>
                <c:pt idx="11">
                  <c:v>0.65853658536585358</c:v>
                </c:pt>
              </c:numCache>
            </c:numRef>
          </c:val>
        </c:ser>
        <c:ser>
          <c:idx val="1"/>
          <c:order val="1"/>
          <c:tx>
            <c:strRef>
              <c:f>IQx!$K$55</c:f>
              <c:strCache>
                <c:ptCount val="1"/>
                <c:pt idx="0">
                  <c:v>&gt; 5</c:v>
                </c:pt>
              </c:strCache>
            </c:strRef>
          </c:tx>
          <c:spPr>
            <a:solidFill>
              <a:srgbClr val="FFFF00"/>
            </a:solidFill>
            <a:ln w="12700">
              <a:solidFill>
                <a:srgbClr val="000000"/>
              </a:solidFill>
              <a:prstDash val="solid"/>
            </a:ln>
          </c:spPr>
          <c:cat>
            <c:strRef>
              <c:f>IQx!$I$56:$I$67</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IQx!$K$56:$K$67</c:f>
              <c:numCache>
                <c:formatCode>0.00%</c:formatCode>
                <c:ptCount val="12"/>
                <c:pt idx="0">
                  <c:v>0.25</c:v>
                </c:pt>
                <c:pt idx="1">
                  <c:v>0.5714285714285714</c:v>
                </c:pt>
                <c:pt idx="2">
                  <c:v>0.5</c:v>
                </c:pt>
                <c:pt idx="3">
                  <c:v>0.5</c:v>
                </c:pt>
                <c:pt idx="4">
                  <c:v>0.5</c:v>
                </c:pt>
                <c:pt idx="5">
                  <c:v>0.2</c:v>
                </c:pt>
                <c:pt idx="6">
                  <c:v>0</c:v>
                </c:pt>
                <c:pt idx="7">
                  <c:v>0.5</c:v>
                </c:pt>
                <c:pt idx="8">
                  <c:v>0.16666666666666666</c:v>
                </c:pt>
                <c:pt idx="9">
                  <c:v>0</c:v>
                </c:pt>
                <c:pt idx="10">
                  <c:v>0.33333333333333331</c:v>
                </c:pt>
                <c:pt idx="11">
                  <c:v>0.34146341463414637</c:v>
                </c:pt>
              </c:numCache>
            </c:numRef>
          </c:val>
        </c:ser>
        <c:ser>
          <c:idx val="2"/>
          <c:order val="2"/>
          <c:tx>
            <c:strRef>
              <c:f>IQx!$L$55</c:f>
              <c:strCache>
                <c:ptCount val="1"/>
                <c:pt idx="0">
                  <c:v>&gt; 10</c:v>
                </c:pt>
              </c:strCache>
            </c:strRef>
          </c:tx>
          <c:spPr>
            <a:solidFill>
              <a:srgbClr val="FF9900"/>
            </a:solidFill>
            <a:ln w="12700">
              <a:solidFill>
                <a:srgbClr val="000000"/>
              </a:solidFill>
              <a:prstDash val="solid"/>
            </a:ln>
          </c:spPr>
          <c:cat>
            <c:strRef>
              <c:f>IQx!$I$56:$I$67</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IQx!$L$56:$L$67</c:f>
              <c:numCache>
                <c:formatCode>0.00%</c:formatCode>
                <c:ptCount val="12"/>
                <c:pt idx="0">
                  <c:v>0.25</c:v>
                </c:pt>
                <c:pt idx="1">
                  <c:v>0.5714285714285714</c:v>
                </c:pt>
                <c:pt idx="2">
                  <c:v>0.5</c:v>
                </c:pt>
                <c:pt idx="3">
                  <c:v>0.25</c:v>
                </c:pt>
                <c:pt idx="4">
                  <c:v>0</c:v>
                </c:pt>
                <c:pt idx="5">
                  <c:v>0.1</c:v>
                </c:pt>
                <c:pt idx="6">
                  <c:v>0</c:v>
                </c:pt>
                <c:pt idx="7">
                  <c:v>0</c:v>
                </c:pt>
                <c:pt idx="8">
                  <c:v>0.16666666666666666</c:v>
                </c:pt>
                <c:pt idx="9">
                  <c:v>0</c:v>
                </c:pt>
                <c:pt idx="10">
                  <c:v>0.33333333333333331</c:v>
                </c:pt>
                <c:pt idx="11">
                  <c:v>0.21951219512195122</c:v>
                </c:pt>
              </c:numCache>
            </c:numRef>
          </c:val>
        </c:ser>
        <c:ser>
          <c:idx val="3"/>
          <c:order val="3"/>
          <c:tx>
            <c:strRef>
              <c:f>IQx!$M$55</c:f>
              <c:strCache>
                <c:ptCount val="1"/>
                <c:pt idx="0">
                  <c:v>&gt; 20</c:v>
                </c:pt>
              </c:strCache>
            </c:strRef>
          </c:tx>
          <c:spPr>
            <a:solidFill>
              <a:srgbClr val="FF0000"/>
            </a:solidFill>
            <a:ln w="12700">
              <a:solidFill>
                <a:srgbClr val="000000"/>
              </a:solidFill>
              <a:prstDash val="solid"/>
            </a:ln>
          </c:spPr>
          <c:cat>
            <c:strRef>
              <c:f>IQx!$I$56:$I$67</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IQx!$M$56:$M$67</c:f>
              <c:numCache>
                <c:formatCode>0.00%</c:formatCode>
                <c:ptCount val="12"/>
                <c:pt idx="0">
                  <c:v>0.25</c:v>
                </c:pt>
                <c:pt idx="1">
                  <c:v>0.2857142857142857</c:v>
                </c:pt>
                <c:pt idx="2">
                  <c:v>0.5</c:v>
                </c:pt>
                <c:pt idx="3">
                  <c:v>0.125</c:v>
                </c:pt>
                <c:pt idx="4">
                  <c:v>0</c:v>
                </c:pt>
                <c:pt idx="5">
                  <c:v>0</c:v>
                </c:pt>
                <c:pt idx="6">
                  <c:v>0</c:v>
                </c:pt>
                <c:pt idx="7">
                  <c:v>0</c:v>
                </c:pt>
                <c:pt idx="8">
                  <c:v>8.3333333333333329E-2</c:v>
                </c:pt>
                <c:pt idx="9">
                  <c:v>0</c:v>
                </c:pt>
                <c:pt idx="10">
                  <c:v>0</c:v>
                </c:pt>
                <c:pt idx="11">
                  <c:v>7.3170731707317069E-2</c:v>
                </c:pt>
              </c:numCache>
            </c:numRef>
          </c:val>
        </c:ser>
        <c:axId val="104849792"/>
        <c:axId val="104851328"/>
      </c:barChart>
      <c:catAx>
        <c:axId val="104849792"/>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851328"/>
        <c:crosses val="autoZero"/>
        <c:auto val="1"/>
        <c:lblAlgn val="ctr"/>
        <c:lblOffset val="100"/>
        <c:tickLblSkip val="1"/>
        <c:tickMarkSkip val="1"/>
      </c:catAx>
      <c:valAx>
        <c:axId val="104851328"/>
        <c:scaling>
          <c:orientation val="minMax"/>
          <c:max val="1"/>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849792"/>
        <c:crosses val="autoZero"/>
        <c:crossBetween val="between"/>
      </c:valAx>
      <c:spPr>
        <a:solidFill>
          <a:srgbClr val="C0C0C0"/>
        </a:solidFill>
        <a:ln w="12700">
          <a:solidFill>
            <a:srgbClr val="808080"/>
          </a:solidFill>
          <a:prstDash val="solid"/>
        </a:ln>
      </c:spPr>
    </c:plotArea>
    <c:legend>
      <c:legendPos val="r"/>
      <c:layout>
        <c:manualLayout>
          <c:xMode val="edge"/>
          <c:yMode val="edge"/>
          <c:x val="0.88279301745635963"/>
          <c:y val="0.38095391922172955"/>
          <c:w val="9.725685785536109E-2"/>
          <c:h val="0.28205243575312966"/>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Pourcentage de livraison hors délai des Sev1 pour chaque MAJ du CD45</a:t>
            </a:r>
          </a:p>
        </c:rich>
      </c:tx>
      <c:layout>
        <c:manualLayout>
          <c:xMode val="edge"/>
          <c:yMode val="edge"/>
          <c:x val="0.15211970074812994"/>
          <c:y val="3.6630036630036632E-2"/>
        </c:manualLayout>
      </c:layout>
      <c:spPr>
        <a:noFill/>
        <a:ln w="25400">
          <a:noFill/>
        </a:ln>
      </c:spPr>
    </c:title>
    <c:plotArea>
      <c:layout>
        <c:manualLayout>
          <c:layoutTarget val="inner"/>
          <c:xMode val="edge"/>
          <c:yMode val="edge"/>
          <c:x val="0.16957605985037424"/>
          <c:y val="0.26373720716434568"/>
          <c:w val="0.67830423940162365"/>
          <c:h val="0.53480044786103431"/>
        </c:manualLayout>
      </c:layout>
      <c:barChart>
        <c:barDir val="col"/>
        <c:grouping val="clustered"/>
        <c:ser>
          <c:idx val="0"/>
          <c:order val="0"/>
          <c:tx>
            <c:strRef>
              <c:f>IQx!$C$99</c:f>
              <c:strCache>
                <c:ptCount val="1"/>
                <c:pt idx="0">
                  <c:v>&lt;=15</c:v>
                </c:pt>
              </c:strCache>
            </c:strRef>
          </c:tx>
          <c:spPr>
            <a:solidFill>
              <a:srgbClr val="00FF00"/>
            </a:solidFill>
            <a:ln w="12700">
              <a:solidFill>
                <a:srgbClr val="000000"/>
              </a:solidFill>
              <a:prstDash val="solid"/>
            </a:ln>
          </c:spPr>
          <c:cat>
            <c:strRef>
              <c:f>IQx!$B$100:$B$111</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IQx!$C$100:$C$111</c:f>
              <c:numCache>
                <c:formatCode>0.00%</c:formatCode>
                <c:ptCount val="12"/>
                <c:pt idx="0">
                  <c:v>0.5</c:v>
                </c:pt>
                <c:pt idx="1">
                  <c:v>0.75</c:v>
                </c:pt>
                <c:pt idx="2">
                  <c:v>1</c:v>
                </c:pt>
                <c:pt idx="3">
                  <c:v>1</c:v>
                </c:pt>
                <c:pt idx="4">
                  <c:v>1</c:v>
                </c:pt>
                <c:pt idx="5">
                  <c:v>0.81818181818181812</c:v>
                </c:pt>
                <c:pt idx="6">
                  <c:v>0.75</c:v>
                </c:pt>
                <c:pt idx="7">
                  <c:v>0.66666666666666674</c:v>
                </c:pt>
                <c:pt idx="8">
                  <c:v>0.625</c:v>
                </c:pt>
                <c:pt idx="9">
                  <c:v>0.75</c:v>
                </c:pt>
                <c:pt idx="10">
                  <c:v>0.75</c:v>
                </c:pt>
                <c:pt idx="11">
                  <c:v>0.85</c:v>
                </c:pt>
              </c:numCache>
            </c:numRef>
          </c:val>
        </c:ser>
        <c:ser>
          <c:idx val="1"/>
          <c:order val="1"/>
          <c:tx>
            <c:strRef>
              <c:f>IQx!$D$99</c:f>
              <c:strCache>
                <c:ptCount val="1"/>
                <c:pt idx="0">
                  <c:v>&gt; 15</c:v>
                </c:pt>
              </c:strCache>
            </c:strRef>
          </c:tx>
          <c:spPr>
            <a:solidFill>
              <a:srgbClr val="FFFF00"/>
            </a:solidFill>
            <a:ln w="12700">
              <a:solidFill>
                <a:srgbClr val="000000"/>
              </a:solidFill>
              <a:prstDash val="solid"/>
            </a:ln>
          </c:spPr>
          <c:cat>
            <c:strRef>
              <c:f>IQx!$B$100:$B$111</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IQx!$D$100:$D$111</c:f>
              <c:numCache>
                <c:formatCode>0.00%</c:formatCode>
                <c:ptCount val="12"/>
                <c:pt idx="0">
                  <c:v>0.5</c:v>
                </c:pt>
                <c:pt idx="1">
                  <c:v>0.25</c:v>
                </c:pt>
                <c:pt idx="2">
                  <c:v>0</c:v>
                </c:pt>
                <c:pt idx="3">
                  <c:v>0</c:v>
                </c:pt>
                <c:pt idx="4">
                  <c:v>0</c:v>
                </c:pt>
                <c:pt idx="5">
                  <c:v>0.18181818181818182</c:v>
                </c:pt>
                <c:pt idx="6">
                  <c:v>0.25</c:v>
                </c:pt>
                <c:pt idx="7">
                  <c:v>0.33333333333333331</c:v>
                </c:pt>
                <c:pt idx="8">
                  <c:v>0.375</c:v>
                </c:pt>
                <c:pt idx="9">
                  <c:v>0.25</c:v>
                </c:pt>
                <c:pt idx="10">
                  <c:v>0.25</c:v>
                </c:pt>
                <c:pt idx="11">
                  <c:v>0.15</c:v>
                </c:pt>
              </c:numCache>
            </c:numRef>
          </c:val>
        </c:ser>
        <c:ser>
          <c:idx val="2"/>
          <c:order val="2"/>
          <c:tx>
            <c:strRef>
              <c:f>IQx!$E$99</c:f>
              <c:strCache>
                <c:ptCount val="1"/>
                <c:pt idx="0">
                  <c:v>&gt; 20</c:v>
                </c:pt>
              </c:strCache>
            </c:strRef>
          </c:tx>
          <c:spPr>
            <a:solidFill>
              <a:srgbClr val="FF9900"/>
            </a:solidFill>
            <a:ln w="12700">
              <a:solidFill>
                <a:srgbClr val="000000"/>
              </a:solidFill>
              <a:prstDash val="solid"/>
            </a:ln>
          </c:spPr>
          <c:cat>
            <c:strRef>
              <c:f>IQx!$B$100:$B$111</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IQx!$E$100:$E$111</c:f>
              <c:numCache>
                <c:formatCode>0.00%</c:formatCode>
                <c:ptCount val="12"/>
                <c:pt idx="0">
                  <c:v>0.5</c:v>
                </c:pt>
                <c:pt idx="1">
                  <c:v>0.25</c:v>
                </c:pt>
                <c:pt idx="2">
                  <c:v>0</c:v>
                </c:pt>
                <c:pt idx="3">
                  <c:v>0</c:v>
                </c:pt>
                <c:pt idx="4">
                  <c:v>0</c:v>
                </c:pt>
                <c:pt idx="5">
                  <c:v>9.0909090909090912E-2</c:v>
                </c:pt>
                <c:pt idx="6">
                  <c:v>0.125</c:v>
                </c:pt>
                <c:pt idx="7">
                  <c:v>0.16666666666666666</c:v>
                </c:pt>
                <c:pt idx="8">
                  <c:v>0.25</c:v>
                </c:pt>
                <c:pt idx="9">
                  <c:v>0.25</c:v>
                </c:pt>
                <c:pt idx="10">
                  <c:v>0.25</c:v>
                </c:pt>
                <c:pt idx="11">
                  <c:v>0.15</c:v>
                </c:pt>
              </c:numCache>
            </c:numRef>
          </c:val>
        </c:ser>
        <c:ser>
          <c:idx val="3"/>
          <c:order val="3"/>
          <c:tx>
            <c:strRef>
              <c:f>IQx!$F$99</c:f>
              <c:strCache>
                <c:ptCount val="1"/>
                <c:pt idx="0">
                  <c:v>&gt; 30</c:v>
                </c:pt>
              </c:strCache>
            </c:strRef>
          </c:tx>
          <c:spPr>
            <a:solidFill>
              <a:srgbClr val="FF0000"/>
            </a:solidFill>
            <a:ln w="12700">
              <a:solidFill>
                <a:srgbClr val="000000"/>
              </a:solidFill>
              <a:prstDash val="solid"/>
            </a:ln>
          </c:spPr>
          <c:cat>
            <c:strRef>
              <c:f>IQx!$B$100:$B$111</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IQx!$F$100:$F$111</c:f>
              <c:numCache>
                <c:formatCode>0.00%</c:formatCode>
                <c:ptCount val="12"/>
                <c:pt idx="0">
                  <c:v>0.5</c:v>
                </c:pt>
                <c:pt idx="1">
                  <c:v>0.25</c:v>
                </c:pt>
                <c:pt idx="2">
                  <c:v>0</c:v>
                </c:pt>
                <c:pt idx="3">
                  <c:v>0</c:v>
                </c:pt>
                <c:pt idx="4">
                  <c:v>0</c:v>
                </c:pt>
                <c:pt idx="5">
                  <c:v>0</c:v>
                </c:pt>
                <c:pt idx="6">
                  <c:v>0.125</c:v>
                </c:pt>
                <c:pt idx="7">
                  <c:v>0</c:v>
                </c:pt>
                <c:pt idx="8">
                  <c:v>0.125</c:v>
                </c:pt>
                <c:pt idx="9">
                  <c:v>0.25</c:v>
                </c:pt>
                <c:pt idx="10">
                  <c:v>0.25</c:v>
                </c:pt>
                <c:pt idx="11">
                  <c:v>0.1</c:v>
                </c:pt>
              </c:numCache>
            </c:numRef>
          </c:val>
        </c:ser>
        <c:axId val="104898560"/>
        <c:axId val="104900096"/>
      </c:barChart>
      <c:catAx>
        <c:axId val="104898560"/>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900096"/>
        <c:crosses val="autoZero"/>
        <c:auto val="1"/>
        <c:lblAlgn val="ctr"/>
        <c:lblOffset val="100"/>
        <c:tickLblSkip val="1"/>
        <c:tickMarkSkip val="1"/>
      </c:catAx>
      <c:valAx>
        <c:axId val="104900096"/>
        <c:scaling>
          <c:orientation val="minMax"/>
          <c:max val="1"/>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898560"/>
        <c:crosses val="autoZero"/>
        <c:crossBetween val="between"/>
      </c:valAx>
      <c:spPr>
        <a:solidFill>
          <a:srgbClr val="C0C0C0"/>
        </a:solidFill>
        <a:ln w="12700">
          <a:solidFill>
            <a:srgbClr val="808080"/>
          </a:solidFill>
          <a:prstDash val="solid"/>
        </a:ln>
      </c:spPr>
    </c:plotArea>
    <c:legend>
      <c:legendPos val="r"/>
      <c:layout>
        <c:manualLayout>
          <c:xMode val="edge"/>
          <c:yMode val="edge"/>
          <c:x val="0.87531172069825469"/>
          <c:y val="0.39194293021075116"/>
          <c:w val="0.10473815461346603"/>
          <c:h val="0.28205243575315031"/>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Pourcentage de livraison hors délai des Sev1 pour chaque MAJ du CD09B</a:t>
            </a:r>
          </a:p>
        </c:rich>
      </c:tx>
      <c:layout>
        <c:manualLayout>
          <c:xMode val="edge"/>
          <c:yMode val="edge"/>
          <c:x val="0.15174155469372341"/>
          <c:y val="3.6496350364963612E-2"/>
        </c:manualLayout>
      </c:layout>
      <c:spPr>
        <a:noFill/>
        <a:ln w="25400">
          <a:noFill/>
        </a:ln>
      </c:spPr>
    </c:title>
    <c:plotArea>
      <c:layout>
        <c:manualLayout>
          <c:layoutTarget val="inner"/>
          <c:xMode val="edge"/>
          <c:yMode val="edge"/>
          <c:x val="0.1691546397763132"/>
          <c:y val="0.26277419090408038"/>
          <c:w val="0.67910612733725739"/>
          <c:h val="0.51824909872743696"/>
        </c:manualLayout>
      </c:layout>
      <c:barChart>
        <c:barDir val="col"/>
        <c:grouping val="clustered"/>
        <c:ser>
          <c:idx val="0"/>
          <c:order val="0"/>
          <c:tx>
            <c:strRef>
              <c:f>IQx!$J$99</c:f>
              <c:strCache>
                <c:ptCount val="1"/>
                <c:pt idx="0">
                  <c:v>&lt;=15</c:v>
                </c:pt>
              </c:strCache>
            </c:strRef>
          </c:tx>
          <c:spPr>
            <a:solidFill>
              <a:srgbClr val="00FF00"/>
            </a:solidFill>
            <a:ln w="12700">
              <a:solidFill>
                <a:srgbClr val="000000"/>
              </a:solidFill>
              <a:prstDash val="solid"/>
            </a:ln>
          </c:spPr>
          <c:cat>
            <c:strRef>
              <c:f>IQx!$I$100:$I$111</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IQx!$J$100:$J$111</c:f>
              <c:numCache>
                <c:formatCode>0.00%</c:formatCode>
                <c:ptCount val="12"/>
                <c:pt idx="0">
                  <c:v>0.5</c:v>
                </c:pt>
                <c:pt idx="1">
                  <c:v>0.2857142857142857</c:v>
                </c:pt>
                <c:pt idx="2">
                  <c:v>0.5</c:v>
                </c:pt>
                <c:pt idx="3">
                  <c:v>0.875</c:v>
                </c:pt>
                <c:pt idx="4">
                  <c:v>1</c:v>
                </c:pt>
                <c:pt idx="5">
                  <c:v>1</c:v>
                </c:pt>
                <c:pt idx="6">
                  <c:v>1</c:v>
                </c:pt>
                <c:pt idx="7">
                  <c:v>1</c:v>
                </c:pt>
                <c:pt idx="8">
                  <c:v>0.75</c:v>
                </c:pt>
                <c:pt idx="9">
                  <c:v>1</c:v>
                </c:pt>
                <c:pt idx="10">
                  <c:v>1</c:v>
                </c:pt>
                <c:pt idx="11">
                  <c:v>0.85365853658536583</c:v>
                </c:pt>
              </c:numCache>
            </c:numRef>
          </c:val>
        </c:ser>
        <c:ser>
          <c:idx val="1"/>
          <c:order val="1"/>
          <c:tx>
            <c:strRef>
              <c:f>IQx!$K$99</c:f>
              <c:strCache>
                <c:ptCount val="1"/>
                <c:pt idx="0">
                  <c:v>&gt; 15</c:v>
                </c:pt>
              </c:strCache>
            </c:strRef>
          </c:tx>
          <c:spPr>
            <a:solidFill>
              <a:srgbClr val="FFFF00"/>
            </a:solidFill>
            <a:ln w="12700">
              <a:solidFill>
                <a:srgbClr val="000000"/>
              </a:solidFill>
              <a:prstDash val="solid"/>
            </a:ln>
          </c:spPr>
          <c:cat>
            <c:strRef>
              <c:f>IQx!$I$100:$I$111</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IQx!$K$100:$K$111</c:f>
              <c:numCache>
                <c:formatCode>0.00%</c:formatCode>
                <c:ptCount val="12"/>
                <c:pt idx="0">
                  <c:v>0.5</c:v>
                </c:pt>
                <c:pt idx="1">
                  <c:v>0.7142857142857143</c:v>
                </c:pt>
                <c:pt idx="2">
                  <c:v>0.5</c:v>
                </c:pt>
                <c:pt idx="3">
                  <c:v>0.125</c:v>
                </c:pt>
                <c:pt idx="4">
                  <c:v>0</c:v>
                </c:pt>
                <c:pt idx="5">
                  <c:v>0</c:v>
                </c:pt>
                <c:pt idx="6">
                  <c:v>0</c:v>
                </c:pt>
                <c:pt idx="7">
                  <c:v>0</c:v>
                </c:pt>
                <c:pt idx="8">
                  <c:v>0.25</c:v>
                </c:pt>
                <c:pt idx="9">
                  <c:v>0</c:v>
                </c:pt>
                <c:pt idx="10">
                  <c:v>0</c:v>
                </c:pt>
                <c:pt idx="11">
                  <c:v>0.14634146341463414</c:v>
                </c:pt>
              </c:numCache>
            </c:numRef>
          </c:val>
        </c:ser>
        <c:ser>
          <c:idx val="2"/>
          <c:order val="2"/>
          <c:tx>
            <c:strRef>
              <c:f>IQx!$L$99</c:f>
              <c:strCache>
                <c:ptCount val="1"/>
                <c:pt idx="0">
                  <c:v>&gt; 20</c:v>
                </c:pt>
              </c:strCache>
            </c:strRef>
          </c:tx>
          <c:spPr>
            <a:solidFill>
              <a:srgbClr val="FF9900"/>
            </a:solidFill>
            <a:ln w="12700">
              <a:solidFill>
                <a:srgbClr val="000000"/>
              </a:solidFill>
              <a:prstDash val="solid"/>
            </a:ln>
          </c:spPr>
          <c:cat>
            <c:strRef>
              <c:f>IQx!$I$100:$I$111</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IQx!$L$100:$L$111</c:f>
              <c:numCache>
                <c:formatCode>0.00%</c:formatCode>
                <c:ptCount val="12"/>
                <c:pt idx="0">
                  <c:v>0.25</c:v>
                </c:pt>
                <c:pt idx="1">
                  <c:v>0.5714285714285714</c:v>
                </c:pt>
                <c:pt idx="2">
                  <c:v>0.5</c:v>
                </c:pt>
                <c:pt idx="3">
                  <c:v>0.125</c:v>
                </c:pt>
                <c:pt idx="4">
                  <c:v>0</c:v>
                </c:pt>
                <c:pt idx="5">
                  <c:v>0</c:v>
                </c:pt>
                <c:pt idx="6">
                  <c:v>0</c:v>
                </c:pt>
                <c:pt idx="7">
                  <c:v>0</c:v>
                </c:pt>
                <c:pt idx="8">
                  <c:v>0.25</c:v>
                </c:pt>
                <c:pt idx="9">
                  <c:v>0</c:v>
                </c:pt>
                <c:pt idx="10">
                  <c:v>0</c:v>
                </c:pt>
                <c:pt idx="11">
                  <c:v>0.12195121951219512</c:v>
                </c:pt>
              </c:numCache>
            </c:numRef>
          </c:val>
        </c:ser>
        <c:ser>
          <c:idx val="3"/>
          <c:order val="3"/>
          <c:tx>
            <c:strRef>
              <c:f>IQx!$M$99</c:f>
              <c:strCache>
                <c:ptCount val="1"/>
                <c:pt idx="0">
                  <c:v>&gt; 30</c:v>
                </c:pt>
              </c:strCache>
            </c:strRef>
          </c:tx>
          <c:spPr>
            <a:solidFill>
              <a:srgbClr val="FF0000"/>
            </a:solidFill>
            <a:ln w="12700">
              <a:solidFill>
                <a:srgbClr val="000000"/>
              </a:solidFill>
              <a:prstDash val="solid"/>
            </a:ln>
          </c:spPr>
          <c:cat>
            <c:strRef>
              <c:f>IQx!$I$100:$I$111</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IQx!$M$100:$M$111</c:f>
              <c:numCache>
                <c:formatCode>0.00%</c:formatCode>
                <c:ptCount val="12"/>
                <c:pt idx="0">
                  <c:v>0.25</c:v>
                </c:pt>
                <c:pt idx="1">
                  <c:v>0.14285714285714285</c:v>
                </c:pt>
                <c:pt idx="2">
                  <c:v>0.5</c:v>
                </c:pt>
                <c:pt idx="3">
                  <c:v>0.125</c:v>
                </c:pt>
                <c:pt idx="4">
                  <c:v>0</c:v>
                </c:pt>
                <c:pt idx="5">
                  <c:v>0</c:v>
                </c:pt>
                <c:pt idx="6">
                  <c:v>0</c:v>
                </c:pt>
                <c:pt idx="7">
                  <c:v>0</c:v>
                </c:pt>
                <c:pt idx="8">
                  <c:v>8.3333333333333329E-2</c:v>
                </c:pt>
                <c:pt idx="9">
                  <c:v>0</c:v>
                </c:pt>
                <c:pt idx="10">
                  <c:v>0</c:v>
                </c:pt>
                <c:pt idx="11">
                  <c:v>2.4390243902439025E-2</c:v>
                </c:pt>
              </c:numCache>
            </c:numRef>
          </c:val>
        </c:ser>
        <c:axId val="104959360"/>
        <c:axId val="104969344"/>
      </c:barChart>
      <c:catAx>
        <c:axId val="104959360"/>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969344"/>
        <c:crosses val="autoZero"/>
        <c:auto val="1"/>
        <c:lblAlgn val="ctr"/>
        <c:lblOffset val="100"/>
        <c:tickLblSkip val="1"/>
        <c:tickMarkSkip val="1"/>
      </c:catAx>
      <c:valAx>
        <c:axId val="104969344"/>
        <c:scaling>
          <c:orientation val="minMax"/>
          <c:max val="1"/>
        </c:scaling>
        <c:axPos val="l"/>
        <c:majorGridlines>
          <c:spPr>
            <a:ln w="3175">
              <a:solidFill>
                <a:srgbClr val="000000"/>
              </a:solidFill>
              <a:prstDash val="solid"/>
            </a:ln>
          </c:spPr>
        </c:majorGridlines>
        <c:numFmt formatCode="0.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959360"/>
        <c:crosses val="autoZero"/>
        <c:crossBetween val="between"/>
      </c:valAx>
      <c:spPr>
        <a:solidFill>
          <a:srgbClr val="C0C0C0"/>
        </a:solidFill>
        <a:ln w="12700">
          <a:solidFill>
            <a:srgbClr val="808080"/>
          </a:solidFill>
          <a:prstDash val="solid"/>
        </a:ln>
      </c:spPr>
    </c:plotArea>
    <c:legend>
      <c:legendPos val="r"/>
      <c:layout>
        <c:manualLayout>
          <c:xMode val="edge"/>
          <c:yMode val="edge"/>
          <c:x val="0.87562397983834162"/>
          <c:y val="0.38321244515978875"/>
          <c:w val="0.10696543529073732"/>
          <c:h val="0.28102228097406751"/>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Délai de livraison des incidents pour chaque MAJ du CD45</a:t>
            </a:r>
          </a:p>
        </c:rich>
      </c:tx>
      <c:layout>
        <c:manualLayout>
          <c:xMode val="edge"/>
          <c:yMode val="edge"/>
          <c:x val="0.13750026246721544"/>
          <c:y val="3.6496350364963612E-2"/>
        </c:manualLayout>
      </c:layout>
      <c:spPr>
        <a:noFill/>
        <a:ln w="25400">
          <a:noFill/>
        </a:ln>
      </c:spPr>
    </c:title>
    <c:plotArea>
      <c:layout>
        <c:manualLayout>
          <c:layoutTarget val="inner"/>
          <c:xMode val="edge"/>
          <c:yMode val="edge"/>
          <c:x val="0.11500014038104329"/>
          <c:y val="0.15328494469403744"/>
          <c:w val="0.72500088501084592"/>
          <c:h val="0.64598655263923765"/>
        </c:manualLayout>
      </c:layout>
      <c:barChart>
        <c:barDir val="col"/>
        <c:grouping val="clustered"/>
        <c:ser>
          <c:idx val="0"/>
          <c:order val="0"/>
          <c:tx>
            <c:strRef>
              <c:f>IQx!$C$77</c:f>
              <c:strCache>
                <c:ptCount val="1"/>
                <c:pt idx="0">
                  <c:v>SEV1</c:v>
                </c:pt>
              </c:strCache>
            </c:strRef>
          </c:tx>
          <c:spPr>
            <a:solidFill>
              <a:srgbClr val="FF0000"/>
            </a:solidFill>
            <a:ln w="12700">
              <a:solidFill>
                <a:srgbClr val="000000"/>
              </a:solidFill>
              <a:prstDash val="solid"/>
            </a:ln>
          </c:spPr>
          <c:cat>
            <c:strRef>
              <c:f>IQx!$B$78:$B$89</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IQx!$C$78:$C$89</c:f>
              <c:numCache>
                <c:formatCode>0.0</c:formatCode>
                <c:ptCount val="12"/>
                <c:pt idx="0">
                  <c:v>21</c:v>
                </c:pt>
                <c:pt idx="1">
                  <c:v>17.75</c:v>
                </c:pt>
                <c:pt idx="2">
                  <c:v>6.5</c:v>
                </c:pt>
                <c:pt idx="3">
                  <c:v>0</c:v>
                </c:pt>
                <c:pt idx="4">
                  <c:v>4.875</c:v>
                </c:pt>
                <c:pt idx="5">
                  <c:v>6.5454545454545459</c:v>
                </c:pt>
                <c:pt idx="6">
                  <c:v>10.125</c:v>
                </c:pt>
                <c:pt idx="7">
                  <c:v>10.166666666666666</c:v>
                </c:pt>
                <c:pt idx="8">
                  <c:v>12.125</c:v>
                </c:pt>
                <c:pt idx="9">
                  <c:v>13.5</c:v>
                </c:pt>
                <c:pt idx="10">
                  <c:v>14</c:v>
                </c:pt>
                <c:pt idx="11">
                  <c:v>8.4499999999999993</c:v>
                </c:pt>
              </c:numCache>
            </c:numRef>
          </c:val>
        </c:ser>
        <c:ser>
          <c:idx val="1"/>
          <c:order val="1"/>
          <c:tx>
            <c:strRef>
              <c:f>IQx!$D$77</c:f>
              <c:strCache>
                <c:ptCount val="1"/>
                <c:pt idx="0">
                  <c:v>SEV2</c:v>
                </c:pt>
              </c:strCache>
            </c:strRef>
          </c:tx>
          <c:spPr>
            <a:solidFill>
              <a:srgbClr val="FF9900"/>
            </a:solidFill>
            <a:ln w="12700">
              <a:solidFill>
                <a:srgbClr val="000000"/>
              </a:solidFill>
              <a:prstDash val="solid"/>
            </a:ln>
          </c:spPr>
          <c:cat>
            <c:strRef>
              <c:f>IQx!$B$78:$B$89</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IQx!$D$78:$D$89</c:f>
              <c:numCache>
                <c:formatCode>0.0</c:formatCode>
                <c:ptCount val="12"/>
                <c:pt idx="0">
                  <c:v>25.363636363636363</c:v>
                </c:pt>
                <c:pt idx="1">
                  <c:v>28.636363636363637</c:v>
                </c:pt>
                <c:pt idx="2">
                  <c:v>24.4</c:v>
                </c:pt>
                <c:pt idx="3">
                  <c:v>7.5</c:v>
                </c:pt>
                <c:pt idx="4">
                  <c:v>8</c:v>
                </c:pt>
                <c:pt idx="5">
                  <c:v>17.444444444444443</c:v>
                </c:pt>
                <c:pt idx="6">
                  <c:v>16.375</c:v>
                </c:pt>
                <c:pt idx="7">
                  <c:v>6.25</c:v>
                </c:pt>
                <c:pt idx="8">
                  <c:v>7.2857142857142856</c:v>
                </c:pt>
                <c:pt idx="9">
                  <c:v>26.5</c:v>
                </c:pt>
                <c:pt idx="10">
                  <c:v>4.8</c:v>
                </c:pt>
                <c:pt idx="11">
                  <c:v>6.1449275362318838</c:v>
                </c:pt>
              </c:numCache>
            </c:numRef>
          </c:val>
        </c:ser>
        <c:ser>
          <c:idx val="2"/>
          <c:order val="2"/>
          <c:tx>
            <c:strRef>
              <c:f>IQx!$E$77</c:f>
              <c:strCache>
                <c:ptCount val="1"/>
                <c:pt idx="0">
                  <c:v>SEV3</c:v>
                </c:pt>
              </c:strCache>
            </c:strRef>
          </c:tx>
          <c:spPr>
            <a:solidFill>
              <a:srgbClr val="FFFF00"/>
            </a:solidFill>
            <a:ln w="12700">
              <a:solidFill>
                <a:srgbClr val="000000"/>
              </a:solidFill>
              <a:prstDash val="solid"/>
            </a:ln>
          </c:spPr>
          <c:cat>
            <c:strRef>
              <c:f>IQx!$B$78:$B$89</c:f>
              <c:strCache>
                <c:ptCount val="12"/>
                <c:pt idx="0">
                  <c:v>CD45</c:v>
                </c:pt>
                <c:pt idx="1">
                  <c:v>Pk1</c:v>
                </c:pt>
                <c:pt idx="2">
                  <c:v>Pk2</c:v>
                </c:pt>
                <c:pt idx="3">
                  <c:v>Pk3</c:v>
                </c:pt>
                <c:pt idx="4">
                  <c:v>Pk4</c:v>
                </c:pt>
                <c:pt idx="5">
                  <c:v>Pk5</c:v>
                </c:pt>
                <c:pt idx="6">
                  <c:v>Pk6</c:v>
                </c:pt>
                <c:pt idx="7">
                  <c:v>Pk7</c:v>
                </c:pt>
                <c:pt idx="8">
                  <c:v>Pk8</c:v>
                </c:pt>
                <c:pt idx="9">
                  <c:v>Pk9</c:v>
                </c:pt>
                <c:pt idx="10">
                  <c:v>Pk10</c:v>
                </c:pt>
                <c:pt idx="11">
                  <c:v>Pk11</c:v>
                </c:pt>
              </c:strCache>
            </c:strRef>
          </c:cat>
          <c:val>
            <c:numRef>
              <c:f>IQx!$E$78:$E$89</c:f>
              <c:numCache>
                <c:formatCode>0.0</c:formatCode>
                <c:ptCount val="12"/>
                <c:pt idx="0">
                  <c:v>0</c:v>
                </c:pt>
                <c:pt idx="1">
                  <c:v>2.5</c:v>
                </c:pt>
                <c:pt idx="2">
                  <c:v>#N/A</c:v>
                </c:pt>
                <c:pt idx="3">
                  <c:v>#N/A</c:v>
                </c:pt>
                <c:pt idx="4">
                  <c:v>#N/A</c:v>
                </c:pt>
                <c:pt idx="5">
                  <c:v>37</c:v>
                </c:pt>
                <c:pt idx="6">
                  <c:v>2.1666666666666665</c:v>
                </c:pt>
                <c:pt idx="7">
                  <c:v>0</c:v>
                </c:pt>
                <c:pt idx="8">
                  <c:v>0</c:v>
                </c:pt>
                <c:pt idx="9">
                  <c:v>0</c:v>
                </c:pt>
                <c:pt idx="10">
                  <c:v>14.75</c:v>
                </c:pt>
                <c:pt idx="11">
                  <c:v>22.857142857142858</c:v>
                </c:pt>
              </c:numCache>
            </c:numRef>
          </c:val>
        </c:ser>
        <c:axId val="105065088"/>
        <c:axId val="105079168"/>
      </c:barChart>
      <c:catAx>
        <c:axId val="105065088"/>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5079168"/>
        <c:crosses val="autoZero"/>
        <c:auto val="1"/>
        <c:lblAlgn val="ctr"/>
        <c:lblOffset val="100"/>
        <c:tickLblSkip val="1"/>
        <c:tickMarkSkip val="1"/>
      </c:catAx>
      <c:valAx>
        <c:axId val="105079168"/>
        <c:scaling>
          <c:orientation val="minMax"/>
        </c:scaling>
        <c:axPos val="l"/>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5065088"/>
        <c:crosses val="autoZero"/>
        <c:crossBetween val="between"/>
      </c:valAx>
      <c:spPr>
        <a:solidFill>
          <a:srgbClr val="C0C0C0"/>
        </a:solidFill>
        <a:ln w="12700">
          <a:solidFill>
            <a:srgbClr val="808080"/>
          </a:solidFill>
          <a:prstDash val="solid"/>
        </a:ln>
      </c:spPr>
    </c:plotArea>
    <c:legend>
      <c:legendPos val="r"/>
      <c:layout>
        <c:manualLayout>
          <c:xMode val="edge"/>
          <c:yMode val="edge"/>
          <c:x val="0.8700010498687667"/>
          <c:y val="0.39781098530589576"/>
          <c:w val="0.11250026246719091"/>
          <c:h val="0.21167921528034633"/>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800" b="1" i="0" u="none" strike="noStrike" baseline="0">
                <a:solidFill>
                  <a:srgbClr val="000000"/>
                </a:solidFill>
                <a:latin typeface="Arial"/>
                <a:ea typeface="Arial"/>
                <a:cs typeface="Arial"/>
              </a:defRPr>
            </a:pPr>
            <a:r>
              <a:rPr lang="fr-FR"/>
              <a:t>Délai de livraison des incidents pour chaque MAJ du CD09B</a:t>
            </a:r>
          </a:p>
        </c:rich>
      </c:tx>
      <c:layout>
        <c:manualLayout>
          <c:xMode val="edge"/>
          <c:yMode val="edge"/>
          <c:x val="0.12718204488778054"/>
          <c:y val="4.3636363636363654E-2"/>
        </c:manualLayout>
      </c:layout>
      <c:spPr>
        <a:noFill/>
        <a:ln w="25400">
          <a:noFill/>
        </a:ln>
      </c:spPr>
    </c:title>
    <c:plotArea>
      <c:layout>
        <c:manualLayout>
          <c:layoutTarget val="inner"/>
          <c:xMode val="edge"/>
          <c:yMode val="edge"/>
          <c:x val="0.11471321695760622"/>
          <c:y val="0.16727272727272727"/>
          <c:w val="0.7256857855361597"/>
          <c:h val="0.61454545454567111"/>
        </c:manualLayout>
      </c:layout>
      <c:barChart>
        <c:barDir val="col"/>
        <c:grouping val="clustered"/>
        <c:ser>
          <c:idx val="0"/>
          <c:order val="0"/>
          <c:tx>
            <c:strRef>
              <c:f>IQx!$J$77</c:f>
              <c:strCache>
                <c:ptCount val="1"/>
                <c:pt idx="0">
                  <c:v>SEV1</c:v>
                </c:pt>
              </c:strCache>
            </c:strRef>
          </c:tx>
          <c:spPr>
            <a:solidFill>
              <a:srgbClr val="FF0000"/>
            </a:solidFill>
            <a:ln w="12700">
              <a:solidFill>
                <a:srgbClr val="000000"/>
              </a:solidFill>
              <a:prstDash val="solid"/>
            </a:ln>
          </c:spPr>
          <c:cat>
            <c:strRef>
              <c:f>IQx!$I$78:$I$89</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IQx!$J$78:$J$89</c:f>
              <c:numCache>
                <c:formatCode>0.0</c:formatCode>
                <c:ptCount val="12"/>
                <c:pt idx="0">
                  <c:v>14</c:v>
                </c:pt>
                <c:pt idx="1">
                  <c:v>19.714285714285715</c:v>
                </c:pt>
                <c:pt idx="2">
                  <c:v>23.5</c:v>
                </c:pt>
                <c:pt idx="3">
                  <c:v>15.75</c:v>
                </c:pt>
                <c:pt idx="4">
                  <c:v>5</c:v>
                </c:pt>
                <c:pt idx="5">
                  <c:v>3.6</c:v>
                </c:pt>
                <c:pt idx="6">
                  <c:v>10.5</c:v>
                </c:pt>
                <c:pt idx="7">
                  <c:v>3.5</c:v>
                </c:pt>
                <c:pt idx="8">
                  <c:v>14.75</c:v>
                </c:pt>
                <c:pt idx="9">
                  <c:v>2.6666666666666665</c:v>
                </c:pt>
                <c:pt idx="10">
                  <c:v>5</c:v>
                </c:pt>
                <c:pt idx="11">
                  <c:v>7.1707317073170733</c:v>
                </c:pt>
              </c:numCache>
            </c:numRef>
          </c:val>
        </c:ser>
        <c:ser>
          <c:idx val="1"/>
          <c:order val="1"/>
          <c:tx>
            <c:strRef>
              <c:f>IQx!$K$77</c:f>
              <c:strCache>
                <c:ptCount val="1"/>
                <c:pt idx="0">
                  <c:v>SEV2</c:v>
                </c:pt>
              </c:strCache>
            </c:strRef>
          </c:tx>
          <c:spPr>
            <a:solidFill>
              <a:srgbClr val="FF9900"/>
            </a:solidFill>
            <a:ln w="12700">
              <a:solidFill>
                <a:srgbClr val="000000"/>
              </a:solidFill>
              <a:prstDash val="solid"/>
            </a:ln>
          </c:spPr>
          <c:cat>
            <c:strRef>
              <c:f>IQx!$I$78:$I$89</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IQx!$K$78:$K$89</c:f>
              <c:numCache>
                <c:formatCode>0.0</c:formatCode>
                <c:ptCount val="12"/>
                <c:pt idx="0">
                  <c:v>40.9</c:v>
                </c:pt>
                <c:pt idx="1">
                  <c:v>30.068965517241381</c:v>
                </c:pt>
                <c:pt idx="2">
                  <c:v>9.454545454545455</c:v>
                </c:pt>
                <c:pt idx="3">
                  <c:v>10.458333333333334</c:v>
                </c:pt>
                <c:pt idx="4">
                  <c:v>18</c:v>
                </c:pt>
                <c:pt idx="5">
                  <c:v>18.315789473684209</c:v>
                </c:pt>
                <c:pt idx="6">
                  <c:v>14.384615384615385</c:v>
                </c:pt>
                <c:pt idx="7">
                  <c:v>7.6842105263157894</c:v>
                </c:pt>
                <c:pt idx="8">
                  <c:v>15.833333333333334</c:v>
                </c:pt>
                <c:pt idx="9">
                  <c:v>8.125</c:v>
                </c:pt>
                <c:pt idx="10">
                  <c:v>7.0370370370370372</c:v>
                </c:pt>
                <c:pt idx="11">
                  <c:v>11.832000000000001</c:v>
                </c:pt>
              </c:numCache>
            </c:numRef>
          </c:val>
        </c:ser>
        <c:ser>
          <c:idx val="2"/>
          <c:order val="2"/>
          <c:tx>
            <c:strRef>
              <c:f>IQx!$L$77</c:f>
              <c:strCache>
                <c:ptCount val="1"/>
                <c:pt idx="0">
                  <c:v>SEV3</c:v>
                </c:pt>
              </c:strCache>
            </c:strRef>
          </c:tx>
          <c:spPr>
            <a:solidFill>
              <a:srgbClr val="FFFF00"/>
            </a:solidFill>
            <a:ln w="12700">
              <a:solidFill>
                <a:srgbClr val="000000"/>
              </a:solidFill>
              <a:prstDash val="solid"/>
            </a:ln>
          </c:spPr>
          <c:cat>
            <c:strRef>
              <c:f>IQx!$I$78:$I$89</c:f>
              <c:strCache>
                <c:ptCount val="12"/>
                <c:pt idx="0">
                  <c:v>CD09B</c:v>
                </c:pt>
                <c:pt idx="1">
                  <c:v>E1</c:v>
                </c:pt>
                <c:pt idx="2">
                  <c:v>E2</c:v>
                </c:pt>
                <c:pt idx="3">
                  <c:v>E3</c:v>
                </c:pt>
                <c:pt idx="4">
                  <c:v>E4</c:v>
                </c:pt>
                <c:pt idx="5">
                  <c:v>E5</c:v>
                </c:pt>
                <c:pt idx="6">
                  <c:v>E6</c:v>
                </c:pt>
                <c:pt idx="7">
                  <c:v>E7</c:v>
                </c:pt>
                <c:pt idx="8">
                  <c:v>E8</c:v>
                </c:pt>
                <c:pt idx="9">
                  <c:v>E9</c:v>
                </c:pt>
                <c:pt idx="10">
                  <c:v>E10</c:v>
                </c:pt>
                <c:pt idx="11">
                  <c:v>E11</c:v>
                </c:pt>
              </c:strCache>
            </c:strRef>
          </c:cat>
          <c:val>
            <c:numRef>
              <c:f>IQx!$L$78:$L$89</c:f>
              <c:numCache>
                <c:formatCode>0.0</c:formatCode>
                <c:ptCount val="12"/>
                <c:pt idx="0">
                  <c:v>6</c:v>
                </c:pt>
                <c:pt idx="1">
                  <c:v>#N/A</c:v>
                </c:pt>
                <c:pt idx="2">
                  <c:v>#N/A</c:v>
                </c:pt>
                <c:pt idx="3">
                  <c:v>#N/A</c:v>
                </c:pt>
                <c:pt idx="4">
                  <c:v>#N/A</c:v>
                </c:pt>
                <c:pt idx="5">
                  <c:v>0</c:v>
                </c:pt>
                <c:pt idx="6">
                  <c:v>7.5</c:v>
                </c:pt>
                <c:pt idx="7">
                  <c:v>7</c:v>
                </c:pt>
                <c:pt idx="8">
                  <c:v>0</c:v>
                </c:pt>
                <c:pt idx="9">
                  <c:v>0</c:v>
                </c:pt>
                <c:pt idx="10">
                  <c:v>1.8</c:v>
                </c:pt>
                <c:pt idx="11">
                  <c:v>0</c:v>
                </c:pt>
              </c:numCache>
            </c:numRef>
          </c:val>
        </c:ser>
        <c:axId val="104998016"/>
        <c:axId val="104999552"/>
      </c:barChart>
      <c:catAx>
        <c:axId val="104998016"/>
        <c:scaling>
          <c:orientation val="minMax"/>
        </c:scaling>
        <c:axPos val="b"/>
        <c:numFmt formatCode="General" sourceLinked="1"/>
        <c:tickLblPos val="nextTo"/>
        <c:spPr>
          <a:ln w="3175">
            <a:solidFill>
              <a:srgbClr val="000000"/>
            </a:solidFill>
            <a:prstDash val="solid"/>
          </a:ln>
        </c:spPr>
        <c:txPr>
          <a:bodyPr rot="-2700000" vert="horz"/>
          <a:lstStyle/>
          <a:p>
            <a:pPr>
              <a:defRPr sz="800" b="0" i="0" u="none" strike="noStrike" baseline="0">
                <a:solidFill>
                  <a:srgbClr val="000000"/>
                </a:solidFill>
                <a:latin typeface="Arial"/>
                <a:ea typeface="Arial"/>
                <a:cs typeface="Arial"/>
              </a:defRPr>
            </a:pPr>
            <a:endParaRPr lang="fr-FR"/>
          </a:p>
        </c:txPr>
        <c:crossAx val="104999552"/>
        <c:crosses val="autoZero"/>
        <c:auto val="1"/>
        <c:lblAlgn val="ctr"/>
        <c:lblOffset val="100"/>
        <c:tickLblSkip val="1"/>
        <c:tickMarkSkip val="1"/>
      </c:catAx>
      <c:valAx>
        <c:axId val="104999552"/>
        <c:scaling>
          <c:orientation val="minMax"/>
        </c:scaling>
        <c:axPos val="l"/>
        <c:majorGridlines>
          <c:spPr>
            <a:ln w="3175">
              <a:solidFill>
                <a:srgbClr val="000000"/>
              </a:solidFill>
              <a:prstDash val="solid"/>
            </a:ln>
          </c:spPr>
        </c:majorGridlines>
        <c:numFmt formatCode="0.0" sourceLinked="1"/>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fr-FR"/>
          </a:p>
        </c:txPr>
        <c:crossAx val="104998016"/>
        <c:crosses val="autoZero"/>
        <c:crossBetween val="between"/>
      </c:valAx>
      <c:spPr>
        <a:solidFill>
          <a:srgbClr val="C0C0C0"/>
        </a:solidFill>
        <a:ln w="12700">
          <a:solidFill>
            <a:srgbClr val="808080"/>
          </a:solidFill>
          <a:prstDash val="solid"/>
        </a:ln>
      </c:spPr>
    </c:plotArea>
    <c:legend>
      <c:legendPos val="r"/>
      <c:layout>
        <c:manualLayout>
          <c:xMode val="edge"/>
          <c:yMode val="edge"/>
          <c:x val="0.87032418952618462"/>
          <c:y val="0.4"/>
          <c:w val="0.11221945137141492"/>
          <c:h val="0.21090909090920093"/>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175" b="1" i="0" u="none" strike="noStrike" baseline="0">
                <a:solidFill>
                  <a:srgbClr val="000000"/>
                </a:solidFill>
                <a:latin typeface="Arial"/>
                <a:ea typeface="Arial"/>
                <a:cs typeface="Arial"/>
              </a:defRPr>
            </a:pPr>
            <a:r>
              <a:rPr lang="fr-FR"/>
              <a:t>Statut des FI de chaque MAJ du CD45</a:t>
            </a:r>
          </a:p>
        </c:rich>
      </c:tx>
      <c:layout>
        <c:manualLayout>
          <c:xMode val="edge"/>
          <c:yMode val="edge"/>
          <c:x val="0.19750541577313241"/>
          <c:y val="3.2520325203252036E-2"/>
        </c:manualLayout>
      </c:layout>
      <c:spPr>
        <a:noFill/>
        <a:ln w="25400">
          <a:noFill/>
        </a:ln>
      </c:spPr>
    </c:title>
    <c:plotArea>
      <c:layout>
        <c:manualLayout>
          <c:layoutTarget val="inner"/>
          <c:xMode val="edge"/>
          <c:yMode val="edge"/>
          <c:x val="0.14760929745296664"/>
          <c:y val="0.21680274179250394"/>
          <c:w val="0.53014606831680855"/>
          <c:h val="0.69105873946360064"/>
        </c:manualLayout>
      </c:layout>
      <c:radarChart>
        <c:radarStyle val="marker"/>
        <c:ser>
          <c:idx val="0"/>
          <c:order val="0"/>
          <c:tx>
            <c:strRef>
              <c:f>IQx!$B$122</c:f>
              <c:strCache>
                <c:ptCount val="1"/>
                <c:pt idx="0">
                  <c:v>CD45</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IQx!$C$122:$I$122</c:f>
              <c:numCache>
                <c:formatCode>0.00%</c:formatCode>
                <c:ptCount val="7"/>
                <c:pt idx="0">
                  <c:v>0</c:v>
                </c:pt>
                <c:pt idx="1">
                  <c:v>0</c:v>
                </c:pt>
                <c:pt idx="2">
                  <c:v>7.1428571428571425E-2</c:v>
                </c:pt>
                <c:pt idx="3">
                  <c:v>0.7857142857142857</c:v>
                </c:pt>
                <c:pt idx="4">
                  <c:v>0</c:v>
                </c:pt>
                <c:pt idx="5">
                  <c:v>0.14285714285714285</c:v>
                </c:pt>
                <c:pt idx="6">
                  <c:v>0</c:v>
                </c:pt>
              </c:numCache>
            </c:numRef>
          </c:val>
        </c:ser>
        <c:ser>
          <c:idx val="1"/>
          <c:order val="1"/>
          <c:tx>
            <c:strRef>
              <c:f>IQx!$B$123</c:f>
              <c:strCache>
                <c:ptCount val="1"/>
                <c:pt idx="0">
                  <c:v>Pk1</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IQx!$C$123:$I$123</c:f>
              <c:numCache>
                <c:formatCode>0.00%</c:formatCode>
                <c:ptCount val="7"/>
                <c:pt idx="0">
                  <c:v>0</c:v>
                </c:pt>
                <c:pt idx="1">
                  <c:v>0</c:v>
                </c:pt>
                <c:pt idx="2">
                  <c:v>0.11764705882352941</c:v>
                </c:pt>
                <c:pt idx="3">
                  <c:v>0.41176470588235292</c:v>
                </c:pt>
                <c:pt idx="4">
                  <c:v>5.8823529411764705E-2</c:v>
                </c:pt>
                <c:pt idx="5">
                  <c:v>0.29411764705882354</c:v>
                </c:pt>
                <c:pt idx="6">
                  <c:v>0.11764705882352941</c:v>
                </c:pt>
              </c:numCache>
            </c:numRef>
          </c:val>
        </c:ser>
        <c:ser>
          <c:idx val="2"/>
          <c:order val="2"/>
          <c:tx>
            <c:strRef>
              <c:f>IQx!$B$124</c:f>
              <c:strCache>
                <c:ptCount val="1"/>
                <c:pt idx="0">
                  <c:v>Pk2</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IQx!$C$124:$I$124</c:f>
              <c:numCache>
                <c:formatCode>0.00%</c:formatCode>
                <c:ptCount val="7"/>
                <c:pt idx="0">
                  <c:v>0</c:v>
                </c:pt>
                <c:pt idx="1">
                  <c:v>0</c:v>
                </c:pt>
                <c:pt idx="2">
                  <c:v>0.14285714285714285</c:v>
                </c:pt>
                <c:pt idx="3">
                  <c:v>0.21428571428571427</c:v>
                </c:pt>
                <c:pt idx="4">
                  <c:v>0</c:v>
                </c:pt>
                <c:pt idx="5">
                  <c:v>0.5</c:v>
                </c:pt>
                <c:pt idx="6">
                  <c:v>0.14285714285714285</c:v>
                </c:pt>
              </c:numCache>
            </c:numRef>
          </c:val>
        </c:ser>
        <c:ser>
          <c:idx val="3"/>
          <c:order val="3"/>
          <c:tx>
            <c:strRef>
              <c:f>IQx!$B$125</c:f>
              <c:strCache>
                <c:ptCount val="1"/>
                <c:pt idx="0">
                  <c:v>Pk3</c:v>
                </c:pt>
              </c:strCache>
            </c:strRef>
          </c:tx>
          <c:spPr>
            <a:ln w="12700">
              <a:solidFill>
                <a:srgbClr val="00FFFF"/>
              </a:solidFill>
              <a:prstDash val="solid"/>
            </a:ln>
          </c:spPr>
          <c:marker>
            <c:symbol val="x"/>
            <c:size val="5"/>
            <c:spPr>
              <a:noFill/>
              <a:ln>
                <a:solidFill>
                  <a:srgbClr val="00FFFF"/>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IQx!$C$125:$I$125</c:f>
              <c:numCache>
                <c:formatCode>0.00%</c:formatCode>
                <c:ptCount val="7"/>
                <c:pt idx="0">
                  <c:v>0</c:v>
                </c:pt>
                <c:pt idx="1">
                  <c:v>0</c:v>
                </c:pt>
                <c:pt idx="2">
                  <c:v>0</c:v>
                </c:pt>
                <c:pt idx="3">
                  <c:v>0.68421052631578949</c:v>
                </c:pt>
                <c:pt idx="4">
                  <c:v>5.2631578947368418E-2</c:v>
                </c:pt>
                <c:pt idx="5">
                  <c:v>0.21052631578947367</c:v>
                </c:pt>
                <c:pt idx="6">
                  <c:v>5.2631578947368418E-2</c:v>
                </c:pt>
              </c:numCache>
            </c:numRef>
          </c:val>
        </c:ser>
        <c:ser>
          <c:idx val="4"/>
          <c:order val="4"/>
          <c:tx>
            <c:strRef>
              <c:f>IQx!$B$130</c:f>
              <c:strCache>
                <c:ptCount val="1"/>
                <c:pt idx="0">
                  <c:v>Pk8</c:v>
                </c:pt>
              </c:strCache>
            </c:strRef>
          </c:tx>
          <c:spPr>
            <a:ln w="12700">
              <a:solidFill>
                <a:srgbClr val="800080"/>
              </a:solidFill>
              <a:prstDash val="solid"/>
            </a:ln>
          </c:spPr>
          <c:marker>
            <c:symbol val="star"/>
            <c:size val="5"/>
            <c:spPr>
              <a:noFill/>
              <a:ln>
                <a:solidFill>
                  <a:srgbClr val="800080"/>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IQx!$C$130:$I$130</c:f>
              <c:numCache>
                <c:formatCode>0.00%</c:formatCode>
                <c:ptCount val="7"/>
                <c:pt idx="0">
                  <c:v>0</c:v>
                </c:pt>
                <c:pt idx="1">
                  <c:v>0</c:v>
                </c:pt>
                <c:pt idx="2">
                  <c:v>4.3478260869565216E-2</c:v>
                </c:pt>
                <c:pt idx="3">
                  <c:v>0.73913043478260865</c:v>
                </c:pt>
                <c:pt idx="4">
                  <c:v>4.3478260869565216E-2</c:v>
                </c:pt>
                <c:pt idx="5">
                  <c:v>0.17391304347826086</c:v>
                </c:pt>
                <c:pt idx="6">
                  <c:v>0</c:v>
                </c:pt>
              </c:numCache>
            </c:numRef>
          </c:val>
        </c:ser>
        <c:ser>
          <c:idx val="5"/>
          <c:order val="5"/>
          <c:tx>
            <c:strRef>
              <c:f>IQx!$B$131</c:f>
              <c:strCache>
                <c:ptCount val="1"/>
                <c:pt idx="0">
                  <c:v>Pk9</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IQx!$C$131:$I$131</c:f>
              <c:numCache>
                <c:formatCode>0.00%</c:formatCode>
                <c:ptCount val="7"/>
                <c:pt idx="0">
                  <c:v>0</c:v>
                </c:pt>
                <c:pt idx="1">
                  <c:v>0</c:v>
                </c:pt>
                <c:pt idx="2">
                  <c:v>0</c:v>
                </c:pt>
                <c:pt idx="3">
                  <c:v>0.39285714285714285</c:v>
                </c:pt>
                <c:pt idx="4">
                  <c:v>0.10714285714285714</c:v>
                </c:pt>
                <c:pt idx="5">
                  <c:v>0.42857142857142855</c:v>
                </c:pt>
                <c:pt idx="6">
                  <c:v>7.1428571428571425E-2</c:v>
                </c:pt>
              </c:numCache>
            </c:numRef>
          </c:val>
        </c:ser>
        <c:ser>
          <c:idx val="6"/>
          <c:order val="6"/>
          <c:tx>
            <c:strRef>
              <c:f>IQx!$B$132</c:f>
              <c:strCache>
                <c:ptCount val="1"/>
                <c:pt idx="0">
                  <c:v>Pk10</c:v>
                </c:pt>
              </c:strCache>
            </c:strRef>
          </c:tx>
          <c:spPr>
            <a:ln w="12700">
              <a:solidFill>
                <a:srgbClr val="008080"/>
              </a:solidFill>
              <a:prstDash val="solid"/>
            </a:ln>
          </c:spPr>
          <c:marker>
            <c:symbol val="plus"/>
            <c:size val="5"/>
            <c:spPr>
              <a:noFill/>
              <a:ln>
                <a:solidFill>
                  <a:srgbClr val="008080"/>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IQx!$C$132:$I$132</c:f>
              <c:numCache>
                <c:formatCode>0.00%</c:formatCode>
                <c:ptCount val="7"/>
                <c:pt idx="0">
                  <c:v>0</c:v>
                </c:pt>
                <c:pt idx="1">
                  <c:v>0</c:v>
                </c:pt>
                <c:pt idx="2">
                  <c:v>0</c:v>
                </c:pt>
                <c:pt idx="3">
                  <c:v>0.3888888888888889</c:v>
                </c:pt>
                <c:pt idx="4">
                  <c:v>0.16666666666666666</c:v>
                </c:pt>
                <c:pt idx="5">
                  <c:v>0.27777777777777779</c:v>
                </c:pt>
                <c:pt idx="6">
                  <c:v>0.16666666666666666</c:v>
                </c:pt>
              </c:numCache>
            </c:numRef>
          </c:val>
        </c:ser>
        <c:ser>
          <c:idx val="7"/>
          <c:order val="7"/>
          <c:tx>
            <c:strRef>
              <c:f>IQx!$B$133</c:f>
              <c:strCache>
                <c:ptCount val="1"/>
                <c:pt idx="0">
                  <c:v>Pk11</c:v>
                </c:pt>
              </c:strCache>
            </c:strRef>
          </c:tx>
          <c:spPr>
            <a:ln w="12700">
              <a:solidFill>
                <a:srgbClr val="0000FF"/>
              </a:solidFill>
              <a:prstDash val="solid"/>
            </a:ln>
          </c:spPr>
          <c:marker>
            <c:symbol val="dot"/>
            <c:size val="5"/>
            <c:spPr>
              <a:noFill/>
              <a:ln>
                <a:solidFill>
                  <a:srgbClr val="0000FF"/>
                </a:solidFill>
                <a:prstDash val="solid"/>
              </a:ln>
            </c:spPr>
          </c:marker>
          <c:cat>
            <c:strRef>
              <c:f>IQx!$C$121:$I$121</c:f>
              <c:strCache>
                <c:ptCount val="7"/>
                <c:pt idx="0">
                  <c:v>En analyse</c:v>
                </c:pt>
                <c:pt idx="1">
                  <c:v>Analysées</c:v>
                </c:pt>
                <c:pt idx="2">
                  <c:v>En Attente</c:v>
                </c:pt>
                <c:pt idx="3">
                  <c:v>Corrigées</c:v>
                </c:pt>
                <c:pt idx="4">
                  <c:v>Non reproduites</c:v>
                </c:pt>
                <c:pt idx="5">
                  <c:v>Rejetées</c:v>
                </c:pt>
                <c:pt idx="6">
                  <c:v>Abandonnées</c:v>
                </c:pt>
              </c:strCache>
            </c:strRef>
          </c:cat>
          <c:val>
            <c:numRef>
              <c:f>IQx!$C$133:$I$133</c:f>
              <c:numCache>
                <c:formatCode>0.00%</c:formatCode>
                <c:ptCount val="7"/>
                <c:pt idx="0">
                  <c:v>0</c:v>
                </c:pt>
                <c:pt idx="1">
                  <c:v>0</c:v>
                </c:pt>
                <c:pt idx="2">
                  <c:v>8.3333333333333329E-2</c:v>
                </c:pt>
                <c:pt idx="3">
                  <c:v>0.38541666666666669</c:v>
                </c:pt>
                <c:pt idx="4">
                  <c:v>9.375E-2</c:v>
                </c:pt>
                <c:pt idx="5">
                  <c:v>0.39583333333333331</c:v>
                </c:pt>
                <c:pt idx="6">
                  <c:v>4.1666666666666664E-2</c:v>
                </c:pt>
              </c:numCache>
            </c:numRef>
          </c:val>
        </c:ser>
        <c:axId val="105135488"/>
        <c:axId val="105154048"/>
      </c:radarChart>
      <c:catAx>
        <c:axId val="105135488"/>
        <c:scaling>
          <c:orientation val="minMax"/>
        </c:scaling>
        <c:axPos val="b"/>
        <c:majorGridlines>
          <c:spPr>
            <a:ln w="3175">
              <a:solidFill>
                <a:srgbClr val="000000"/>
              </a:solidFill>
              <a:prstDash val="solid"/>
            </a:ln>
          </c:spPr>
        </c:majorGridlines>
        <c:numFmt formatCode="General" sourceLinked="1"/>
        <c:tickLblPos val="nextTo"/>
        <c:txPr>
          <a:bodyPr rot="0" vert="horz"/>
          <a:lstStyle/>
          <a:p>
            <a:pPr>
              <a:defRPr sz="1000" b="0" i="0" u="none" strike="noStrike" baseline="0">
                <a:solidFill>
                  <a:srgbClr val="000000"/>
                </a:solidFill>
                <a:latin typeface="Arial"/>
                <a:ea typeface="Arial"/>
                <a:cs typeface="Arial"/>
              </a:defRPr>
            </a:pPr>
            <a:endParaRPr lang="fr-FR"/>
          </a:p>
        </c:txPr>
        <c:crossAx val="105154048"/>
        <c:crosses val="autoZero"/>
        <c:lblAlgn val="ctr"/>
        <c:lblOffset val="100"/>
      </c:catAx>
      <c:valAx>
        <c:axId val="105154048"/>
        <c:scaling>
          <c:orientation val="minMax"/>
        </c:scaling>
        <c:axPos val="l"/>
        <c:majorGridlines>
          <c:spPr>
            <a:ln w="3175">
              <a:solidFill>
                <a:srgbClr val="000000"/>
              </a:solidFill>
              <a:prstDash val="solid"/>
            </a:ln>
          </c:spPr>
        </c:majorGridlines>
        <c:numFmt formatCode="0.00%" sourceLinked="1"/>
        <c:majorTickMark val="cross"/>
        <c:tickLblPos val="nextTo"/>
        <c:spPr>
          <a:ln w="3175">
            <a:solidFill>
              <a:srgbClr val="000000"/>
            </a:solidFill>
            <a:prstDash val="solid"/>
          </a:ln>
        </c:spPr>
        <c:txPr>
          <a:bodyPr rot="0" vert="horz"/>
          <a:lstStyle/>
          <a:p>
            <a:pPr>
              <a:defRPr sz="1000" b="0" i="0" u="none" strike="noStrike" baseline="0">
                <a:solidFill>
                  <a:srgbClr val="000000"/>
                </a:solidFill>
                <a:latin typeface="Arial"/>
                <a:ea typeface="Arial"/>
                <a:cs typeface="Arial"/>
              </a:defRPr>
            </a:pPr>
            <a:endParaRPr lang="fr-FR"/>
          </a:p>
        </c:txPr>
        <c:crossAx val="105135488"/>
        <c:crosses val="autoZero"/>
        <c:crossBetween val="between"/>
      </c:valAx>
      <c:spPr>
        <a:noFill/>
        <a:ln w="25400">
          <a:noFill/>
        </a:ln>
      </c:spPr>
    </c:plotArea>
    <c:legend>
      <c:legendPos val="r"/>
      <c:layout>
        <c:manualLayout>
          <c:xMode val="edge"/>
          <c:yMode val="edge"/>
          <c:x val="0.84615471922560004"/>
          <c:y val="0.35230437658711738"/>
          <c:w val="0.13305635132406723"/>
          <c:h val="0.41463528441058523"/>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lang val="fr-FR"/>
  <c:chart>
    <c:title>
      <c:tx>
        <c:rich>
          <a:bodyPr/>
          <a:lstStyle/>
          <a:p>
            <a:pPr>
              <a:defRPr sz="1175" b="1" i="0" u="none" strike="noStrike" baseline="0">
                <a:solidFill>
                  <a:srgbClr val="000000"/>
                </a:solidFill>
                <a:latin typeface="Arial"/>
                <a:ea typeface="Arial"/>
                <a:cs typeface="Arial"/>
              </a:defRPr>
            </a:pPr>
            <a:r>
              <a:rPr lang="fr-FR"/>
              <a:t>Statut des FI de chaque MAJ du CD09B</a:t>
            </a:r>
          </a:p>
        </c:rich>
      </c:tx>
      <c:layout>
        <c:manualLayout>
          <c:xMode val="edge"/>
          <c:yMode val="edge"/>
          <c:x val="0.18371607515658644"/>
          <c:y val="3.2432432432432441E-2"/>
        </c:manualLayout>
      </c:layout>
      <c:spPr>
        <a:noFill/>
        <a:ln w="25400">
          <a:noFill/>
        </a:ln>
      </c:spPr>
    </c:title>
    <c:plotArea>
      <c:layout>
        <c:manualLayout>
          <c:layoutTarget val="inner"/>
          <c:xMode val="edge"/>
          <c:yMode val="edge"/>
          <c:x val="0.16492693110650194"/>
          <c:y val="0.2270273266302347"/>
          <c:w val="0.52609603340292277"/>
          <c:h val="0.68108197989070407"/>
        </c:manualLayout>
      </c:layout>
      <c:radarChart>
        <c:radarStyle val="marker"/>
        <c:ser>
          <c:idx val="0"/>
          <c:order val="0"/>
          <c:tx>
            <c:strRef>
              <c:f>IQx!$B$141</c:f>
              <c:strCache>
                <c:ptCount val="1"/>
                <c:pt idx="0">
                  <c:v>CD09B</c:v>
                </c:pt>
              </c:strCache>
            </c:strRef>
          </c:tx>
          <c:spPr>
            <a:ln w="12700">
              <a:solidFill>
                <a:srgbClr val="000080"/>
              </a:solidFill>
              <a:prstDash val="solid"/>
            </a:ln>
          </c:spPr>
          <c:marker>
            <c:symbol val="diamond"/>
            <c:size val="5"/>
            <c:spPr>
              <a:solidFill>
                <a:srgbClr val="000080"/>
              </a:solidFill>
              <a:ln>
                <a:solidFill>
                  <a:srgbClr val="000080"/>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IQx!$C$141:$I$141</c:f>
              <c:numCache>
                <c:formatCode>0.00%</c:formatCode>
                <c:ptCount val="7"/>
                <c:pt idx="0">
                  <c:v>0</c:v>
                </c:pt>
                <c:pt idx="1">
                  <c:v>0</c:v>
                </c:pt>
                <c:pt idx="2">
                  <c:v>6.6666666666666666E-2</c:v>
                </c:pt>
                <c:pt idx="3">
                  <c:v>0.53333333333333333</c:v>
                </c:pt>
                <c:pt idx="4">
                  <c:v>6.6666666666666666E-2</c:v>
                </c:pt>
                <c:pt idx="5">
                  <c:v>0.33333333333333331</c:v>
                </c:pt>
                <c:pt idx="6">
                  <c:v>0</c:v>
                </c:pt>
              </c:numCache>
            </c:numRef>
          </c:val>
        </c:ser>
        <c:ser>
          <c:idx val="1"/>
          <c:order val="1"/>
          <c:tx>
            <c:strRef>
              <c:f>IQx!$B$142</c:f>
              <c:strCache>
                <c:ptCount val="1"/>
                <c:pt idx="0">
                  <c:v>E1</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IQx!$C$142:$I$142</c:f>
              <c:numCache>
                <c:formatCode>0.00%</c:formatCode>
                <c:ptCount val="7"/>
                <c:pt idx="0">
                  <c:v>0</c:v>
                </c:pt>
                <c:pt idx="1">
                  <c:v>0</c:v>
                </c:pt>
                <c:pt idx="2">
                  <c:v>2.7777777777777776E-2</c:v>
                </c:pt>
                <c:pt idx="3">
                  <c:v>0.47222222222222221</c:v>
                </c:pt>
                <c:pt idx="4">
                  <c:v>0.16666666666666666</c:v>
                </c:pt>
                <c:pt idx="5">
                  <c:v>0.25</c:v>
                </c:pt>
                <c:pt idx="6">
                  <c:v>8.3333333333333329E-2</c:v>
                </c:pt>
              </c:numCache>
            </c:numRef>
          </c:val>
        </c:ser>
        <c:ser>
          <c:idx val="2"/>
          <c:order val="2"/>
          <c:tx>
            <c:strRef>
              <c:f>IQx!$B$143</c:f>
              <c:strCache>
                <c:ptCount val="1"/>
                <c:pt idx="0">
                  <c:v>E2</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IQx!$C$143:$I$143</c:f>
              <c:numCache>
                <c:formatCode>0.00%</c:formatCode>
                <c:ptCount val="7"/>
                <c:pt idx="0">
                  <c:v>0</c:v>
                </c:pt>
                <c:pt idx="1">
                  <c:v>0</c:v>
                </c:pt>
                <c:pt idx="2">
                  <c:v>7.6923076923076927E-2</c:v>
                </c:pt>
                <c:pt idx="3">
                  <c:v>0.61538461538461542</c:v>
                </c:pt>
                <c:pt idx="4">
                  <c:v>0</c:v>
                </c:pt>
                <c:pt idx="5">
                  <c:v>0.30769230769230771</c:v>
                </c:pt>
                <c:pt idx="6">
                  <c:v>0</c:v>
                </c:pt>
              </c:numCache>
            </c:numRef>
          </c:val>
        </c:ser>
        <c:ser>
          <c:idx val="3"/>
          <c:order val="3"/>
          <c:tx>
            <c:strRef>
              <c:f>IQx!$B$144</c:f>
              <c:strCache>
                <c:ptCount val="1"/>
                <c:pt idx="0">
                  <c:v>E3</c:v>
                </c:pt>
              </c:strCache>
            </c:strRef>
          </c:tx>
          <c:spPr>
            <a:ln w="12700">
              <a:solidFill>
                <a:srgbClr val="00FFFF"/>
              </a:solidFill>
              <a:prstDash val="solid"/>
            </a:ln>
          </c:spPr>
          <c:marker>
            <c:symbol val="x"/>
            <c:size val="5"/>
            <c:spPr>
              <a:noFill/>
              <a:ln>
                <a:solidFill>
                  <a:srgbClr val="00FFFF"/>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IQx!$C$144:$I$144</c:f>
              <c:numCache>
                <c:formatCode>0.00%</c:formatCode>
                <c:ptCount val="7"/>
                <c:pt idx="0">
                  <c:v>0</c:v>
                </c:pt>
                <c:pt idx="1">
                  <c:v>0</c:v>
                </c:pt>
                <c:pt idx="2">
                  <c:v>0</c:v>
                </c:pt>
                <c:pt idx="3">
                  <c:v>0.53125</c:v>
                </c:pt>
                <c:pt idx="4">
                  <c:v>0.125</c:v>
                </c:pt>
                <c:pt idx="5">
                  <c:v>0.34375</c:v>
                </c:pt>
                <c:pt idx="6">
                  <c:v>0</c:v>
                </c:pt>
              </c:numCache>
            </c:numRef>
          </c:val>
        </c:ser>
        <c:ser>
          <c:idx val="4"/>
          <c:order val="4"/>
          <c:tx>
            <c:strRef>
              <c:f>IQx!$B$149</c:f>
              <c:strCache>
                <c:ptCount val="1"/>
                <c:pt idx="0">
                  <c:v>E8</c:v>
                </c:pt>
              </c:strCache>
            </c:strRef>
          </c:tx>
          <c:spPr>
            <a:ln w="12700">
              <a:solidFill>
                <a:srgbClr val="800080"/>
              </a:solidFill>
              <a:prstDash val="solid"/>
            </a:ln>
          </c:spPr>
          <c:marker>
            <c:symbol val="star"/>
            <c:size val="5"/>
            <c:spPr>
              <a:noFill/>
              <a:ln>
                <a:solidFill>
                  <a:srgbClr val="800080"/>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IQx!$C$149:$I$149</c:f>
              <c:numCache>
                <c:formatCode>0.00%</c:formatCode>
                <c:ptCount val="7"/>
                <c:pt idx="0">
                  <c:v>0</c:v>
                </c:pt>
                <c:pt idx="1">
                  <c:v>0</c:v>
                </c:pt>
                <c:pt idx="2">
                  <c:v>0</c:v>
                </c:pt>
                <c:pt idx="3">
                  <c:v>0.62857142857142856</c:v>
                </c:pt>
                <c:pt idx="4">
                  <c:v>2.8571428571428571E-2</c:v>
                </c:pt>
                <c:pt idx="5">
                  <c:v>0.2857142857142857</c:v>
                </c:pt>
                <c:pt idx="6">
                  <c:v>5.7142857142857141E-2</c:v>
                </c:pt>
              </c:numCache>
            </c:numRef>
          </c:val>
        </c:ser>
        <c:ser>
          <c:idx val="5"/>
          <c:order val="5"/>
          <c:tx>
            <c:strRef>
              <c:f>IQx!$B$150</c:f>
              <c:strCache>
                <c:ptCount val="1"/>
                <c:pt idx="0">
                  <c:v>E9</c:v>
                </c:pt>
              </c:strCache>
            </c:strRef>
          </c:tx>
          <c:spPr>
            <a:ln w="12700">
              <a:solidFill>
                <a:srgbClr val="800000"/>
              </a:solidFill>
              <a:prstDash val="solid"/>
            </a:ln>
          </c:spPr>
          <c:marker>
            <c:symbol val="circle"/>
            <c:size val="5"/>
            <c:spPr>
              <a:solidFill>
                <a:srgbClr val="800000"/>
              </a:solidFill>
              <a:ln>
                <a:solidFill>
                  <a:srgbClr val="800000"/>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IQx!$C$150:$I$150</c:f>
              <c:numCache>
                <c:formatCode>0.00%</c:formatCode>
                <c:ptCount val="7"/>
                <c:pt idx="0">
                  <c:v>0</c:v>
                </c:pt>
                <c:pt idx="1">
                  <c:v>0</c:v>
                </c:pt>
                <c:pt idx="2">
                  <c:v>0</c:v>
                </c:pt>
                <c:pt idx="3">
                  <c:v>0.33333333333333331</c:v>
                </c:pt>
                <c:pt idx="4">
                  <c:v>8.3333333333333329E-2</c:v>
                </c:pt>
                <c:pt idx="5">
                  <c:v>0.41666666666666669</c:v>
                </c:pt>
                <c:pt idx="6">
                  <c:v>0.16666666666666666</c:v>
                </c:pt>
              </c:numCache>
            </c:numRef>
          </c:val>
        </c:ser>
        <c:ser>
          <c:idx val="6"/>
          <c:order val="6"/>
          <c:tx>
            <c:strRef>
              <c:f>IQx!$B$151</c:f>
              <c:strCache>
                <c:ptCount val="1"/>
                <c:pt idx="0">
                  <c:v>E10</c:v>
                </c:pt>
              </c:strCache>
            </c:strRef>
          </c:tx>
          <c:spPr>
            <a:ln w="12700">
              <a:solidFill>
                <a:srgbClr val="008080"/>
              </a:solidFill>
              <a:prstDash val="solid"/>
            </a:ln>
          </c:spPr>
          <c:marker>
            <c:symbol val="plus"/>
            <c:size val="5"/>
            <c:spPr>
              <a:noFill/>
              <a:ln>
                <a:solidFill>
                  <a:srgbClr val="008080"/>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IQx!$C$151:$I$151</c:f>
              <c:numCache>
                <c:formatCode>0.00%</c:formatCode>
                <c:ptCount val="7"/>
                <c:pt idx="0">
                  <c:v>0</c:v>
                </c:pt>
                <c:pt idx="1">
                  <c:v>0</c:v>
                </c:pt>
                <c:pt idx="2">
                  <c:v>5.7142857142857141E-2</c:v>
                </c:pt>
                <c:pt idx="3">
                  <c:v>0.51428571428571423</c:v>
                </c:pt>
                <c:pt idx="4">
                  <c:v>2.8571428571428571E-2</c:v>
                </c:pt>
                <c:pt idx="5">
                  <c:v>0.2857142857142857</c:v>
                </c:pt>
                <c:pt idx="6">
                  <c:v>0.11428571428571428</c:v>
                </c:pt>
              </c:numCache>
            </c:numRef>
          </c:val>
        </c:ser>
        <c:ser>
          <c:idx val="7"/>
          <c:order val="7"/>
          <c:tx>
            <c:strRef>
              <c:f>IQx!$B$152</c:f>
              <c:strCache>
                <c:ptCount val="1"/>
                <c:pt idx="0">
                  <c:v>E11</c:v>
                </c:pt>
              </c:strCache>
            </c:strRef>
          </c:tx>
          <c:spPr>
            <a:ln w="12700">
              <a:solidFill>
                <a:srgbClr val="0000FF"/>
              </a:solidFill>
              <a:prstDash val="solid"/>
            </a:ln>
          </c:spPr>
          <c:marker>
            <c:symbol val="dot"/>
            <c:size val="5"/>
            <c:spPr>
              <a:noFill/>
              <a:ln>
                <a:solidFill>
                  <a:srgbClr val="0000FF"/>
                </a:solidFill>
                <a:prstDash val="solid"/>
              </a:ln>
            </c:spPr>
          </c:marker>
          <c:cat>
            <c:strRef>
              <c:f>IQx!$C$140:$I$140</c:f>
              <c:strCache>
                <c:ptCount val="7"/>
                <c:pt idx="0">
                  <c:v>En analyse</c:v>
                </c:pt>
                <c:pt idx="1">
                  <c:v>Analysées</c:v>
                </c:pt>
                <c:pt idx="2">
                  <c:v>En Attente</c:v>
                </c:pt>
                <c:pt idx="3">
                  <c:v>Corrigées</c:v>
                </c:pt>
                <c:pt idx="4">
                  <c:v>Non reproduites</c:v>
                </c:pt>
                <c:pt idx="5">
                  <c:v>Rejetées</c:v>
                </c:pt>
                <c:pt idx="6">
                  <c:v>Abandonnées</c:v>
                </c:pt>
              </c:strCache>
            </c:strRef>
          </c:cat>
          <c:val>
            <c:numRef>
              <c:f>IQx!$C$152:$I$152</c:f>
              <c:numCache>
                <c:formatCode>0.00%</c:formatCode>
                <c:ptCount val="7"/>
                <c:pt idx="0">
                  <c:v>0</c:v>
                </c:pt>
                <c:pt idx="1">
                  <c:v>0</c:v>
                </c:pt>
                <c:pt idx="2">
                  <c:v>2.3952095808383235E-2</c:v>
                </c:pt>
                <c:pt idx="3">
                  <c:v>0.43113772455089822</c:v>
                </c:pt>
                <c:pt idx="4">
                  <c:v>8.3832335329341312E-2</c:v>
                </c:pt>
                <c:pt idx="5">
                  <c:v>0.41317365269461076</c:v>
                </c:pt>
                <c:pt idx="6">
                  <c:v>4.790419161676647E-2</c:v>
                </c:pt>
              </c:numCache>
            </c:numRef>
          </c:val>
        </c:ser>
        <c:axId val="105216640"/>
        <c:axId val="105227008"/>
      </c:radarChart>
      <c:catAx>
        <c:axId val="105216640"/>
        <c:scaling>
          <c:orientation val="minMax"/>
        </c:scaling>
        <c:axPos val="b"/>
        <c:majorGridlines>
          <c:spPr>
            <a:ln w="3175">
              <a:solidFill>
                <a:srgbClr val="000000"/>
              </a:solidFill>
              <a:prstDash val="solid"/>
            </a:ln>
          </c:spPr>
        </c:majorGridlines>
        <c:numFmt formatCode="General" sourceLinked="1"/>
        <c:tickLblPos val="nextTo"/>
        <c:txPr>
          <a:bodyPr rot="0" vert="horz"/>
          <a:lstStyle/>
          <a:p>
            <a:pPr>
              <a:defRPr sz="975" b="0" i="0" u="none" strike="noStrike" baseline="0">
                <a:solidFill>
                  <a:srgbClr val="000000"/>
                </a:solidFill>
                <a:latin typeface="Arial"/>
                <a:ea typeface="Arial"/>
                <a:cs typeface="Arial"/>
              </a:defRPr>
            </a:pPr>
            <a:endParaRPr lang="fr-FR"/>
          </a:p>
        </c:txPr>
        <c:crossAx val="105227008"/>
        <c:crosses val="autoZero"/>
        <c:lblAlgn val="ctr"/>
        <c:lblOffset val="100"/>
      </c:catAx>
      <c:valAx>
        <c:axId val="105227008"/>
        <c:scaling>
          <c:orientation val="minMax"/>
        </c:scaling>
        <c:axPos val="l"/>
        <c:majorGridlines>
          <c:spPr>
            <a:ln w="3175">
              <a:solidFill>
                <a:srgbClr val="000000"/>
              </a:solidFill>
              <a:prstDash val="solid"/>
            </a:ln>
          </c:spPr>
        </c:majorGridlines>
        <c:numFmt formatCode="0.00%" sourceLinked="1"/>
        <c:majorTickMark val="cross"/>
        <c:tickLblPos val="nextTo"/>
        <c:spPr>
          <a:ln w="3175">
            <a:solidFill>
              <a:srgbClr val="000000"/>
            </a:solidFill>
            <a:prstDash val="solid"/>
          </a:ln>
        </c:spPr>
        <c:txPr>
          <a:bodyPr rot="0" vert="horz"/>
          <a:lstStyle/>
          <a:p>
            <a:pPr>
              <a:defRPr sz="975" b="0" i="0" u="none" strike="noStrike" baseline="0">
                <a:solidFill>
                  <a:srgbClr val="000000"/>
                </a:solidFill>
                <a:latin typeface="Arial"/>
                <a:ea typeface="Arial"/>
                <a:cs typeface="Arial"/>
              </a:defRPr>
            </a:pPr>
            <a:endParaRPr lang="fr-FR"/>
          </a:p>
        </c:txPr>
        <c:crossAx val="105216640"/>
        <c:crosses val="autoZero"/>
        <c:crossBetween val="between"/>
      </c:valAx>
      <c:spPr>
        <a:noFill/>
        <a:ln w="25400">
          <a:noFill/>
        </a:ln>
      </c:spPr>
    </c:plotArea>
    <c:legend>
      <c:legendPos val="r"/>
      <c:layout>
        <c:manualLayout>
          <c:xMode val="edge"/>
          <c:yMode val="edge"/>
          <c:x val="0.8329853862212947"/>
          <c:y val="0.35405462155070438"/>
          <c:w val="0.14822546972860096"/>
          <c:h val="0.41351408101018688"/>
        </c:manualLayout>
      </c:layout>
      <c:spPr>
        <a:solidFill>
          <a:srgbClr val="FFFFFF"/>
        </a:solidFill>
        <a:ln w="3175">
          <a:solidFill>
            <a:srgbClr val="000000"/>
          </a:solidFill>
          <a:prstDash val="solid"/>
        </a:ln>
      </c:spPr>
      <c:txPr>
        <a:bodyPr/>
        <a:lstStyle/>
        <a:p>
          <a:pPr>
            <a:defRPr sz="675" b="0" i="0" u="none" strike="noStrike" baseline="0">
              <a:solidFill>
                <a:srgbClr val="000000"/>
              </a:solidFill>
              <a:latin typeface="Arial"/>
              <a:ea typeface="Arial"/>
              <a:cs typeface="Arial"/>
            </a:defRPr>
          </a:pPr>
          <a:endParaRPr lang="fr-FR"/>
        </a:p>
      </c:txPr>
    </c:legend>
    <c:plotVisOnly val="1"/>
    <c:dispBlanksAs val="gap"/>
  </c:chart>
  <c:spPr>
    <a:solidFill>
      <a:srgbClr val="FFFFFF"/>
    </a:solidFill>
    <a:ln w="3175">
      <a:solidFill>
        <a:srgbClr val="000000"/>
      </a:solidFill>
      <a:prstDash val="solid"/>
    </a:ln>
  </c:spPr>
  <c:txPr>
    <a:bodyPr/>
    <a:lstStyle/>
    <a:p>
      <a:pPr>
        <a:defRPr sz="800" b="0" i="0" u="none" strike="noStrike" baseline="0">
          <a:solidFill>
            <a:srgbClr val="000000"/>
          </a:solidFill>
          <a:latin typeface="Arial"/>
          <a:ea typeface="Arial"/>
          <a:cs typeface="Arial"/>
        </a:defRPr>
      </a:pPr>
      <a:endParaRPr lang="fr-FR"/>
    </a:p>
  </c:txPr>
  <c:printSettings>
    <c:headerFooter alignWithMargins="0"/>
    <c:pageMargins b="0.98425196899999956" l="0.78740157499999996" r="0.78740157499999996" t="0.98425196899999956" header="0.49212598450000788" footer="0.49212598450000788"/>
    <c:pageSetup/>
  </c:printSettings>
</c:chartSpace>
</file>

<file path=xl/chart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chart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chartsheets/_rels/sheet3.xml.rels><?xml version="1.0" encoding="UTF-8" standalone="yes"?>
<Relationships xmlns="http://schemas.openxmlformats.org/package/2006/relationships"><Relationship Id="rId1" Type="http://schemas.openxmlformats.org/officeDocument/2006/relationships/drawing" Target="../drawings/drawing4.xml"/></Relationships>
</file>

<file path=xl/chartsheets/_rels/sheet4.xml.rels><?xml version="1.0" encoding="UTF-8" standalone="yes"?>
<Relationships xmlns="http://schemas.openxmlformats.org/package/2006/relationships"><Relationship Id="rId1" Type="http://schemas.openxmlformats.org/officeDocument/2006/relationships/drawing" Target="../drawings/drawing6.xml"/></Relationships>
</file>

<file path=xl/chartsheets/sheet1.xml><?xml version="1.0" encoding="utf-8"?>
<chartsheet xmlns="http://schemas.openxmlformats.org/spreadsheetml/2006/main" xmlns:r="http://schemas.openxmlformats.org/officeDocument/2006/relationships">
  <sheetPr codeName="Graph1"/>
  <sheetViews>
    <sheetView zoomScale="85" workbookViewId="0"/>
  </sheetViews>
  <pageMargins left="0.31" right="0.54" top="0.31" bottom="0.19" header="0.31" footer="0.19"/>
  <pageSetup paperSize="9" orientation="landscape" r:id="rId1"/>
  <headerFooter alignWithMargins="0">
    <oddFooter>&amp;L&amp;D</oddFooter>
  </headerFooter>
  <drawing r:id="rId2"/>
</chartsheet>
</file>

<file path=xl/chartsheets/sheet2.xml><?xml version="1.0" encoding="utf-8"?>
<chartsheet xmlns="http://schemas.openxmlformats.org/spreadsheetml/2006/main" xmlns:r="http://schemas.openxmlformats.org/officeDocument/2006/relationships">
  <sheetPr codeName="Graph2"/>
  <sheetViews>
    <sheetView workbookViewId="0"/>
  </sheetViews>
  <pageMargins left="0.7" right="0.7" top="0.75" bottom="0.75" header="0.3" footer="0.3"/>
  <drawing r:id="rId1"/>
</chartsheet>
</file>

<file path=xl/chartsheets/sheet3.xml><?xml version="1.0" encoding="utf-8"?>
<chartsheet xmlns="http://schemas.openxmlformats.org/spreadsheetml/2006/main" xmlns:r="http://schemas.openxmlformats.org/officeDocument/2006/relationships">
  <sheetPr codeName="Graph4"/>
  <sheetViews>
    <sheetView zoomScale="85" workbookViewId="0"/>
  </sheetViews>
  <pageMargins left="0.7" right="0.7" top="0.75" bottom="0.75" header="0.3" footer="0.3"/>
  <drawing r:id="rId1"/>
</chartsheet>
</file>

<file path=xl/chartsheets/sheet4.xml><?xml version="1.0" encoding="utf-8"?>
<chartsheet xmlns="http://schemas.openxmlformats.org/spreadsheetml/2006/main" xmlns:r="http://schemas.openxmlformats.org/officeDocument/2006/relationships">
  <sheetPr codeName="Graph3"/>
  <sheetViews>
    <sheetView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8" Type="http://schemas.openxmlformats.org/officeDocument/2006/relationships/chart" Target="../charts/chart10.xml"/><Relationship Id="rId13" Type="http://schemas.openxmlformats.org/officeDocument/2006/relationships/chart" Target="../charts/chart15.xml"/><Relationship Id="rId3" Type="http://schemas.openxmlformats.org/officeDocument/2006/relationships/chart" Target="../charts/chart5.xml"/><Relationship Id="rId7" Type="http://schemas.openxmlformats.org/officeDocument/2006/relationships/chart" Target="../charts/chart9.xml"/><Relationship Id="rId12" Type="http://schemas.openxmlformats.org/officeDocument/2006/relationships/chart" Target="../charts/chart14.xml"/><Relationship Id="rId2" Type="http://schemas.openxmlformats.org/officeDocument/2006/relationships/image" Target="../media/image10.jpeg"/><Relationship Id="rId1" Type="http://schemas.openxmlformats.org/officeDocument/2006/relationships/image" Target="../media/image9.jpeg"/><Relationship Id="rId6" Type="http://schemas.openxmlformats.org/officeDocument/2006/relationships/chart" Target="../charts/chart8.xml"/><Relationship Id="rId11" Type="http://schemas.openxmlformats.org/officeDocument/2006/relationships/chart" Target="../charts/chart13.xml"/><Relationship Id="rId5" Type="http://schemas.openxmlformats.org/officeDocument/2006/relationships/chart" Target="../charts/chart7.xml"/><Relationship Id="rId15" Type="http://schemas.openxmlformats.org/officeDocument/2006/relationships/image" Target="../media/image11.jpeg"/><Relationship Id="rId10" Type="http://schemas.openxmlformats.org/officeDocument/2006/relationships/chart" Target="../charts/chart12.xml"/><Relationship Id="rId4" Type="http://schemas.openxmlformats.org/officeDocument/2006/relationships/chart" Target="../charts/chart6.xml"/><Relationship Id="rId9" Type="http://schemas.openxmlformats.org/officeDocument/2006/relationships/chart" Target="../charts/chart11.xml"/><Relationship Id="rId14" Type="http://schemas.openxmlformats.org/officeDocument/2006/relationships/chart" Target="../charts/chart16.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absoluteAnchor>
    <xdr:pos x="0" y="0"/>
    <xdr:ext cx="9816353" cy="6992471"/>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2.xml><?xml version="1.0" encoding="utf-8"?>
<xdr:wsDr xmlns:xdr="http://schemas.openxmlformats.org/drawingml/2006/spreadsheetDrawing" xmlns:a="http://schemas.openxmlformats.org/drawingml/2006/main">
  <xdr:absoluteAnchor>
    <xdr:pos x="0" y="0"/>
    <xdr:ext cx="9305925" cy="607695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3.xml><?xml version="1.0" encoding="utf-8"?>
<c:userShapes xmlns:c="http://schemas.openxmlformats.org/drawingml/2006/chart">
  <cdr:relSizeAnchor xmlns:cdr="http://schemas.openxmlformats.org/drawingml/2006/chartDrawing">
    <cdr:from>
      <cdr:x>0.41886</cdr:x>
      <cdr:y>0.02786</cdr:y>
    </cdr:from>
    <cdr:to>
      <cdr:x>0.85427</cdr:x>
      <cdr:y>0.07276</cdr:y>
    </cdr:to>
    <cdr:sp macro="" textlink="">
      <cdr:nvSpPr>
        <cdr:cNvPr id="2" name="ZoneTexte 1"/>
        <cdr:cNvSpPr txBox="1"/>
      </cdr:nvSpPr>
      <cdr:spPr>
        <a:xfrm xmlns:a="http://schemas.openxmlformats.org/drawingml/2006/main">
          <a:off x="3894838" y="169729"/>
          <a:ext cx="4048732" cy="2735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400" baseline="0"/>
        </a:p>
      </cdr:txBody>
    </cdr:sp>
  </cdr:relSizeAnchor>
</c:userShapes>
</file>

<file path=xl/drawings/drawing4.xml><?xml version="1.0" encoding="utf-8"?>
<xdr:wsDr xmlns:xdr="http://schemas.openxmlformats.org/drawingml/2006/spreadsheetDrawing" xmlns:a="http://schemas.openxmlformats.org/drawingml/2006/main">
  <xdr:absoluteAnchor>
    <xdr:pos x="0" y="0"/>
    <xdr:ext cx="9312088" cy="6084794"/>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5.xml><?xml version="1.0" encoding="utf-8"?>
<c:userShapes xmlns:c="http://schemas.openxmlformats.org/drawingml/2006/chart">
  <cdr:relSizeAnchor xmlns:cdr="http://schemas.openxmlformats.org/drawingml/2006/chartDrawing">
    <cdr:from>
      <cdr:x>0.41886</cdr:x>
      <cdr:y>0.02786</cdr:y>
    </cdr:from>
    <cdr:to>
      <cdr:x>0.85427</cdr:x>
      <cdr:y>0.07276</cdr:y>
    </cdr:to>
    <cdr:sp macro="" textlink="">
      <cdr:nvSpPr>
        <cdr:cNvPr id="2" name="ZoneTexte 1"/>
        <cdr:cNvSpPr txBox="1"/>
      </cdr:nvSpPr>
      <cdr:spPr>
        <a:xfrm xmlns:a="http://schemas.openxmlformats.org/drawingml/2006/main">
          <a:off x="3894838" y="169729"/>
          <a:ext cx="4048732" cy="2735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400" baseline="0"/>
        </a:p>
      </cdr:txBody>
    </cdr:sp>
  </cdr:relSizeAnchor>
</c:userShapes>
</file>

<file path=xl/drawings/drawing6.xml><?xml version="1.0" encoding="utf-8"?>
<xdr:wsDr xmlns:xdr="http://schemas.openxmlformats.org/drawingml/2006/spreadsheetDrawing" xmlns:a="http://schemas.openxmlformats.org/drawingml/2006/main">
  <xdr:absoluteAnchor>
    <xdr:pos x="0" y="0"/>
    <xdr:ext cx="9305925" cy="6076950"/>
    <xdr:graphicFrame macro="">
      <xdr:nvGraphicFramePr>
        <xdr:cNvPr id="2" name="Graphique 1"/>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drawings/drawing7.xml><?xml version="1.0" encoding="utf-8"?>
<c:userShapes xmlns:c="http://schemas.openxmlformats.org/drawingml/2006/chart">
  <cdr:relSizeAnchor xmlns:cdr="http://schemas.openxmlformats.org/drawingml/2006/chartDrawing">
    <cdr:from>
      <cdr:x>0.41886</cdr:x>
      <cdr:y>0.02786</cdr:y>
    </cdr:from>
    <cdr:to>
      <cdr:x>0.85427</cdr:x>
      <cdr:y>0.07276</cdr:y>
    </cdr:to>
    <cdr:sp macro="" textlink="">
      <cdr:nvSpPr>
        <cdr:cNvPr id="2" name="ZoneTexte 1"/>
        <cdr:cNvSpPr txBox="1"/>
      </cdr:nvSpPr>
      <cdr:spPr>
        <a:xfrm xmlns:a="http://schemas.openxmlformats.org/drawingml/2006/main">
          <a:off x="3894838" y="169729"/>
          <a:ext cx="4048732" cy="2735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400" baseline="0"/>
        </a:p>
      </cdr:txBody>
    </cdr:sp>
  </cdr:relSizeAnchor>
  <cdr:relSizeAnchor xmlns:cdr="http://schemas.openxmlformats.org/drawingml/2006/chartDrawing">
    <cdr:from>
      <cdr:x>0.41886</cdr:x>
      <cdr:y>0.02786</cdr:y>
    </cdr:from>
    <cdr:to>
      <cdr:x>0.85427</cdr:x>
      <cdr:y>0.07276</cdr:y>
    </cdr:to>
    <cdr:sp macro="" textlink="">
      <cdr:nvSpPr>
        <cdr:cNvPr id="3" name="ZoneTexte 1"/>
        <cdr:cNvSpPr txBox="1"/>
      </cdr:nvSpPr>
      <cdr:spPr>
        <a:xfrm xmlns:a="http://schemas.openxmlformats.org/drawingml/2006/main">
          <a:off x="3894838" y="169729"/>
          <a:ext cx="4048732" cy="273542"/>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fr-FR" sz="1400" baseline="0"/>
        </a:p>
      </cdr:txBody>
    </cdr:sp>
  </cdr:relSizeAnchor>
</c:userShapes>
</file>

<file path=xl/drawings/drawing8.xml><?xml version="1.0" encoding="utf-8"?>
<xdr:wsDr xmlns:xdr="http://schemas.openxmlformats.org/drawingml/2006/spreadsheetDrawing" xmlns:a="http://schemas.openxmlformats.org/drawingml/2006/main">
  <xdr:twoCellAnchor editAs="oneCell">
    <xdr:from>
      <xdr:col>0</xdr:col>
      <xdr:colOff>161925</xdr:colOff>
      <xdr:row>2</xdr:row>
      <xdr:rowOff>66675</xdr:rowOff>
    </xdr:from>
    <xdr:to>
      <xdr:col>2</xdr:col>
      <xdr:colOff>219075</xdr:colOff>
      <xdr:row>3</xdr:row>
      <xdr:rowOff>238125</xdr:rowOff>
    </xdr:to>
    <xdr:pic>
      <xdr:nvPicPr>
        <xdr:cNvPr id="25726" name="Picture 1" descr="logo_actia"/>
        <xdr:cNvPicPr>
          <a:picLocks noChangeAspect="1" noChangeArrowheads="1"/>
        </xdr:cNvPicPr>
      </xdr:nvPicPr>
      <xdr:blipFill>
        <a:blip xmlns:r="http://schemas.openxmlformats.org/officeDocument/2006/relationships" r:embed="rId1" cstate="print"/>
        <a:srcRect/>
        <a:stretch>
          <a:fillRect/>
        </a:stretch>
      </xdr:blipFill>
      <xdr:spPr bwMode="auto">
        <a:xfrm>
          <a:off x="161925" y="457200"/>
          <a:ext cx="1581150" cy="333375"/>
        </a:xfrm>
        <a:prstGeom prst="rect">
          <a:avLst/>
        </a:prstGeom>
        <a:noFill/>
        <a:ln w="9525">
          <a:noFill/>
          <a:miter lim="800000"/>
          <a:headEnd/>
          <a:tailEnd/>
        </a:ln>
      </xdr:spPr>
    </xdr:pic>
    <xdr:clientData/>
  </xdr:twoCellAnchor>
  <xdr:twoCellAnchor editAs="oneCell">
    <xdr:from>
      <xdr:col>3</xdr:col>
      <xdr:colOff>0</xdr:colOff>
      <xdr:row>5</xdr:row>
      <xdr:rowOff>9525</xdr:rowOff>
    </xdr:from>
    <xdr:to>
      <xdr:col>3</xdr:col>
      <xdr:colOff>723900</xdr:colOff>
      <xdr:row>8</xdr:row>
      <xdr:rowOff>152400</xdr:rowOff>
    </xdr:to>
    <xdr:pic>
      <xdr:nvPicPr>
        <xdr:cNvPr id="25727" name="Picture 3" descr="Lexia"/>
        <xdr:cNvPicPr>
          <a:picLocks noChangeAspect="1" noChangeArrowheads="1"/>
        </xdr:cNvPicPr>
      </xdr:nvPicPr>
      <xdr:blipFill>
        <a:blip xmlns:r="http://schemas.openxmlformats.org/officeDocument/2006/relationships" r:embed="rId2" cstate="print"/>
        <a:srcRect/>
        <a:stretch>
          <a:fillRect/>
        </a:stretch>
      </xdr:blipFill>
      <xdr:spPr bwMode="auto">
        <a:xfrm>
          <a:off x="2286000" y="1019175"/>
          <a:ext cx="723900" cy="723900"/>
        </a:xfrm>
        <a:prstGeom prst="rect">
          <a:avLst/>
        </a:prstGeom>
        <a:noFill/>
        <a:ln w="9525">
          <a:noFill/>
          <a:miter lim="800000"/>
          <a:headEnd/>
          <a:tailEnd/>
        </a:ln>
      </xdr:spPr>
    </xdr:pic>
    <xdr:clientData/>
  </xdr:twoCellAnchor>
  <xdr:twoCellAnchor>
    <xdr:from>
      <xdr:col>1</xdr:col>
      <xdr:colOff>19050</xdr:colOff>
      <xdr:row>23</xdr:row>
      <xdr:rowOff>85725</xdr:rowOff>
    </xdr:from>
    <xdr:to>
      <xdr:col>5</xdr:col>
      <xdr:colOff>752475</xdr:colOff>
      <xdr:row>23</xdr:row>
      <xdr:rowOff>2676525</xdr:rowOff>
    </xdr:to>
    <xdr:graphicFrame macro="">
      <xdr:nvGraphicFramePr>
        <xdr:cNvPr id="25728" name="Chart 4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23</xdr:row>
      <xdr:rowOff>85725</xdr:rowOff>
    </xdr:from>
    <xdr:to>
      <xdr:col>12</xdr:col>
      <xdr:colOff>742950</xdr:colOff>
      <xdr:row>23</xdr:row>
      <xdr:rowOff>2686050</xdr:rowOff>
    </xdr:to>
    <xdr:graphicFrame macro="">
      <xdr:nvGraphicFramePr>
        <xdr:cNvPr id="25729" name="Chart 4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0</xdr:colOff>
      <xdr:row>45</xdr:row>
      <xdr:rowOff>85725</xdr:rowOff>
    </xdr:from>
    <xdr:to>
      <xdr:col>5</xdr:col>
      <xdr:colOff>752475</xdr:colOff>
      <xdr:row>45</xdr:row>
      <xdr:rowOff>2686050</xdr:rowOff>
    </xdr:to>
    <xdr:graphicFrame macro="">
      <xdr:nvGraphicFramePr>
        <xdr:cNvPr id="25730" name="Chart 5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7</xdr:col>
      <xdr:colOff>752475</xdr:colOff>
      <xdr:row>45</xdr:row>
      <xdr:rowOff>95250</xdr:rowOff>
    </xdr:from>
    <xdr:to>
      <xdr:col>12</xdr:col>
      <xdr:colOff>752475</xdr:colOff>
      <xdr:row>45</xdr:row>
      <xdr:rowOff>2705100</xdr:rowOff>
    </xdr:to>
    <xdr:graphicFrame macro="">
      <xdr:nvGraphicFramePr>
        <xdr:cNvPr id="25731" name="Chart 5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xdr:col>
      <xdr:colOff>0</xdr:colOff>
      <xdr:row>67</xdr:row>
      <xdr:rowOff>66675</xdr:rowOff>
    </xdr:from>
    <xdr:to>
      <xdr:col>6</xdr:col>
      <xdr:colOff>0</xdr:colOff>
      <xdr:row>67</xdr:row>
      <xdr:rowOff>2657475</xdr:rowOff>
    </xdr:to>
    <xdr:graphicFrame macro="">
      <xdr:nvGraphicFramePr>
        <xdr:cNvPr id="25732" name="Chart 5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752475</xdr:colOff>
      <xdr:row>67</xdr:row>
      <xdr:rowOff>76200</xdr:rowOff>
    </xdr:from>
    <xdr:to>
      <xdr:col>13</xdr:col>
      <xdr:colOff>0</xdr:colOff>
      <xdr:row>67</xdr:row>
      <xdr:rowOff>2676525</xdr:rowOff>
    </xdr:to>
    <xdr:graphicFrame macro="">
      <xdr:nvGraphicFramePr>
        <xdr:cNvPr id="25733" name="Chart 5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752475</xdr:colOff>
      <xdr:row>111</xdr:row>
      <xdr:rowOff>85725</xdr:rowOff>
    </xdr:from>
    <xdr:to>
      <xdr:col>6</xdr:col>
      <xdr:colOff>0</xdr:colOff>
      <xdr:row>111</xdr:row>
      <xdr:rowOff>2686050</xdr:rowOff>
    </xdr:to>
    <xdr:graphicFrame macro="">
      <xdr:nvGraphicFramePr>
        <xdr:cNvPr id="25734" name="Chart 5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752475</xdr:colOff>
      <xdr:row>111</xdr:row>
      <xdr:rowOff>66675</xdr:rowOff>
    </xdr:from>
    <xdr:to>
      <xdr:col>13</xdr:col>
      <xdr:colOff>9525</xdr:colOff>
      <xdr:row>111</xdr:row>
      <xdr:rowOff>2676525</xdr:rowOff>
    </xdr:to>
    <xdr:graphicFrame macro="">
      <xdr:nvGraphicFramePr>
        <xdr:cNvPr id="25735" name="Chart 5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xdr:col>
      <xdr:colOff>0</xdr:colOff>
      <xdr:row>89</xdr:row>
      <xdr:rowOff>85725</xdr:rowOff>
    </xdr:from>
    <xdr:to>
      <xdr:col>6</xdr:col>
      <xdr:colOff>0</xdr:colOff>
      <xdr:row>89</xdr:row>
      <xdr:rowOff>2695575</xdr:rowOff>
    </xdr:to>
    <xdr:graphicFrame macro="">
      <xdr:nvGraphicFramePr>
        <xdr:cNvPr id="25736" name="Chart 5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89</xdr:row>
      <xdr:rowOff>85725</xdr:rowOff>
    </xdr:from>
    <xdr:to>
      <xdr:col>13</xdr:col>
      <xdr:colOff>9525</xdr:colOff>
      <xdr:row>89</xdr:row>
      <xdr:rowOff>2705100</xdr:rowOff>
    </xdr:to>
    <xdr:graphicFrame macro="">
      <xdr:nvGraphicFramePr>
        <xdr:cNvPr id="25737" name="Chart 5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152</xdr:row>
      <xdr:rowOff>47625</xdr:rowOff>
    </xdr:from>
    <xdr:to>
      <xdr:col>7</xdr:col>
      <xdr:colOff>9525</xdr:colOff>
      <xdr:row>155</xdr:row>
      <xdr:rowOff>95250</xdr:rowOff>
    </xdr:to>
    <xdr:graphicFrame macro="">
      <xdr:nvGraphicFramePr>
        <xdr:cNvPr id="25738" name="Chart 5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19050</xdr:colOff>
      <xdr:row>152</xdr:row>
      <xdr:rowOff>38100</xdr:rowOff>
    </xdr:from>
    <xdr:to>
      <xdr:col>13</xdr:col>
      <xdr:colOff>9525</xdr:colOff>
      <xdr:row>155</xdr:row>
      <xdr:rowOff>95250</xdr:rowOff>
    </xdr:to>
    <xdr:graphicFrame macro="">
      <xdr:nvGraphicFramePr>
        <xdr:cNvPr id="25739" name="Chart 5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10</xdr:col>
      <xdr:colOff>0</xdr:colOff>
      <xdr:row>5</xdr:row>
      <xdr:rowOff>19050</xdr:rowOff>
    </xdr:from>
    <xdr:to>
      <xdr:col>11</xdr:col>
      <xdr:colOff>19050</xdr:colOff>
      <xdr:row>8</xdr:row>
      <xdr:rowOff>142875</xdr:rowOff>
    </xdr:to>
    <xdr:pic>
      <xdr:nvPicPr>
        <xdr:cNvPr id="25740" name="Picture 62"/>
        <xdr:cNvPicPr>
          <a:picLocks noChangeAspect="1" noChangeArrowheads="1"/>
        </xdr:cNvPicPr>
      </xdr:nvPicPr>
      <xdr:blipFill>
        <a:blip xmlns:r="http://schemas.openxmlformats.org/officeDocument/2006/relationships" r:embed="rId15" cstate="print"/>
        <a:srcRect/>
        <a:stretch>
          <a:fillRect/>
        </a:stretch>
      </xdr:blipFill>
      <xdr:spPr bwMode="auto">
        <a:xfrm>
          <a:off x="7620000" y="1028700"/>
          <a:ext cx="781050" cy="704850"/>
        </a:xfrm>
        <a:prstGeom prst="rect">
          <a:avLst/>
        </a:prstGeom>
        <a:noFill/>
        <a:ln w="9525">
          <a:noFill/>
          <a:miter lim="800000"/>
          <a:headEnd/>
          <a:tailEnd/>
        </a:ln>
      </xdr:spPr>
    </xdr:pic>
    <xdr:clientData/>
  </xdr:twoCellAnchor>
  <xdr:twoCellAnchor editAs="oneCell">
    <xdr:from>
      <xdr:col>3</xdr:col>
      <xdr:colOff>0</xdr:colOff>
      <xdr:row>27</xdr:row>
      <xdr:rowOff>9525</xdr:rowOff>
    </xdr:from>
    <xdr:to>
      <xdr:col>3</xdr:col>
      <xdr:colOff>723900</xdr:colOff>
      <xdr:row>30</xdr:row>
      <xdr:rowOff>152400</xdr:rowOff>
    </xdr:to>
    <xdr:pic>
      <xdr:nvPicPr>
        <xdr:cNvPr id="25741" name="Picture 68" descr="Lexia"/>
        <xdr:cNvPicPr>
          <a:picLocks noChangeAspect="1" noChangeArrowheads="1"/>
        </xdr:cNvPicPr>
      </xdr:nvPicPr>
      <xdr:blipFill>
        <a:blip xmlns:r="http://schemas.openxmlformats.org/officeDocument/2006/relationships" r:embed="rId2" cstate="print"/>
        <a:srcRect/>
        <a:stretch>
          <a:fillRect/>
        </a:stretch>
      </xdr:blipFill>
      <xdr:spPr bwMode="auto">
        <a:xfrm>
          <a:off x="2286000" y="7334250"/>
          <a:ext cx="723900" cy="723900"/>
        </a:xfrm>
        <a:prstGeom prst="rect">
          <a:avLst/>
        </a:prstGeom>
        <a:noFill/>
        <a:ln w="9525">
          <a:noFill/>
          <a:miter lim="800000"/>
          <a:headEnd/>
          <a:tailEnd/>
        </a:ln>
      </xdr:spPr>
    </xdr:pic>
    <xdr:clientData/>
  </xdr:twoCellAnchor>
  <xdr:twoCellAnchor editAs="oneCell">
    <xdr:from>
      <xdr:col>3</xdr:col>
      <xdr:colOff>0</xdr:colOff>
      <xdr:row>49</xdr:row>
      <xdr:rowOff>9525</xdr:rowOff>
    </xdr:from>
    <xdr:to>
      <xdr:col>3</xdr:col>
      <xdr:colOff>723900</xdr:colOff>
      <xdr:row>52</xdr:row>
      <xdr:rowOff>152400</xdr:rowOff>
    </xdr:to>
    <xdr:pic>
      <xdr:nvPicPr>
        <xdr:cNvPr id="25742" name="Picture 69" descr="Lexia"/>
        <xdr:cNvPicPr>
          <a:picLocks noChangeAspect="1" noChangeArrowheads="1"/>
        </xdr:cNvPicPr>
      </xdr:nvPicPr>
      <xdr:blipFill>
        <a:blip xmlns:r="http://schemas.openxmlformats.org/officeDocument/2006/relationships" r:embed="rId2" cstate="print"/>
        <a:srcRect/>
        <a:stretch>
          <a:fillRect/>
        </a:stretch>
      </xdr:blipFill>
      <xdr:spPr bwMode="auto">
        <a:xfrm>
          <a:off x="2286000" y="13649325"/>
          <a:ext cx="723900" cy="723900"/>
        </a:xfrm>
        <a:prstGeom prst="rect">
          <a:avLst/>
        </a:prstGeom>
        <a:noFill/>
        <a:ln w="9525">
          <a:noFill/>
          <a:miter lim="800000"/>
          <a:headEnd/>
          <a:tailEnd/>
        </a:ln>
      </xdr:spPr>
    </xdr:pic>
    <xdr:clientData/>
  </xdr:twoCellAnchor>
  <xdr:twoCellAnchor editAs="oneCell">
    <xdr:from>
      <xdr:col>3</xdr:col>
      <xdr:colOff>0</xdr:colOff>
      <xdr:row>71</xdr:row>
      <xdr:rowOff>9525</xdr:rowOff>
    </xdr:from>
    <xdr:to>
      <xdr:col>3</xdr:col>
      <xdr:colOff>723900</xdr:colOff>
      <xdr:row>74</xdr:row>
      <xdr:rowOff>152400</xdr:rowOff>
    </xdr:to>
    <xdr:pic>
      <xdr:nvPicPr>
        <xdr:cNvPr id="25743" name="Picture 70" descr="Lexia"/>
        <xdr:cNvPicPr>
          <a:picLocks noChangeAspect="1" noChangeArrowheads="1"/>
        </xdr:cNvPicPr>
      </xdr:nvPicPr>
      <xdr:blipFill>
        <a:blip xmlns:r="http://schemas.openxmlformats.org/officeDocument/2006/relationships" r:embed="rId2" cstate="print"/>
        <a:srcRect/>
        <a:stretch>
          <a:fillRect/>
        </a:stretch>
      </xdr:blipFill>
      <xdr:spPr bwMode="auto">
        <a:xfrm>
          <a:off x="2286000" y="19964400"/>
          <a:ext cx="723900" cy="723900"/>
        </a:xfrm>
        <a:prstGeom prst="rect">
          <a:avLst/>
        </a:prstGeom>
        <a:noFill/>
        <a:ln w="9525">
          <a:noFill/>
          <a:miter lim="800000"/>
          <a:headEnd/>
          <a:tailEnd/>
        </a:ln>
      </xdr:spPr>
    </xdr:pic>
    <xdr:clientData/>
  </xdr:twoCellAnchor>
  <xdr:twoCellAnchor editAs="oneCell">
    <xdr:from>
      <xdr:col>3</xdr:col>
      <xdr:colOff>0</xdr:colOff>
      <xdr:row>93</xdr:row>
      <xdr:rowOff>9525</xdr:rowOff>
    </xdr:from>
    <xdr:to>
      <xdr:col>3</xdr:col>
      <xdr:colOff>723900</xdr:colOff>
      <xdr:row>96</xdr:row>
      <xdr:rowOff>152400</xdr:rowOff>
    </xdr:to>
    <xdr:pic>
      <xdr:nvPicPr>
        <xdr:cNvPr id="25744" name="Picture 71" descr="Lexia"/>
        <xdr:cNvPicPr>
          <a:picLocks noChangeAspect="1" noChangeArrowheads="1"/>
        </xdr:cNvPicPr>
      </xdr:nvPicPr>
      <xdr:blipFill>
        <a:blip xmlns:r="http://schemas.openxmlformats.org/officeDocument/2006/relationships" r:embed="rId2" cstate="print"/>
        <a:srcRect/>
        <a:stretch>
          <a:fillRect/>
        </a:stretch>
      </xdr:blipFill>
      <xdr:spPr bwMode="auto">
        <a:xfrm>
          <a:off x="2286000" y="26279475"/>
          <a:ext cx="723900" cy="723900"/>
        </a:xfrm>
        <a:prstGeom prst="rect">
          <a:avLst/>
        </a:prstGeom>
        <a:noFill/>
        <a:ln w="9525">
          <a:noFill/>
          <a:miter lim="800000"/>
          <a:headEnd/>
          <a:tailEnd/>
        </a:ln>
      </xdr:spPr>
    </xdr:pic>
    <xdr:clientData/>
  </xdr:twoCellAnchor>
  <xdr:twoCellAnchor editAs="oneCell">
    <xdr:from>
      <xdr:col>3</xdr:col>
      <xdr:colOff>0</xdr:colOff>
      <xdr:row>115</xdr:row>
      <xdr:rowOff>9525</xdr:rowOff>
    </xdr:from>
    <xdr:to>
      <xdr:col>3</xdr:col>
      <xdr:colOff>723900</xdr:colOff>
      <xdr:row>118</xdr:row>
      <xdr:rowOff>152400</xdr:rowOff>
    </xdr:to>
    <xdr:pic>
      <xdr:nvPicPr>
        <xdr:cNvPr id="25745" name="Picture 72" descr="Lexia"/>
        <xdr:cNvPicPr>
          <a:picLocks noChangeAspect="1" noChangeArrowheads="1"/>
        </xdr:cNvPicPr>
      </xdr:nvPicPr>
      <xdr:blipFill>
        <a:blip xmlns:r="http://schemas.openxmlformats.org/officeDocument/2006/relationships" r:embed="rId2" cstate="print"/>
        <a:srcRect/>
        <a:stretch>
          <a:fillRect/>
        </a:stretch>
      </xdr:blipFill>
      <xdr:spPr bwMode="auto">
        <a:xfrm>
          <a:off x="2286000" y="32604075"/>
          <a:ext cx="723900" cy="723900"/>
        </a:xfrm>
        <a:prstGeom prst="rect">
          <a:avLst/>
        </a:prstGeom>
        <a:noFill/>
        <a:ln w="9525">
          <a:noFill/>
          <a:miter lim="800000"/>
          <a:headEnd/>
          <a:tailEnd/>
        </a:ln>
      </xdr:spPr>
    </xdr:pic>
    <xdr:clientData/>
  </xdr:twoCellAnchor>
  <xdr:twoCellAnchor editAs="oneCell">
    <xdr:from>
      <xdr:col>10</xdr:col>
      <xdr:colOff>0</xdr:colOff>
      <xdr:row>27</xdr:row>
      <xdr:rowOff>19050</xdr:rowOff>
    </xdr:from>
    <xdr:to>
      <xdr:col>11</xdr:col>
      <xdr:colOff>19050</xdr:colOff>
      <xdr:row>30</xdr:row>
      <xdr:rowOff>142875</xdr:rowOff>
    </xdr:to>
    <xdr:pic>
      <xdr:nvPicPr>
        <xdr:cNvPr id="25746" name="Picture 73"/>
        <xdr:cNvPicPr>
          <a:picLocks noChangeAspect="1" noChangeArrowheads="1"/>
        </xdr:cNvPicPr>
      </xdr:nvPicPr>
      <xdr:blipFill>
        <a:blip xmlns:r="http://schemas.openxmlformats.org/officeDocument/2006/relationships" r:embed="rId15" cstate="print"/>
        <a:srcRect/>
        <a:stretch>
          <a:fillRect/>
        </a:stretch>
      </xdr:blipFill>
      <xdr:spPr bwMode="auto">
        <a:xfrm>
          <a:off x="7620000" y="7343775"/>
          <a:ext cx="781050" cy="704850"/>
        </a:xfrm>
        <a:prstGeom prst="rect">
          <a:avLst/>
        </a:prstGeom>
        <a:noFill/>
        <a:ln w="9525">
          <a:noFill/>
          <a:miter lim="800000"/>
          <a:headEnd/>
          <a:tailEnd/>
        </a:ln>
      </xdr:spPr>
    </xdr:pic>
    <xdr:clientData/>
  </xdr:twoCellAnchor>
  <xdr:twoCellAnchor editAs="oneCell">
    <xdr:from>
      <xdr:col>10</xdr:col>
      <xdr:colOff>0</xdr:colOff>
      <xdr:row>49</xdr:row>
      <xdr:rowOff>19050</xdr:rowOff>
    </xdr:from>
    <xdr:to>
      <xdr:col>11</xdr:col>
      <xdr:colOff>19050</xdr:colOff>
      <xdr:row>52</xdr:row>
      <xdr:rowOff>142875</xdr:rowOff>
    </xdr:to>
    <xdr:pic>
      <xdr:nvPicPr>
        <xdr:cNvPr id="25747" name="Picture 74"/>
        <xdr:cNvPicPr>
          <a:picLocks noChangeAspect="1" noChangeArrowheads="1"/>
        </xdr:cNvPicPr>
      </xdr:nvPicPr>
      <xdr:blipFill>
        <a:blip xmlns:r="http://schemas.openxmlformats.org/officeDocument/2006/relationships" r:embed="rId15" cstate="print"/>
        <a:srcRect/>
        <a:stretch>
          <a:fillRect/>
        </a:stretch>
      </xdr:blipFill>
      <xdr:spPr bwMode="auto">
        <a:xfrm>
          <a:off x="7620000" y="13658850"/>
          <a:ext cx="781050" cy="704850"/>
        </a:xfrm>
        <a:prstGeom prst="rect">
          <a:avLst/>
        </a:prstGeom>
        <a:noFill/>
        <a:ln w="9525">
          <a:noFill/>
          <a:miter lim="800000"/>
          <a:headEnd/>
          <a:tailEnd/>
        </a:ln>
      </xdr:spPr>
    </xdr:pic>
    <xdr:clientData/>
  </xdr:twoCellAnchor>
  <xdr:twoCellAnchor editAs="oneCell">
    <xdr:from>
      <xdr:col>10</xdr:col>
      <xdr:colOff>0</xdr:colOff>
      <xdr:row>71</xdr:row>
      <xdr:rowOff>19050</xdr:rowOff>
    </xdr:from>
    <xdr:to>
      <xdr:col>11</xdr:col>
      <xdr:colOff>19050</xdr:colOff>
      <xdr:row>74</xdr:row>
      <xdr:rowOff>142875</xdr:rowOff>
    </xdr:to>
    <xdr:pic>
      <xdr:nvPicPr>
        <xdr:cNvPr id="25748" name="Picture 75"/>
        <xdr:cNvPicPr>
          <a:picLocks noChangeAspect="1" noChangeArrowheads="1"/>
        </xdr:cNvPicPr>
      </xdr:nvPicPr>
      <xdr:blipFill>
        <a:blip xmlns:r="http://schemas.openxmlformats.org/officeDocument/2006/relationships" r:embed="rId15" cstate="print"/>
        <a:srcRect/>
        <a:stretch>
          <a:fillRect/>
        </a:stretch>
      </xdr:blipFill>
      <xdr:spPr bwMode="auto">
        <a:xfrm>
          <a:off x="7620000" y="19973925"/>
          <a:ext cx="781050" cy="704850"/>
        </a:xfrm>
        <a:prstGeom prst="rect">
          <a:avLst/>
        </a:prstGeom>
        <a:noFill/>
        <a:ln w="9525">
          <a:noFill/>
          <a:miter lim="800000"/>
          <a:headEnd/>
          <a:tailEnd/>
        </a:ln>
      </xdr:spPr>
    </xdr:pic>
    <xdr:clientData/>
  </xdr:twoCellAnchor>
  <xdr:twoCellAnchor editAs="oneCell">
    <xdr:from>
      <xdr:col>10</xdr:col>
      <xdr:colOff>0</xdr:colOff>
      <xdr:row>93</xdr:row>
      <xdr:rowOff>19050</xdr:rowOff>
    </xdr:from>
    <xdr:to>
      <xdr:col>11</xdr:col>
      <xdr:colOff>19050</xdr:colOff>
      <xdr:row>96</xdr:row>
      <xdr:rowOff>142875</xdr:rowOff>
    </xdr:to>
    <xdr:pic>
      <xdr:nvPicPr>
        <xdr:cNvPr id="25749" name="Picture 76"/>
        <xdr:cNvPicPr>
          <a:picLocks noChangeAspect="1" noChangeArrowheads="1"/>
        </xdr:cNvPicPr>
      </xdr:nvPicPr>
      <xdr:blipFill>
        <a:blip xmlns:r="http://schemas.openxmlformats.org/officeDocument/2006/relationships" r:embed="rId15" cstate="print"/>
        <a:srcRect/>
        <a:stretch>
          <a:fillRect/>
        </a:stretch>
      </xdr:blipFill>
      <xdr:spPr bwMode="auto">
        <a:xfrm>
          <a:off x="7620000" y="26289000"/>
          <a:ext cx="781050" cy="704850"/>
        </a:xfrm>
        <a:prstGeom prst="rect">
          <a:avLst/>
        </a:prstGeom>
        <a:noFill/>
        <a:ln w="9525">
          <a:noFill/>
          <a:miter lim="800000"/>
          <a:headEnd/>
          <a:tailEnd/>
        </a:ln>
      </xdr:spPr>
    </xdr:pic>
    <xdr:clientData/>
  </xdr:twoCellAnchor>
  <xdr:twoCellAnchor editAs="oneCell">
    <xdr:from>
      <xdr:col>3</xdr:col>
      <xdr:colOff>0</xdr:colOff>
      <xdr:row>134</xdr:row>
      <xdr:rowOff>19050</xdr:rowOff>
    </xdr:from>
    <xdr:to>
      <xdr:col>4</xdr:col>
      <xdr:colOff>19050</xdr:colOff>
      <xdr:row>137</xdr:row>
      <xdr:rowOff>142875</xdr:rowOff>
    </xdr:to>
    <xdr:pic>
      <xdr:nvPicPr>
        <xdr:cNvPr id="25750" name="Picture 77"/>
        <xdr:cNvPicPr>
          <a:picLocks noChangeAspect="1" noChangeArrowheads="1"/>
        </xdr:cNvPicPr>
      </xdr:nvPicPr>
      <xdr:blipFill>
        <a:blip xmlns:r="http://schemas.openxmlformats.org/officeDocument/2006/relationships" r:embed="rId15" cstate="print"/>
        <a:srcRect/>
        <a:stretch>
          <a:fillRect/>
        </a:stretch>
      </xdr:blipFill>
      <xdr:spPr bwMode="auto">
        <a:xfrm>
          <a:off x="2286000" y="35728275"/>
          <a:ext cx="781050" cy="704850"/>
        </a:xfrm>
        <a:prstGeom prst="rect">
          <a:avLst/>
        </a:prstGeom>
        <a:noFill/>
        <a:ln w="9525">
          <a:noFill/>
          <a:miter lim="800000"/>
          <a:headEnd/>
          <a:tailEnd/>
        </a:ln>
      </xdr:spPr>
    </xdr:pic>
    <xdr:clientData/>
  </xdr:twoCellAnchor>
</xdr:wsDr>
</file>

<file path=xl/theme/theme1.xml><?xml version="1.0" encoding="utf-8"?>
<a:theme xmlns:a="http://schemas.openxmlformats.org/drawingml/2006/main" name="Thème Office">
  <a:themeElements>
    <a:clrScheme name="Office">
      <a:dk1>
        <a:sysClr val="windowText" lastClr="000000"/>
      </a:dk1>
      <a:lt1>
        <a:sysClr val="window" lastClr="EFEEE7"/>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budiag4.actia.fr/bugzilla-applicative/show_bug.cgi?id=35974" TargetMode="External"/><Relationship Id="rId21" Type="http://schemas.openxmlformats.org/officeDocument/2006/relationships/hyperlink" Target="https://budiag4.actia.fr/bugzilla-applicative/show_bug.cgi?id=33144" TargetMode="External"/><Relationship Id="rId42" Type="http://schemas.openxmlformats.org/officeDocument/2006/relationships/hyperlink" Target="https://budiag4.actia.fr/bugzilla-applicative/show_bug.cgi?id=34920" TargetMode="External"/><Relationship Id="rId63" Type="http://schemas.openxmlformats.org/officeDocument/2006/relationships/hyperlink" Target="https://budiag4.actia.fr/bugzilla-applicative/show_bug.cgi?id=35293" TargetMode="External"/><Relationship Id="rId84" Type="http://schemas.openxmlformats.org/officeDocument/2006/relationships/hyperlink" Target="https://budiag4.actia.fr/bugzilla-applicative/show_bug.cgi?id=35516" TargetMode="External"/><Relationship Id="rId138" Type="http://schemas.openxmlformats.org/officeDocument/2006/relationships/hyperlink" Target="https://budiag4.actia.fr/bugzilla-applicative/show_bug.cgi?id=33558" TargetMode="External"/><Relationship Id="rId159" Type="http://schemas.openxmlformats.org/officeDocument/2006/relationships/hyperlink" Target="https://budiag4.actia.fr/bugzilla-applicative/show_bug.cgi?id=33862" TargetMode="External"/><Relationship Id="rId170" Type="http://schemas.openxmlformats.org/officeDocument/2006/relationships/hyperlink" Target="https://budiag4.actia.fr/bugzilla-applicative/show_bug.cgi?id=34027" TargetMode="External"/><Relationship Id="rId191" Type="http://schemas.openxmlformats.org/officeDocument/2006/relationships/hyperlink" Target="https://budiag4.actia.fr/bugzilla-applicative/show_bug.cgi?id=34126" TargetMode="External"/><Relationship Id="rId205" Type="http://schemas.openxmlformats.org/officeDocument/2006/relationships/hyperlink" Target="https://budiag4.actia.fr/bugzilla-applicative/show_bug.cgi?id=35745" TargetMode="External"/><Relationship Id="rId16" Type="http://schemas.openxmlformats.org/officeDocument/2006/relationships/hyperlink" Target="https://budiag4.actia.fr/bugzilla-applicative/show_bug.cgi?id=32922" TargetMode="External"/><Relationship Id="rId107" Type="http://schemas.openxmlformats.org/officeDocument/2006/relationships/hyperlink" Target="https://budiag4.actia.fr/bugzilla-applicative/show_bug.cgi?id=35803" TargetMode="External"/><Relationship Id="rId11" Type="http://schemas.openxmlformats.org/officeDocument/2006/relationships/hyperlink" Target="https://budiag4.actia.fr/bugzilla-applicative/show_bug.cgi?id=32895" TargetMode="External"/><Relationship Id="rId32" Type="http://schemas.openxmlformats.org/officeDocument/2006/relationships/hyperlink" Target="https://budiag4.actia.fr/bugzilla-applicative/show_bug.cgi?id=33228" TargetMode="External"/><Relationship Id="rId37" Type="http://schemas.openxmlformats.org/officeDocument/2006/relationships/hyperlink" Target="https://budiag4.actia.fr/bugzilla-applicative/show_bug.cgi?id=34861" TargetMode="External"/><Relationship Id="rId53" Type="http://schemas.openxmlformats.org/officeDocument/2006/relationships/hyperlink" Target="https://budiag4.actia.fr/bugzilla-applicative/show_bug.cgi?id=35073" TargetMode="External"/><Relationship Id="rId58" Type="http://schemas.openxmlformats.org/officeDocument/2006/relationships/hyperlink" Target="https://budiag4.actia.fr/bugzilla-applicative/show_bug.cgi?id=35103" TargetMode="External"/><Relationship Id="rId74" Type="http://schemas.openxmlformats.org/officeDocument/2006/relationships/hyperlink" Target="https://budiag4.actia.fr/bugzilla-applicative/show_bug.cgi?id=35258" TargetMode="External"/><Relationship Id="rId79" Type="http://schemas.openxmlformats.org/officeDocument/2006/relationships/hyperlink" Target="https://budiag4.actia.fr/bugzilla-applicative/show_bug.cgi?id=35378" TargetMode="External"/><Relationship Id="rId102" Type="http://schemas.openxmlformats.org/officeDocument/2006/relationships/hyperlink" Target="https://budiag4.actia.fr/bugzilla-applicative/show_bug.cgi?id=35627" TargetMode="External"/><Relationship Id="rId123" Type="http://schemas.openxmlformats.org/officeDocument/2006/relationships/hyperlink" Target="https://budiag4.actia.fr/bugzilla-applicative/show_bug.cgi?id=33318" TargetMode="External"/><Relationship Id="rId128" Type="http://schemas.openxmlformats.org/officeDocument/2006/relationships/hyperlink" Target="https://budiag4.actia.fr/bugzilla-applicative/show_bug.cgi?id=33566" TargetMode="External"/><Relationship Id="rId144" Type="http://schemas.openxmlformats.org/officeDocument/2006/relationships/hyperlink" Target="https://budiag4.actia.fr/bugzilla-applicative/show_bug.cgi?id=33667" TargetMode="External"/><Relationship Id="rId149" Type="http://schemas.openxmlformats.org/officeDocument/2006/relationships/hyperlink" Target="https://budiag4.actia.fr/bugzilla-applicative/show_bug.cgi?id=33789" TargetMode="External"/><Relationship Id="rId5" Type="http://schemas.openxmlformats.org/officeDocument/2006/relationships/hyperlink" Target="https://budiag4.actia.fr/bugzilla-applicative/show_bug.cgi?id=32828" TargetMode="External"/><Relationship Id="rId90" Type="http://schemas.openxmlformats.org/officeDocument/2006/relationships/hyperlink" Target="https://budiag4.actia.fr/bugzilla-applicative/show_bug.cgi?id=35549" TargetMode="External"/><Relationship Id="rId95" Type="http://schemas.openxmlformats.org/officeDocument/2006/relationships/hyperlink" Target="https://budiag4.actia.fr/bugzilla-applicative/show_bug.cgi?id=35547" TargetMode="External"/><Relationship Id="rId160" Type="http://schemas.openxmlformats.org/officeDocument/2006/relationships/hyperlink" Target="https://budiag4.actia.fr/bugzilla-applicative/show_bug.cgi?id=34117" TargetMode="External"/><Relationship Id="rId165" Type="http://schemas.openxmlformats.org/officeDocument/2006/relationships/hyperlink" Target="https://budiag4.actia.fr/bugzilla-applicative/show_bug.cgi?id=33921" TargetMode="External"/><Relationship Id="rId181" Type="http://schemas.openxmlformats.org/officeDocument/2006/relationships/hyperlink" Target="https://budiag4.actia.fr/bugzilla-applicative/show_bug.cgi?id=34003" TargetMode="External"/><Relationship Id="rId186" Type="http://schemas.openxmlformats.org/officeDocument/2006/relationships/hyperlink" Target="https://budiag4.actia.fr/bugzilla-applicative/show_bug.cgi?id=34084" TargetMode="External"/><Relationship Id="rId22" Type="http://schemas.openxmlformats.org/officeDocument/2006/relationships/hyperlink" Target="https://budiag4.actia.fr/bugzilla-applicative/show_bug.cgi?id=33036" TargetMode="External"/><Relationship Id="rId27" Type="http://schemas.openxmlformats.org/officeDocument/2006/relationships/hyperlink" Target="https://budiag4.actia.fr/bugzilla-applicative/show_bug.cgi?id=33644" TargetMode="External"/><Relationship Id="rId43" Type="http://schemas.openxmlformats.org/officeDocument/2006/relationships/hyperlink" Target="https://budiag4.actia.fr/bugzilla-applicative/show_bug.cgi?id=34918" TargetMode="External"/><Relationship Id="rId48" Type="http://schemas.openxmlformats.org/officeDocument/2006/relationships/hyperlink" Target="https://budiag4.actia.fr/bugzilla-applicative/show_bug.cgi?id=34967" TargetMode="External"/><Relationship Id="rId64" Type="http://schemas.openxmlformats.org/officeDocument/2006/relationships/hyperlink" Target="https://budiag4.actia.fr/bugzilla-applicative/show_bug.cgi?id=333333" TargetMode="External"/><Relationship Id="rId69" Type="http://schemas.openxmlformats.org/officeDocument/2006/relationships/hyperlink" Target="https://budiag4.actia.fr/bugzilla-applicative/show_bug.cgi?id=35244" TargetMode="External"/><Relationship Id="rId113" Type="http://schemas.openxmlformats.org/officeDocument/2006/relationships/hyperlink" Target="https://budiag4.actia.fr/bugzilla-applicative/show_bug.cgi?id=33319" TargetMode="External"/><Relationship Id="rId118" Type="http://schemas.openxmlformats.org/officeDocument/2006/relationships/hyperlink" Target="https://budiag4.actia.fr/bugzilla-applicative/show_bug.cgi?id=35968" TargetMode="External"/><Relationship Id="rId134" Type="http://schemas.openxmlformats.org/officeDocument/2006/relationships/hyperlink" Target="https://budiag4.actia.fr/bugzilla-applicative/show_bug.cgi?id=33489" TargetMode="External"/><Relationship Id="rId139" Type="http://schemas.openxmlformats.org/officeDocument/2006/relationships/hyperlink" Target="https://budiag4.actia.fr/bugzilla-applicative/show_bug.cgi?id=33579" TargetMode="External"/><Relationship Id="rId80" Type="http://schemas.openxmlformats.org/officeDocument/2006/relationships/hyperlink" Target="https://budiag4.actia.fr/bugzilla-applicative/show_bug.cgi?id=35379" TargetMode="External"/><Relationship Id="rId85" Type="http://schemas.openxmlformats.org/officeDocument/2006/relationships/hyperlink" Target="https://budiag4.actia.fr/bugzilla-applicative/show_bug.cgi?id=35517" TargetMode="External"/><Relationship Id="rId150" Type="http://schemas.openxmlformats.org/officeDocument/2006/relationships/hyperlink" Target="https://budiag4.actia.fr/bugzilla-applicative/show_bug.cgi?id=33782" TargetMode="External"/><Relationship Id="rId155" Type="http://schemas.openxmlformats.org/officeDocument/2006/relationships/hyperlink" Target="https://budiag4.actia.fr/bugzilla-applicative/show_bug.cgi?id=33801" TargetMode="External"/><Relationship Id="rId171" Type="http://schemas.openxmlformats.org/officeDocument/2006/relationships/hyperlink" Target="https://budiag4.actia.fr/bugzilla-applicative/show_bug.cgi?id=33964" TargetMode="External"/><Relationship Id="rId176" Type="http://schemas.openxmlformats.org/officeDocument/2006/relationships/hyperlink" Target="https://budiag4.actia.fr/bugzilla-applicative/show_bug.cgi?id=34080" TargetMode="External"/><Relationship Id="rId192" Type="http://schemas.openxmlformats.org/officeDocument/2006/relationships/hyperlink" Target="https://budiag4.actia.fr/bugzilla-applicative/show_bug.cgi?id=34156" TargetMode="External"/><Relationship Id="rId197" Type="http://schemas.openxmlformats.org/officeDocument/2006/relationships/hyperlink" Target="https://budiag4.actia.fr/bugzilla-applicative/show_bug.cgi?id=34586" TargetMode="External"/><Relationship Id="rId206" Type="http://schemas.openxmlformats.org/officeDocument/2006/relationships/printerSettings" Target="../printerSettings/printerSettings1.bin"/><Relationship Id="rId201" Type="http://schemas.openxmlformats.org/officeDocument/2006/relationships/hyperlink" Target="https://budiag4.actia.fr/bugzilla-applicative/show_bug.cgi?id=34839" TargetMode="External"/><Relationship Id="rId12" Type="http://schemas.openxmlformats.org/officeDocument/2006/relationships/hyperlink" Target="https://budiag4.actia.fr/bugzilla-applicative/show_bug.cgi?id=32872" TargetMode="External"/><Relationship Id="rId17" Type="http://schemas.openxmlformats.org/officeDocument/2006/relationships/hyperlink" Target="https://budiag4.actia.fr/bugzilla-applicative/show_bug.cgi?id=32921" TargetMode="External"/><Relationship Id="rId33" Type="http://schemas.openxmlformats.org/officeDocument/2006/relationships/hyperlink" Target="https://budiag4.actia.fr/bugzilla-applicative/show_bug.cgi?id=34825" TargetMode="External"/><Relationship Id="rId38" Type="http://schemas.openxmlformats.org/officeDocument/2006/relationships/hyperlink" Target="https://budiag4.actia.fr/bugzilla-applicative/show_bug.cgi?id=34862" TargetMode="External"/><Relationship Id="rId59" Type="http://schemas.openxmlformats.org/officeDocument/2006/relationships/hyperlink" Target="https://budiag4.actia.fr/bugzilla-applicative/show_bug.cgi?id=35295" TargetMode="External"/><Relationship Id="rId103" Type="http://schemas.openxmlformats.org/officeDocument/2006/relationships/hyperlink" Target="https://budiag4.actia.fr/bugzilla-applicative/show_bug.cgi?id=1" TargetMode="External"/><Relationship Id="rId108" Type="http://schemas.openxmlformats.org/officeDocument/2006/relationships/hyperlink" Target="https://budiag4.actia.fr/bugzilla-applicative/show_bug.cgi?id=35802" TargetMode="External"/><Relationship Id="rId124" Type="http://schemas.openxmlformats.org/officeDocument/2006/relationships/hyperlink" Target="https://budiag4.actia.fr/bugzilla-applicative/show_bug.cgi?id=33337" TargetMode="External"/><Relationship Id="rId129" Type="http://schemas.openxmlformats.org/officeDocument/2006/relationships/hyperlink" Target="https://budiag4.actia.fr/bugzilla-applicative/show_bug.cgi?id=33566" TargetMode="External"/><Relationship Id="rId54" Type="http://schemas.openxmlformats.org/officeDocument/2006/relationships/hyperlink" Target="https://budiag4.actia.fr/bugzilla-applicative/show_bug.cgi?id=35037" TargetMode="External"/><Relationship Id="rId70" Type="http://schemas.openxmlformats.org/officeDocument/2006/relationships/hyperlink" Target="https://budiag4.actia.fr/bugzilla-applicative/show_bug.cgi?id=35291" TargetMode="External"/><Relationship Id="rId75" Type="http://schemas.openxmlformats.org/officeDocument/2006/relationships/hyperlink" Target="https://budiag4.actia.fr/bugzilla-applicative/show_bug.cgi?id=35297" TargetMode="External"/><Relationship Id="rId91" Type="http://schemas.openxmlformats.org/officeDocument/2006/relationships/hyperlink" Target="https://budiag4.actia.fr/bugzilla-applicative/show_bug.cgi?id=35544" TargetMode="External"/><Relationship Id="rId96" Type="http://schemas.openxmlformats.org/officeDocument/2006/relationships/hyperlink" Target="https://budiag4.actia.fr/bugzilla-applicative/show_bug.cgi?id=35546" TargetMode="External"/><Relationship Id="rId140" Type="http://schemas.openxmlformats.org/officeDocument/2006/relationships/hyperlink" Target="https://budiag4.actia.fr/bugzilla-applicative/show_bug.cgi?id=33711" TargetMode="External"/><Relationship Id="rId145" Type="http://schemas.openxmlformats.org/officeDocument/2006/relationships/hyperlink" Target="https://budiag4.actia.fr/bugzilla-applicative/show_bug.cgi?id=33774" TargetMode="External"/><Relationship Id="rId161" Type="http://schemas.openxmlformats.org/officeDocument/2006/relationships/hyperlink" Target="https://budiag4.actia.fr/bugzilla-applicative/show_bug.cgi?id=33945" TargetMode="External"/><Relationship Id="rId166" Type="http://schemas.openxmlformats.org/officeDocument/2006/relationships/hyperlink" Target="https://budiag4.actia.fr/bugzilla-applicative/show_bug.cgi?id=33922" TargetMode="External"/><Relationship Id="rId182" Type="http://schemas.openxmlformats.org/officeDocument/2006/relationships/hyperlink" Target="https://budiag4.actia.fr/bugzilla-applicative/show_bug.cgi?id=34002" TargetMode="External"/><Relationship Id="rId187" Type="http://schemas.openxmlformats.org/officeDocument/2006/relationships/hyperlink" Target="https://budiag4.actia.fr/bugzilla-applicative/show_bug.cgi?id=34113" TargetMode="External"/><Relationship Id="rId1" Type="http://schemas.openxmlformats.org/officeDocument/2006/relationships/hyperlink" Target="https://budiag4.actia.fr/bugzilla-applicative/show_bug.cgi?id=34423" TargetMode="External"/><Relationship Id="rId6" Type="http://schemas.openxmlformats.org/officeDocument/2006/relationships/hyperlink" Target="https://budiag4.actia.fr/bugzilla-applicative/show_bug.cgi?id=32829" TargetMode="External"/><Relationship Id="rId23" Type="http://schemas.openxmlformats.org/officeDocument/2006/relationships/hyperlink" Target="https://budiag4.actia.fr/bugzilla-applicative/show_bug.cgi?id=32983" TargetMode="External"/><Relationship Id="rId28" Type="http://schemas.openxmlformats.org/officeDocument/2006/relationships/hyperlink" Target="https://budiag4.actia.fr/bugzilla-applicative/show_bug.cgi?id=33037" TargetMode="External"/><Relationship Id="rId49" Type="http://schemas.openxmlformats.org/officeDocument/2006/relationships/hyperlink" Target="https://budiag4.actia.fr/bugzilla-applicative/show_bug.cgi?id=34968" TargetMode="External"/><Relationship Id="rId114" Type="http://schemas.openxmlformats.org/officeDocument/2006/relationships/hyperlink" Target="https://budiag4.actia.fr/bugzilla-applicative/show_bug.cgi?id=35856" TargetMode="External"/><Relationship Id="rId119" Type="http://schemas.openxmlformats.org/officeDocument/2006/relationships/hyperlink" Target="https://budiag4.actia.fr/bugzilla-applicative/show_bug.cgi?id=35970" TargetMode="External"/><Relationship Id="rId44" Type="http://schemas.openxmlformats.org/officeDocument/2006/relationships/hyperlink" Target="https://budiag4.actia.fr/bugzilla-applicative/show_bug.cgi?id=34919" TargetMode="External"/><Relationship Id="rId60" Type="http://schemas.openxmlformats.org/officeDocument/2006/relationships/hyperlink" Target="https://budiag4.actia.fr/bugzilla-applicative/show_bug.cgi?id=35172" TargetMode="External"/><Relationship Id="rId65" Type="http://schemas.openxmlformats.org/officeDocument/2006/relationships/hyperlink" Target="https://budiag4.actia.fr/bugzilla-applicative/show_bug.cgi?id=35190" TargetMode="External"/><Relationship Id="rId81" Type="http://schemas.openxmlformats.org/officeDocument/2006/relationships/hyperlink" Target="https://budiag4.actia.fr/bugzilla-applicative/show_bug.cgi?id=35857" TargetMode="External"/><Relationship Id="rId86" Type="http://schemas.openxmlformats.org/officeDocument/2006/relationships/hyperlink" Target="https://budiag4.actia.fr/bugzilla-applicative/show_bug.cgi?id=35537" TargetMode="External"/><Relationship Id="rId130" Type="http://schemas.openxmlformats.org/officeDocument/2006/relationships/hyperlink" Target="https://budiag4.actia.fr/bugzilla-applicative/show_bug.cgi?id=33556" TargetMode="External"/><Relationship Id="rId135" Type="http://schemas.openxmlformats.org/officeDocument/2006/relationships/hyperlink" Target="https://budiag4.actia.fr/bugzilla-applicative/show_bug.cgi?id=33490" TargetMode="External"/><Relationship Id="rId151" Type="http://schemas.openxmlformats.org/officeDocument/2006/relationships/hyperlink" Target="https://budiag4.actia.fr/bugzilla-applicative/show_bug.cgi?id=33808" TargetMode="External"/><Relationship Id="rId156" Type="http://schemas.openxmlformats.org/officeDocument/2006/relationships/hyperlink" Target="https://budiag4.actia.fr/bugzilla-applicative/show_bug.cgi?id=33802" TargetMode="External"/><Relationship Id="rId177" Type="http://schemas.openxmlformats.org/officeDocument/2006/relationships/hyperlink" Target="https://budiag4.actia.fr/bugzilla-applicative/show_bug.cgi?id=34006" TargetMode="External"/><Relationship Id="rId198" Type="http://schemas.openxmlformats.org/officeDocument/2006/relationships/hyperlink" Target="https://budiag4.actia.fr/bugzilla-applicative/show_bug.cgi?id=34801" TargetMode="External"/><Relationship Id="rId172" Type="http://schemas.openxmlformats.org/officeDocument/2006/relationships/hyperlink" Target="https://budiag4.actia.fr/bugzilla-applicative/show_bug.cgi?id=34008" TargetMode="External"/><Relationship Id="rId193" Type="http://schemas.openxmlformats.org/officeDocument/2006/relationships/hyperlink" Target="https://budiag4.actia.fr/bugzilla-applicative/show_bug.cgi?id=34158" TargetMode="External"/><Relationship Id="rId202" Type="http://schemas.openxmlformats.org/officeDocument/2006/relationships/hyperlink" Target="https://budiag4.actia.fr/bugzilla-applicative/show_bug.cgi?id=34899" TargetMode="External"/><Relationship Id="rId13" Type="http://schemas.openxmlformats.org/officeDocument/2006/relationships/hyperlink" Target="https://budiag4.actia.fr/bugzilla-applicative/show_bug.cgi?id=32880" TargetMode="External"/><Relationship Id="rId18" Type="http://schemas.openxmlformats.org/officeDocument/2006/relationships/hyperlink" Target="https://budiag4.actia.fr/bugzilla-applicative/show_bug.cgi?id=32930" TargetMode="External"/><Relationship Id="rId39" Type="http://schemas.openxmlformats.org/officeDocument/2006/relationships/hyperlink" Target="https://budiag4.actia.fr/bugzilla-applicative/show_bug.cgi?id=34840" TargetMode="External"/><Relationship Id="rId109" Type="http://schemas.openxmlformats.org/officeDocument/2006/relationships/hyperlink" Target="https://budiag4.actia.fr/bugzilla-applicative/show_bug.cgi?id=33320" TargetMode="External"/><Relationship Id="rId34" Type="http://schemas.openxmlformats.org/officeDocument/2006/relationships/hyperlink" Target="https://budiag4.actia.fr/bugzilla-applicative/show_bug.cgi?id=34799" TargetMode="External"/><Relationship Id="rId50" Type="http://schemas.openxmlformats.org/officeDocument/2006/relationships/hyperlink" Target="https://budiag4.actia.fr/bugzilla-applicative/show_bug.cgi?id=34988" TargetMode="External"/><Relationship Id="rId55" Type="http://schemas.openxmlformats.org/officeDocument/2006/relationships/hyperlink" Target="https://budiag4.actia.fr/bugzilla-applicative/show_bug.cgi?id=35080" TargetMode="External"/><Relationship Id="rId76" Type="http://schemas.openxmlformats.org/officeDocument/2006/relationships/hyperlink" Target="https://budiag4.actia.fr/bugzilla-applicative/show_bug.cgi?id=35285" TargetMode="External"/><Relationship Id="rId97" Type="http://schemas.openxmlformats.org/officeDocument/2006/relationships/hyperlink" Target="https://budiag4.actia.fr/bugzilla-applicative/show_bug.cgi?id=35542" TargetMode="External"/><Relationship Id="rId104" Type="http://schemas.openxmlformats.org/officeDocument/2006/relationships/hyperlink" Target="https://budiag4.actia.fr/bugzilla-applicative/show_bug.cgi?id=35726" TargetMode="External"/><Relationship Id="rId120" Type="http://schemas.openxmlformats.org/officeDocument/2006/relationships/hyperlink" Target="https://budiag4.actia.fr/bugzilla-applicative/show_bug.cgi?id=35973" TargetMode="External"/><Relationship Id="rId125" Type="http://schemas.openxmlformats.org/officeDocument/2006/relationships/hyperlink" Target="https://budiag4.actia.fr/bugzilla-applicative/show_bug.cgi?id=33336" TargetMode="External"/><Relationship Id="rId141" Type="http://schemas.openxmlformats.org/officeDocument/2006/relationships/hyperlink" Target="https://budiag4.actia.fr/bugzilla-applicative/show_bug.cgi?id=33525" TargetMode="External"/><Relationship Id="rId146" Type="http://schemas.openxmlformats.org/officeDocument/2006/relationships/hyperlink" Target="https://budiag4.actia.fr/bugzilla-applicative/show_bug.cgi?id=33783" TargetMode="External"/><Relationship Id="rId167" Type="http://schemas.openxmlformats.org/officeDocument/2006/relationships/hyperlink" Target="https://budiag4.actia.fr/bugzilla-applicative/show_bug.cgi?id=33923" TargetMode="External"/><Relationship Id="rId188" Type="http://schemas.openxmlformats.org/officeDocument/2006/relationships/hyperlink" Target="https://budiag4.actia.fr/bugzilla-applicative/show_bug.cgi?id=34087" TargetMode="External"/><Relationship Id="rId7" Type="http://schemas.openxmlformats.org/officeDocument/2006/relationships/hyperlink" Target="https://budiag4.actia.fr/bugzilla-applicative/show_bug.cgi?id=32830" TargetMode="External"/><Relationship Id="rId71" Type="http://schemas.openxmlformats.org/officeDocument/2006/relationships/hyperlink" Target="https://budiag4.actia.fr/bugzilla-applicative/show_bug.cgi?id=35294" TargetMode="External"/><Relationship Id="rId92" Type="http://schemas.openxmlformats.org/officeDocument/2006/relationships/hyperlink" Target="https://budiag4.actia.fr/bugzilla-applicative/show_bug.cgi?id=35555" TargetMode="External"/><Relationship Id="rId162" Type="http://schemas.openxmlformats.org/officeDocument/2006/relationships/hyperlink" Target="https://budiag4.actia.fr/bugzilla-applicative/show_bug.cgi?id=33944" TargetMode="External"/><Relationship Id="rId183" Type="http://schemas.openxmlformats.org/officeDocument/2006/relationships/hyperlink" Target="https://budiag4.actia.fr/bugzilla-applicative/show_bug.cgi?id=33990" TargetMode="External"/><Relationship Id="rId2" Type="http://schemas.openxmlformats.org/officeDocument/2006/relationships/hyperlink" Target="https://budiag4.actia.fr/bugzilla-applicative/show_bug.cgi?id=35627" TargetMode="External"/><Relationship Id="rId29" Type="http://schemas.openxmlformats.org/officeDocument/2006/relationships/hyperlink" Target="https://budiag4.actia.fr/bugzilla-applicative/show_bug.cgi?id=33039" TargetMode="External"/><Relationship Id="rId24" Type="http://schemas.openxmlformats.org/officeDocument/2006/relationships/hyperlink" Target="https://budiag4.actia.fr/bugzilla-applicative/show_bug.cgi?id=32986" TargetMode="External"/><Relationship Id="rId40" Type="http://schemas.openxmlformats.org/officeDocument/2006/relationships/hyperlink" Target="https://budiag4.actia.fr/bugzilla-applicative/show_bug.cgi?id=35060" TargetMode="External"/><Relationship Id="rId45" Type="http://schemas.openxmlformats.org/officeDocument/2006/relationships/hyperlink" Target="https://budiag4.actia.fr/bugzilla-applicative/show_bug.cgi?id=34964" TargetMode="External"/><Relationship Id="rId66" Type="http://schemas.openxmlformats.org/officeDocument/2006/relationships/hyperlink" Target="https://budiag4.actia.fr/bugzilla-applicative/show_bug.cgi?id=35313" TargetMode="External"/><Relationship Id="rId87" Type="http://schemas.openxmlformats.org/officeDocument/2006/relationships/hyperlink" Target="https://budiag4.actia.fr/bugzilla-applicative/show_bug.cgi?id=35613" TargetMode="External"/><Relationship Id="rId110" Type="http://schemas.openxmlformats.org/officeDocument/2006/relationships/hyperlink" Target="https://budiag4.actia.fr/bugzilla-applicative/show_bug.cgi?id=35838" TargetMode="External"/><Relationship Id="rId115" Type="http://schemas.openxmlformats.org/officeDocument/2006/relationships/hyperlink" Target="https://budiag4.actia.fr/bugzilla-applicative/show_bug.cgi?id=35860" TargetMode="External"/><Relationship Id="rId131" Type="http://schemas.openxmlformats.org/officeDocument/2006/relationships/hyperlink" Target="https://budiag4.actia.fr/bugzilla-applicative/show_bug.cgi?id=33499" TargetMode="External"/><Relationship Id="rId136" Type="http://schemas.openxmlformats.org/officeDocument/2006/relationships/hyperlink" Target="https://budiag4.actia.fr/bugzilla-applicative/show_bug.cgi?id=33492" TargetMode="External"/><Relationship Id="rId157" Type="http://schemas.openxmlformats.org/officeDocument/2006/relationships/hyperlink" Target="https://budiag4.actia.fr/bugzilla-applicative/show_bug.cgi?id=33803" TargetMode="External"/><Relationship Id="rId178" Type="http://schemas.openxmlformats.org/officeDocument/2006/relationships/hyperlink" Target="https://budiag4.actia.fr/bugzilla-applicative/show_bug.cgi?id=34040" TargetMode="External"/><Relationship Id="rId61" Type="http://schemas.openxmlformats.org/officeDocument/2006/relationships/hyperlink" Target="https://budiag4.actia.fr/bugzilla-applicative/show_bug.cgi?id=35225" TargetMode="External"/><Relationship Id="rId82" Type="http://schemas.openxmlformats.org/officeDocument/2006/relationships/hyperlink" Target="https://budiag4.actia.fr/bugzilla-applicative/show_bug.cgi?id=35610" TargetMode="External"/><Relationship Id="rId152" Type="http://schemas.openxmlformats.org/officeDocument/2006/relationships/hyperlink" Target="https://budiag4.actia.fr/bugzilla-applicative/show_bug.cgi?id=33962" TargetMode="External"/><Relationship Id="rId173" Type="http://schemas.openxmlformats.org/officeDocument/2006/relationships/hyperlink" Target="https://budiag4.actia.fr/bugzilla-applicative/show_bug.cgi?id=34969" TargetMode="External"/><Relationship Id="rId194" Type="http://schemas.openxmlformats.org/officeDocument/2006/relationships/hyperlink" Target="https://budiag4.actia.fr/bugzilla-applicative/show_bug.cgi?id=34584" TargetMode="External"/><Relationship Id="rId199" Type="http://schemas.openxmlformats.org/officeDocument/2006/relationships/hyperlink" Target="https://budiag4.actia.fr/bugzilla-applicative/show_bug.cgi?id=34802" TargetMode="External"/><Relationship Id="rId203" Type="http://schemas.openxmlformats.org/officeDocument/2006/relationships/hyperlink" Target="https://budiag4.actia.fr/bugzilla-applicative/show_bug.cgi?id=34124" TargetMode="External"/><Relationship Id="rId19" Type="http://schemas.openxmlformats.org/officeDocument/2006/relationships/hyperlink" Target="https://budiag4.actia.fr/bugzilla-applicative/show_bug.cgi?id=32911" TargetMode="External"/><Relationship Id="rId14" Type="http://schemas.openxmlformats.org/officeDocument/2006/relationships/hyperlink" Target="https://budiag4.actia.fr/bugzilla-applicative/show_bug.cgi?id=32892" TargetMode="External"/><Relationship Id="rId30" Type="http://schemas.openxmlformats.org/officeDocument/2006/relationships/hyperlink" Target="https://budiag4.actia.fr/bugzilla-applicative/show_bug.cgi?id=33060" TargetMode="External"/><Relationship Id="rId35" Type="http://schemas.openxmlformats.org/officeDocument/2006/relationships/hyperlink" Target="https://budiag4.actia.fr/bugzilla-applicative/show_bug.cgi?id=34800" TargetMode="External"/><Relationship Id="rId56" Type="http://schemas.openxmlformats.org/officeDocument/2006/relationships/hyperlink" Target="https://budiag4.actia.fr/bugzilla-applicative/show_bug.cgi?id=35096" TargetMode="External"/><Relationship Id="rId77" Type="http://schemas.openxmlformats.org/officeDocument/2006/relationships/hyperlink" Target="https://budiag4.actia.fr/bugzilla-applicative/show_bug.cgi?id=35306" TargetMode="External"/><Relationship Id="rId100" Type="http://schemas.openxmlformats.org/officeDocument/2006/relationships/hyperlink" Target="https://budiag4.actia.fr/bugzilla-applicative/show_bug.cgi?id=35786" TargetMode="External"/><Relationship Id="rId105" Type="http://schemas.openxmlformats.org/officeDocument/2006/relationships/hyperlink" Target="https://budiag4.actia.fr/bugzilla-applicative/show_bug.cgi?id=35725" TargetMode="External"/><Relationship Id="rId126" Type="http://schemas.openxmlformats.org/officeDocument/2006/relationships/hyperlink" Target="https://budiag4.actia.fr/bugzilla-applicative/show_bug.cgi?id=33515" TargetMode="External"/><Relationship Id="rId147" Type="http://schemas.openxmlformats.org/officeDocument/2006/relationships/hyperlink" Target="https://budiag4.actia.fr/bugzilla-applicative/show_bug.cgi?id=33784" TargetMode="External"/><Relationship Id="rId168" Type="http://schemas.openxmlformats.org/officeDocument/2006/relationships/hyperlink" Target="https://budiag4.actia.fr/bugzilla-applicative/show_bug.cgi?id=33924" TargetMode="External"/><Relationship Id="rId8" Type="http://schemas.openxmlformats.org/officeDocument/2006/relationships/hyperlink" Target="https://budiag4.actia.fr/bugzilla-applicative/show_bug.cgi?id=32865" TargetMode="External"/><Relationship Id="rId51" Type="http://schemas.openxmlformats.org/officeDocument/2006/relationships/hyperlink" Target="https://budiag4.actia.fr/bugzilla-applicative/show_bug.cgi?id=34987" TargetMode="External"/><Relationship Id="rId72" Type="http://schemas.openxmlformats.org/officeDocument/2006/relationships/hyperlink" Target="https://budiag4.actia.fr/bugzilla-applicative/show_bug.cgi?id=35281" TargetMode="External"/><Relationship Id="rId93" Type="http://schemas.openxmlformats.org/officeDocument/2006/relationships/hyperlink" Target="https://budiag4.actia.fr/bugzilla-applicative/show_bug.cgi?id=35548" TargetMode="External"/><Relationship Id="rId98" Type="http://schemas.openxmlformats.org/officeDocument/2006/relationships/hyperlink" Target="https://budiag4.actia.fr/bugzilla-applicative/show_bug.cgi?id=35536" TargetMode="External"/><Relationship Id="rId121" Type="http://schemas.openxmlformats.org/officeDocument/2006/relationships/hyperlink" Target="https://budiag4.actia.fr/bugzilla-applicative/show_bug.cgi?id=33309" TargetMode="External"/><Relationship Id="rId142" Type="http://schemas.openxmlformats.org/officeDocument/2006/relationships/hyperlink" Target="https://budiag4.actia.fr/bugzilla-applicative/show_bug.cgi?id=33530" TargetMode="External"/><Relationship Id="rId163" Type="http://schemas.openxmlformats.org/officeDocument/2006/relationships/hyperlink" Target="https://budiag4.actia.fr/bugzilla-applicative/show_bug.cgi?id=33942" TargetMode="External"/><Relationship Id="rId184" Type="http://schemas.openxmlformats.org/officeDocument/2006/relationships/hyperlink" Target="https://budiag4.actia.fr/bugzilla-applicative/show_bug.cgi?id=34031" TargetMode="External"/><Relationship Id="rId189" Type="http://schemas.openxmlformats.org/officeDocument/2006/relationships/hyperlink" Target="https://budiag4.actia.fr/bugzilla-applicative/show_bug.cgi?id=34127" TargetMode="External"/><Relationship Id="rId3" Type="http://schemas.openxmlformats.org/officeDocument/2006/relationships/hyperlink" Target="https://budiag4.actia.fr/bugzilla-applicative/show_bug.cgi?id=35989" TargetMode="External"/><Relationship Id="rId25" Type="http://schemas.openxmlformats.org/officeDocument/2006/relationships/hyperlink" Target="https://budiag4.actia.fr/bugzilla-applicative/show_bug.cgi?id=32934" TargetMode="External"/><Relationship Id="rId46" Type="http://schemas.openxmlformats.org/officeDocument/2006/relationships/hyperlink" Target="https://budiag4.actia.fr/bugzilla-applicative/show_bug.cgi?id=34965" TargetMode="External"/><Relationship Id="rId67" Type="http://schemas.openxmlformats.org/officeDocument/2006/relationships/hyperlink" Target="https://budiag4.actia.fr/bugzilla-applicative/show_bug.cgi?id=35215" TargetMode="External"/><Relationship Id="rId116" Type="http://schemas.openxmlformats.org/officeDocument/2006/relationships/hyperlink" Target="https://budiag4.actia.fr/bugzilla-applicative/show_bug.cgi?id=35961" TargetMode="External"/><Relationship Id="rId137" Type="http://schemas.openxmlformats.org/officeDocument/2006/relationships/hyperlink" Target="https://budiag4.actia.fr/bugzilla-applicative/show_bug.cgi?id=33559" TargetMode="External"/><Relationship Id="rId158" Type="http://schemas.openxmlformats.org/officeDocument/2006/relationships/hyperlink" Target="https://budiag4.actia.fr/bugzilla-applicative/show_bug.cgi?id=33858" TargetMode="External"/><Relationship Id="rId20" Type="http://schemas.openxmlformats.org/officeDocument/2006/relationships/hyperlink" Target="https://budiag4.actia.fr/bugzilla-applicative/show_bug.cgi?id=32980" TargetMode="External"/><Relationship Id="rId41" Type="http://schemas.openxmlformats.org/officeDocument/2006/relationships/hyperlink" Target="https://budiag4.actia.fr/bugzilla-applicative/show_bug.cgi?id=34917" TargetMode="External"/><Relationship Id="rId62" Type="http://schemas.openxmlformats.org/officeDocument/2006/relationships/hyperlink" Target="https://budiag4.actia.fr/bugzilla-applicative/show_bug.cgi?id=35292" TargetMode="External"/><Relationship Id="rId83" Type="http://schemas.openxmlformats.org/officeDocument/2006/relationships/hyperlink" Target="https://budiag4.actia.fr/bugzilla-applicative/show_bug.cgi?id=35612" TargetMode="External"/><Relationship Id="rId88" Type="http://schemas.openxmlformats.org/officeDocument/2006/relationships/hyperlink" Target="https://budiag4.actia.fr/bugzilla-applicative/show_bug.cgi?id=35609" TargetMode="External"/><Relationship Id="rId111" Type="http://schemas.openxmlformats.org/officeDocument/2006/relationships/hyperlink" Target="https://budiag4.actia.fr/bugzilla-applicative/show_bug.cgi?id=35819" TargetMode="External"/><Relationship Id="rId132" Type="http://schemas.openxmlformats.org/officeDocument/2006/relationships/hyperlink" Target="https://budiag4.actia.fr/bugzilla-applicative/show_bug.cgi?id=33500" TargetMode="External"/><Relationship Id="rId153" Type="http://schemas.openxmlformats.org/officeDocument/2006/relationships/hyperlink" Target="https://budiag4.actia.fr/bugzilla-applicative/show_bug.cgi?id=33781" TargetMode="External"/><Relationship Id="rId174" Type="http://schemas.openxmlformats.org/officeDocument/2006/relationships/hyperlink" Target="https://budiag4.actia.fr/bugzilla-applicative/show_bug.cgi?id=34588" TargetMode="External"/><Relationship Id="rId179" Type="http://schemas.openxmlformats.org/officeDocument/2006/relationships/hyperlink" Target="https://budiag4.actia.fr/bugzilla-applicative/show_bug.cgi?id=34005" TargetMode="External"/><Relationship Id="rId195" Type="http://schemas.openxmlformats.org/officeDocument/2006/relationships/hyperlink" Target="https://budiag4.actia.fr/bugzilla-applicative/show_bug.cgi?id=34585" TargetMode="External"/><Relationship Id="rId190" Type="http://schemas.openxmlformats.org/officeDocument/2006/relationships/hyperlink" Target="https://budiag4.actia.fr/bugzilla-applicative/show_bug.cgi?id=34119" TargetMode="External"/><Relationship Id="rId204" Type="http://schemas.openxmlformats.org/officeDocument/2006/relationships/hyperlink" Target="https://budiag4.actia.fr/bugzilla-applicative/show_bug.cgi?id=34349" TargetMode="External"/><Relationship Id="rId15" Type="http://schemas.openxmlformats.org/officeDocument/2006/relationships/hyperlink" Target="https://budiag4.actia.fr/bugzilla-applicative/show_bug.cgi?id=32909" TargetMode="External"/><Relationship Id="rId36" Type="http://schemas.openxmlformats.org/officeDocument/2006/relationships/hyperlink" Target="https://budiag4.actia.fr/bugzilla-applicative/show_bug.cgi?id=34860" TargetMode="External"/><Relationship Id="rId57" Type="http://schemas.openxmlformats.org/officeDocument/2006/relationships/hyperlink" Target="https://budiag4.actia.fr/bugzilla-applicative/show_bug.cgi?id=35081" TargetMode="External"/><Relationship Id="rId106" Type="http://schemas.openxmlformats.org/officeDocument/2006/relationships/hyperlink" Target="https://budiag4.actia.fr/bugzilla-applicative/show_bug.cgi?id=35798" TargetMode="External"/><Relationship Id="rId127" Type="http://schemas.openxmlformats.org/officeDocument/2006/relationships/hyperlink" Target="https://budiag4.actia.fr/bugzilla-applicative/show_bug.cgi?id=33487" TargetMode="External"/><Relationship Id="rId10" Type="http://schemas.openxmlformats.org/officeDocument/2006/relationships/hyperlink" Target="https://budiag4.actia.fr/bugzilla-applicative/show_bug.cgi?id=33611" TargetMode="External"/><Relationship Id="rId31" Type="http://schemas.openxmlformats.org/officeDocument/2006/relationships/hyperlink" Target="https://budiag4.actia.fr/bugzilla-applicative/show_bug.cgi?id=33195" TargetMode="External"/><Relationship Id="rId52" Type="http://schemas.openxmlformats.org/officeDocument/2006/relationships/hyperlink" Target="https://budiag4.actia.fr/bugzilla-applicative/show_bug.cgi?id=34986" TargetMode="External"/><Relationship Id="rId73" Type="http://schemas.openxmlformats.org/officeDocument/2006/relationships/hyperlink" Target="https://budiag4.actia.fr/bugzilla-applicative/show_bug.cgi?id=35407" TargetMode="External"/><Relationship Id="rId78" Type="http://schemas.openxmlformats.org/officeDocument/2006/relationships/hyperlink" Target="https://budiag4.actia.fr/bugzilla-applicative/show_bug.cgi?id=35365" TargetMode="External"/><Relationship Id="rId94" Type="http://schemas.openxmlformats.org/officeDocument/2006/relationships/hyperlink" Target="https://budiag4.actia.fr/bugzilla-applicative/show_bug.cgi?id=35527" TargetMode="External"/><Relationship Id="rId99" Type="http://schemas.openxmlformats.org/officeDocument/2006/relationships/hyperlink" Target="https://budiag4.actia.fr/bugzilla-applicative/show_bug.cgi?id=33314" TargetMode="External"/><Relationship Id="rId101" Type="http://schemas.openxmlformats.org/officeDocument/2006/relationships/hyperlink" Target="https://budiag4.actia.fr/bugzilla-applicative/show_bug.cgi?id=35728" TargetMode="External"/><Relationship Id="rId122" Type="http://schemas.openxmlformats.org/officeDocument/2006/relationships/hyperlink" Target="https://budiag4.actia.fr/bugzilla-applicative/show_bug.cgi?id=35971" TargetMode="External"/><Relationship Id="rId143" Type="http://schemas.openxmlformats.org/officeDocument/2006/relationships/hyperlink" Target="https://budiag4.actia.fr/bugzilla-applicative/show_bug.cgi?id=33531" TargetMode="External"/><Relationship Id="rId148" Type="http://schemas.openxmlformats.org/officeDocument/2006/relationships/hyperlink" Target="https://budiag4.actia.fr/bugzilla-applicative/show_bug.cgi?id=33788" TargetMode="External"/><Relationship Id="rId164" Type="http://schemas.openxmlformats.org/officeDocument/2006/relationships/hyperlink" Target="https://budiag4.actia.fr/bugzilla-applicative/show_bug.cgi?id=33920" TargetMode="External"/><Relationship Id="rId169" Type="http://schemas.openxmlformats.org/officeDocument/2006/relationships/hyperlink" Target="https://budiag4.actia.fr/bugzilla-applicative/show_bug.cgi?id=33919" TargetMode="External"/><Relationship Id="rId185" Type="http://schemas.openxmlformats.org/officeDocument/2006/relationships/hyperlink" Target="https://budiag4.actia.fr/bugzilla-applicative/show_bug.cgi?id=34118" TargetMode="External"/><Relationship Id="rId4" Type="http://schemas.openxmlformats.org/officeDocument/2006/relationships/hyperlink" Target="https://budiag4.actia.fr/bugzilla-applicative/show_bug.cgi?id=32827" TargetMode="External"/><Relationship Id="rId9" Type="http://schemas.openxmlformats.org/officeDocument/2006/relationships/hyperlink" Target="https://budiag4.actia.fr/bugzilla-applicative/show_bug.cgi?id=32869" TargetMode="External"/><Relationship Id="rId180" Type="http://schemas.openxmlformats.org/officeDocument/2006/relationships/hyperlink" Target="https://budiag4.actia.fr/bugzilla-applicative/show_bug.cgi?id=34004" TargetMode="External"/><Relationship Id="rId26" Type="http://schemas.openxmlformats.org/officeDocument/2006/relationships/hyperlink" Target="https://budiag4.actia.fr/bugzilla-applicative/show_bug.cgi?id=33142" TargetMode="External"/><Relationship Id="rId47" Type="http://schemas.openxmlformats.org/officeDocument/2006/relationships/hyperlink" Target="https://budiag4.actia.fr/bugzilla-applicative/show_bug.cgi?id=34966" TargetMode="External"/><Relationship Id="rId68" Type="http://schemas.openxmlformats.org/officeDocument/2006/relationships/hyperlink" Target="https://budiag4.actia.fr/bugzilla-applicative/show_bug.cgi?id=35223" TargetMode="External"/><Relationship Id="rId89" Type="http://schemas.openxmlformats.org/officeDocument/2006/relationships/hyperlink" Target="https://budiag4.actia.fr/bugzilla-applicative/show_bug.cgi?id=35625" TargetMode="External"/><Relationship Id="rId112" Type="http://schemas.openxmlformats.org/officeDocument/2006/relationships/hyperlink" Target="https://budiag4.actia.fr/bugzilla-applicative/show_bug.cgi?id=35827" TargetMode="External"/><Relationship Id="rId133" Type="http://schemas.openxmlformats.org/officeDocument/2006/relationships/hyperlink" Target="https://budiag4.actia.fr/bugzilla-applicative/show_bug.cgi?id=33491" TargetMode="External"/><Relationship Id="rId154" Type="http://schemas.openxmlformats.org/officeDocument/2006/relationships/hyperlink" Target="https://budiag4.actia.fr/bugzilla-applicative/show_bug.cgi?id=33780" TargetMode="External"/><Relationship Id="rId175" Type="http://schemas.openxmlformats.org/officeDocument/2006/relationships/hyperlink" Target="https://budiag4.actia.fr/bugzilla-applicative/show_bug.cgi?id=34007" TargetMode="External"/><Relationship Id="rId196" Type="http://schemas.openxmlformats.org/officeDocument/2006/relationships/hyperlink" Target="https://budiag4.actia.fr/bugzilla-applicative/show_bug.cgi?id=34622" TargetMode="External"/><Relationship Id="rId200" Type="http://schemas.openxmlformats.org/officeDocument/2006/relationships/hyperlink" Target="https://budiag4.actia.fr/bugzilla-applicative/show_bug.cgi?id=34803" TargetMode="External"/></Relationships>
</file>

<file path=xl/worksheets/_rels/sheet2.xml.rels><?xml version="1.0" encoding="UTF-8" standalone="yes"?>
<Relationships xmlns="http://schemas.openxmlformats.org/package/2006/relationships"><Relationship Id="rId117" Type="http://schemas.openxmlformats.org/officeDocument/2006/relationships/hyperlink" Target="https://budiag4.actia.fr/bugzilla-applicative/show_bug.cgi?id=36290" TargetMode="External"/><Relationship Id="rId299" Type="http://schemas.openxmlformats.org/officeDocument/2006/relationships/hyperlink" Target="https://budiag4.actia.fr/bugzilla-applicative/show_bug.cgi?id=36952" TargetMode="External"/><Relationship Id="rId303" Type="http://schemas.openxmlformats.org/officeDocument/2006/relationships/hyperlink" Target="https://budiag4.actia.fr/bugzilla-applicative/show_bug.cgi?id=36954" TargetMode="External"/><Relationship Id="rId21" Type="http://schemas.openxmlformats.org/officeDocument/2006/relationships/hyperlink" Target="https://budiag4.actia.fr/bugzilla-applicative/show_bug.cgi?id=35989" TargetMode="External"/><Relationship Id="rId42" Type="http://schemas.openxmlformats.org/officeDocument/2006/relationships/hyperlink" Target="https://jira-projets.mpsa.com/TRANSV/browse/COMREPA-3004" TargetMode="External"/><Relationship Id="rId63" Type="http://schemas.openxmlformats.org/officeDocument/2006/relationships/hyperlink" Target="https://budiag4.actia.fr/bugzilla-applicative/show_bug.cgi?id=1" TargetMode="External"/><Relationship Id="rId84" Type="http://schemas.openxmlformats.org/officeDocument/2006/relationships/hyperlink" Target="https://jira-projets.mpsa.com/TRANSV/browse/DEVCOMREPA-975" TargetMode="External"/><Relationship Id="rId138" Type="http://schemas.openxmlformats.org/officeDocument/2006/relationships/hyperlink" Target="https://jira-projets.mpsa.com/TRANSV/browse/DEVCOMREPA-1803" TargetMode="External"/><Relationship Id="rId159" Type="http://schemas.openxmlformats.org/officeDocument/2006/relationships/hyperlink" Target="https://budiag4.actia.fr/bugzilla-applicative/show_bug.cgi?id=36408" TargetMode="External"/><Relationship Id="rId170" Type="http://schemas.openxmlformats.org/officeDocument/2006/relationships/hyperlink" Target="https://jira-projets.mpsa.com/TRANSV/browse/COMREPA-3150" TargetMode="External"/><Relationship Id="rId191" Type="http://schemas.openxmlformats.org/officeDocument/2006/relationships/hyperlink" Target="https://budiag4.actia.fr/bugzilla-applicative/show_bug.cgi?id=36591" TargetMode="External"/><Relationship Id="rId205" Type="http://schemas.openxmlformats.org/officeDocument/2006/relationships/hyperlink" Target="https://budiag4.actia.fr/bugzilla-applicative/show_bug.cgi?id=36654" TargetMode="External"/><Relationship Id="rId226" Type="http://schemas.openxmlformats.org/officeDocument/2006/relationships/hyperlink" Target="https://jira-projets.mpsa.com/TRANSV/browse/COMREPA-3274" TargetMode="External"/><Relationship Id="rId247" Type="http://schemas.openxmlformats.org/officeDocument/2006/relationships/hyperlink" Target="https://budiag4.actia.fr/bugzilla-applicative/show_bug.cgi?id=36788" TargetMode="External"/><Relationship Id="rId107" Type="http://schemas.openxmlformats.org/officeDocument/2006/relationships/hyperlink" Target="https://budiag4.actia.fr/bugzilla-applicative/show_bug.cgi?id=5479" TargetMode="External"/><Relationship Id="rId268" Type="http://schemas.openxmlformats.org/officeDocument/2006/relationships/hyperlink" Target="https://jira-projets.mpsa.com/TRANSV/browse/COMREPA-3364" TargetMode="External"/><Relationship Id="rId289" Type="http://schemas.openxmlformats.org/officeDocument/2006/relationships/hyperlink" Target="https://budiag4.actia.fr/bugzilla-applicative/show_bug.cgi?id=36937" TargetMode="External"/><Relationship Id="rId11" Type="http://schemas.openxmlformats.org/officeDocument/2006/relationships/hyperlink" Target="https://budiag4.actia.fr/bugzilla-applicative/show_bug.cgi?id=34801" TargetMode="External"/><Relationship Id="rId32" Type="http://schemas.openxmlformats.org/officeDocument/2006/relationships/hyperlink" Target="https://jira-projets.mpsa.com/TRANSV/browse/COMREPA-2998" TargetMode="External"/><Relationship Id="rId53" Type="http://schemas.openxmlformats.org/officeDocument/2006/relationships/hyperlink" Target="https://budiag4.actia.fr/bugzilla-applicative/show_bug.cgi?id=36045" TargetMode="External"/><Relationship Id="rId74" Type="http://schemas.openxmlformats.org/officeDocument/2006/relationships/hyperlink" Target="https://jira-projets.mpsa.com/TRANSV/browse/COMREPA-3015" TargetMode="External"/><Relationship Id="rId128" Type="http://schemas.openxmlformats.org/officeDocument/2006/relationships/hyperlink" Target="https://jira-projets.mpsa.com/TRANSV/browse/COMREPA-3115" TargetMode="External"/><Relationship Id="rId149" Type="http://schemas.openxmlformats.org/officeDocument/2006/relationships/hyperlink" Target="https://budiag4.actia.fr/bugzilla-applicative/show_bug.cgi?id=36355" TargetMode="External"/><Relationship Id="rId314" Type="http://schemas.openxmlformats.org/officeDocument/2006/relationships/vmlDrawing" Target="../drawings/vmlDrawing1.vml"/><Relationship Id="rId5" Type="http://schemas.openxmlformats.org/officeDocument/2006/relationships/hyperlink" Target="https://budiag4.actia.fr/bugzilla-applicative/show_bug.cgi?id=34585" TargetMode="External"/><Relationship Id="rId95" Type="http://schemas.openxmlformats.org/officeDocument/2006/relationships/hyperlink" Target="https://budiag4.actia.fr/bugzilla-applicative/show_bug.cgi?id=36160" TargetMode="External"/><Relationship Id="rId160" Type="http://schemas.openxmlformats.org/officeDocument/2006/relationships/hyperlink" Target="https://jira-projets.mpsa.com/TRANSV/browse/DEVCOMREPA-1813" TargetMode="External"/><Relationship Id="rId181" Type="http://schemas.openxmlformats.org/officeDocument/2006/relationships/hyperlink" Target="https://budiag4.actia.fr/bugzilla-applicative/show_bug.cgi?id=36579" TargetMode="External"/><Relationship Id="rId216" Type="http://schemas.openxmlformats.org/officeDocument/2006/relationships/hyperlink" Target="https://jira-projets.mpsa.com/TRANSV/browse/DEVCOMREPA-1958" TargetMode="External"/><Relationship Id="rId237" Type="http://schemas.openxmlformats.org/officeDocument/2006/relationships/hyperlink" Target="https://budiag4.actia.fr/bugzilla-applicative/show_bug.cgi?id=36755" TargetMode="External"/><Relationship Id="rId258" Type="http://schemas.openxmlformats.org/officeDocument/2006/relationships/hyperlink" Target="https://jira-projets.mpsa.com/TRANSV/browse/DEVCOMREPA-2030" TargetMode="External"/><Relationship Id="rId279" Type="http://schemas.openxmlformats.org/officeDocument/2006/relationships/hyperlink" Target="https://budiag4.actia.fr/bugzilla-applicative/show_bug.cgi?id=36911" TargetMode="External"/><Relationship Id="rId22" Type="http://schemas.openxmlformats.org/officeDocument/2006/relationships/hyperlink" Target="https://jira-projets.mpsa.com/TRANSV/browse/COMREPA-2993" TargetMode="External"/><Relationship Id="rId43" Type="http://schemas.openxmlformats.org/officeDocument/2006/relationships/hyperlink" Target="https://budiag4.actia.fr/bugzilla-applicative/show_bug.cgi?id=36038" TargetMode="External"/><Relationship Id="rId64" Type="http://schemas.openxmlformats.org/officeDocument/2006/relationships/hyperlink" Target="https://jira-projets.mpsa.com/TRANSV/browse/DEVCOMREPA-1601" TargetMode="External"/><Relationship Id="rId118" Type="http://schemas.openxmlformats.org/officeDocument/2006/relationships/hyperlink" Target="https://jira-projets.mpsa.com/TRANSV/browse/COMREPA-3061" TargetMode="External"/><Relationship Id="rId139" Type="http://schemas.openxmlformats.org/officeDocument/2006/relationships/hyperlink" Target="https://budiag4.actia.fr/bugzilla-applicative/show_bug.cgi?id=36337" TargetMode="External"/><Relationship Id="rId290" Type="http://schemas.openxmlformats.org/officeDocument/2006/relationships/hyperlink" Target="https://jira-projets.mpsa.com/TRANSV/browse/COMREPA-3392" TargetMode="External"/><Relationship Id="rId304" Type="http://schemas.openxmlformats.org/officeDocument/2006/relationships/hyperlink" Target="https://jira-projets.mpsa.com/TRANSV/browse/DEVCOMREPA-2122" TargetMode="External"/><Relationship Id="rId85" Type="http://schemas.openxmlformats.org/officeDocument/2006/relationships/hyperlink" Target="https://budiag4.actia.fr/bugzilla-applicative/show_bug.cgi?id=36094" TargetMode="External"/><Relationship Id="rId150" Type="http://schemas.openxmlformats.org/officeDocument/2006/relationships/hyperlink" Target="https://jira-projets.mpsa.com/TRANSV/browse/COMREPA-3129" TargetMode="External"/><Relationship Id="rId171" Type="http://schemas.openxmlformats.org/officeDocument/2006/relationships/hyperlink" Target="https://budiag4.actia.fr/bugzilla-applicative/show_bug.cgi?id=36453" TargetMode="External"/><Relationship Id="rId192" Type="http://schemas.openxmlformats.org/officeDocument/2006/relationships/hyperlink" Target="https://jira-projets.mpsa.com/TRANSV/browse/COMREPA-3234" TargetMode="External"/><Relationship Id="rId206" Type="http://schemas.openxmlformats.org/officeDocument/2006/relationships/hyperlink" Target="https://jira-projets.mpsa.com/TRANSV/browse/COMREPA-3253" TargetMode="External"/><Relationship Id="rId227" Type="http://schemas.openxmlformats.org/officeDocument/2006/relationships/hyperlink" Target="https://budiag4.actia.fr/bugzilla-applicative/show_bug.cgi?id=36750" TargetMode="External"/><Relationship Id="rId248" Type="http://schemas.openxmlformats.org/officeDocument/2006/relationships/hyperlink" Target="https://jira-projets.mpsa.com/TRANSV/browse/COMREPA-3281" TargetMode="External"/><Relationship Id="rId269" Type="http://schemas.openxmlformats.org/officeDocument/2006/relationships/hyperlink" Target="https://budiag4.actia.fr/bugzilla-applicative/show_bug.cgi?id=36892" TargetMode="External"/><Relationship Id="rId12" Type="http://schemas.openxmlformats.org/officeDocument/2006/relationships/hyperlink" Target="https://jira-projets.mpsa.com/TRANSV/browse/DEVCOMREPA-974" TargetMode="External"/><Relationship Id="rId33" Type="http://schemas.openxmlformats.org/officeDocument/2006/relationships/hyperlink" Target="https://budiag4.actia.fr/bugzilla-applicative/show_bug.cgi?id=36025" TargetMode="External"/><Relationship Id="rId108" Type="http://schemas.openxmlformats.org/officeDocument/2006/relationships/hyperlink" Target="https://jira-projets.mpsa.com/TRANSV/browse/COMREPA-3049" TargetMode="External"/><Relationship Id="rId129" Type="http://schemas.openxmlformats.org/officeDocument/2006/relationships/hyperlink" Target="https://budiag4.actia.fr/bugzilla-applicative/show_bug.cgi?id=36317" TargetMode="External"/><Relationship Id="rId280" Type="http://schemas.openxmlformats.org/officeDocument/2006/relationships/hyperlink" Target="https://jira-projets.mpsa.com/TRANSV/browse/PVN-32" TargetMode="External"/><Relationship Id="rId315" Type="http://schemas.openxmlformats.org/officeDocument/2006/relationships/control" Target="../activeX/activeX1.xml"/><Relationship Id="rId54" Type="http://schemas.openxmlformats.org/officeDocument/2006/relationships/hyperlink" Target="https://jira-projets.mpsa.com/TRANSV/browse/DEVCOMREPA-1688" TargetMode="External"/><Relationship Id="rId75" Type="http://schemas.openxmlformats.org/officeDocument/2006/relationships/hyperlink" Target="https://budiag4.actia.fr/bugzilla-applicative/show_bug.cgi?id=36087" TargetMode="External"/><Relationship Id="rId96" Type="http://schemas.openxmlformats.org/officeDocument/2006/relationships/hyperlink" Target="https://jira-projets.mpsa.com/TRANSV/browse/DEVCOMREPA-1732" TargetMode="External"/><Relationship Id="rId140" Type="http://schemas.openxmlformats.org/officeDocument/2006/relationships/hyperlink" Target="https://jira-projets.mpsa.com/TRANSV/browse/COMREPA-3121" TargetMode="External"/><Relationship Id="rId161" Type="http://schemas.openxmlformats.org/officeDocument/2006/relationships/hyperlink" Target="https://budiag4.actia.fr/bugzilla-applicative/show_bug.cgi?id=36419" TargetMode="External"/><Relationship Id="rId182" Type="http://schemas.openxmlformats.org/officeDocument/2006/relationships/hyperlink" Target="https://jira-projets.mpsa.com/TRANSV/browse/COMREPA-2589" TargetMode="External"/><Relationship Id="rId217" Type="http://schemas.openxmlformats.org/officeDocument/2006/relationships/hyperlink" Target="https://budiag4.actia.fr/bugzilla-applicative/show_bug.cgi?id=36704" TargetMode="External"/><Relationship Id="rId6" Type="http://schemas.openxmlformats.org/officeDocument/2006/relationships/hyperlink" Target="https://jira-projets.mpsa.com/TRANSV/browse/DEVCOMREPA-904" TargetMode="External"/><Relationship Id="rId238" Type="http://schemas.openxmlformats.org/officeDocument/2006/relationships/hyperlink" Target="https://jira-projets.mpsa.com/TRANSV/browse/DEVCOMREPA-1986" TargetMode="External"/><Relationship Id="rId259" Type="http://schemas.openxmlformats.org/officeDocument/2006/relationships/hyperlink" Target="https://budiag4.actia.fr/bugzilla-applicative/show_bug.cgi?id=36859" TargetMode="External"/><Relationship Id="rId23" Type="http://schemas.openxmlformats.org/officeDocument/2006/relationships/hyperlink" Target="https://budiag4.actia.fr/bugzilla-applicative/show_bug.cgi?id=34423" TargetMode="External"/><Relationship Id="rId119" Type="http://schemas.openxmlformats.org/officeDocument/2006/relationships/hyperlink" Target="https://budiag4.actia.fr/bugzilla-applicative/show_bug.cgi?id=36291" TargetMode="External"/><Relationship Id="rId270" Type="http://schemas.openxmlformats.org/officeDocument/2006/relationships/hyperlink" Target="https://jira-projets.mpsa.com/TRANSV/browse/COMREPA-3380" TargetMode="External"/><Relationship Id="rId291" Type="http://schemas.openxmlformats.org/officeDocument/2006/relationships/hyperlink" Target="https://budiag4.actia.fr/bugzilla-applicative/show_bug.cgi?id=36944" TargetMode="External"/><Relationship Id="rId305" Type="http://schemas.openxmlformats.org/officeDocument/2006/relationships/hyperlink" Target="https://budiag4.actia.fr/bugzilla-applicative/show_bug.cgi?id=36955" TargetMode="External"/><Relationship Id="rId44" Type="http://schemas.openxmlformats.org/officeDocument/2006/relationships/hyperlink" Target="https://jira-projets.mpsa.com/TRANSV/browse/COMREPA-3006" TargetMode="External"/><Relationship Id="rId65" Type="http://schemas.openxmlformats.org/officeDocument/2006/relationships/hyperlink" Target="https://budiag4.actia.fr/bugzilla-applicative/show_bug.cgi?id=36065" TargetMode="External"/><Relationship Id="rId86" Type="http://schemas.openxmlformats.org/officeDocument/2006/relationships/hyperlink" Target="https://jira-projets.mpsa.com/TRANSV/browse/COMREPA-2893" TargetMode="External"/><Relationship Id="rId130" Type="http://schemas.openxmlformats.org/officeDocument/2006/relationships/hyperlink" Target="https://jira-projets.mpsa.com/TRANSV/browse/COMREPA-3083" TargetMode="External"/><Relationship Id="rId151" Type="http://schemas.openxmlformats.org/officeDocument/2006/relationships/hyperlink" Target="https://budiag4.actia.fr/bugzilla-applicative/show_bug.cgi?id=36356" TargetMode="External"/><Relationship Id="rId172" Type="http://schemas.openxmlformats.org/officeDocument/2006/relationships/hyperlink" Target="https://jira-projets.mpsa.com/TRANSV/browse/COMREPA-3142" TargetMode="External"/><Relationship Id="rId193" Type="http://schemas.openxmlformats.org/officeDocument/2006/relationships/hyperlink" Target="https://budiag4.actia.fr/bugzilla-applicative/show_bug.cgi?id=36612" TargetMode="External"/><Relationship Id="rId207" Type="http://schemas.openxmlformats.org/officeDocument/2006/relationships/hyperlink" Target="https://budiag4.actia.fr/bugzilla-applicative/show_bug.cgi?id=36656" TargetMode="External"/><Relationship Id="rId228" Type="http://schemas.openxmlformats.org/officeDocument/2006/relationships/hyperlink" Target="https://jira-projets.mpsa.com/TRANSV/browse/COMREPA-3151" TargetMode="External"/><Relationship Id="rId249" Type="http://schemas.openxmlformats.org/officeDocument/2006/relationships/hyperlink" Target="https://budiag4.actia.fr/bugzilla-applicative/show_bug.cgi?id=36789" TargetMode="External"/><Relationship Id="rId13" Type="http://schemas.openxmlformats.org/officeDocument/2006/relationships/hyperlink" Target="https://budiag4.actia.fr/bugzilla-applicative/show_bug.cgi?id=35627" TargetMode="External"/><Relationship Id="rId109" Type="http://schemas.openxmlformats.org/officeDocument/2006/relationships/hyperlink" Target="https://budiag4.actia.fr/bugzilla-applicative/show_bug.cgi?id=36194" TargetMode="External"/><Relationship Id="rId260" Type="http://schemas.openxmlformats.org/officeDocument/2006/relationships/hyperlink" Target="https://jira-projets.mpsa.com/TRANSV/browse/DEVCOMREPA-2029" TargetMode="External"/><Relationship Id="rId281" Type="http://schemas.openxmlformats.org/officeDocument/2006/relationships/hyperlink" Target="https://budiag4.actia.fr/bugzilla-applicative/show_bug.cgi?id=888" TargetMode="External"/><Relationship Id="rId316" Type="http://schemas.openxmlformats.org/officeDocument/2006/relationships/control" Target="../activeX/activeX2.xml"/><Relationship Id="rId34" Type="http://schemas.openxmlformats.org/officeDocument/2006/relationships/hyperlink" Target="https://jira-projets.mpsa.com/TRANSV/browse/COMREPA-2999" TargetMode="External"/><Relationship Id="rId55" Type="http://schemas.openxmlformats.org/officeDocument/2006/relationships/hyperlink" Target="https://budiag4.actia.fr/bugzilla-applicative/show_bug.cgi?id=36047" TargetMode="External"/><Relationship Id="rId76" Type="http://schemas.openxmlformats.org/officeDocument/2006/relationships/hyperlink" Target="https://jira-projets.mpsa.com/TRANSV/browse/DEVCOMREPA-1685" TargetMode="External"/><Relationship Id="rId97" Type="http://schemas.openxmlformats.org/officeDocument/2006/relationships/hyperlink" Target="https://budiag4.actia.fr/bugzilla-applicative/show_bug.cgi?id=36171" TargetMode="External"/><Relationship Id="rId120" Type="http://schemas.openxmlformats.org/officeDocument/2006/relationships/hyperlink" Target="https://jira-projets.mpsa.com/TRANSV/browse/DEVCOMREPA-1796" TargetMode="External"/><Relationship Id="rId141" Type="http://schemas.openxmlformats.org/officeDocument/2006/relationships/hyperlink" Target="https://budiag4.actia.fr/bugzilla-applicative/show_bug.cgi?id=36339" TargetMode="External"/><Relationship Id="rId7" Type="http://schemas.openxmlformats.org/officeDocument/2006/relationships/hyperlink" Target="https://budiag4.actia.fr/bugzilla-applicative/show_bug.cgi?id=34586" TargetMode="External"/><Relationship Id="rId162" Type="http://schemas.openxmlformats.org/officeDocument/2006/relationships/hyperlink" Target="https://jira-projets.mpsa.com/TRANSV/browse/DEVCOMREPA-1737" TargetMode="External"/><Relationship Id="rId183" Type="http://schemas.openxmlformats.org/officeDocument/2006/relationships/hyperlink" Target="https://budiag4.actia.fr/bugzilla-applicative/show_bug.cgi?id=36582" TargetMode="External"/><Relationship Id="rId218" Type="http://schemas.openxmlformats.org/officeDocument/2006/relationships/hyperlink" Target="https://jira-projets.mpsa.com/TRANSV/browse/COMREPA-3259" TargetMode="External"/><Relationship Id="rId239" Type="http://schemas.openxmlformats.org/officeDocument/2006/relationships/hyperlink" Target="https://budiag4.actia.fr/bugzilla-applicative/show_bug.cgi?id=36774" TargetMode="External"/><Relationship Id="rId250" Type="http://schemas.openxmlformats.org/officeDocument/2006/relationships/hyperlink" Target="https://jira-projets.mpsa.com/TRANSV/browse/COMREPA-3288" TargetMode="External"/><Relationship Id="rId271" Type="http://schemas.openxmlformats.org/officeDocument/2006/relationships/hyperlink" Target="https://budiag4.actia.fr/bugzilla-applicative/show_bug.cgi?id=1" TargetMode="External"/><Relationship Id="rId292" Type="http://schemas.openxmlformats.org/officeDocument/2006/relationships/hyperlink" Target="https://jira-projets.mpsa.com/TRANSV/browse/DEVCOMREPA-2114" TargetMode="External"/><Relationship Id="rId306" Type="http://schemas.openxmlformats.org/officeDocument/2006/relationships/hyperlink" Target="https://jira-projets.mpsa.com/TRANSV/browse/DEVCOMREPA-2138" TargetMode="External"/><Relationship Id="rId24" Type="http://schemas.openxmlformats.org/officeDocument/2006/relationships/hyperlink" Target="https://jira-projets.mpsa.com/TRANSV/browse/COMREPA-2905" TargetMode="External"/><Relationship Id="rId45" Type="http://schemas.openxmlformats.org/officeDocument/2006/relationships/hyperlink" Target="https://budiag4.actia.fr/bugzilla-applicative/show_bug.cgi?id=36040" TargetMode="External"/><Relationship Id="rId66" Type="http://schemas.openxmlformats.org/officeDocument/2006/relationships/hyperlink" Target="https://jira-projets.mpsa.com/TRANSV/browse/DEVCOMREPA-1686" TargetMode="External"/><Relationship Id="rId87" Type="http://schemas.openxmlformats.org/officeDocument/2006/relationships/hyperlink" Target="https://budiag4.actia.fr/bugzilla-applicative/show_bug.cgi?id=36113" TargetMode="External"/><Relationship Id="rId110" Type="http://schemas.openxmlformats.org/officeDocument/2006/relationships/hyperlink" Target="https://jira-projets.mpsa.com/TRANSV/browse/DEVCOMREPA-1764" TargetMode="External"/><Relationship Id="rId131" Type="http://schemas.openxmlformats.org/officeDocument/2006/relationships/hyperlink" Target="https://budiag4.actia.fr/bugzilla-applicative/show_bug.cgi?id=36317" TargetMode="External"/><Relationship Id="rId152" Type="http://schemas.openxmlformats.org/officeDocument/2006/relationships/hyperlink" Target="https://jira-projets.mpsa.com/TRANSV/browse/COMREPA-3130" TargetMode="External"/><Relationship Id="rId173" Type="http://schemas.openxmlformats.org/officeDocument/2006/relationships/hyperlink" Target="https://budiag4.actia.fr/bugzilla-applicative/show_bug.cgi?id=36549" TargetMode="External"/><Relationship Id="rId194" Type="http://schemas.openxmlformats.org/officeDocument/2006/relationships/hyperlink" Target="https://jira-projets.mpsa.com/TRANSV/browse/DEVCOMREPA-1918" TargetMode="External"/><Relationship Id="rId208" Type="http://schemas.openxmlformats.org/officeDocument/2006/relationships/hyperlink" Target="https://jira-projets.mpsa.com/TRANSV/browse/COMREPA-3235" TargetMode="External"/><Relationship Id="rId229" Type="http://schemas.openxmlformats.org/officeDocument/2006/relationships/hyperlink" Target="https://budiag4.actia.fr/bugzilla-applicative/show_bug.cgi?id=36751" TargetMode="External"/><Relationship Id="rId19" Type="http://schemas.openxmlformats.org/officeDocument/2006/relationships/hyperlink" Target="https://budiag4.actia.fr/bugzilla-applicative/show_bug.cgi?id=34899" TargetMode="External"/><Relationship Id="rId224" Type="http://schemas.openxmlformats.org/officeDocument/2006/relationships/hyperlink" Target="https://jira-projets.mpsa.com/TRANSV/browse/COMREPA-3270" TargetMode="External"/><Relationship Id="rId240" Type="http://schemas.openxmlformats.org/officeDocument/2006/relationships/hyperlink" Target="https://jira-projets.mpsa.com/TRANSV/browse/DEVCOMREPA-2001" TargetMode="External"/><Relationship Id="rId245" Type="http://schemas.openxmlformats.org/officeDocument/2006/relationships/hyperlink" Target="https://budiag4.actia.fr/bugzilla-applicative/show_bug.cgi?id=36785" TargetMode="External"/><Relationship Id="rId261" Type="http://schemas.openxmlformats.org/officeDocument/2006/relationships/hyperlink" Target="https://budiag4.actia.fr/bugzilla-applicative/show_bug.cgi?id=36862" TargetMode="External"/><Relationship Id="rId266" Type="http://schemas.openxmlformats.org/officeDocument/2006/relationships/hyperlink" Target="https://jira-projets.mpsa.com/TRANSV/browse/COMREPA-3356" TargetMode="External"/><Relationship Id="rId287" Type="http://schemas.openxmlformats.org/officeDocument/2006/relationships/hyperlink" Target="https://budiag4.actia.fr/bugzilla-applicative/show_bug.cgi?id=36933" TargetMode="External"/><Relationship Id="rId14" Type="http://schemas.openxmlformats.org/officeDocument/2006/relationships/hyperlink" Target="https://jira-projets.mpsa.com/TRANSV/browse/COMREPA-2973" TargetMode="External"/><Relationship Id="rId30" Type="http://schemas.openxmlformats.org/officeDocument/2006/relationships/hyperlink" Target="https://jira-projets.mpsa.com/TRANSV/browse/COMREPA-2996" TargetMode="External"/><Relationship Id="rId35" Type="http://schemas.openxmlformats.org/officeDocument/2006/relationships/hyperlink" Target="https://budiag4.actia.fr/bugzilla-applicative/show_bug.cgi?id=36028" TargetMode="External"/><Relationship Id="rId56" Type="http://schemas.openxmlformats.org/officeDocument/2006/relationships/hyperlink" Target="https://jira-projets.mpsa.com/TRANSV/browse/COMREPA-3007" TargetMode="External"/><Relationship Id="rId77" Type="http://schemas.openxmlformats.org/officeDocument/2006/relationships/hyperlink" Target="https://budiag4.actia.fr/bugzilla-applicative/show_bug.cgi?id=36088" TargetMode="External"/><Relationship Id="rId100" Type="http://schemas.openxmlformats.org/officeDocument/2006/relationships/hyperlink" Target="https://jira-projets.mpsa.com/TRANSV/browse/COMREPA-3032" TargetMode="External"/><Relationship Id="rId105" Type="http://schemas.openxmlformats.org/officeDocument/2006/relationships/hyperlink" Target="https://budiag4.actia.fr/bugzilla-applicative/show_bug.cgi?id=5478" TargetMode="External"/><Relationship Id="rId126" Type="http://schemas.openxmlformats.org/officeDocument/2006/relationships/hyperlink" Target="https://jira-projets.mpsa.com/TRANSV/browse/COMREPA-3056" TargetMode="External"/><Relationship Id="rId147" Type="http://schemas.openxmlformats.org/officeDocument/2006/relationships/hyperlink" Target="https://budiag4.actia.fr/bugzilla-applicative/show_bug.cgi?id=36352" TargetMode="External"/><Relationship Id="rId168" Type="http://schemas.openxmlformats.org/officeDocument/2006/relationships/hyperlink" Target="https://jira-projets.mpsa.com/TRANSV/browse/COMREPA-3146" TargetMode="External"/><Relationship Id="rId282" Type="http://schemas.openxmlformats.org/officeDocument/2006/relationships/hyperlink" Target="https://jira-projets.mpsa.com/TRANSV/browse/DEVCOMREPA-2113" TargetMode="External"/><Relationship Id="rId312" Type="http://schemas.openxmlformats.org/officeDocument/2006/relationships/hyperlink" Target="https://jira-projets.mpsa.com/TRANSV/browse/PVN-32" TargetMode="External"/><Relationship Id="rId317" Type="http://schemas.openxmlformats.org/officeDocument/2006/relationships/control" Target="../activeX/activeX3.xml"/><Relationship Id="rId8" Type="http://schemas.openxmlformats.org/officeDocument/2006/relationships/hyperlink" Target="https://jira-projets.mpsa.com/TRANSV/browse/DEVCOMREPA-906" TargetMode="External"/><Relationship Id="rId51" Type="http://schemas.openxmlformats.org/officeDocument/2006/relationships/hyperlink" Target="https://budiag4.actia.fr/bugzilla-applicative/show_bug.cgi?id=36044" TargetMode="External"/><Relationship Id="rId72" Type="http://schemas.openxmlformats.org/officeDocument/2006/relationships/hyperlink" Target="https://jira-projets.mpsa.com/TRANSV/browse/COMREPA-3013" TargetMode="External"/><Relationship Id="rId93" Type="http://schemas.openxmlformats.org/officeDocument/2006/relationships/hyperlink" Target="https://budiag4.actia.fr/bugzilla-applicative/show_bug.cgi?id=36146" TargetMode="External"/><Relationship Id="rId98" Type="http://schemas.openxmlformats.org/officeDocument/2006/relationships/hyperlink" Target="https://jira-projets.mpsa.com/TRANSV/browse/COMREPA-3041" TargetMode="External"/><Relationship Id="rId121" Type="http://schemas.openxmlformats.org/officeDocument/2006/relationships/hyperlink" Target="https://budiag4.actia.fr/bugzilla-applicative/show_bug.cgi?id=36293" TargetMode="External"/><Relationship Id="rId142" Type="http://schemas.openxmlformats.org/officeDocument/2006/relationships/hyperlink" Target="https://jira-projets.mpsa.com/TRANSV/browse/COMREPA-3126" TargetMode="External"/><Relationship Id="rId163" Type="http://schemas.openxmlformats.org/officeDocument/2006/relationships/hyperlink" Target="https://budiag4.actia.fr/bugzilla-applicative/show_bug.cgi?id=36431" TargetMode="External"/><Relationship Id="rId184" Type="http://schemas.openxmlformats.org/officeDocument/2006/relationships/hyperlink" Target="https://jira-projets.mpsa.com/TRANSV/browse/COMREPA-3148" TargetMode="External"/><Relationship Id="rId189" Type="http://schemas.openxmlformats.org/officeDocument/2006/relationships/hyperlink" Target="https://budiag4.actia.fr/bugzilla-applicative/show_bug.cgi?id=36588" TargetMode="External"/><Relationship Id="rId219" Type="http://schemas.openxmlformats.org/officeDocument/2006/relationships/hyperlink" Target="https://budiag4.actia.fr/bugzilla-applicative/show_bug.cgi?id=36705" TargetMode="External"/><Relationship Id="rId3" Type="http://schemas.openxmlformats.org/officeDocument/2006/relationships/hyperlink" Target="https://budiag4.actia.fr/bugzilla-applicative/show_bug.cgi?id=34584" TargetMode="External"/><Relationship Id="rId214" Type="http://schemas.openxmlformats.org/officeDocument/2006/relationships/hyperlink" Target="https://jira-projets.mpsa.com/TRANSV/browse/COMREPA-3264" TargetMode="External"/><Relationship Id="rId230" Type="http://schemas.openxmlformats.org/officeDocument/2006/relationships/hyperlink" Target="https://jira-projets.mpsa.com/TRANSV/browse/DEVCOMREPA-1989" TargetMode="External"/><Relationship Id="rId235" Type="http://schemas.openxmlformats.org/officeDocument/2006/relationships/hyperlink" Target="https://budiag4.actia.fr/bugzilla-applicative/show_bug.cgi?id=36754" TargetMode="External"/><Relationship Id="rId251" Type="http://schemas.openxmlformats.org/officeDocument/2006/relationships/hyperlink" Target="https://budiag4.actia.fr/bugzilla-applicative/show_bug.cgi?id=36790" TargetMode="External"/><Relationship Id="rId256" Type="http://schemas.openxmlformats.org/officeDocument/2006/relationships/hyperlink" Target="https://jira-projets.mpsa.com/TRANSV/browse/DEVCOMREPA-2012" TargetMode="External"/><Relationship Id="rId277" Type="http://schemas.openxmlformats.org/officeDocument/2006/relationships/hyperlink" Target="https://budiag4.actia.fr/bugzilla-applicative/show_bug.cgi?id=36911" TargetMode="External"/><Relationship Id="rId298" Type="http://schemas.openxmlformats.org/officeDocument/2006/relationships/hyperlink" Target="https://jira-projets.mpsa.com/TRANSV/browse/DEVCOMREPA-2127" TargetMode="External"/><Relationship Id="rId25" Type="http://schemas.openxmlformats.org/officeDocument/2006/relationships/hyperlink" Target="https://budiag4.actia.fr/bugzilla-applicative/show_bug.cgi?id=36012" TargetMode="External"/><Relationship Id="rId46" Type="http://schemas.openxmlformats.org/officeDocument/2006/relationships/hyperlink" Target="https://jira-projets.mpsa.com/TRANSV/browse/COMREPA-3008" TargetMode="External"/><Relationship Id="rId67" Type="http://schemas.openxmlformats.org/officeDocument/2006/relationships/hyperlink" Target="https://budiag4.actia.fr/bugzilla-applicative/show_bug.cgi?id=36080" TargetMode="External"/><Relationship Id="rId116" Type="http://schemas.openxmlformats.org/officeDocument/2006/relationships/hyperlink" Target="https://jira-projets.mpsa.com/TRANSV/browse/COMREPA-3054" TargetMode="External"/><Relationship Id="rId137" Type="http://schemas.openxmlformats.org/officeDocument/2006/relationships/hyperlink" Target="https://budiag4.actia.fr/bugzilla-applicative/show_bug.cgi?id=36336" TargetMode="External"/><Relationship Id="rId158" Type="http://schemas.openxmlformats.org/officeDocument/2006/relationships/hyperlink" Target="https://jira-projets.mpsa.com/TRANSV/browse/DEVCOMREPA-1814" TargetMode="External"/><Relationship Id="rId272" Type="http://schemas.openxmlformats.org/officeDocument/2006/relationships/hyperlink" Target="https://jira-projets.mpsa.com/TRANSV/browse/COMREPA-3373" TargetMode="External"/><Relationship Id="rId293" Type="http://schemas.openxmlformats.org/officeDocument/2006/relationships/hyperlink" Target="https://budiag4.actia.fr/bugzilla-applicative/show_bug.cgi?id=36945" TargetMode="External"/><Relationship Id="rId302" Type="http://schemas.openxmlformats.org/officeDocument/2006/relationships/hyperlink" Target="https://jira-projets.mpsa.com/TRANSV/browse/DEVCOMREPA-2137" TargetMode="External"/><Relationship Id="rId307" Type="http://schemas.openxmlformats.org/officeDocument/2006/relationships/hyperlink" Target="https://budiag4.actia.fr/bugzilla-applicative/show_bug.cgi?id=36956" TargetMode="External"/><Relationship Id="rId20" Type="http://schemas.openxmlformats.org/officeDocument/2006/relationships/hyperlink" Target="https://jira-projets.mpsa.com/TRANSV/browse/DEVPVN-8" TargetMode="External"/><Relationship Id="rId41" Type="http://schemas.openxmlformats.org/officeDocument/2006/relationships/hyperlink" Target="https://budiag4.actia.fr/bugzilla-applicative/show_bug.cgi?id=36031" TargetMode="External"/><Relationship Id="rId62" Type="http://schemas.openxmlformats.org/officeDocument/2006/relationships/hyperlink" Target="https://jira-projets.mpsa.com/TRANSV/browse/COMREPA-3013" TargetMode="External"/><Relationship Id="rId83" Type="http://schemas.openxmlformats.org/officeDocument/2006/relationships/hyperlink" Target="https://budiag4.actia.fr/bugzilla-applicative/show_bug.cgi?id=34802" TargetMode="External"/><Relationship Id="rId88" Type="http://schemas.openxmlformats.org/officeDocument/2006/relationships/hyperlink" Target="https://jira-projets.mpsa.com/TRANSV/browse/COMREPA-3029" TargetMode="External"/><Relationship Id="rId111" Type="http://schemas.openxmlformats.org/officeDocument/2006/relationships/hyperlink" Target="https://budiag4.actia.fr/bugzilla-applicative/show_bug.cgi?id=36255" TargetMode="External"/><Relationship Id="rId132" Type="http://schemas.openxmlformats.org/officeDocument/2006/relationships/hyperlink" Target="https://jira-projets.mpsa.com/TRANSV/browse/COMREPA-3058" TargetMode="External"/><Relationship Id="rId153" Type="http://schemas.openxmlformats.org/officeDocument/2006/relationships/hyperlink" Target="https://budiag4.actia.fr/bugzilla-applicative/show_bug.cgi?id=36376" TargetMode="External"/><Relationship Id="rId174" Type="http://schemas.openxmlformats.org/officeDocument/2006/relationships/hyperlink" Target="https://jira-projets.mpsa.com/TRANSV/browse/COMREPA-3231" TargetMode="External"/><Relationship Id="rId179" Type="http://schemas.openxmlformats.org/officeDocument/2006/relationships/hyperlink" Target="https://budiag4.actia.fr/bugzilla-applicative/show_bug.cgi?id=36571" TargetMode="External"/><Relationship Id="rId195" Type="http://schemas.openxmlformats.org/officeDocument/2006/relationships/hyperlink" Target="https://budiag4.actia.fr/bugzilla-applicative/show_bug.cgi?id=36089" TargetMode="External"/><Relationship Id="rId209" Type="http://schemas.openxmlformats.org/officeDocument/2006/relationships/hyperlink" Target="https://budiag4.actia.fr/bugzilla-applicative/show_bug.cgi?id=36675" TargetMode="External"/><Relationship Id="rId190" Type="http://schemas.openxmlformats.org/officeDocument/2006/relationships/hyperlink" Target="https://jira-projets.mpsa.com/TRANSV/browse/COMREPA-3238" TargetMode="External"/><Relationship Id="rId204" Type="http://schemas.openxmlformats.org/officeDocument/2006/relationships/hyperlink" Target="https://jira-projets.mpsa.com/TRANSV/browse/COMREPA-3252" TargetMode="External"/><Relationship Id="rId220" Type="http://schemas.openxmlformats.org/officeDocument/2006/relationships/hyperlink" Target="https://jira-projets.mpsa.com/TRANSV/browse/COMREPA-3267" TargetMode="External"/><Relationship Id="rId225" Type="http://schemas.openxmlformats.org/officeDocument/2006/relationships/hyperlink" Target="https://budiag4.actia.fr/bugzilla-applicative/show_bug.cgi?id=36728" TargetMode="External"/><Relationship Id="rId241" Type="http://schemas.openxmlformats.org/officeDocument/2006/relationships/hyperlink" Target="https://budiag4.actia.fr/bugzilla-applicative/show_bug.cgi?id=36776" TargetMode="External"/><Relationship Id="rId246" Type="http://schemas.openxmlformats.org/officeDocument/2006/relationships/hyperlink" Target="https://jira-projets.mpsa.com/TRANSV/browse/DEVCOMREPA-2033" TargetMode="External"/><Relationship Id="rId267" Type="http://schemas.openxmlformats.org/officeDocument/2006/relationships/hyperlink" Target="https://budiag4.actia.fr/bugzilla-applicative/show_bug.cgi?id=36877" TargetMode="External"/><Relationship Id="rId288" Type="http://schemas.openxmlformats.org/officeDocument/2006/relationships/hyperlink" Target="https://jira-projets.mpsa.com/TRANSV/browse/DEVCOMREPA-2081" TargetMode="External"/><Relationship Id="rId15" Type="http://schemas.openxmlformats.org/officeDocument/2006/relationships/hyperlink" Target="https://budiag4.actia.fr/bugzilla-applicative/show_bug.cgi?id=34803" TargetMode="External"/><Relationship Id="rId36" Type="http://schemas.openxmlformats.org/officeDocument/2006/relationships/hyperlink" Target="https://jira-projets.mpsa.com/TRANSV/browse/COMREPA-3000" TargetMode="External"/><Relationship Id="rId57" Type="http://schemas.openxmlformats.org/officeDocument/2006/relationships/hyperlink" Target="https://budiag4.actia.fr/bugzilla-applicative/show_bug.cgi?id=36055" TargetMode="External"/><Relationship Id="rId106" Type="http://schemas.openxmlformats.org/officeDocument/2006/relationships/hyperlink" Target="https://jira-projets.mpsa.com/TRANSV/browse/COMREPA-2969" TargetMode="External"/><Relationship Id="rId127" Type="http://schemas.openxmlformats.org/officeDocument/2006/relationships/hyperlink" Target="https://budiag4.actia.fr/bugzilla-applicative/show_bug.cgi?id=36316" TargetMode="External"/><Relationship Id="rId262" Type="http://schemas.openxmlformats.org/officeDocument/2006/relationships/hyperlink" Target="https://jira-projets.mpsa.com/TRANSV/browse/DEVCOMREPA-2028" TargetMode="External"/><Relationship Id="rId283" Type="http://schemas.openxmlformats.org/officeDocument/2006/relationships/hyperlink" Target="https://budiag4.actia.fr/bugzilla-applicative/show_bug.cgi?id=36931" TargetMode="External"/><Relationship Id="rId313" Type="http://schemas.openxmlformats.org/officeDocument/2006/relationships/printerSettings" Target="../printerSettings/printerSettings3.bin"/><Relationship Id="rId318" Type="http://schemas.openxmlformats.org/officeDocument/2006/relationships/control" Target="../activeX/activeX4.xml"/><Relationship Id="rId10" Type="http://schemas.openxmlformats.org/officeDocument/2006/relationships/hyperlink" Target="https://jira-projets.mpsa.com/TRANSV/browse/DEVCOMREPA-905" TargetMode="External"/><Relationship Id="rId31" Type="http://schemas.openxmlformats.org/officeDocument/2006/relationships/hyperlink" Target="https://budiag4.actia.fr/bugzilla-applicative/show_bug.cgi?id=36024" TargetMode="External"/><Relationship Id="rId52" Type="http://schemas.openxmlformats.org/officeDocument/2006/relationships/hyperlink" Target="https://jira-projets.mpsa.com/TRANSV/browse/DEVCOMREPA-1671" TargetMode="External"/><Relationship Id="rId73" Type="http://schemas.openxmlformats.org/officeDocument/2006/relationships/hyperlink" Target="https://budiag4.actia.fr/bugzilla-applicative/show_bug.cgi?id=36085" TargetMode="External"/><Relationship Id="rId78" Type="http://schemas.openxmlformats.org/officeDocument/2006/relationships/hyperlink" Target="https://jira-projets.mpsa.com/TRANSV/browse/DEVCOMREPA-1698" TargetMode="External"/><Relationship Id="rId94" Type="http://schemas.openxmlformats.org/officeDocument/2006/relationships/hyperlink" Target="https://jira-projets.mpsa.com/TRANSV/browse/DEVCOMREPA-1617" TargetMode="External"/><Relationship Id="rId99" Type="http://schemas.openxmlformats.org/officeDocument/2006/relationships/hyperlink" Target="https://budiag4.actia.fr/bugzilla-applicative/show_bug.cgi?id=36189" TargetMode="External"/><Relationship Id="rId101" Type="http://schemas.openxmlformats.org/officeDocument/2006/relationships/hyperlink" Target="https://budiag4.actia.fr/bugzilla-applicative/show_bug.cgi?id=36190" TargetMode="External"/><Relationship Id="rId122" Type="http://schemas.openxmlformats.org/officeDocument/2006/relationships/hyperlink" Target="https://jira-projets.mpsa.com/TRANSV/browse/DEVCOMREPA-1738" TargetMode="External"/><Relationship Id="rId143" Type="http://schemas.openxmlformats.org/officeDocument/2006/relationships/hyperlink" Target="https://budiag4.actia.fr/bugzilla-applicative/show_bug.cgi?id=36349" TargetMode="External"/><Relationship Id="rId148" Type="http://schemas.openxmlformats.org/officeDocument/2006/relationships/hyperlink" Target="https://jira-projets.mpsa.com/TRANSV/browse/DEVCOMREPA-1709" TargetMode="External"/><Relationship Id="rId164" Type="http://schemas.openxmlformats.org/officeDocument/2006/relationships/hyperlink" Target="https://jira-projets.mpsa.com/TRANSV/browse/COMREPA-3137" TargetMode="External"/><Relationship Id="rId169" Type="http://schemas.openxmlformats.org/officeDocument/2006/relationships/hyperlink" Target="https://budiag4.actia.fr/bugzilla-applicative/show_bug.cgi?id=36452" TargetMode="External"/><Relationship Id="rId185" Type="http://schemas.openxmlformats.org/officeDocument/2006/relationships/hyperlink" Target="https://budiag4.actia.fr/bugzilla-applicative/show_bug.cgi?id=36585" TargetMode="External"/><Relationship Id="rId4" Type="http://schemas.openxmlformats.org/officeDocument/2006/relationships/hyperlink" Target="https://jira-projets.mpsa.com/TRANSV/browse/DEVCOMREPA-896" TargetMode="External"/><Relationship Id="rId9" Type="http://schemas.openxmlformats.org/officeDocument/2006/relationships/hyperlink" Target="https://budiag4.actia.fr/bugzilla-applicative/show_bug.cgi?id=34622" TargetMode="External"/><Relationship Id="rId180" Type="http://schemas.openxmlformats.org/officeDocument/2006/relationships/hyperlink" Target="https://jira-projets.mpsa.com/TRANSV/browse/COMREPA-3225" TargetMode="External"/><Relationship Id="rId210" Type="http://schemas.openxmlformats.org/officeDocument/2006/relationships/hyperlink" Target="https://jira-projets.mpsa.com/TRANSV/browse/COMREPA-3241" TargetMode="External"/><Relationship Id="rId215" Type="http://schemas.openxmlformats.org/officeDocument/2006/relationships/hyperlink" Target="https://budiag4.actia.fr/bugzilla-applicative/show_bug.cgi?id=36695" TargetMode="External"/><Relationship Id="rId236" Type="http://schemas.openxmlformats.org/officeDocument/2006/relationships/hyperlink" Target="https://jira-projets.mpsa.com/TRANSV/browse/DEVCOMREPA-1973" TargetMode="External"/><Relationship Id="rId257" Type="http://schemas.openxmlformats.org/officeDocument/2006/relationships/hyperlink" Target="https://budiag4.actia.fr/bugzilla-applicative/show_bug.cgi?id=36820" TargetMode="External"/><Relationship Id="rId278" Type="http://schemas.openxmlformats.org/officeDocument/2006/relationships/hyperlink" Target="https://jira-projets.mpsa.com/TRANSV/browse/COMREPA-3373" TargetMode="External"/><Relationship Id="rId26" Type="http://schemas.openxmlformats.org/officeDocument/2006/relationships/hyperlink" Target="https://jira-projets.mpsa.com/TRANSV/browse/DEVCOMREPA-1656" TargetMode="External"/><Relationship Id="rId231" Type="http://schemas.openxmlformats.org/officeDocument/2006/relationships/hyperlink" Target="https://budiag4.actia.fr/bugzilla-applicative/show_bug.cgi?id=36752" TargetMode="External"/><Relationship Id="rId252" Type="http://schemas.openxmlformats.org/officeDocument/2006/relationships/hyperlink" Target="https://jira-projets.mpsa.com/TRANSV/browse/DEVCOMREPA-1997" TargetMode="External"/><Relationship Id="rId273" Type="http://schemas.openxmlformats.org/officeDocument/2006/relationships/hyperlink" Target="https://budiag4.actia.fr/bugzilla-applicative/show_bug.cgi?id=36901" TargetMode="External"/><Relationship Id="rId294" Type="http://schemas.openxmlformats.org/officeDocument/2006/relationships/hyperlink" Target="https://jira-projets.mpsa.com/TRANSV/browse/DEVCOMREPA-2124" TargetMode="External"/><Relationship Id="rId308" Type="http://schemas.openxmlformats.org/officeDocument/2006/relationships/hyperlink" Target="https://jira-projets.mpsa.com/TRANSV/browse/DEVCOMREPA-2133" TargetMode="External"/><Relationship Id="rId47" Type="http://schemas.openxmlformats.org/officeDocument/2006/relationships/hyperlink" Target="https://budiag4.actia.fr/bugzilla-applicative/show_bug.cgi?id=36042" TargetMode="External"/><Relationship Id="rId68" Type="http://schemas.openxmlformats.org/officeDocument/2006/relationships/hyperlink" Target="https://jira-projets.mpsa.com/TRANSV/browse/DEVCOMREPA-1687" TargetMode="External"/><Relationship Id="rId89" Type="http://schemas.openxmlformats.org/officeDocument/2006/relationships/hyperlink" Target="https://budiag4.actia.fr/bugzilla-applicative/show_bug.cgi?id=36136" TargetMode="External"/><Relationship Id="rId112" Type="http://schemas.openxmlformats.org/officeDocument/2006/relationships/hyperlink" Target="https://jira-projets.mpsa.com/TRANSV/browse/DEVCOMREPA-1775" TargetMode="External"/><Relationship Id="rId133" Type="http://schemas.openxmlformats.org/officeDocument/2006/relationships/hyperlink" Target="https://budiag4.actia.fr/bugzilla-applicative/show_bug.cgi?id=36318" TargetMode="External"/><Relationship Id="rId154" Type="http://schemas.openxmlformats.org/officeDocument/2006/relationships/hyperlink" Target="https://jira-projets.mpsa.com/TRANSV/browse/DEVCOMREPA-1727" TargetMode="External"/><Relationship Id="rId175" Type="http://schemas.openxmlformats.org/officeDocument/2006/relationships/hyperlink" Target="https://budiag4.actia.fr/bugzilla-applicative/show_bug.cgi?id=36554" TargetMode="External"/><Relationship Id="rId196" Type="http://schemas.openxmlformats.org/officeDocument/2006/relationships/hyperlink" Target="https://jira-projets.mpsa.com/TRANSV/browse/PVN-31" TargetMode="External"/><Relationship Id="rId200" Type="http://schemas.openxmlformats.org/officeDocument/2006/relationships/hyperlink" Target="https://jira-projets.mpsa.com/TRANSV/browse/DEVCOMREPA-1872" TargetMode="External"/><Relationship Id="rId16" Type="http://schemas.openxmlformats.org/officeDocument/2006/relationships/hyperlink" Target="https://jira-projets.mpsa.com/TRANSV/browse/DEVCOMREPA-977" TargetMode="External"/><Relationship Id="rId221" Type="http://schemas.openxmlformats.org/officeDocument/2006/relationships/hyperlink" Target="https://budiag4.actia.fr/bugzilla-applicative/show_bug.cgi?id=36711" TargetMode="External"/><Relationship Id="rId242" Type="http://schemas.openxmlformats.org/officeDocument/2006/relationships/hyperlink" Target="https://jira-projets.mpsa.com/TRANSV/browse/COMREPA-3273" TargetMode="External"/><Relationship Id="rId263" Type="http://schemas.openxmlformats.org/officeDocument/2006/relationships/hyperlink" Target="https://budiag4.actia.fr/bugzilla-applicative/show_bug.cgi?id=36863" TargetMode="External"/><Relationship Id="rId284" Type="http://schemas.openxmlformats.org/officeDocument/2006/relationships/hyperlink" Target="https://jira-projets.mpsa.com/TRANSV/browse/DEVCOMREPA-2125" TargetMode="External"/><Relationship Id="rId319" Type="http://schemas.openxmlformats.org/officeDocument/2006/relationships/control" Target="../activeX/activeX5.xml"/><Relationship Id="rId37" Type="http://schemas.openxmlformats.org/officeDocument/2006/relationships/hyperlink" Target="https://budiag4.actia.fr/bugzilla-applicative/show_bug.cgi?id=36029" TargetMode="External"/><Relationship Id="rId58" Type="http://schemas.openxmlformats.org/officeDocument/2006/relationships/hyperlink" Target="https://jira-projets.mpsa.com/TRANSV/browse/COMREPA-3011" TargetMode="External"/><Relationship Id="rId79" Type="http://schemas.openxmlformats.org/officeDocument/2006/relationships/hyperlink" Target="https://budiag4.actia.fr/bugzilla-applicative/show_bug.cgi?id=36089" TargetMode="External"/><Relationship Id="rId102" Type="http://schemas.openxmlformats.org/officeDocument/2006/relationships/hyperlink" Target="https://jira-projets.mpsa.com/TRANSV/browse/COMREPA-3047" TargetMode="External"/><Relationship Id="rId123" Type="http://schemas.openxmlformats.org/officeDocument/2006/relationships/hyperlink" Target="https://budiag4.actia.fr/bugzilla-applicative/show_bug.cgi?id=36298" TargetMode="External"/><Relationship Id="rId144" Type="http://schemas.openxmlformats.org/officeDocument/2006/relationships/hyperlink" Target="https://jira-projets.mpsa.com/TRANSV/browse/COMREPA-3125" TargetMode="External"/><Relationship Id="rId90" Type="http://schemas.openxmlformats.org/officeDocument/2006/relationships/hyperlink" Target="https://jira-projets.mpsa.com/TRANSV/browse/COMREPA-3034" TargetMode="External"/><Relationship Id="rId165" Type="http://schemas.openxmlformats.org/officeDocument/2006/relationships/hyperlink" Target="https://budiag4.actia.fr/bugzilla-applicative/show_bug.cgi?id=36442" TargetMode="External"/><Relationship Id="rId186" Type="http://schemas.openxmlformats.org/officeDocument/2006/relationships/hyperlink" Target="https://jira-projets.mpsa.com/TRANSV/browse/COMREPA-3237" TargetMode="External"/><Relationship Id="rId211" Type="http://schemas.openxmlformats.org/officeDocument/2006/relationships/hyperlink" Target="https://budiag4.actia.fr/bugzilla-applicative/show_bug.cgi?id=36684" TargetMode="External"/><Relationship Id="rId232" Type="http://schemas.openxmlformats.org/officeDocument/2006/relationships/hyperlink" Target="https://jira-projets.mpsa.com/TRANSV/browse/DEVCOMREPA-1978" TargetMode="External"/><Relationship Id="rId253" Type="http://schemas.openxmlformats.org/officeDocument/2006/relationships/hyperlink" Target="https://budiag4.actia.fr/bugzilla-applicative/show_bug.cgi?id=36805" TargetMode="External"/><Relationship Id="rId274" Type="http://schemas.openxmlformats.org/officeDocument/2006/relationships/hyperlink" Target="https://jira-projets.mpsa.com/TRANSV/browse/COMREPA-3379" TargetMode="External"/><Relationship Id="rId295" Type="http://schemas.openxmlformats.org/officeDocument/2006/relationships/hyperlink" Target="https://budiag4.actia.fr/bugzilla-applicative/show_bug.cgi?id=36946" TargetMode="External"/><Relationship Id="rId309" Type="http://schemas.openxmlformats.org/officeDocument/2006/relationships/hyperlink" Target="https://budiag4.actia.fr/bugzilla-applicative/show_bug.cgi?id=36957" TargetMode="External"/><Relationship Id="rId27" Type="http://schemas.openxmlformats.org/officeDocument/2006/relationships/hyperlink" Target="https://budiag4.actia.fr/bugzilla-applicative/show_bug.cgi?id=36013" TargetMode="External"/><Relationship Id="rId48" Type="http://schemas.openxmlformats.org/officeDocument/2006/relationships/hyperlink" Target="https://jira-projets.mpsa.com/TRANSV/browse/COMREPA-3003" TargetMode="External"/><Relationship Id="rId69" Type="http://schemas.openxmlformats.org/officeDocument/2006/relationships/hyperlink" Target="https://budiag4.actia.fr/bugzilla-applicative/show_bug.cgi?id=36081" TargetMode="External"/><Relationship Id="rId113" Type="http://schemas.openxmlformats.org/officeDocument/2006/relationships/hyperlink" Target="https://budiag4.actia.fr/bugzilla-applicative/show_bug.cgi?id=36256" TargetMode="External"/><Relationship Id="rId134" Type="http://schemas.openxmlformats.org/officeDocument/2006/relationships/hyperlink" Target="https://jira-projets.mpsa.com/TRANSV/browse/COMREPA-3065" TargetMode="External"/><Relationship Id="rId320" Type="http://schemas.openxmlformats.org/officeDocument/2006/relationships/control" Target="../activeX/activeX6.xml"/><Relationship Id="rId80" Type="http://schemas.openxmlformats.org/officeDocument/2006/relationships/hyperlink" Target="https://jira-projets.mpsa.com/TRANSV/browse/COMREPA-1334" TargetMode="External"/><Relationship Id="rId155" Type="http://schemas.openxmlformats.org/officeDocument/2006/relationships/hyperlink" Target="https://budiag4.actia.fr/bugzilla-applicative/show_bug.cgi?id=36397" TargetMode="External"/><Relationship Id="rId176" Type="http://schemas.openxmlformats.org/officeDocument/2006/relationships/hyperlink" Target="https://jira-projets.mpsa.com/TRANSV/browse/COMREPA-3226" TargetMode="External"/><Relationship Id="rId197" Type="http://schemas.openxmlformats.org/officeDocument/2006/relationships/hyperlink" Target="https://budiag4.actia.fr/bugzilla-applicative/show_bug.cgi?id=36641" TargetMode="External"/><Relationship Id="rId201" Type="http://schemas.openxmlformats.org/officeDocument/2006/relationships/hyperlink" Target="https://budiag4.actia.fr/bugzilla-applicative/show_bug.cgi?id=36650" TargetMode="External"/><Relationship Id="rId222" Type="http://schemas.openxmlformats.org/officeDocument/2006/relationships/hyperlink" Target="https://jira-projets.mpsa.com/TRANSV/browse/COMREPA-3271" TargetMode="External"/><Relationship Id="rId243" Type="http://schemas.openxmlformats.org/officeDocument/2006/relationships/hyperlink" Target="https://budiag4.actia.fr/bugzilla-applicative/show_bug.cgi?id=36780" TargetMode="External"/><Relationship Id="rId264" Type="http://schemas.openxmlformats.org/officeDocument/2006/relationships/hyperlink" Target="https://jira-projets.mpsa.com/TRANSV/browse/DEVCOMREPA-2027" TargetMode="External"/><Relationship Id="rId285" Type="http://schemas.openxmlformats.org/officeDocument/2006/relationships/hyperlink" Target="https://budiag4.actia.fr/bugzilla-applicative/show_bug.cgi?id=36932" TargetMode="External"/><Relationship Id="rId17" Type="http://schemas.openxmlformats.org/officeDocument/2006/relationships/hyperlink" Target="https://budiag4.actia.fr/bugzilla-applicative/show_bug.cgi?id=34839" TargetMode="External"/><Relationship Id="rId38" Type="http://schemas.openxmlformats.org/officeDocument/2006/relationships/hyperlink" Target="https://jira-projets.mpsa.com/TRANSV/browse/COMREPA-3002" TargetMode="External"/><Relationship Id="rId59" Type="http://schemas.openxmlformats.org/officeDocument/2006/relationships/hyperlink" Target="https://budiag4.actia.fr/bugzilla-applicative/show_bug.cgi?id=1" TargetMode="External"/><Relationship Id="rId103" Type="http://schemas.openxmlformats.org/officeDocument/2006/relationships/hyperlink" Target="https://budiag4.actia.fr/bugzilla-applicative/show_bug.cgi?id=52" TargetMode="External"/><Relationship Id="rId124" Type="http://schemas.openxmlformats.org/officeDocument/2006/relationships/hyperlink" Target="https://jira-projets.mpsa.com/TRANSV/browse/COMREPA-3055" TargetMode="External"/><Relationship Id="rId310" Type="http://schemas.openxmlformats.org/officeDocument/2006/relationships/hyperlink" Target="https://jira-projets.mpsa.com/TRANSV/browse/DEVCOMREPA-2109" TargetMode="External"/><Relationship Id="rId70" Type="http://schemas.openxmlformats.org/officeDocument/2006/relationships/hyperlink" Target="https://jira-projets.mpsa.com/TRANSV/browse/COMREPA-3012" TargetMode="External"/><Relationship Id="rId91" Type="http://schemas.openxmlformats.org/officeDocument/2006/relationships/hyperlink" Target="https://budiag4.actia.fr/bugzilla-applicative/show_bug.cgi?id=36140" TargetMode="External"/><Relationship Id="rId145" Type="http://schemas.openxmlformats.org/officeDocument/2006/relationships/hyperlink" Target="https://budiag4.actia.fr/bugzilla-applicative/show_bug.cgi?id=36351" TargetMode="External"/><Relationship Id="rId166" Type="http://schemas.openxmlformats.org/officeDocument/2006/relationships/hyperlink" Target="https://jira-projets.mpsa.com/TRANSV/browse/COMREPA-3147" TargetMode="External"/><Relationship Id="rId187" Type="http://schemas.openxmlformats.org/officeDocument/2006/relationships/hyperlink" Target="https://budiag4.actia.fr/bugzilla-applicative/show_bug.cgi?id=36586" TargetMode="External"/><Relationship Id="rId1" Type="http://schemas.openxmlformats.org/officeDocument/2006/relationships/hyperlink" Target="../../bugzilla-applicative/show_bug.cgi?id=34158" TargetMode="External"/><Relationship Id="rId212" Type="http://schemas.openxmlformats.org/officeDocument/2006/relationships/hyperlink" Target="https://jira-projets.mpsa.com/TRANSV/browse/DEVCOMREPA-1950" TargetMode="External"/><Relationship Id="rId233" Type="http://schemas.openxmlformats.org/officeDocument/2006/relationships/hyperlink" Target="https://budiag4.actia.fr/bugzilla-applicative/show_bug.cgi?id=36753" TargetMode="External"/><Relationship Id="rId254" Type="http://schemas.openxmlformats.org/officeDocument/2006/relationships/hyperlink" Target="https://jira-projets.mpsa.com/TRANSV/browse/DEVCOMREPA-2024" TargetMode="External"/><Relationship Id="rId28" Type="http://schemas.openxmlformats.org/officeDocument/2006/relationships/hyperlink" Target="https://jira-projets.mpsa.com/TRANSV/browse/DEVCOMREPA-1660" TargetMode="External"/><Relationship Id="rId49" Type="http://schemas.openxmlformats.org/officeDocument/2006/relationships/hyperlink" Target="https://budiag4.actia.fr/bugzilla-applicative/show_bug.cgi?id=36043" TargetMode="External"/><Relationship Id="rId114" Type="http://schemas.openxmlformats.org/officeDocument/2006/relationships/hyperlink" Target="https://jira-projets.mpsa.com/TRANSV/browse/DEVCOMREPA-1718" TargetMode="External"/><Relationship Id="rId275" Type="http://schemas.openxmlformats.org/officeDocument/2006/relationships/hyperlink" Target="https://budiag4.actia.fr/bugzilla-applicative/show_bug.cgi?id=36910" TargetMode="External"/><Relationship Id="rId296" Type="http://schemas.openxmlformats.org/officeDocument/2006/relationships/hyperlink" Target="https://jira-projets.mpsa.com/TRANSV/browse/DEVCOMREPA-2126" TargetMode="External"/><Relationship Id="rId300" Type="http://schemas.openxmlformats.org/officeDocument/2006/relationships/hyperlink" Target="https://jira-projets.mpsa.com/TRANSV/browse/DEVCOMREPA-2136" TargetMode="External"/><Relationship Id="rId60" Type="http://schemas.openxmlformats.org/officeDocument/2006/relationships/hyperlink" Target="https://jira-projets.mpsa.com/TRANSV/browse/COMREPA-3012" TargetMode="External"/><Relationship Id="rId81" Type="http://schemas.openxmlformats.org/officeDocument/2006/relationships/hyperlink" Target="https://budiag4.actia.fr/bugzilla-applicative/show_bug.cgi?id=36092" TargetMode="External"/><Relationship Id="rId135" Type="http://schemas.openxmlformats.org/officeDocument/2006/relationships/hyperlink" Target="https://budiag4.actia.fr/bugzilla-applicative/show_bug.cgi?id=36319" TargetMode="External"/><Relationship Id="rId156" Type="http://schemas.openxmlformats.org/officeDocument/2006/relationships/hyperlink" Target="https://jira-projets.mpsa.com/TRANSV/browse/COMREPA-3119" TargetMode="External"/><Relationship Id="rId177" Type="http://schemas.openxmlformats.org/officeDocument/2006/relationships/hyperlink" Target="https://budiag4.actia.fr/bugzilla-applicative/show_bug.cgi?id=36560" TargetMode="External"/><Relationship Id="rId198" Type="http://schemas.openxmlformats.org/officeDocument/2006/relationships/hyperlink" Target="https://jira-projets.mpsa.com/TRANSV/browse/COMREPA-3244" TargetMode="External"/><Relationship Id="rId321" Type="http://schemas.openxmlformats.org/officeDocument/2006/relationships/control" Target="../activeX/activeX7.xml"/><Relationship Id="rId202" Type="http://schemas.openxmlformats.org/officeDocument/2006/relationships/hyperlink" Target="https://jira-projets.mpsa.com/TRANSV/browse/COMREPA-3254" TargetMode="External"/><Relationship Id="rId223" Type="http://schemas.openxmlformats.org/officeDocument/2006/relationships/hyperlink" Target="https://budiag4.actia.fr/bugzilla-applicative/show_bug.cgi?id=36712" TargetMode="External"/><Relationship Id="rId244" Type="http://schemas.openxmlformats.org/officeDocument/2006/relationships/hyperlink" Target="https://jira-projets.mpsa.com/TRANSV/browse/COMREPA-3276" TargetMode="External"/><Relationship Id="rId18" Type="http://schemas.openxmlformats.org/officeDocument/2006/relationships/hyperlink" Target="https://jira-projets.mpsa.com/TRANSV/browse/DEVCOMREPA-987" TargetMode="External"/><Relationship Id="rId39" Type="http://schemas.openxmlformats.org/officeDocument/2006/relationships/hyperlink" Target="https://budiag4.actia.fr/bugzilla-applicative/show_bug.cgi?id=55478" TargetMode="External"/><Relationship Id="rId265" Type="http://schemas.openxmlformats.org/officeDocument/2006/relationships/hyperlink" Target="https://budiag4.actia.fr/bugzilla-applicative/show_bug.cgi?id=36864" TargetMode="External"/><Relationship Id="rId286" Type="http://schemas.openxmlformats.org/officeDocument/2006/relationships/hyperlink" Target="https://jira-projets.mpsa.com/TRANSV/browse/DEVCOMREPA-2082" TargetMode="External"/><Relationship Id="rId50" Type="http://schemas.openxmlformats.org/officeDocument/2006/relationships/hyperlink" Target="https://jira-projets.mpsa.com/TRANSV/browse/DEVCOMREPA-1670" TargetMode="External"/><Relationship Id="rId104" Type="http://schemas.openxmlformats.org/officeDocument/2006/relationships/hyperlink" Target="https://jira-projets.mpsa.com/TRANSV/browse/DEVCOMREPA-1754" TargetMode="External"/><Relationship Id="rId125" Type="http://schemas.openxmlformats.org/officeDocument/2006/relationships/hyperlink" Target="https://budiag4.actia.fr/bugzilla-applicative/show_bug.cgi?id=36315" TargetMode="External"/><Relationship Id="rId146" Type="http://schemas.openxmlformats.org/officeDocument/2006/relationships/hyperlink" Target="https://jira-projets.mpsa.com/TRANSV/browse/COMREPA-3127" TargetMode="External"/><Relationship Id="rId167" Type="http://schemas.openxmlformats.org/officeDocument/2006/relationships/hyperlink" Target="https://budiag4.actia.fr/bugzilla-applicative/show_bug.cgi?id=36443" TargetMode="External"/><Relationship Id="rId188" Type="http://schemas.openxmlformats.org/officeDocument/2006/relationships/hyperlink" Target="https://jira-projets.mpsa.com/TRANSV/browse/COMREPA-3236" TargetMode="External"/><Relationship Id="rId311" Type="http://schemas.openxmlformats.org/officeDocument/2006/relationships/hyperlink" Target="https://budiag4.actia.fr/bugzilla-applicative/show_bug.cgi?id=36604" TargetMode="External"/><Relationship Id="rId71" Type="http://schemas.openxmlformats.org/officeDocument/2006/relationships/hyperlink" Target="https://budiag4.actia.fr/bugzilla-applicative/show_bug.cgi?id=36082" TargetMode="External"/><Relationship Id="rId92" Type="http://schemas.openxmlformats.org/officeDocument/2006/relationships/hyperlink" Target="https://jira-projets.mpsa.com/TRANSV/browse/COMREPA-3035" TargetMode="External"/><Relationship Id="rId213" Type="http://schemas.openxmlformats.org/officeDocument/2006/relationships/hyperlink" Target="https://budiag4.actia.fr/bugzilla-applicative/show_bug.cgi?id=36687" TargetMode="External"/><Relationship Id="rId234" Type="http://schemas.openxmlformats.org/officeDocument/2006/relationships/hyperlink" Target="https://jira-projets.mpsa.com/TRANSV/browse/DEVCOMREPA-1967" TargetMode="External"/><Relationship Id="rId2" Type="http://schemas.openxmlformats.org/officeDocument/2006/relationships/hyperlink" Target="https://jira-projets.mpsa.com/TRANSV/browse/DEVCOMREPA-678" TargetMode="External"/><Relationship Id="rId29" Type="http://schemas.openxmlformats.org/officeDocument/2006/relationships/hyperlink" Target="https://budiag4.actia.fr/bugzilla-applicative/show_bug.cgi?id=36018" TargetMode="External"/><Relationship Id="rId255" Type="http://schemas.openxmlformats.org/officeDocument/2006/relationships/hyperlink" Target="https://budiag4.actia.fr/bugzilla-applicative/show_bug.cgi?id=36808" TargetMode="External"/><Relationship Id="rId276" Type="http://schemas.openxmlformats.org/officeDocument/2006/relationships/hyperlink" Target="https://jira-projets.mpsa.com/TRANSV/browse/COMREPA-3351" TargetMode="External"/><Relationship Id="rId297" Type="http://schemas.openxmlformats.org/officeDocument/2006/relationships/hyperlink" Target="https://budiag4.actia.fr/bugzilla-applicative/show_bug.cgi?id=36949" TargetMode="External"/><Relationship Id="rId40" Type="http://schemas.openxmlformats.org/officeDocument/2006/relationships/hyperlink" Target="https://jira-projets.mpsa.com/TRANSV/browse/COMREPA-3001" TargetMode="External"/><Relationship Id="rId115" Type="http://schemas.openxmlformats.org/officeDocument/2006/relationships/hyperlink" Target="https://budiag4.actia.fr/bugzilla-applicative/show_bug.cgi?id=36257" TargetMode="External"/><Relationship Id="rId136" Type="http://schemas.openxmlformats.org/officeDocument/2006/relationships/hyperlink" Target="https://jira-projets.mpsa.com/TRANSV/browse/COMREPA-3064" TargetMode="External"/><Relationship Id="rId157" Type="http://schemas.openxmlformats.org/officeDocument/2006/relationships/hyperlink" Target="https://budiag4.actia.fr/bugzilla-applicative/show_bug.cgi?id=36405" TargetMode="External"/><Relationship Id="rId178" Type="http://schemas.openxmlformats.org/officeDocument/2006/relationships/hyperlink" Target="https://jira-projets.mpsa.com/TRANSV/browse/COMREPA-3162" TargetMode="External"/><Relationship Id="rId301" Type="http://schemas.openxmlformats.org/officeDocument/2006/relationships/hyperlink" Target="https://budiag4.actia.fr/bugzilla-applicative/show_bug.cgi?id=36953" TargetMode="External"/><Relationship Id="rId322" Type="http://schemas.openxmlformats.org/officeDocument/2006/relationships/control" Target="../activeX/activeX8.xml"/><Relationship Id="rId61" Type="http://schemas.openxmlformats.org/officeDocument/2006/relationships/hyperlink" Target="https://budiag4.actia.fr/bugzilla-applicative/show_bug.cgi?id=1" TargetMode="External"/><Relationship Id="rId82" Type="http://schemas.openxmlformats.org/officeDocument/2006/relationships/hyperlink" Target="https://jira-projets.mpsa.com/TRANSV/browse/PVN-30" TargetMode="External"/><Relationship Id="rId199" Type="http://schemas.openxmlformats.org/officeDocument/2006/relationships/hyperlink" Target="https://budiag4.actia.fr/bugzilla-applicative/show_bug.cgi?id=36643" TargetMode="External"/><Relationship Id="rId203" Type="http://schemas.openxmlformats.org/officeDocument/2006/relationships/hyperlink" Target="https://budiag4.actia.fr/bugzilla-applicative/show_bug.cgi?id=36653"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Feuil26" filterMode="1">
    <pageSetUpPr fitToPage="1"/>
  </sheetPr>
  <dimension ref="A1:Q217"/>
  <sheetViews>
    <sheetView workbookViewId="0">
      <pane xSplit="1" ySplit="11" topLeftCell="B18" activePane="bottomRight" state="frozen"/>
      <selection pane="topRight" activeCell="B1" sqref="B1"/>
      <selection pane="bottomLeft" activeCell="A12" sqref="A12"/>
      <selection pane="bottomRight" activeCell="G18" sqref="G18"/>
    </sheetView>
  </sheetViews>
  <sheetFormatPr baseColWidth="10" defaultRowHeight="12.75"/>
  <cols>
    <col min="1" max="1" width="18.85546875" customWidth="1"/>
    <col min="2" max="2" width="7.7109375" bestFit="1" customWidth="1"/>
    <col min="3" max="3" width="5.28515625" customWidth="1"/>
    <col min="4" max="4" width="6" style="9" customWidth="1"/>
    <col min="5" max="5" width="10.5703125" style="9" customWidth="1"/>
    <col min="6" max="6" width="7.42578125" customWidth="1"/>
    <col min="7" max="7" width="8.5703125" bestFit="1" customWidth="1"/>
    <col min="8" max="9" width="9.42578125" style="9" customWidth="1"/>
    <col min="10" max="10" width="9.42578125" customWidth="1"/>
    <col min="11" max="11" width="8.42578125" bestFit="1" customWidth="1"/>
    <col min="12" max="12" width="8.28515625" style="17" bestFit="1" customWidth="1"/>
    <col min="13" max="13" width="8.7109375" bestFit="1" customWidth="1"/>
    <col min="14" max="14" width="20.85546875" customWidth="1"/>
    <col min="15" max="15" width="12.42578125" customWidth="1"/>
    <col min="16" max="16" width="6.5703125" bestFit="1" customWidth="1"/>
    <col min="17" max="17" width="41" customWidth="1"/>
  </cols>
  <sheetData>
    <row r="1" spans="1:17" ht="28.5" customHeight="1">
      <c r="A1" s="8" t="s">
        <v>310</v>
      </c>
      <c r="F1" s="8" t="s">
        <v>466</v>
      </c>
    </row>
    <row r="2" spans="1:17">
      <c r="A2" s="485" t="s">
        <v>347</v>
      </c>
      <c r="B2" s="485"/>
      <c r="C2" s="484">
        <v>41341</v>
      </c>
      <c r="D2" s="484"/>
      <c r="E2" s="18"/>
      <c r="L2" s="15"/>
    </row>
    <row r="3" spans="1:17" ht="5.25" customHeight="1" thickBot="1">
      <c r="A3" s="30"/>
      <c r="B3" s="4"/>
      <c r="C3" s="44"/>
      <c r="D3" s="44"/>
      <c r="E3" s="18"/>
      <c r="L3" s="15"/>
      <c r="N3" s="45"/>
      <c r="O3" s="45"/>
    </row>
    <row r="4" spans="1:17">
      <c r="A4" s="482" t="s">
        <v>312</v>
      </c>
      <c r="B4" s="483"/>
      <c r="D4" s="486"/>
      <c r="E4" s="488" t="s">
        <v>257</v>
      </c>
      <c r="F4" s="476" t="s">
        <v>25</v>
      </c>
      <c r="G4" s="477"/>
      <c r="H4" s="477"/>
      <c r="I4" s="477"/>
      <c r="J4" s="478"/>
      <c r="K4" s="479" t="s">
        <v>307</v>
      </c>
      <c r="L4" s="480"/>
      <c r="M4" s="481"/>
    </row>
    <row r="5" spans="1:17" ht="13.5" thickBot="1">
      <c r="A5" s="31" t="s">
        <v>254</v>
      </c>
      <c r="B5" s="33">
        <v>13</v>
      </c>
      <c r="D5" s="487"/>
      <c r="E5" s="489"/>
      <c r="F5" s="238" t="s">
        <v>252</v>
      </c>
      <c r="G5" s="6" t="s">
        <v>246</v>
      </c>
      <c r="H5" s="6" t="s">
        <v>245</v>
      </c>
      <c r="I5" s="6" t="s">
        <v>244</v>
      </c>
      <c r="J5" s="29" t="s">
        <v>366</v>
      </c>
      <c r="K5" s="238" t="s">
        <v>305</v>
      </c>
      <c r="L5" s="6" t="s">
        <v>306</v>
      </c>
      <c r="M5" s="29" t="s">
        <v>24</v>
      </c>
    </row>
    <row r="6" spans="1:17" ht="15.75">
      <c r="A6" s="31" t="s">
        <v>313</v>
      </c>
      <c r="B6" s="33">
        <v>0</v>
      </c>
      <c r="D6" s="22" t="s">
        <v>257</v>
      </c>
      <c r="E6" s="235">
        <v>3</v>
      </c>
      <c r="F6" s="239">
        <v>0</v>
      </c>
      <c r="G6" s="24">
        <v>0</v>
      </c>
      <c r="H6" s="24">
        <v>3</v>
      </c>
      <c r="I6" s="20">
        <v>0</v>
      </c>
      <c r="J6" s="232">
        <v>0</v>
      </c>
      <c r="K6" s="239">
        <v>0</v>
      </c>
      <c r="L6" s="24">
        <v>0</v>
      </c>
      <c r="M6" s="240">
        <v>3</v>
      </c>
    </row>
    <row r="7" spans="1:17">
      <c r="A7" s="31" t="s">
        <v>408</v>
      </c>
      <c r="B7" s="35">
        <v>0</v>
      </c>
      <c r="D7" s="248" t="s">
        <v>304</v>
      </c>
      <c r="E7" s="247">
        <v>2</v>
      </c>
      <c r="F7" s="25">
        <v>0</v>
      </c>
      <c r="G7" s="26">
        <v>0</v>
      </c>
      <c r="H7" s="26">
        <v>2</v>
      </c>
      <c r="I7" s="1">
        <v>0</v>
      </c>
      <c r="J7" s="233">
        <v>0</v>
      </c>
      <c r="K7" s="25">
        <v>0</v>
      </c>
      <c r="L7" s="26">
        <v>0</v>
      </c>
      <c r="M7" s="241">
        <v>2</v>
      </c>
    </row>
    <row r="8" spans="1:17">
      <c r="A8" s="31" t="s">
        <v>255</v>
      </c>
      <c r="B8" s="35">
        <v>0</v>
      </c>
      <c r="D8" s="22" t="s">
        <v>303</v>
      </c>
      <c r="E8" s="236">
        <v>0</v>
      </c>
      <c r="F8" s="25">
        <v>0</v>
      </c>
      <c r="G8" s="26">
        <v>0</v>
      </c>
      <c r="H8" s="26">
        <v>0</v>
      </c>
      <c r="I8" s="1">
        <v>0</v>
      </c>
      <c r="J8" s="233">
        <v>0</v>
      </c>
      <c r="K8" s="25">
        <v>0</v>
      </c>
      <c r="L8" s="26">
        <v>0</v>
      </c>
      <c r="M8" s="241">
        <v>0</v>
      </c>
    </row>
    <row r="9" spans="1:17" ht="13.5" thickBot="1">
      <c r="A9" s="31" t="s">
        <v>314</v>
      </c>
      <c r="B9" s="33">
        <v>0</v>
      </c>
      <c r="D9" s="23" t="s">
        <v>302</v>
      </c>
      <c r="E9" s="237">
        <v>1</v>
      </c>
      <c r="F9" s="27">
        <v>0</v>
      </c>
      <c r="G9" s="28">
        <v>0</v>
      </c>
      <c r="H9" s="28">
        <v>1</v>
      </c>
      <c r="I9" s="21">
        <v>0</v>
      </c>
      <c r="J9" s="234">
        <v>0</v>
      </c>
      <c r="K9" s="27">
        <v>0</v>
      </c>
      <c r="L9" s="28">
        <v>0</v>
      </c>
      <c r="M9" s="242">
        <v>1</v>
      </c>
    </row>
    <row r="10" spans="1:17" ht="13.5" thickBot="1">
      <c r="A10" s="32" t="s">
        <v>256</v>
      </c>
      <c r="B10" s="34">
        <v>0</v>
      </c>
      <c r="C10" s="147"/>
      <c r="D10" s="18"/>
      <c r="E10" s="196"/>
      <c r="F10" s="196"/>
      <c r="G10" s="196"/>
      <c r="H10" s="196"/>
      <c r="I10" s="196"/>
      <c r="J10" s="196"/>
      <c r="K10" s="45"/>
      <c r="L10" s="197"/>
      <c r="N10" s="45"/>
      <c r="O10" s="46"/>
    </row>
    <row r="11" spans="1:17" ht="5.25" customHeight="1"/>
    <row r="12" spans="1:17" s="11" customFormat="1" ht="33" customHeight="1">
      <c r="A12" s="13" t="s">
        <v>242</v>
      </c>
      <c r="B12" s="13" t="s">
        <v>346</v>
      </c>
      <c r="C12" s="13" t="s">
        <v>267</v>
      </c>
      <c r="D12" s="13" t="s">
        <v>243</v>
      </c>
      <c r="E12" s="49" t="s">
        <v>349</v>
      </c>
      <c r="F12" s="13" t="s">
        <v>7</v>
      </c>
      <c r="G12" s="52" t="s">
        <v>259</v>
      </c>
      <c r="H12" s="52" t="s">
        <v>114</v>
      </c>
      <c r="I12" s="13" t="s">
        <v>113</v>
      </c>
      <c r="J12" s="13" t="s">
        <v>262</v>
      </c>
      <c r="K12" s="19" t="s">
        <v>264</v>
      </c>
      <c r="L12" s="19" t="s">
        <v>261</v>
      </c>
      <c r="M12" s="13" t="s">
        <v>263</v>
      </c>
      <c r="N12" s="13" t="s">
        <v>270</v>
      </c>
      <c r="O12" s="16" t="s">
        <v>8</v>
      </c>
      <c r="P12" s="13" t="s">
        <v>715</v>
      </c>
      <c r="Q12" s="13" t="s">
        <v>300</v>
      </c>
    </row>
    <row r="13" spans="1:17">
      <c r="A13" s="414" t="s">
        <v>1360</v>
      </c>
      <c r="B13" s="206">
        <v>34423</v>
      </c>
      <c r="C13" s="445">
        <v>1</v>
      </c>
      <c r="D13" s="446" t="s">
        <v>245</v>
      </c>
      <c r="E13" s="447" t="s">
        <v>249</v>
      </c>
      <c r="F13" s="448" t="s">
        <v>308</v>
      </c>
      <c r="G13" s="449">
        <v>41341</v>
      </c>
      <c r="H13" s="449">
        <v>41391</v>
      </c>
      <c r="I13" s="449"/>
      <c r="J13" s="450">
        <v>0</v>
      </c>
      <c r="K13" s="449">
        <v>41417</v>
      </c>
      <c r="L13" s="449"/>
      <c r="M13" s="450">
        <v>0</v>
      </c>
      <c r="N13" s="451" t="s">
        <v>1361</v>
      </c>
      <c r="O13" s="114" t="s">
        <v>370</v>
      </c>
      <c r="P13" s="452" t="s">
        <v>910</v>
      </c>
      <c r="Q13" s="453" t="s">
        <v>1362</v>
      </c>
    </row>
    <row r="14" spans="1:17">
      <c r="A14" s="414" t="s">
        <v>1355</v>
      </c>
      <c r="B14" s="206">
        <v>35627</v>
      </c>
      <c r="C14" s="445">
        <v>3</v>
      </c>
      <c r="D14" s="446" t="s">
        <v>245</v>
      </c>
      <c r="E14" s="447" t="s">
        <v>249</v>
      </c>
      <c r="F14" s="448" t="s">
        <v>308</v>
      </c>
      <c r="G14" s="449">
        <v>41341</v>
      </c>
      <c r="H14" s="449">
        <v>41026</v>
      </c>
      <c r="I14" s="449"/>
      <c r="J14" s="450">
        <v>0</v>
      </c>
      <c r="K14" s="449">
        <v>41052</v>
      </c>
      <c r="L14" s="449"/>
      <c r="M14" s="450">
        <v>0</v>
      </c>
      <c r="N14" s="451" t="s">
        <v>1357</v>
      </c>
      <c r="O14" s="114" t="s">
        <v>370</v>
      </c>
      <c r="P14" s="452" t="s">
        <v>1275</v>
      </c>
      <c r="Q14" s="453" t="s">
        <v>1356</v>
      </c>
    </row>
    <row r="15" spans="1:17">
      <c r="A15" s="414" t="s">
        <v>1321</v>
      </c>
      <c r="B15" s="206">
        <v>35989</v>
      </c>
      <c r="C15" s="445">
        <v>1</v>
      </c>
      <c r="D15" s="446" t="s">
        <v>245</v>
      </c>
      <c r="E15" s="447" t="s">
        <v>249</v>
      </c>
      <c r="F15" s="448" t="s">
        <v>308</v>
      </c>
      <c r="G15" s="449">
        <v>41341</v>
      </c>
      <c r="H15" s="449">
        <v>41026</v>
      </c>
      <c r="I15" s="449"/>
      <c r="J15" s="450">
        <v>0</v>
      </c>
      <c r="K15" s="449">
        <v>41052</v>
      </c>
      <c r="L15" s="449"/>
      <c r="M15" s="450">
        <v>0</v>
      </c>
      <c r="N15" s="451" t="s">
        <v>1358</v>
      </c>
      <c r="O15" s="114" t="s">
        <v>370</v>
      </c>
      <c r="P15" s="452" t="s">
        <v>914</v>
      </c>
      <c r="Q15" s="453" t="s">
        <v>1359</v>
      </c>
    </row>
    <row r="16" spans="1:17">
      <c r="A16" s="414" t="s">
        <v>916</v>
      </c>
      <c r="B16" s="206">
        <v>32827</v>
      </c>
      <c r="C16" s="111">
        <v>2</v>
      </c>
      <c r="D16" s="413" t="s">
        <v>245</v>
      </c>
      <c r="E16" s="411" t="s">
        <v>249</v>
      </c>
      <c r="F16" s="110" t="s">
        <v>308</v>
      </c>
      <c r="G16" s="112">
        <v>40925</v>
      </c>
      <c r="H16" s="112">
        <v>40940</v>
      </c>
      <c r="I16" s="112"/>
      <c r="J16" s="113">
        <v>271</v>
      </c>
      <c r="K16" s="112">
        <v>40954</v>
      </c>
      <c r="L16" s="112"/>
      <c r="M16" s="113">
        <v>261</v>
      </c>
      <c r="N16" s="401" t="s">
        <v>868</v>
      </c>
      <c r="O16" s="114" t="s">
        <v>370</v>
      </c>
      <c r="P16" s="412" t="s">
        <v>917</v>
      </c>
      <c r="Q16" s="249" t="s">
        <v>889</v>
      </c>
    </row>
    <row r="17" spans="1:17">
      <c r="A17" s="414" t="s">
        <v>918</v>
      </c>
      <c r="B17" s="206">
        <v>32828</v>
      </c>
      <c r="C17" s="111">
        <v>2</v>
      </c>
      <c r="D17" s="413" t="s">
        <v>245</v>
      </c>
      <c r="E17" s="411" t="s">
        <v>249</v>
      </c>
      <c r="F17" s="110" t="s">
        <v>308</v>
      </c>
      <c r="G17" s="112">
        <v>40925</v>
      </c>
      <c r="H17" s="112">
        <v>40940</v>
      </c>
      <c r="I17" s="112"/>
      <c r="J17" s="113">
        <v>271</v>
      </c>
      <c r="K17" s="112">
        <v>40954</v>
      </c>
      <c r="L17" s="112"/>
      <c r="M17" s="113">
        <v>261</v>
      </c>
      <c r="N17" s="401">
        <v>600.38</v>
      </c>
      <c r="O17" s="114" t="s">
        <v>370</v>
      </c>
      <c r="P17" s="412" t="s">
        <v>888</v>
      </c>
      <c r="Q17" s="249"/>
    </row>
    <row r="18" spans="1:17">
      <c r="A18" s="414" t="s">
        <v>919</v>
      </c>
      <c r="B18" s="206">
        <v>32829</v>
      </c>
      <c r="C18" s="111">
        <v>2</v>
      </c>
      <c r="D18" s="413" t="s">
        <v>245</v>
      </c>
      <c r="E18" s="411" t="s">
        <v>249</v>
      </c>
      <c r="F18" s="110" t="s">
        <v>308</v>
      </c>
      <c r="G18" s="112">
        <v>40925</v>
      </c>
      <c r="H18" s="112">
        <v>40940</v>
      </c>
      <c r="I18" s="112"/>
      <c r="J18" s="113">
        <v>271</v>
      </c>
      <c r="K18" s="112">
        <v>40954</v>
      </c>
      <c r="L18" s="112"/>
      <c r="M18" s="113">
        <v>261</v>
      </c>
      <c r="N18" s="401" t="s">
        <v>899</v>
      </c>
      <c r="O18" s="114" t="s">
        <v>370</v>
      </c>
      <c r="P18" s="412" t="s">
        <v>909</v>
      </c>
      <c r="Q18" s="249" t="s">
        <v>920</v>
      </c>
    </row>
    <row r="19" spans="1:17">
      <c r="A19" s="414" t="s">
        <v>921</v>
      </c>
      <c r="B19" s="206">
        <v>32830</v>
      </c>
      <c r="C19" s="111">
        <v>2</v>
      </c>
      <c r="D19" s="413" t="s">
        <v>245</v>
      </c>
      <c r="E19" s="411" t="s">
        <v>249</v>
      </c>
      <c r="F19" s="110" t="s">
        <v>308</v>
      </c>
      <c r="G19" s="112">
        <v>40925</v>
      </c>
      <c r="H19" s="112">
        <v>40940</v>
      </c>
      <c r="I19" s="112"/>
      <c r="J19" s="113">
        <v>271</v>
      </c>
      <c r="K19" s="112">
        <v>40954</v>
      </c>
      <c r="L19" s="112"/>
      <c r="M19" s="113">
        <v>261</v>
      </c>
      <c r="N19" s="401" t="s">
        <v>890</v>
      </c>
      <c r="O19" s="114" t="s">
        <v>370</v>
      </c>
      <c r="P19" s="412" t="s">
        <v>903</v>
      </c>
      <c r="Q19" s="249" t="s">
        <v>922</v>
      </c>
    </row>
    <row r="20" spans="1:17">
      <c r="A20" s="414" t="s">
        <v>923</v>
      </c>
      <c r="B20" s="206">
        <v>32865</v>
      </c>
      <c r="C20" s="111">
        <v>2</v>
      </c>
      <c r="D20" s="413" t="s">
        <v>245</v>
      </c>
      <c r="E20" s="411" t="s">
        <v>249</v>
      </c>
      <c r="F20" s="110" t="s">
        <v>308</v>
      </c>
      <c r="G20" s="112">
        <v>40927</v>
      </c>
      <c r="H20" s="112">
        <v>40942</v>
      </c>
      <c r="I20" s="112"/>
      <c r="J20" s="113">
        <v>269</v>
      </c>
      <c r="K20" s="112">
        <v>40956</v>
      </c>
      <c r="L20" s="112"/>
      <c r="M20" s="113">
        <v>259</v>
      </c>
      <c r="N20" s="401" t="s">
        <v>887</v>
      </c>
      <c r="O20" s="114" t="s">
        <v>370</v>
      </c>
      <c r="P20" s="412" t="s">
        <v>901</v>
      </c>
      <c r="Q20" s="249"/>
    </row>
    <row r="21" spans="1:17">
      <c r="A21" s="414" t="s">
        <v>924</v>
      </c>
      <c r="B21" s="206">
        <v>32869</v>
      </c>
      <c r="C21" s="111">
        <v>2</v>
      </c>
      <c r="D21" s="413" t="s">
        <v>245</v>
      </c>
      <c r="E21" s="411" t="s">
        <v>249</v>
      </c>
      <c r="F21" s="110" t="s">
        <v>308</v>
      </c>
      <c r="G21" s="112">
        <v>40926</v>
      </c>
      <c r="H21" s="112">
        <v>40941</v>
      </c>
      <c r="I21" s="112"/>
      <c r="J21" s="113">
        <v>270</v>
      </c>
      <c r="K21" s="112">
        <v>40955</v>
      </c>
      <c r="L21" s="112"/>
      <c r="M21" s="113">
        <v>260</v>
      </c>
      <c r="N21" s="401" t="s">
        <v>899</v>
      </c>
      <c r="O21" s="114" t="s">
        <v>370</v>
      </c>
      <c r="P21" s="412" t="s">
        <v>907</v>
      </c>
      <c r="Q21" s="249"/>
    </row>
    <row r="22" spans="1:17">
      <c r="A22" s="414" t="s">
        <v>1021</v>
      </c>
      <c r="B22" s="206">
        <v>33611</v>
      </c>
      <c r="C22" s="111">
        <v>3</v>
      </c>
      <c r="D22" s="413" t="s">
        <v>245</v>
      </c>
      <c r="E22" s="411" t="s">
        <v>249</v>
      </c>
      <c r="F22" s="110" t="s">
        <v>308</v>
      </c>
      <c r="G22" s="112">
        <v>40984</v>
      </c>
      <c r="H22" s="112">
        <v>41009</v>
      </c>
      <c r="I22" s="112"/>
      <c r="J22" s="113">
        <v>223</v>
      </c>
      <c r="K22" s="112">
        <v>41031</v>
      </c>
      <c r="L22" s="112"/>
      <c r="M22" s="113">
        <v>208</v>
      </c>
      <c r="N22" s="401">
        <v>6.08</v>
      </c>
      <c r="O22" s="114" t="s">
        <v>370</v>
      </c>
      <c r="P22" s="412" t="s">
        <v>1022</v>
      </c>
      <c r="Q22" s="249"/>
    </row>
    <row r="23" spans="1:17">
      <c r="A23" s="414" t="s">
        <v>930</v>
      </c>
      <c r="B23" s="206">
        <v>32895</v>
      </c>
      <c r="C23" s="111">
        <v>2</v>
      </c>
      <c r="D23" s="413" t="s">
        <v>245</v>
      </c>
      <c r="E23" s="411" t="s">
        <v>249</v>
      </c>
      <c r="F23" s="110" t="s">
        <v>308</v>
      </c>
      <c r="G23" s="112">
        <v>40928</v>
      </c>
      <c r="H23" s="112">
        <v>40945</v>
      </c>
      <c r="I23" s="112"/>
      <c r="J23" s="113">
        <v>268</v>
      </c>
      <c r="K23" s="112">
        <v>40959</v>
      </c>
      <c r="L23" s="112"/>
      <c r="M23" s="113">
        <v>258</v>
      </c>
      <c r="N23" s="401" t="s">
        <v>501</v>
      </c>
      <c r="O23" s="114" t="s">
        <v>370</v>
      </c>
      <c r="P23" s="412" t="s">
        <v>911</v>
      </c>
      <c r="Q23" s="249" t="s">
        <v>931</v>
      </c>
    </row>
    <row r="24" spans="1:17">
      <c r="A24" s="414" t="s">
        <v>925</v>
      </c>
      <c r="B24" s="206">
        <v>32872</v>
      </c>
      <c r="C24" s="111">
        <v>2</v>
      </c>
      <c r="D24" s="413" t="s">
        <v>245</v>
      </c>
      <c r="E24" s="411" t="s">
        <v>249</v>
      </c>
      <c r="F24" s="110" t="s">
        <v>308</v>
      </c>
      <c r="G24" s="112">
        <v>40927</v>
      </c>
      <c r="H24" s="112">
        <v>40942</v>
      </c>
      <c r="I24" s="112"/>
      <c r="J24" s="113">
        <v>269</v>
      </c>
      <c r="K24" s="112">
        <v>40956</v>
      </c>
      <c r="L24" s="112"/>
      <c r="M24" s="113">
        <v>259</v>
      </c>
      <c r="N24" s="401" t="s">
        <v>899</v>
      </c>
      <c r="O24" s="114" t="s">
        <v>370</v>
      </c>
      <c r="P24" s="412" t="s">
        <v>713</v>
      </c>
      <c r="Q24" s="249"/>
    </row>
    <row r="25" spans="1:17" ht="22.5">
      <c r="A25" s="414" t="s">
        <v>926</v>
      </c>
      <c r="B25" s="206">
        <v>32880</v>
      </c>
      <c r="C25" s="111">
        <v>2</v>
      </c>
      <c r="D25" s="413" t="s">
        <v>245</v>
      </c>
      <c r="E25" s="411" t="s">
        <v>249</v>
      </c>
      <c r="F25" s="110" t="s">
        <v>308</v>
      </c>
      <c r="G25" s="112">
        <v>40928</v>
      </c>
      <c r="H25" s="112">
        <v>40945</v>
      </c>
      <c r="I25" s="112"/>
      <c r="J25" s="113">
        <v>268</v>
      </c>
      <c r="K25" s="112">
        <v>40959</v>
      </c>
      <c r="L25" s="112"/>
      <c r="M25" s="113">
        <v>258</v>
      </c>
      <c r="N25" s="401" t="s">
        <v>887</v>
      </c>
      <c r="O25" s="114" t="s">
        <v>370</v>
      </c>
      <c r="P25" s="412" t="s">
        <v>910</v>
      </c>
      <c r="Q25" s="249" t="s">
        <v>927</v>
      </c>
    </row>
    <row r="26" spans="1:17">
      <c r="A26" s="414" t="s">
        <v>928</v>
      </c>
      <c r="B26" s="206">
        <v>32892</v>
      </c>
      <c r="C26" s="111">
        <v>2</v>
      </c>
      <c r="D26" s="413" t="s">
        <v>245</v>
      </c>
      <c r="E26" s="411" t="s">
        <v>249</v>
      </c>
      <c r="F26" s="110" t="s">
        <v>308</v>
      </c>
      <c r="G26" s="112">
        <v>40928</v>
      </c>
      <c r="H26" s="112">
        <v>40945</v>
      </c>
      <c r="I26" s="112"/>
      <c r="J26" s="113">
        <v>268</v>
      </c>
      <c r="K26" s="112">
        <v>40959</v>
      </c>
      <c r="L26" s="112"/>
      <c r="M26" s="113">
        <v>258</v>
      </c>
      <c r="N26" s="401" t="s">
        <v>689</v>
      </c>
      <c r="O26" s="114" t="s">
        <v>370</v>
      </c>
      <c r="P26" s="412" t="s">
        <v>910</v>
      </c>
      <c r="Q26" s="249" t="s">
        <v>929</v>
      </c>
    </row>
    <row r="27" spans="1:17">
      <c r="A27" s="414" t="s">
        <v>932</v>
      </c>
      <c r="B27" s="206">
        <v>32909</v>
      </c>
      <c r="C27" s="111">
        <v>2</v>
      </c>
      <c r="D27" s="413" t="s">
        <v>245</v>
      </c>
      <c r="E27" s="411" t="s">
        <v>249</v>
      </c>
      <c r="F27" s="110" t="s">
        <v>308</v>
      </c>
      <c r="G27" s="112">
        <v>40928</v>
      </c>
      <c r="H27" s="112">
        <v>40945</v>
      </c>
      <c r="I27" s="112"/>
      <c r="J27" s="113">
        <v>268</v>
      </c>
      <c r="K27" s="112">
        <v>40959</v>
      </c>
      <c r="L27" s="112"/>
      <c r="M27" s="113">
        <v>258</v>
      </c>
      <c r="N27" s="401" t="s">
        <v>899</v>
      </c>
      <c r="O27" s="114" t="s">
        <v>370</v>
      </c>
      <c r="P27" s="412" t="s">
        <v>909</v>
      </c>
      <c r="Q27" s="249"/>
    </row>
    <row r="28" spans="1:17">
      <c r="A28" s="414" t="s">
        <v>935</v>
      </c>
      <c r="B28" s="206">
        <v>32922</v>
      </c>
      <c r="C28" s="111">
        <v>2</v>
      </c>
      <c r="D28" s="413" t="s">
        <v>245</v>
      </c>
      <c r="E28" s="411" t="s">
        <v>249</v>
      </c>
      <c r="F28" s="110" t="s">
        <v>308</v>
      </c>
      <c r="G28" s="112">
        <v>40931</v>
      </c>
      <c r="H28" s="112">
        <v>40946</v>
      </c>
      <c r="I28" s="112"/>
      <c r="J28" s="113">
        <v>267</v>
      </c>
      <c r="K28" s="112">
        <v>40960</v>
      </c>
      <c r="L28" s="112"/>
      <c r="M28" s="113">
        <v>257</v>
      </c>
      <c r="N28" s="401">
        <v>70.95</v>
      </c>
      <c r="O28" s="114" t="s">
        <v>370</v>
      </c>
      <c r="P28" s="412" t="s">
        <v>903</v>
      </c>
      <c r="Q28" s="249"/>
    </row>
    <row r="29" spans="1:17">
      <c r="A29" s="414" t="s">
        <v>934</v>
      </c>
      <c r="B29" s="206">
        <v>32921</v>
      </c>
      <c r="C29" s="111">
        <v>1</v>
      </c>
      <c r="D29" s="413" t="s">
        <v>245</v>
      </c>
      <c r="E29" s="411" t="s">
        <v>249</v>
      </c>
      <c r="F29" s="110" t="s">
        <v>308</v>
      </c>
      <c r="G29" s="112">
        <v>40931</v>
      </c>
      <c r="H29" s="112">
        <v>40939</v>
      </c>
      <c r="I29" s="112"/>
      <c r="J29" s="113">
        <v>272</v>
      </c>
      <c r="K29" s="112">
        <v>40946</v>
      </c>
      <c r="L29" s="112"/>
      <c r="M29" s="113">
        <v>267</v>
      </c>
      <c r="N29" s="401">
        <v>70.95</v>
      </c>
      <c r="O29" s="114" t="s">
        <v>370</v>
      </c>
      <c r="P29" s="412" t="s">
        <v>903</v>
      </c>
      <c r="Q29" s="249"/>
    </row>
    <row r="30" spans="1:17">
      <c r="A30" s="414" t="s">
        <v>936</v>
      </c>
      <c r="B30" s="206">
        <v>32930</v>
      </c>
      <c r="C30" s="111">
        <v>2</v>
      </c>
      <c r="D30" s="413" t="s">
        <v>245</v>
      </c>
      <c r="E30" s="411" t="s">
        <v>249</v>
      </c>
      <c r="F30" s="110" t="s">
        <v>308</v>
      </c>
      <c r="G30" s="112">
        <v>40932</v>
      </c>
      <c r="H30" s="112">
        <v>40947</v>
      </c>
      <c r="I30" s="112"/>
      <c r="J30" s="113">
        <v>266</v>
      </c>
      <c r="K30" s="112">
        <v>40961</v>
      </c>
      <c r="L30" s="112"/>
      <c r="M30" s="113">
        <v>256</v>
      </c>
      <c r="N30" s="401">
        <v>6.07</v>
      </c>
      <c r="O30" s="114" t="s">
        <v>370</v>
      </c>
      <c r="P30" s="412" t="s">
        <v>903</v>
      </c>
      <c r="Q30" s="249"/>
    </row>
    <row r="31" spans="1:17">
      <c r="A31" s="414" t="s">
        <v>933</v>
      </c>
      <c r="B31" s="206">
        <v>32911</v>
      </c>
      <c r="C31" s="111">
        <v>2</v>
      </c>
      <c r="D31" s="413" t="s">
        <v>245</v>
      </c>
      <c r="E31" s="411" t="s">
        <v>249</v>
      </c>
      <c r="F31" s="110" t="s">
        <v>308</v>
      </c>
      <c r="G31" s="112">
        <v>40931</v>
      </c>
      <c r="H31" s="112">
        <v>40946</v>
      </c>
      <c r="I31" s="112"/>
      <c r="J31" s="113">
        <v>267</v>
      </c>
      <c r="K31" s="112">
        <v>40960</v>
      </c>
      <c r="L31" s="112"/>
      <c r="M31" s="113">
        <v>257</v>
      </c>
      <c r="N31" s="401">
        <v>6.07</v>
      </c>
      <c r="O31" s="114" t="s">
        <v>370</v>
      </c>
      <c r="P31" s="412" t="s">
        <v>901</v>
      </c>
      <c r="Q31" s="249"/>
    </row>
    <row r="32" spans="1:17">
      <c r="A32" s="414" t="s">
        <v>938</v>
      </c>
      <c r="B32" s="206">
        <v>32980</v>
      </c>
      <c r="C32" s="111">
        <v>2</v>
      </c>
      <c r="D32" s="413" t="s">
        <v>245</v>
      </c>
      <c r="E32" s="411" t="s">
        <v>249</v>
      </c>
      <c r="F32" s="110" t="s">
        <v>308</v>
      </c>
      <c r="G32" s="112">
        <v>40934</v>
      </c>
      <c r="H32" s="112">
        <v>40949</v>
      </c>
      <c r="I32" s="112"/>
      <c r="J32" s="113">
        <v>264</v>
      </c>
      <c r="K32" s="112">
        <v>40963</v>
      </c>
      <c r="L32" s="112"/>
      <c r="M32" s="113">
        <v>254</v>
      </c>
      <c r="N32" s="401" t="s">
        <v>689</v>
      </c>
      <c r="O32" s="114" t="s">
        <v>370</v>
      </c>
      <c r="P32" s="412" t="s">
        <v>910</v>
      </c>
      <c r="Q32" s="249"/>
    </row>
    <row r="33" spans="1:17">
      <c r="A33" s="414" t="s">
        <v>959</v>
      </c>
      <c r="B33" s="206">
        <v>33144</v>
      </c>
      <c r="C33" s="111">
        <v>2</v>
      </c>
      <c r="D33" s="413" t="s">
        <v>245</v>
      </c>
      <c r="E33" s="411" t="s">
        <v>249</v>
      </c>
      <c r="F33" s="110" t="s">
        <v>308</v>
      </c>
      <c r="G33" s="112">
        <v>40942</v>
      </c>
      <c r="H33" s="112">
        <v>40959</v>
      </c>
      <c r="I33" s="112"/>
      <c r="J33" s="113">
        <v>258</v>
      </c>
      <c r="K33" s="112">
        <v>40973</v>
      </c>
      <c r="L33" s="112"/>
      <c r="M33" s="113">
        <v>248</v>
      </c>
      <c r="N33" s="401" t="s">
        <v>899</v>
      </c>
      <c r="O33" s="114" t="s">
        <v>370</v>
      </c>
      <c r="P33" s="412" t="s">
        <v>902</v>
      </c>
      <c r="Q33" s="249"/>
    </row>
    <row r="34" spans="1:17">
      <c r="A34" s="414" t="s">
        <v>941</v>
      </c>
      <c r="B34" s="206">
        <v>33036</v>
      </c>
      <c r="C34" s="111">
        <v>2</v>
      </c>
      <c r="D34" s="413" t="s">
        <v>245</v>
      </c>
      <c r="E34" s="411" t="s">
        <v>249</v>
      </c>
      <c r="F34" s="110" t="s">
        <v>308</v>
      </c>
      <c r="G34" s="112">
        <v>40935</v>
      </c>
      <c r="H34" s="112">
        <v>40952</v>
      </c>
      <c r="I34" s="112"/>
      <c r="J34" s="113">
        <v>263</v>
      </c>
      <c r="K34" s="112">
        <v>40966</v>
      </c>
      <c r="L34" s="112"/>
      <c r="M34" s="113">
        <v>253</v>
      </c>
      <c r="N34" s="401" t="s">
        <v>702</v>
      </c>
      <c r="O34" s="114" t="s">
        <v>370</v>
      </c>
      <c r="P34" s="412" t="s">
        <v>910</v>
      </c>
      <c r="Q34" s="249"/>
    </row>
    <row r="35" spans="1:17">
      <c r="A35" s="414" t="s">
        <v>939</v>
      </c>
      <c r="B35" s="206">
        <v>32983</v>
      </c>
      <c r="C35" s="111">
        <v>2</v>
      </c>
      <c r="D35" s="413" t="s">
        <v>245</v>
      </c>
      <c r="E35" s="411" t="s">
        <v>249</v>
      </c>
      <c r="F35" s="110" t="s">
        <v>308</v>
      </c>
      <c r="G35" s="112">
        <v>40934</v>
      </c>
      <c r="H35" s="112">
        <v>40949</v>
      </c>
      <c r="I35" s="112"/>
      <c r="J35" s="113">
        <v>264</v>
      </c>
      <c r="K35" s="112">
        <v>40963</v>
      </c>
      <c r="L35" s="112"/>
      <c r="M35" s="113">
        <v>254</v>
      </c>
      <c r="N35" s="401" t="s">
        <v>702</v>
      </c>
      <c r="O35" s="114" t="s">
        <v>370</v>
      </c>
      <c r="P35" s="412" t="s">
        <v>910</v>
      </c>
      <c r="Q35" s="249"/>
    </row>
    <row r="36" spans="1:17">
      <c r="A36" s="414" t="s">
        <v>940</v>
      </c>
      <c r="B36" s="206">
        <v>32986</v>
      </c>
      <c r="C36" s="111">
        <v>2</v>
      </c>
      <c r="D36" s="413" t="s">
        <v>245</v>
      </c>
      <c r="E36" s="411" t="s">
        <v>249</v>
      </c>
      <c r="F36" s="110" t="s">
        <v>308</v>
      </c>
      <c r="G36" s="112">
        <v>40934</v>
      </c>
      <c r="H36" s="112">
        <v>40949</v>
      </c>
      <c r="I36" s="112"/>
      <c r="J36" s="113">
        <v>264</v>
      </c>
      <c r="K36" s="112">
        <v>40963</v>
      </c>
      <c r="L36" s="112"/>
      <c r="M36" s="113">
        <v>254</v>
      </c>
      <c r="N36" s="401" t="s">
        <v>702</v>
      </c>
      <c r="O36" s="114" t="s">
        <v>370</v>
      </c>
      <c r="P36" s="412" t="s">
        <v>910</v>
      </c>
      <c r="Q36" s="249"/>
    </row>
    <row r="37" spans="1:17">
      <c r="A37" s="414" t="s">
        <v>937</v>
      </c>
      <c r="B37" s="206">
        <v>32934</v>
      </c>
      <c r="C37" s="111">
        <v>2</v>
      </c>
      <c r="D37" s="413" t="s">
        <v>245</v>
      </c>
      <c r="E37" s="411" t="s">
        <v>249</v>
      </c>
      <c r="F37" s="110" t="s">
        <v>308</v>
      </c>
      <c r="G37" s="112">
        <v>40933</v>
      </c>
      <c r="H37" s="112">
        <v>40948</v>
      </c>
      <c r="I37" s="112"/>
      <c r="J37" s="113">
        <v>265</v>
      </c>
      <c r="K37" s="112">
        <v>40962</v>
      </c>
      <c r="L37" s="112"/>
      <c r="M37" s="113">
        <v>255</v>
      </c>
      <c r="N37" s="401" t="s">
        <v>702</v>
      </c>
      <c r="O37" s="114" t="s">
        <v>370</v>
      </c>
      <c r="P37" s="412" t="s">
        <v>910</v>
      </c>
      <c r="Q37" s="249"/>
    </row>
    <row r="38" spans="1:17" ht="22.5">
      <c r="A38" s="414" t="s">
        <v>956</v>
      </c>
      <c r="B38" s="206">
        <v>33142</v>
      </c>
      <c r="C38" s="111">
        <v>2</v>
      </c>
      <c r="D38" s="413" t="s">
        <v>245</v>
      </c>
      <c r="E38" s="411" t="s">
        <v>249</v>
      </c>
      <c r="F38" s="110" t="s">
        <v>308</v>
      </c>
      <c r="G38" s="112">
        <v>40941</v>
      </c>
      <c r="H38" s="112">
        <v>40956</v>
      </c>
      <c r="I38" s="112"/>
      <c r="J38" s="113">
        <v>259</v>
      </c>
      <c r="K38" s="112">
        <v>40970</v>
      </c>
      <c r="L38" s="112"/>
      <c r="M38" s="113">
        <v>249</v>
      </c>
      <c r="N38" s="401" t="s">
        <v>957</v>
      </c>
      <c r="O38" s="114" t="s">
        <v>370</v>
      </c>
      <c r="P38" s="412" t="s">
        <v>915</v>
      </c>
      <c r="Q38" s="249" t="s">
        <v>958</v>
      </c>
    </row>
    <row r="39" spans="1:17">
      <c r="A39" s="414" t="s">
        <v>1023</v>
      </c>
      <c r="B39" s="206">
        <v>33644</v>
      </c>
      <c r="C39" s="111">
        <v>2</v>
      </c>
      <c r="D39" s="413" t="s">
        <v>245</v>
      </c>
      <c r="E39" s="411" t="s">
        <v>249</v>
      </c>
      <c r="F39" s="110" t="s">
        <v>308</v>
      </c>
      <c r="G39" s="112">
        <v>40987</v>
      </c>
      <c r="H39" s="112">
        <v>41002</v>
      </c>
      <c r="I39" s="112"/>
      <c r="J39" s="113">
        <v>227</v>
      </c>
      <c r="K39" s="112">
        <v>41017</v>
      </c>
      <c r="L39" s="112"/>
      <c r="M39" s="113">
        <v>217</v>
      </c>
      <c r="N39" s="401" t="s">
        <v>899</v>
      </c>
      <c r="O39" s="114" t="s">
        <v>370</v>
      </c>
      <c r="P39" s="412" t="s">
        <v>909</v>
      </c>
      <c r="Q39" s="249"/>
    </row>
    <row r="40" spans="1:17">
      <c r="A40" s="414" t="s">
        <v>942</v>
      </c>
      <c r="B40" s="206">
        <v>33037</v>
      </c>
      <c r="C40" s="111">
        <v>2</v>
      </c>
      <c r="D40" s="413" t="s">
        <v>245</v>
      </c>
      <c r="E40" s="411" t="s">
        <v>249</v>
      </c>
      <c r="F40" s="110" t="s">
        <v>308</v>
      </c>
      <c r="G40" s="112">
        <v>40935</v>
      </c>
      <c r="H40" s="112">
        <v>40952</v>
      </c>
      <c r="I40" s="112"/>
      <c r="J40" s="113">
        <v>263</v>
      </c>
      <c r="K40" s="112">
        <v>40966</v>
      </c>
      <c r="L40" s="112"/>
      <c r="M40" s="113">
        <v>253</v>
      </c>
      <c r="N40" s="401" t="s">
        <v>860</v>
      </c>
      <c r="O40" s="114" t="s">
        <v>370</v>
      </c>
      <c r="P40" s="412" t="s">
        <v>943</v>
      </c>
      <c r="Q40" s="249" t="s">
        <v>944</v>
      </c>
    </row>
    <row r="41" spans="1:17">
      <c r="A41" s="414" t="s">
        <v>945</v>
      </c>
      <c r="B41" s="206">
        <v>33039</v>
      </c>
      <c r="C41" s="111">
        <v>2</v>
      </c>
      <c r="D41" s="413" t="s">
        <v>245</v>
      </c>
      <c r="E41" s="411" t="s">
        <v>249</v>
      </c>
      <c r="F41" s="110" t="s">
        <v>308</v>
      </c>
      <c r="G41" s="112">
        <v>40935</v>
      </c>
      <c r="H41" s="112">
        <v>40952</v>
      </c>
      <c r="I41" s="112"/>
      <c r="J41" s="113">
        <v>263</v>
      </c>
      <c r="K41" s="112">
        <v>40966</v>
      </c>
      <c r="L41" s="112"/>
      <c r="M41" s="113">
        <v>253</v>
      </c>
      <c r="N41" s="401">
        <v>6.07</v>
      </c>
      <c r="O41" s="114" t="s">
        <v>370</v>
      </c>
      <c r="P41" s="412" t="s">
        <v>905</v>
      </c>
      <c r="Q41" s="249"/>
    </row>
    <row r="42" spans="1:17">
      <c r="A42" s="414" t="s">
        <v>946</v>
      </c>
      <c r="B42" s="206">
        <v>33060</v>
      </c>
      <c r="C42" s="111">
        <v>2</v>
      </c>
      <c r="D42" s="413" t="s">
        <v>245</v>
      </c>
      <c r="E42" s="411" t="s">
        <v>249</v>
      </c>
      <c r="F42" s="110" t="s">
        <v>308</v>
      </c>
      <c r="G42" s="112">
        <v>40939</v>
      </c>
      <c r="H42" s="112">
        <v>40954</v>
      </c>
      <c r="I42" s="112"/>
      <c r="J42" s="113">
        <v>261</v>
      </c>
      <c r="K42" s="112">
        <v>40968</v>
      </c>
      <c r="L42" s="112"/>
      <c r="M42" s="113">
        <v>251</v>
      </c>
      <c r="N42" s="401">
        <v>6.07</v>
      </c>
      <c r="O42" s="114" t="s">
        <v>370</v>
      </c>
      <c r="P42" s="412" t="s">
        <v>917</v>
      </c>
      <c r="Q42" s="249"/>
    </row>
    <row r="43" spans="1:17">
      <c r="A43" s="414" t="s">
        <v>962</v>
      </c>
      <c r="B43" s="206">
        <v>33195</v>
      </c>
      <c r="C43" s="111">
        <v>2</v>
      </c>
      <c r="D43" s="413" t="s">
        <v>245</v>
      </c>
      <c r="E43" s="411" t="s">
        <v>249</v>
      </c>
      <c r="F43" s="110" t="s">
        <v>308</v>
      </c>
      <c r="G43" s="112">
        <v>40947</v>
      </c>
      <c r="H43" s="112">
        <v>40962</v>
      </c>
      <c r="I43" s="112"/>
      <c r="J43" s="113">
        <v>255</v>
      </c>
      <c r="K43" s="112">
        <v>40976</v>
      </c>
      <c r="L43" s="112"/>
      <c r="M43" s="113">
        <v>245</v>
      </c>
      <c r="N43" s="401">
        <v>500.35</v>
      </c>
      <c r="O43" s="114" t="s">
        <v>370</v>
      </c>
      <c r="P43" s="412" t="s">
        <v>716</v>
      </c>
      <c r="Q43" s="249"/>
    </row>
    <row r="44" spans="1:17">
      <c r="A44" s="414" t="s">
        <v>966</v>
      </c>
      <c r="B44" s="206">
        <v>33228</v>
      </c>
      <c r="C44" s="111">
        <v>2</v>
      </c>
      <c r="D44" s="413" t="s">
        <v>245</v>
      </c>
      <c r="E44" s="411" t="s">
        <v>249</v>
      </c>
      <c r="F44" s="110" t="s">
        <v>308</v>
      </c>
      <c r="G44" s="112">
        <v>40949</v>
      </c>
      <c r="H44" s="112">
        <v>40966</v>
      </c>
      <c r="I44" s="112"/>
      <c r="J44" s="113">
        <v>253</v>
      </c>
      <c r="K44" s="112">
        <v>40980</v>
      </c>
      <c r="L44" s="112"/>
      <c r="M44" s="113">
        <v>243</v>
      </c>
      <c r="N44" s="401" t="s">
        <v>955</v>
      </c>
      <c r="O44" s="114" t="s">
        <v>370</v>
      </c>
      <c r="P44" s="412" t="s">
        <v>711</v>
      </c>
      <c r="Q44" s="249"/>
    </row>
    <row r="45" spans="1:17">
      <c r="A45" s="414" t="s">
        <v>1197</v>
      </c>
      <c r="B45" s="206">
        <v>34825</v>
      </c>
      <c r="C45" s="445">
        <v>1</v>
      </c>
      <c r="D45" s="446" t="s">
        <v>245</v>
      </c>
      <c r="E45" s="447" t="s">
        <v>249</v>
      </c>
      <c r="F45" s="448" t="s">
        <v>308</v>
      </c>
      <c r="G45" s="449">
        <v>41156</v>
      </c>
      <c r="H45" s="449">
        <v>41026</v>
      </c>
      <c r="I45" s="449"/>
      <c r="J45" s="450">
        <v>0</v>
      </c>
      <c r="K45" s="449">
        <v>41052</v>
      </c>
      <c r="L45" s="449"/>
      <c r="M45" s="450">
        <v>0</v>
      </c>
      <c r="N45" s="451" t="s">
        <v>1193</v>
      </c>
      <c r="O45" s="114" t="s">
        <v>370</v>
      </c>
      <c r="P45" s="452" t="s">
        <v>965</v>
      </c>
      <c r="Q45" s="453"/>
    </row>
    <row r="46" spans="1:17">
      <c r="A46" s="414" t="s">
        <v>1188</v>
      </c>
      <c r="B46" s="206">
        <v>34799</v>
      </c>
      <c r="C46" s="445">
        <v>3</v>
      </c>
      <c r="D46" s="446" t="s">
        <v>245</v>
      </c>
      <c r="E46" s="447" t="s">
        <v>249</v>
      </c>
      <c r="F46" s="448" t="s">
        <v>308</v>
      </c>
      <c r="G46" s="449">
        <v>41155</v>
      </c>
      <c r="H46" s="449">
        <v>41026</v>
      </c>
      <c r="I46" s="449"/>
      <c r="J46" s="450">
        <v>0</v>
      </c>
      <c r="K46" s="449">
        <v>41052</v>
      </c>
      <c r="L46" s="449"/>
      <c r="M46" s="450">
        <v>0</v>
      </c>
      <c r="N46" s="451" t="s">
        <v>1189</v>
      </c>
      <c r="O46" s="114" t="s">
        <v>370</v>
      </c>
      <c r="P46" s="452" t="s">
        <v>1190</v>
      </c>
      <c r="Q46" s="453"/>
    </row>
    <row r="47" spans="1:17">
      <c r="A47" s="414" t="s">
        <v>1191</v>
      </c>
      <c r="B47" s="206">
        <v>34800</v>
      </c>
      <c r="C47" s="445">
        <v>2</v>
      </c>
      <c r="D47" s="446" t="s">
        <v>245</v>
      </c>
      <c r="E47" s="447" t="s">
        <v>249</v>
      </c>
      <c r="F47" s="448" t="s">
        <v>308</v>
      </c>
      <c r="G47" s="449">
        <v>41155</v>
      </c>
      <c r="H47" s="449">
        <v>41026</v>
      </c>
      <c r="I47" s="449"/>
      <c r="J47" s="450">
        <v>0</v>
      </c>
      <c r="K47" s="449">
        <v>41052</v>
      </c>
      <c r="L47" s="449"/>
      <c r="M47" s="450">
        <v>0</v>
      </c>
      <c r="N47" s="451" t="s">
        <v>1189</v>
      </c>
      <c r="O47" s="114" t="s">
        <v>370</v>
      </c>
      <c r="P47" s="452" t="s">
        <v>1190</v>
      </c>
      <c r="Q47" s="453"/>
    </row>
    <row r="48" spans="1:17">
      <c r="A48" s="414" t="s">
        <v>1201</v>
      </c>
      <c r="B48" s="206">
        <v>34860</v>
      </c>
      <c r="C48" s="445">
        <v>2</v>
      </c>
      <c r="D48" s="446" t="s">
        <v>245</v>
      </c>
      <c r="E48" s="447" t="s">
        <v>249</v>
      </c>
      <c r="F48" s="448" t="s">
        <v>308</v>
      </c>
      <c r="G48" s="449">
        <v>41158</v>
      </c>
      <c r="H48" s="449">
        <v>41026</v>
      </c>
      <c r="I48" s="449"/>
      <c r="J48" s="450">
        <v>0</v>
      </c>
      <c r="K48" s="449">
        <v>41052</v>
      </c>
      <c r="L48" s="449"/>
      <c r="M48" s="450">
        <v>0</v>
      </c>
      <c r="N48" s="451" t="s">
        <v>1202</v>
      </c>
      <c r="O48" s="114" t="s">
        <v>370</v>
      </c>
      <c r="P48" s="452" t="s">
        <v>1195</v>
      </c>
      <c r="Q48" s="453"/>
    </row>
    <row r="49" spans="1:17">
      <c r="A49" s="414" t="s">
        <v>1203</v>
      </c>
      <c r="B49" s="206">
        <v>34861</v>
      </c>
      <c r="C49" s="445">
        <v>3</v>
      </c>
      <c r="D49" s="446" t="s">
        <v>245</v>
      </c>
      <c r="E49" s="447" t="s">
        <v>249</v>
      </c>
      <c r="F49" s="448" t="s">
        <v>308</v>
      </c>
      <c r="G49" s="449">
        <v>41158</v>
      </c>
      <c r="H49" s="449">
        <v>41026</v>
      </c>
      <c r="I49" s="449"/>
      <c r="J49" s="450">
        <v>0</v>
      </c>
      <c r="K49" s="449">
        <v>41052</v>
      </c>
      <c r="L49" s="449"/>
      <c r="M49" s="450">
        <v>0</v>
      </c>
      <c r="N49" s="451" t="s">
        <v>1202</v>
      </c>
      <c r="O49" s="114" t="s">
        <v>370</v>
      </c>
      <c r="P49" s="452" t="s">
        <v>1195</v>
      </c>
      <c r="Q49" s="453"/>
    </row>
    <row r="50" spans="1:17">
      <c r="A50" s="414" t="s">
        <v>1204</v>
      </c>
      <c r="B50" s="206">
        <v>34862</v>
      </c>
      <c r="C50" s="445">
        <v>2</v>
      </c>
      <c r="D50" s="446" t="s">
        <v>245</v>
      </c>
      <c r="E50" s="447" t="s">
        <v>249</v>
      </c>
      <c r="F50" s="448" t="s">
        <v>308</v>
      </c>
      <c r="G50" s="449">
        <v>41158</v>
      </c>
      <c r="H50" s="449">
        <v>41026</v>
      </c>
      <c r="I50" s="449"/>
      <c r="J50" s="450">
        <v>0</v>
      </c>
      <c r="K50" s="449">
        <v>41052</v>
      </c>
      <c r="L50" s="449"/>
      <c r="M50" s="450">
        <v>0</v>
      </c>
      <c r="N50" s="451" t="s">
        <v>1202</v>
      </c>
      <c r="O50" s="114" t="s">
        <v>370</v>
      </c>
      <c r="P50" s="452" t="s">
        <v>1195</v>
      </c>
      <c r="Q50" s="453"/>
    </row>
    <row r="51" spans="1:17">
      <c r="A51" s="414" t="s">
        <v>1200</v>
      </c>
      <c r="B51" s="206">
        <v>34840</v>
      </c>
      <c r="C51" s="445">
        <v>1</v>
      </c>
      <c r="D51" s="446" t="s">
        <v>245</v>
      </c>
      <c r="E51" s="447" t="s">
        <v>249</v>
      </c>
      <c r="F51" s="448" t="s">
        <v>308</v>
      </c>
      <c r="G51" s="449">
        <v>41157</v>
      </c>
      <c r="H51" s="449">
        <v>41026</v>
      </c>
      <c r="I51" s="449"/>
      <c r="J51" s="450">
        <v>0</v>
      </c>
      <c r="K51" s="449">
        <v>41052</v>
      </c>
      <c r="L51" s="449"/>
      <c r="M51" s="450">
        <v>0</v>
      </c>
      <c r="N51" s="451" t="s">
        <v>1189</v>
      </c>
      <c r="O51" s="114" t="s">
        <v>370</v>
      </c>
      <c r="P51" s="452" t="s">
        <v>1195</v>
      </c>
      <c r="Q51" s="453"/>
    </row>
    <row r="52" spans="1:17">
      <c r="A52" s="414" t="s">
        <v>1226</v>
      </c>
      <c r="B52" s="206">
        <v>35060</v>
      </c>
      <c r="C52" s="445">
        <v>2</v>
      </c>
      <c r="D52" s="446" t="s">
        <v>245</v>
      </c>
      <c r="E52" s="447" t="s">
        <v>249</v>
      </c>
      <c r="F52" s="448" t="s">
        <v>308</v>
      </c>
      <c r="G52" s="449">
        <v>41191</v>
      </c>
      <c r="H52" s="449">
        <v>41026</v>
      </c>
      <c r="I52" s="449"/>
      <c r="J52" s="450">
        <v>0</v>
      </c>
      <c r="K52" s="449">
        <v>41052</v>
      </c>
      <c r="L52" s="449"/>
      <c r="M52" s="450">
        <v>0</v>
      </c>
      <c r="N52" s="451" t="s">
        <v>1210</v>
      </c>
      <c r="O52" s="114" t="s">
        <v>370</v>
      </c>
      <c r="P52" s="452" t="s">
        <v>1190</v>
      </c>
      <c r="Q52" s="453"/>
    </row>
    <row r="53" spans="1:17">
      <c r="A53" s="414" t="s">
        <v>1206</v>
      </c>
      <c r="B53" s="206">
        <v>34917</v>
      </c>
      <c r="C53" s="445">
        <v>3</v>
      </c>
      <c r="D53" s="446" t="s">
        <v>245</v>
      </c>
      <c r="E53" s="447" t="s">
        <v>249</v>
      </c>
      <c r="F53" s="448" t="s">
        <v>308</v>
      </c>
      <c r="G53" s="449">
        <v>41165</v>
      </c>
      <c r="H53" s="449">
        <v>41026</v>
      </c>
      <c r="I53" s="449"/>
      <c r="J53" s="450">
        <v>0</v>
      </c>
      <c r="K53" s="449">
        <v>41052</v>
      </c>
      <c r="L53" s="449"/>
      <c r="M53" s="450">
        <v>0</v>
      </c>
      <c r="N53" s="451" t="s">
        <v>1207</v>
      </c>
      <c r="O53" s="114" t="s">
        <v>370</v>
      </c>
      <c r="P53" s="452" t="s">
        <v>1208</v>
      </c>
      <c r="Q53" s="453"/>
    </row>
    <row r="54" spans="1:17">
      <c r="A54" s="414" t="s">
        <v>1212</v>
      </c>
      <c r="B54" s="206">
        <v>34920</v>
      </c>
      <c r="C54" s="445">
        <v>3</v>
      </c>
      <c r="D54" s="446" t="s">
        <v>245</v>
      </c>
      <c r="E54" s="447" t="s">
        <v>249</v>
      </c>
      <c r="F54" s="448" t="s">
        <v>308</v>
      </c>
      <c r="G54" s="449">
        <v>41165</v>
      </c>
      <c r="H54" s="449">
        <v>41026</v>
      </c>
      <c r="I54" s="449"/>
      <c r="J54" s="450">
        <v>0</v>
      </c>
      <c r="K54" s="449">
        <v>41052</v>
      </c>
      <c r="L54" s="449"/>
      <c r="M54" s="450">
        <v>0</v>
      </c>
      <c r="N54" s="451" t="s">
        <v>1210</v>
      </c>
      <c r="O54" s="114" t="s">
        <v>370</v>
      </c>
      <c r="P54" s="452" t="s">
        <v>906</v>
      </c>
      <c r="Q54" s="453"/>
    </row>
    <row r="55" spans="1:17">
      <c r="A55" s="414" t="s">
        <v>1209</v>
      </c>
      <c r="B55" s="206">
        <v>34918</v>
      </c>
      <c r="C55" s="445">
        <v>2</v>
      </c>
      <c r="D55" s="446" t="s">
        <v>245</v>
      </c>
      <c r="E55" s="447" t="s">
        <v>249</v>
      </c>
      <c r="F55" s="448" t="s">
        <v>308</v>
      </c>
      <c r="G55" s="449">
        <v>41165</v>
      </c>
      <c r="H55" s="449">
        <v>41026</v>
      </c>
      <c r="I55" s="449"/>
      <c r="J55" s="450">
        <v>0</v>
      </c>
      <c r="K55" s="449">
        <v>41052</v>
      </c>
      <c r="L55" s="449"/>
      <c r="M55" s="450">
        <v>0</v>
      </c>
      <c r="N55" s="451" t="s">
        <v>1210</v>
      </c>
      <c r="O55" s="114" t="s">
        <v>370</v>
      </c>
      <c r="P55" s="452" t="s">
        <v>906</v>
      </c>
      <c r="Q55" s="453"/>
    </row>
    <row r="56" spans="1:17">
      <c r="A56" s="414" t="s">
        <v>1211</v>
      </c>
      <c r="B56" s="206">
        <v>34919</v>
      </c>
      <c r="C56" s="445">
        <v>2</v>
      </c>
      <c r="D56" s="446" t="s">
        <v>245</v>
      </c>
      <c r="E56" s="447" t="s">
        <v>249</v>
      </c>
      <c r="F56" s="448" t="s">
        <v>308</v>
      </c>
      <c r="G56" s="449">
        <v>41165</v>
      </c>
      <c r="H56" s="449">
        <v>41026</v>
      </c>
      <c r="I56" s="449"/>
      <c r="J56" s="450">
        <v>0</v>
      </c>
      <c r="K56" s="449">
        <v>41052</v>
      </c>
      <c r="L56" s="449"/>
      <c r="M56" s="450">
        <v>0</v>
      </c>
      <c r="N56" s="451" t="s">
        <v>1210</v>
      </c>
      <c r="O56" s="114" t="s">
        <v>370</v>
      </c>
      <c r="P56" s="452" t="s">
        <v>906</v>
      </c>
      <c r="Q56" s="453"/>
    </row>
    <row r="57" spans="1:17">
      <c r="A57" s="414" t="s">
        <v>1213</v>
      </c>
      <c r="B57" s="206">
        <v>34964</v>
      </c>
      <c r="C57" s="445">
        <v>2</v>
      </c>
      <c r="D57" s="446" t="s">
        <v>245</v>
      </c>
      <c r="E57" s="447" t="s">
        <v>249</v>
      </c>
      <c r="F57" s="448" t="s">
        <v>308</v>
      </c>
      <c r="G57" s="449">
        <v>41173</v>
      </c>
      <c r="H57" s="449">
        <v>41026</v>
      </c>
      <c r="I57" s="449"/>
      <c r="J57" s="450">
        <v>0</v>
      </c>
      <c r="K57" s="449">
        <v>41052</v>
      </c>
      <c r="L57" s="449"/>
      <c r="M57" s="450">
        <v>0</v>
      </c>
      <c r="N57" s="451" t="s">
        <v>1214</v>
      </c>
      <c r="O57" s="114" t="s">
        <v>370</v>
      </c>
      <c r="P57" s="452" t="s">
        <v>901</v>
      </c>
      <c r="Q57" s="453"/>
    </row>
    <row r="58" spans="1:17">
      <c r="A58" s="414" t="s">
        <v>1215</v>
      </c>
      <c r="B58" s="206">
        <v>34965</v>
      </c>
      <c r="C58" s="445">
        <v>2</v>
      </c>
      <c r="D58" s="446" t="s">
        <v>245</v>
      </c>
      <c r="E58" s="447" t="s">
        <v>249</v>
      </c>
      <c r="F58" s="448" t="s">
        <v>308</v>
      </c>
      <c r="G58" s="449">
        <v>41173</v>
      </c>
      <c r="H58" s="449">
        <v>41026</v>
      </c>
      <c r="I58" s="449"/>
      <c r="J58" s="450">
        <v>0</v>
      </c>
      <c r="K58" s="449">
        <v>41052</v>
      </c>
      <c r="L58" s="449"/>
      <c r="M58" s="450">
        <v>0</v>
      </c>
      <c r="N58" s="451" t="s">
        <v>1214</v>
      </c>
      <c r="O58" s="114" t="s">
        <v>370</v>
      </c>
      <c r="P58" s="452" t="s">
        <v>904</v>
      </c>
      <c r="Q58" s="453"/>
    </row>
    <row r="59" spans="1:17">
      <c r="A59" s="414" t="s">
        <v>1216</v>
      </c>
      <c r="B59" s="206">
        <v>34966</v>
      </c>
      <c r="C59" s="445">
        <v>2</v>
      </c>
      <c r="D59" s="446" t="s">
        <v>245</v>
      </c>
      <c r="E59" s="447" t="s">
        <v>249</v>
      </c>
      <c r="F59" s="448" t="s">
        <v>308</v>
      </c>
      <c r="G59" s="449">
        <v>41173</v>
      </c>
      <c r="H59" s="449">
        <v>41026</v>
      </c>
      <c r="I59" s="449"/>
      <c r="J59" s="450">
        <v>0</v>
      </c>
      <c r="K59" s="449">
        <v>41052</v>
      </c>
      <c r="L59" s="449"/>
      <c r="M59" s="450">
        <v>0</v>
      </c>
      <c r="N59" s="451" t="s">
        <v>1202</v>
      </c>
      <c r="O59" s="114" t="s">
        <v>370</v>
      </c>
      <c r="P59" s="452" t="s">
        <v>963</v>
      </c>
      <c r="Q59" s="453"/>
    </row>
    <row r="60" spans="1:17">
      <c r="A60" s="414" t="s">
        <v>1217</v>
      </c>
      <c r="B60" s="206">
        <v>34967</v>
      </c>
      <c r="C60" s="445">
        <v>2</v>
      </c>
      <c r="D60" s="446" t="s">
        <v>245</v>
      </c>
      <c r="E60" s="447" t="s">
        <v>249</v>
      </c>
      <c r="F60" s="448" t="s">
        <v>308</v>
      </c>
      <c r="G60" s="449">
        <v>41173</v>
      </c>
      <c r="H60" s="449">
        <v>41026</v>
      </c>
      <c r="I60" s="449"/>
      <c r="J60" s="450">
        <v>0</v>
      </c>
      <c r="K60" s="449">
        <v>41052</v>
      </c>
      <c r="L60" s="449"/>
      <c r="M60" s="450">
        <v>0</v>
      </c>
      <c r="N60" s="451" t="s">
        <v>1202</v>
      </c>
      <c r="O60" s="114" t="s">
        <v>370</v>
      </c>
      <c r="P60" s="452" t="s">
        <v>963</v>
      </c>
      <c r="Q60" s="453"/>
    </row>
    <row r="61" spans="1:17">
      <c r="A61" s="414" t="s">
        <v>1218</v>
      </c>
      <c r="B61" s="206">
        <v>34968</v>
      </c>
      <c r="C61" s="445">
        <v>1</v>
      </c>
      <c r="D61" s="446" t="s">
        <v>245</v>
      </c>
      <c r="E61" s="447" t="s">
        <v>249</v>
      </c>
      <c r="F61" s="448" t="s">
        <v>308</v>
      </c>
      <c r="G61" s="449">
        <v>41173</v>
      </c>
      <c r="H61" s="449">
        <v>41026</v>
      </c>
      <c r="I61" s="449"/>
      <c r="J61" s="450">
        <v>0</v>
      </c>
      <c r="K61" s="449">
        <v>41052</v>
      </c>
      <c r="L61" s="449"/>
      <c r="M61" s="450">
        <v>0</v>
      </c>
      <c r="N61" s="451" t="s">
        <v>1210</v>
      </c>
      <c r="O61" s="114" t="s">
        <v>370</v>
      </c>
      <c r="P61" s="452" t="s">
        <v>1190</v>
      </c>
      <c r="Q61" s="453"/>
    </row>
    <row r="62" spans="1:17">
      <c r="A62" s="414" t="s">
        <v>1224</v>
      </c>
      <c r="B62" s="206">
        <v>34988</v>
      </c>
      <c r="C62" s="445">
        <v>2</v>
      </c>
      <c r="D62" s="446" t="s">
        <v>245</v>
      </c>
      <c r="E62" s="447" t="s">
        <v>249</v>
      </c>
      <c r="F62" s="448" t="s">
        <v>308</v>
      </c>
      <c r="G62" s="449">
        <v>41178</v>
      </c>
      <c r="H62" s="449">
        <v>41026</v>
      </c>
      <c r="I62" s="449"/>
      <c r="J62" s="450">
        <v>0</v>
      </c>
      <c r="K62" s="449">
        <v>41052</v>
      </c>
      <c r="L62" s="449"/>
      <c r="M62" s="450">
        <v>0</v>
      </c>
      <c r="N62" s="451" t="s">
        <v>1222</v>
      </c>
      <c r="O62" s="114" t="s">
        <v>370</v>
      </c>
      <c r="P62" s="452" t="s">
        <v>1208</v>
      </c>
      <c r="Q62" s="453"/>
    </row>
    <row r="63" spans="1:17">
      <c r="A63" s="414" t="s">
        <v>1223</v>
      </c>
      <c r="B63" s="206">
        <v>34987</v>
      </c>
      <c r="C63" s="445">
        <v>2</v>
      </c>
      <c r="D63" s="446" t="s">
        <v>245</v>
      </c>
      <c r="E63" s="447" t="s">
        <v>249</v>
      </c>
      <c r="F63" s="448" t="s">
        <v>308</v>
      </c>
      <c r="G63" s="449">
        <v>41178</v>
      </c>
      <c r="H63" s="449">
        <v>41026</v>
      </c>
      <c r="I63" s="449"/>
      <c r="J63" s="450">
        <v>0</v>
      </c>
      <c r="K63" s="449">
        <v>41052</v>
      </c>
      <c r="L63" s="449"/>
      <c r="M63" s="450">
        <v>0</v>
      </c>
      <c r="N63" s="451" t="s">
        <v>1222</v>
      </c>
      <c r="O63" s="114" t="s">
        <v>370</v>
      </c>
      <c r="P63" s="452" t="s">
        <v>1208</v>
      </c>
      <c r="Q63" s="453"/>
    </row>
    <row r="64" spans="1:17">
      <c r="A64" s="414" t="s">
        <v>1221</v>
      </c>
      <c r="B64" s="206">
        <v>34986</v>
      </c>
      <c r="C64" s="445">
        <v>2</v>
      </c>
      <c r="D64" s="446" t="s">
        <v>245</v>
      </c>
      <c r="E64" s="447" t="s">
        <v>249</v>
      </c>
      <c r="F64" s="448" t="s">
        <v>308</v>
      </c>
      <c r="G64" s="449">
        <v>41178</v>
      </c>
      <c r="H64" s="449">
        <v>41026</v>
      </c>
      <c r="I64" s="449"/>
      <c r="J64" s="450">
        <v>0</v>
      </c>
      <c r="K64" s="449">
        <v>41052</v>
      </c>
      <c r="L64" s="449"/>
      <c r="M64" s="450">
        <v>0</v>
      </c>
      <c r="N64" s="451" t="s">
        <v>1222</v>
      </c>
      <c r="O64" s="114" t="s">
        <v>370</v>
      </c>
      <c r="P64" s="452" t="s">
        <v>1208</v>
      </c>
      <c r="Q64" s="453"/>
    </row>
    <row r="65" spans="1:17">
      <c r="A65" s="414" t="s">
        <v>1227</v>
      </c>
      <c r="B65" s="206">
        <v>35073</v>
      </c>
      <c r="C65" s="445">
        <v>2</v>
      </c>
      <c r="D65" s="446" t="s">
        <v>245</v>
      </c>
      <c r="E65" s="447" t="s">
        <v>249</v>
      </c>
      <c r="F65" s="448" t="s">
        <v>308</v>
      </c>
      <c r="G65" s="449">
        <v>41192</v>
      </c>
      <c r="H65" s="449">
        <v>41026</v>
      </c>
      <c r="I65" s="449"/>
      <c r="J65" s="450">
        <v>0</v>
      </c>
      <c r="K65" s="449">
        <v>41052</v>
      </c>
      <c r="L65" s="449"/>
      <c r="M65" s="450">
        <v>0</v>
      </c>
      <c r="N65" s="451" t="s">
        <v>1214</v>
      </c>
      <c r="O65" s="114" t="s">
        <v>370</v>
      </c>
      <c r="P65" s="452" t="s">
        <v>1195</v>
      </c>
      <c r="Q65" s="453"/>
    </row>
    <row r="66" spans="1:17">
      <c r="A66" s="414" t="s">
        <v>1225</v>
      </c>
      <c r="B66" s="206">
        <v>35037</v>
      </c>
      <c r="C66" s="445">
        <v>2</v>
      </c>
      <c r="D66" s="446" t="s">
        <v>245</v>
      </c>
      <c r="E66" s="447" t="s">
        <v>249</v>
      </c>
      <c r="F66" s="448" t="s">
        <v>308</v>
      </c>
      <c r="G66" s="449">
        <v>41186</v>
      </c>
      <c r="H66" s="449">
        <v>41026</v>
      </c>
      <c r="I66" s="449"/>
      <c r="J66" s="450">
        <v>0</v>
      </c>
      <c r="K66" s="449">
        <v>41052</v>
      </c>
      <c r="L66" s="449"/>
      <c r="M66" s="450">
        <v>0</v>
      </c>
      <c r="N66" s="451" t="s">
        <v>1214</v>
      </c>
      <c r="O66" s="114" t="s">
        <v>370</v>
      </c>
      <c r="P66" s="452" t="s">
        <v>960</v>
      </c>
      <c r="Q66" s="453"/>
    </row>
    <row r="67" spans="1:17">
      <c r="A67" s="414" t="s">
        <v>1228</v>
      </c>
      <c r="B67" s="206">
        <v>35080</v>
      </c>
      <c r="C67" s="445">
        <v>3</v>
      </c>
      <c r="D67" s="446" t="s">
        <v>245</v>
      </c>
      <c r="E67" s="447" t="s">
        <v>249</v>
      </c>
      <c r="F67" s="448" t="s">
        <v>308</v>
      </c>
      <c r="G67" s="449">
        <v>41193</v>
      </c>
      <c r="H67" s="449">
        <v>41026</v>
      </c>
      <c r="I67" s="449"/>
      <c r="J67" s="450">
        <v>0</v>
      </c>
      <c r="K67" s="449">
        <v>41052</v>
      </c>
      <c r="L67" s="449"/>
      <c r="M67" s="450">
        <v>0</v>
      </c>
      <c r="N67" s="451" t="s">
        <v>1229</v>
      </c>
      <c r="O67" s="114" t="s">
        <v>370</v>
      </c>
      <c r="P67" s="452" t="s">
        <v>1087</v>
      </c>
      <c r="Q67" s="453"/>
    </row>
    <row r="68" spans="1:17">
      <c r="A68" s="414" t="s">
        <v>1231</v>
      </c>
      <c r="B68" s="206">
        <v>35096</v>
      </c>
      <c r="C68" s="445">
        <v>3</v>
      </c>
      <c r="D68" s="446" t="s">
        <v>245</v>
      </c>
      <c r="E68" s="447" t="s">
        <v>249</v>
      </c>
      <c r="F68" s="448" t="s">
        <v>308</v>
      </c>
      <c r="G68" s="449">
        <v>41197</v>
      </c>
      <c r="H68" s="449">
        <v>41026</v>
      </c>
      <c r="I68" s="449"/>
      <c r="J68" s="450">
        <v>0</v>
      </c>
      <c r="K68" s="449">
        <v>41052</v>
      </c>
      <c r="L68" s="449"/>
      <c r="M68" s="450">
        <v>0</v>
      </c>
      <c r="N68" s="451" t="s">
        <v>1229</v>
      </c>
      <c r="O68" s="114" t="s">
        <v>370</v>
      </c>
      <c r="P68" s="452" t="s">
        <v>1087</v>
      </c>
      <c r="Q68" s="453"/>
    </row>
    <row r="69" spans="1:17">
      <c r="A69" s="414" t="s">
        <v>1230</v>
      </c>
      <c r="B69" s="206">
        <v>35081</v>
      </c>
      <c r="C69" s="445">
        <v>2</v>
      </c>
      <c r="D69" s="446" t="s">
        <v>245</v>
      </c>
      <c r="E69" s="447" t="s">
        <v>249</v>
      </c>
      <c r="F69" s="448" t="s">
        <v>308</v>
      </c>
      <c r="G69" s="449">
        <v>41193</v>
      </c>
      <c r="H69" s="449">
        <v>41026</v>
      </c>
      <c r="I69" s="449"/>
      <c r="J69" s="450">
        <v>0</v>
      </c>
      <c r="K69" s="449">
        <v>41052</v>
      </c>
      <c r="L69" s="449"/>
      <c r="M69" s="450">
        <v>0</v>
      </c>
      <c r="N69" s="451" t="s">
        <v>1229</v>
      </c>
      <c r="O69" s="114" t="s">
        <v>370</v>
      </c>
      <c r="P69" s="452" t="s">
        <v>1190</v>
      </c>
      <c r="Q69" s="453"/>
    </row>
    <row r="70" spans="1:17">
      <c r="A70" s="414" t="s">
        <v>1232</v>
      </c>
      <c r="B70" s="206">
        <v>35103</v>
      </c>
      <c r="C70" s="445">
        <v>2</v>
      </c>
      <c r="D70" s="446" t="s">
        <v>245</v>
      </c>
      <c r="E70" s="447" t="s">
        <v>249</v>
      </c>
      <c r="F70" s="448" t="s">
        <v>308</v>
      </c>
      <c r="G70" s="449">
        <v>41198</v>
      </c>
      <c r="H70" s="449">
        <v>41026</v>
      </c>
      <c r="I70" s="449"/>
      <c r="J70" s="450">
        <v>0</v>
      </c>
      <c r="K70" s="449">
        <v>41052</v>
      </c>
      <c r="L70" s="449"/>
      <c r="M70" s="450">
        <v>0</v>
      </c>
      <c r="N70" s="451" t="s">
        <v>1214</v>
      </c>
      <c r="O70" s="114" t="s">
        <v>370</v>
      </c>
      <c r="P70" s="452" t="s">
        <v>1190</v>
      </c>
      <c r="Q70" s="453"/>
    </row>
    <row r="71" spans="1:17">
      <c r="A71" s="414" t="s">
        <v>1252</v>
      </c>
      <c r="B71" s="206">
        <v>35295</v>
      </c>
      <c r="C71" s="445">
        <v>3</v>
      </c>
      <c r="D71" s="446" t="s">
        <v>245</v>
      </c>
      <c r="E71" s="447" t="s">
        <v>249</v>
      </c>
      <c r="F71" s="448" t="s">
        <v>308</v>
      </c>
      <c r="G71" s="449">
        <v>41232</v>
      </c>
      <c r="H71" s="449">
        <v>41026</v>
      </c>
      <c r="I71" s="449"/>
      <c r="J71" s="450">
        <v>0</v>
      </c>
      <c r="K71" s="449">
        <v>41052</v>
      </c>
      <c r="L71" s="449"/>
      <c r="M71" s="450">
        <v>0</v>
      </c>
      <c r="N71" s="451" t="s">
        <v>1229</v>
      </c>
      <c r="O71" s="114" t="s">
        <v>370</v>
      </c>
      <c r="P71" s="452" t="s">
        <v>1195</v>
      </c>
      <c r="Q71" s="453"/>
    </row>
    <row r="72" spans="1:17">
      <c r="A72" s="414" t="s">
        <v>1233</v>
      </c>
      <c r="B72" s="206">
        <v>35172</v>
      </c>
      <c r="C72" s="445">
        <v>2</v>
      </c>
      <c r="D72" s="446" t="s">
        <v>245</v>
      </c>
      <c r="E72" s="447" t="s">
        <v>249</v>
      </c>
      <c r="F72" s="448" t="s">
        <v>308</v>
      </c>
      <c r="G72" s="449">
        <v>41207</v>
      </c>
      <c r="H72" s="449">
        <v>41026</v>
      </c>
      <c r="I72" s="449"/>
      <c r="J72" s="450">
        <v>0</v>
      </c>
      <c r="K72" s="449">
        <v>41052</v>
      </c>
      <c r="L72" s="449"/>
      <c r="M72" s="450">
        <v>0</v>
      </c>
      <c r="N72" s="451" t="s">
        <v>1229</v>
      </c>
      <c r="O72" s="114" t="s">
        <v>370</v>
      </c>
      <c r="P72" s="452" t="s">
        <v>1195</v>
      </c>
      <c r="Q72" s="453"/>
    </row>
    <row r="73" spans="1:17">
      <c r="A73" s="414" t="s">
        <v>1240</v>
      </c>
      <c r="B73" s="206">
        <v>35225</v>
      </c>
      <c r="C73" s="445">
        <v>2</v>
      </c>
      <c r="D73" s="446" t="s">
        <v>245</v>
      </c>
      <c r="E73" s="447" t="s">
        <v>249</v>
      </c>
      <c r="F73" s="448" t="s">
        <v>308</v>
      </c>
      <c r="G73" s="449">
        <v>41221</v>
      </c>
      <c r="H73" s="449">
        <v>41026</v>
      </c>
      <c r="I73" s="449"/>
      <c r="J73" s="450">
        <v>0</v>
      </c>
      <c r="K73" s="449">
        <v>41052</v>
      </c>
      <c r="L73" s="449"/>
      <c r="M73" s="450">
        <v>0</v>
      </c>
      <c r="N73" s="451" t="s">
        <v>1241</v>
      </c>
      <c r="O73" s="114" t="s">
        <v>370</v>
      </c>
      <c r="P73" s="452" t="s">
        <v>710</v>
      </c>
      <c r="Q73" s="453"/>
    </row>
    <row r="74" spans="1:17">
      <c r="A74" s="414" t="s">
        <v>1249</v>
      </c>
      <c r="B74" s="206">
        <v>35292</v>
      </c>
      <c r="C74" s="445">
        <v>3</v>
      </c>
      <c r="D74" s="446" t="s">
        <v>245</v>
      </c>
      <c r="E74" s="447" t="s">
        <v>249</v>
      </c>
      <c r="F74" s="448" t="s">
        <v>308</v>
      </c>
      <c r="G74" s="449">
        <v>41232</v>
      </c>
      <c r="H74" s="449">
        <v>41026</v>
      </c>
      <c r="I74" s="449"/>
      <c r="J74" s="450">
        <v>0</v>
      </c>
      <c r="K74" s="449">
        <v>41052</v>
      </c>
      <c r="L74" s="449"/>
      <c r="M74" s="450">
        <v>0</v>
      </c>
      <c r="N74" s="451" t="s">
        <v>1229</v>
      </c>
      <c r="O74" s="114" t="s">
        <v>370</v>
      </c>
      <c r="P74" s="452" t="s">
        <v>1208</v>
      </c>
      <c r="Q74" s="453"/>
    </row>
    <row r="75" spans="1:17">
      <c r="A75" s="414" t="s">
        <v>1250</v>
      </c>
      <c r="B75" s="206">
        <v>35293</v>
      </c>
      <c r="C75" s="445">
        <v>3</v>
      </c>
      <c r="D75" s="446" t="s">
        <v>245</v>
      </c>
      <c r="E75" s="447" t="s">
        <v>249</v>
      </c>
      <c r="F75" s="448" t="s">
        <v>308</v>
      </c>
      <c r="G75" s="449">
        <v>41232</v>
      </c>
      <c r="H75" s="449">
        <v>41026</v>
      </c>
      <c r="I75" s="449"/>
      <c r="J75" s="450">
        <v>0</v>
      </c>
      <c r="K75" s="449">
        <v>41052</v>
      </c>
      <c r="L75" s="449"/>
      <c r="M75" s="450">
        <v>0</v>
      </c>
      <c r="N75" s="451" t="s">
        <v>1229</v>
      </c>
      <c r="O75" s="114" t="s">
        <v>370</v>
      </c>
      <c r="P75" s="452" t="s">
        <v>1208</v>
      </c>
      <c r="Q75" s="453"/>
    </row>
    <row r="76" spans="1:17">
      <c r="A76" s="414" t="s">
        <v>1257</v>
      </c>
      <c r="B76" s="206">
        <v>333333</v>
      </c>
      <c r="C76" s="445">
        <v>2</v>
      </c>
      <c r="D76" s="446" t="s">
        <v>245</v>
      </c>
      <c r="E76" s="447" t="s">
        <v>249</v>
      </c>
      <c r="F76" s="448" t="s">
        <v>308</v>
      </c>
      <c r="G76" s="449">
        <v>41233</v>
      </c>
      <c r="H76" s="449">
        <v>41026</v>
      </c>
      <c r="I76" s="449"/>
      <c r="J76" s="450">
        <v>0</v>
      </c>
      <c r="K76" s="449">
        <v>41052</v>
      </c>
      <c r="L76" s="449"/>
      <c r="M76" s="450">
        <v>0</v>
      </c>
      <c r="N76" s="451" t="s">
        <v>1237</v>
      </c>
      <c r="O76" s="114" t="s">
        <v>370</v>
      </c>
      <c r="P76" s="452" t="s">
        <v>915</v>
      </c>
      <c r="Q76" s="453"/>
    </row>
    <row r="77" spans="1:17">
      <c r="A77" s="414" t="s">
        <v>1234</v>
      </c>
      <c r="B77" s="206">
        <v>35190</v>
      </c>
      <c r="C77" s="445">
        <v>2</v>
      </c>
      <c r="D77" s="446" t="s">
        <v>245</v>
      </c>
      <c r="E77" s="447" t="s">
        <v>249</v>
      </c>
      <c r="F77" s="448" t="s">
        <v>308</v>
      </c>
      <c r="G77" s="449">
        <v>41212</v>
      </c>
      <c r="H77" s="449">
        <v>41026</v>
      </c>
      <c r="I77" s="449"/>
      <c r="J77" s="450">
        <v>0</v>
      </c>
      <c r="K77" s="449">
        <v>41052</v>
      </c>
      <c r="L77" s="449"/>
      <c r="M77" s="450">
        <v>0</v>
      </c>
      <c r="N77" s="451" t="s">
        <v>1235</v>
      </c>
      <c r="O77" s="114" t="s">
        <v>370</v>
      </c>
      <c r="P77" s="452" t="s">
        <v>912</v>
      </c>
      <c r="Q77" s="453"/>
    </row>
    <row r="78" spans="1:17">
      <c r="A78" s="414" t="s">
        <v>1258</v>
      </c>
      <c r="B78" s="206">
        <v>35313</v>
      </c>
      <c r="C78" s="445">
        <v>2</v>
      </c>
      <c r="D78" s="446" t="s">
        <v>245</v>
      </c>
      <c r="E78" s="447" t="s">
        <v>249</v>
      </c>
      <c r="F78" s="448" t="s">
        <v>308</v>
      </c>
      <c r="G78" s="449">
        <v>41233</v>
      </c>
      <c r="H78" s="449">
        <v>41026</v>
      </c>
      <c r="I78" s="449"/>
      <c r="J78" s="450">
        <v>0</v>
      </c>
      <c r="K78" s="449">
        <v>41052</v>
      </c>
      <c r="L78" s="449"/>
      <c r="M78" s="450">
        <v>0</v>
      </c>
      <c r="N78" s="451" t="s">
        <v>1229</v>
      </c>
      <c r="O78" s="114" t="s">
        <v>370</v>
      </c>
      <c r="P78" s="452" t="s">
        <v>1195</v>
      </c>
      <c r="Q78" s="453"/>
    </row>
    <row r="79" spans="1:17">
      <c r="A79" s="414" t="s">
        <v>1236</v>
      </c>
      <c r="B79" s="206">
        <v>35215</v>
      </c>
      <c r="C79" s="445">
        <v>1</v>
      </c>
      <c r="D79" s="446" t="s">
        <v>245</v>
      </c>
      <c r="E79" s="447" t="s">
        <v>249</v>
      </c>
      <c r="F79" s="448" t="s">
        <v>308</v>
      </c>
      <c r="G79" s="449">
        <v>41220</v>
      </c>
      <c r="H79" s="449">
        <v>41026</v>
      </c>
      <c r="I79" s="449"/>
      <c r="J79" s="450">
        <v>0</v>
      </c>
      <c r="K79" s="449">
        <v>41052</v>
      </c>
      <c r="L79" s="449"/>
      <c r="M79" s="450">
        <v>0</v>
      </c>
      <c r="N79" s="451" t="s">
        <v>1237</v>
      </c>
      <c r="O79" s="114" t="s">
        <v>370</v>
      </c>
      <c r="P79" s="452" t="s">
        <v>1195</v>
      </c>
      <c r="Q79" s="453"/>
    </row>
    <row r="80" spans="1:17">
      <c r="A80" s="414" t="s">
        <v>1238</v>
      </c>
      <c r="B80" s="206">
        <v>35223</v>
      </c>
      <c r="C80" s="445">
        <v>1</v>
      </c>
      <c r="D80" s="446" t="s">
        <v>245</v>
      </c>
      <c r="E80" s="447" t="s">
        <v>249</v>
      </c>
      <c r="F80" s="448" t="s">
        <v>308</v>
      </c>
      <c r="G80" s="449">
        <v>41221</v>
      </c>
      <c r="H80" s="449">
        <v>41026</v>
      </c>
      <c r="I80" s="449"/>
      <c r="J80" s="450">
        <v>0</v>
      </c>
      <c r="K80" s="449">
        <v>41052</v>
      </c>
      <c r="L80" s="449"/>
      <c r="M80" s="450">
        <v>0</v>
      </c>
      <c r="N80" s="451" t="s">
        <v>1239</v>
      </c>
      <c r="O80" s="114" t="s">
        <v>370</v>
      </c>
      <c r="P80" s="452" t="s">
        <v>1190</v>
      </c>
      <c r="Q80" s="453"/>
    </row>
    <row r="81" spans="1:17">
      <c r="A81" s="414" t="s">
        <v>1242</v>
      </c>
      <c r="B81" s="206">
        <v>35244</v>
      </c>
      <c r="C81" s="445">
        <v>2</v>
      </c>
      <c r="D81" s="446" t="s">
        <v>245</v>
      </c>
      <c r="E81" s="447" t="s">
        <v>249</v>
      </c>
      <c r="F81" s="448" t="s">
        <v>308</v>
      </c>
      <c r="G81" s="449">
        <v>41225</v>
      </c>
      <c r="H81" s="449">
        <v>41026</v>
      </c>
      <c r="I81" s="449"/>
      <c r="J81" s="450">
        <v>0</v>
      </c>
      <c r="K81" s="449">
        <v>41052</v>
      </c>
      <c r="L81" s="449"/>
      <c r="M81" s="450">
        <v>0</v>
      </c>
      <c r="N81" s="451" t="s">
        <v>1210</v>
      </c>
      <c r="O81" s="114" t="s">
        <v>370</v>
      </c>
      <c r="P81" s="452" t="s">
        <v>1220</v>
      </c>
      <c r="Q81" s="453"/>
    </row>
    <row r="82" spans="1:17">
      <c r="A82" s="414" t="s">
        <v>1248</v>
      </c>
      <c r="B82" s="206">
        <v>35291</v>
      </c>
      <c r="C82" s="445">
        <v>3</v>
      </c>
      <c r="D82" s="446" t="s">
        <v>245</v>
      </c>
      <c r="E82" s="447" t="s">
        <v>249</v>
      </c>
      <c r="F82" s="448" t="s">
        <v>308</v>
      </c>
      <c r="G82" s="449">
        <v>41232</v>
      </c>
      <c r="H82" s="449">
        <v>41026</v>
      </c>
      <c r="I82" s="449"/>
      <c r="J82" s="450">
        <v>0</v>
      </c>
      <c r="K82" s="449">
        <v>41052</v>
      </c>
      <c r="L82" s="449"/>
      <c r="M82" s="450">
        <v>0</v>
      </c>
      <c r="N82" s="451" t="s">
        <v>1229</v>
      </c>
      <c r="O82" s="114" t="s">
        <v>370</v>
      </c>
      <c r="P82" s="452" t="s">
        <v>1195</v>
      </c>
      <c r="Q82" s="453"/>
    </row>
    <row r="83" spans="1:17">
      <c r="A83" s="414" t="s">
        <v>1251</v>
      </c>
      <c r="B83" s="206">
        <v>35294</v>
      </c>
      <c r="C83" s="445">
        <v>2</v>
      </c>
      <c r="D83" s="446" t="s">
        <v>245</v>
      </c>
      <c r="E83" s="447" t="s">
        <v>249</v>
      </c>
      <c r="F83" s="448" t="s">
        <v>308</v>
      </c>
      <c r="G83" s="449">
        <v>41232</v>
      </c>
      <c r="H83" s="449">
        <v>41026</v>
      </c>
      <c r="I83" s="449"/>
      <c r="J83" s="450">
        <v>0</v>
      </c>
      <c r="K83" s="449">
        <v>41052</v>
      </c>
      <c r="L83" s="449"/>
      <c r="M83" s="450">
        <v>0</v>
      </c>
      <c r="N83" s="451" t="s">
        <v>1229</v>
      </c>
      <c r="O83" s="114" t="s">
        <v>370</v>
      </c>
      <c r="P83" s="452" t="s">
        <v>1195</v>
      </c>
      <c r="Q83" s="453"/>
    </row>
    <row r="84" spans="1:17">
      <c r="A84" s="414" t="s">
        <v>1245</v>
      </c>
      <c r="B84" s="206">
        <v>35281</v>
      </c>
      <c r="C84" s="445">
        <v>3</v>
      </c>
      <c r="D84" s="446" t="s">
        <v>245</v>
      </c>
      <c r="E84" s="447" t="s">
        <v>249</v>
      </c>
      <c r="F84" s="448" t="s">
        <v>308</v>
      </c>
      <c r="G84" s="449">
        <v>41229</v>
      </c>
      <c r="H84" s="449">
        <v>41026</v>
      </c>
      <c r="I84" s="449"/>
      <c r="J84" s="450">
        <v>0</v>
      </c>
      <c r="K84" s="449">
        <v>41052</v>
      </c>
      <c r="L84" s="449"/>
      <c r="M84" s="450">
        <v>0</v>
      </c>
      <c r="N84" s="451" t="s">
        <v>1229</v>
      </c>
      <c r="O84" s="114" t="s">
        <v>370</v>
      </c>
      <c r="P84" s="452" t="s">
        <v>1195</v>
      </c>
      <c r="Q84" s="453"/>
    </row>
    <row r="85" spans="1:17">
      <c r="A85" s="414" t="s">
        <v>1264</v>
      </c>
      <c r="B85" s="206">
        <v>35407</v>
      </c>
      <c r="C85" s="445">
        <v>2</v>
      </c>
      <c r="D85" s="446" t="s">
        <v>245</v>
      </c>
      <c r="E85" s="447" t="s">
        <v>249</v>
      </c>
      <c r="F85" s="448" t="s">
        <v>308</v>
      </c>
      <c r="G85" s="449">
        <v>41247</v>
      </c>
      <c r="H85" s="449">
        <v>41026</v>
      </c>
      <c r="I85" s="449"/>
      <c r="J85" s="450">
        <v>0</v>
      </c>
      <c r="K85" s="449">
        <v>41052</v>
      </c>
      <c r="L85" s="449"/>
      <c r="M85" s="450">
        <v>0</v>
      </c>
      <c r="N85" s="451" t="s">
        <v>1229</v>
      </c>
      <c r="O85" s="114" t="s">
        <v>370</v>
      </c>
      <c r="P85" s="452" t="s">
        <v>1195</v>
      </c>
      <c r="Q85" s="453"/>
    </row>
    <row r="86" spans="1:17">
      <c r="A86" s="414" t="s">
        <v>1243</v>
      </c>
      <c r="B86" s="206">
        <v>35258</v>
      </c>
      <c r="C86" s="445">
        <v>2</v>
      </c>
      <c r="D86" s="446" t="s">
        <v>245</v>
      </c>
      <c r="E86" s="447" t="s">
        <v>249</v>
      </c>
      <c r="F86" s="448" t="s">
        <v>308</v>
      </c>
      <c r="G86" s="449">
        <v>41227</v>
      </c>
      <c r="H86" s="449">
        <v>41026</v>
      </c>
      <c r="I86" s="449"/>
      <c r="J86" s="450">
        <v>0</v>
      </c>
      <c r="K86" s="449">
        <v>41052</v>
      </c>
      <c r="L86" s="449"/>
      <c r="M86" s="450">
        <v>0</v>
      </c>
      <c r="N86" s="451" t="s">
        <v>1244</v>
      </c>
      <c r="O86" s="114" t="s">
        <v>370</v>
      </c>
      <c r="P86" s="452" t="s">
        <v>908</v>
      </c>
      <c r="Q86" s="453"/>
    </row>
    <row r="87" spans="1:17">
      <c r="A87" s="414" t="s">
        <v>1253</v>
      </c>
      <c r="B87" s="206">
        <v>35297</v>
      </c>
      <c r="C87" s="445">
        <v>3</v>
      </c>
      <c r="D87" s="446" t="s">
        <v>245</v>
      </c>
      <c r="E87" s="447" t="s">
        <v>249</v>
      </c>
      <c r="F87" s="448" t="s">
        <v>308</v>
      </c>
      <c r="G87" s="449">
        <v>41232</v>
      </c>
      <c r="H87" s="449">
        <v>41026</v>
      </c>
      <c r="I87" s="449"/>
      <c r="J87" s="450">
        <v>0</v>
      </c>
      <c r="K87" s="449">
        <v>41052</v>
      </c>
      <c r="L87" s="449"/>
      <c r="M87" s="450">
        <v>0</v>
      </c>
      <c r="N87" s="451" t="s">
        <v>1254</v>
      </c>
      <c r="O87" s="114" t="s">
        <v>370</v>
      </c>
      <c r="P87" s="452" t="s">
        <v>1255</v>
      </c>
      <c r="Q87" s="453"/>
    </row>
    <row r="88" spans="1:17">
      <c r="A88" s="414" t="s">
        <v>1246</v>
      </c>
      <c r="B88" s="206">
        <v>35285</v>
      </c>
      <c r="C88" s="445">
        <v>2</v>
      </c>
      <c r="D88" s="446" t="s">
        <v>245</v>
      </c>
      <c r="E88" s="447" t="s">
        <v>249</v>
      </c>
      <c r="F88" s="448" t="s">
        <v>308</v>
      </c>
      <c r="G88" s="449">
        <v>41229</v>
      </c>
      <c r="H88" s="449">
        <v>41026</v>
      </c>
      <c r="I88" s="449"/>
      <c r="J88" s="450">
        <v>0</v>
      </c>
      <c r="K88" s="449">
        <v>41052</v>
      </c>
      <c r="L88" s="449"/>
      <c r="M88" s="450">
        <v>0</v>
      </c>
      <c r="N88" s="451" t="s">
        <v>1247</v>
      </c>
      <c r="O88" s="114" t="s">
        <v>370</v>
      </c>
      <c r="P88" s="452" t="s">
        <v>1208</v>
      </c>
      <c r="Q88" s="453"/>
    </row>
    <row r="89" spans="1:17">
      <c r="A89" s="414" t="s">
        <v>1256</v>
      </c>
      <c r="B89" s="206">
        <v>35306</v>
      </c>
      <c r="C89" s="445">
        <v>1</v>
      </c>
      <c r="D89" s="446" t="s">
        <v>245</v>
      </c>
      <c r="E89" s="447" t="s">
        <v>249</v>
      </c>
      <c r="F89" s="448" t="s">
        <v>308</v>
      </c>
      <c r="G89" s="449">
        <v>41233</v>
      </c>
      <c r="H89" s="449">
        <v>41026</v>
      </c>
      <c r="I89" s="449"/>
      <c r="J89" s="450">
        <v>0</v>
      </c>
      <c r="K89" s="449">
        <v>41052</v>
      </c>
      <c r="L89" s="449"/>
      <c r="M89" s="450">
        <v>0</v>
      </c>
      <c r="N89" s="451" t="s">
        <v>1247</v>
      </c>
      <c r="O89" s="114" t="s">
        <v>370</v>
      </c>
      <c r="P89" s="452" t="s">
        <v>915</v>
      </c>
      <c r="Q89" s="453"/>
    </row>
    <row r="90" spans="1:17">
      <c r="A90" s="414" t="s">
        <v>1259</v>
      </c>
      <c r="B90" s="206">
        <v>35365</v>
      </c>
      <c r="C90" s="445">
        <v>1</v>
      </c>
      <c r="D90" s="446" t="s">
        <v>245</v>
      </c>
      <c r="E90" s="447" t="s">
        <v>249</v>
      </c>
      <c r="F90" s="448" t="s">
        <v>308</v>
      </c>
      <c r="G90" s="449">
        <v>41240</v>
      </c>
      <c r="H90" s="449">
        <v>41026</v>
      </c>
      <c r="I90" s="449"/>
      <c r="J90" s="450">
        <v>0</v>
      </c>
      <c r="K90" s="449">
        <v>41052</v>
      </c>
      <c r="L90" s="449"/>
      <c r="M90" s="450">
        <v>0</v>
      </c>
      <c r="N90" s="451" t="s">
        <v>1260</v>
      </c>
      <c r="O90" s="114" t="s">
        <v>370</v>
      </c>
      <c r="P90" s="452" t="s">
        <v>1208</v>
      </c>
      <c r="Q90" s="453"/>
    </row>
    <row r="91" spans="1:17">
      <c r="A91" s="414" t="s">
        <v>1261</v>
      </c>
      <c r="B91" s="206">
        <v>35378</v>
      </c>
      <c r="C91" s="445">
        <v>3</v>
      </c>
      <c r="D91" s="446" t="s">
        <v>245</v>
      </c>
      <c r="E91" s="447" t="s">
        <v>249</v>
      </c>
      <c r="F91" s="448" t="s">
        <v>308</v>
      </c>
      <c r="G91" s="449">
        <v>41243</v>
      </c>
      <c r="H91" s="449">
        <v>41026</v>
      </c>
      <c r="I91" s="449"/>
      <c r="J91" s="450">
        <v>0</v>
      </c>
      <c r="K91" s="449">
        <v>41052</v>
      </c>
      <c r="L91" s="449"/>
      <c r="M91" s="450">
        <v>0</v>
      </c>
      <c r="N91" s="451" t="s">
        <v>1262</v>
      </c>
      <c r="O91" s="114" t="s">
        <v>370</v>
      </c>
      <c r="P91" s="452" t="s">
        <v>709</v>
      </c>
      <c r="Q91" s="453"/>
    </row>
    <row r="92" spans="1:17">
      <c r="A92" s="414" t="s">
        <v>1263</v>
      </c>
      <c r="B92" s="206">
        <v>35379</v>
      </c>
      <c r="C92" s="445">
        <v>3</v>
      </c>
      <c r="D92" s="446" t="s">
        <v>245</v>
      </c>
      <c r="E92" s="447" t="s">
        <v>249</v>
      </c>
      <c r="F92" s="448" t="s">
        <v>308</v>
      </c>
      <c r="G92" s="449">
        <v>41243</v>
      </c>
      <c r="H92" s="449">
        <v>41026</v>
      </c>
      <c r="I92" s="449"/>
      <c r="J92" s="450">
        <v>0</v>
      </c>
      <c r="K92" s="449">
        <v>41052</v>
      </c>
      <c r="L92" s="449"/>
      <c r="M92" s="450">
        <v>0</v>
      </c>
      <c r="N92" s="451" t="s">
        <v>1262</v>
      </c>
      <c r="O92" s="114" t="s">
        <v>370</v>
      </c>
      <c r="P92" s="452" t="s">
        <v>709</v>
      </c>
      <c r="Q92" s="453"/>
    </row>
    <row r="93" spans="1:17">
      <c r="A93" s="414" t="s">
        <v>1310</v>
      </c>
      <c r="B93" s="206">
        <v>35857</v>
      </c>
      <c r="C93" s="445">
        <v>3</v>
      </c>
      <c r="D93" s="446" t="s">
        <v>245</v>
      </c>
      <c r="E93" s="447" t="s">
        <v>249</v>
      </c>
      <c r="F93" s="448" t="s">
        <v>308</v>
      </c>
      <c r="G93" s="449">
        <v>41323</v>
      </c>
      <c r="H93" s="449">
        <v>41026</v>
      </c>
      <c r="I93" s="449"/>
      <c r="J93" s="450">
        <v>0</v>
      </c>
      <c r="K93" s="449">
        <v>41052</v>
      </c>
      <c r="L93" s="449"/>
      <c r="M93" s="450">
        <v>0</v>
      </c>
      <c r="N93" s="451" t="s">
        <v>1266</v>
      </c>
      <c r="O93" s="114" t="s">
        <v>370</v>
      </c>
      <c r="P93" s="452" t="s">
        <v>1294</v>
      </c>
      <c r="Q93" s="453"/>
    </row>
    <row r="94" spans="1:17">
      <c r="A94" s="414" t="s">
        <v>1284</v>
      </c>
      <c r="B94" s="206">
        <v>35610</v>
      </c>
      <c r="C94" s="445">
        <v>3</v>
      </c>
      <c r="D94" s="446" t="s">
        <v>245</v>
      </c>
      <c r="E94" s="447" t="s">
        <v>249</v>
      </c>
      <c r="F94" s="448" t="s">
        <v>308</v>
      </c>
      <c r="G94" s="449">
        <v>41284</v>
      </c>
      <c r="H94" s="449">
        <v>41026</v>
      </c>
      <c r="I94" s="449"/>
      <c r="J94" s="450">
        <v>0</v>
      </c>
      <c r="K94" s="449">
        <v>41052</v>
      </c>
      <c r="L94" s="449"/>
      <c r="M94" s="450">
        <v>0</v>
      </c>
      <c r="N94" s="451" t="s">
        <v>1266</v>
      </c>
      <c r="O94" s="114" t="s">
        <v>370</v>
      </c>
      <c r="P94" s="452" t="s">
        <v>1267</v>
      </c>
      <c r="Q94" s="453"/>
    </row>
    <row r="95" spans="1:17">
      <c r="A95" s="414" t="s">
        <v>1285</v>
      </c>
      <c r="B95" s="206">
        <v>35612</v>
      </c>
      <c r="C95" s="445">
        <v>3</v>
      </c>
      <c r="D95" s="446" t="s">
        <v>245</v>
      </c>
      <c r="E95" s="447" t="s">
        <v>249</v>
      </c>
      <c r="F95" s="448" t="s">
        <v>308</v>
      </c>
      <c r="G95" s="449">
        <v>41284</v>
      </c>
      <c r="H95" s="449">
        <v>41026</v>
      </c>
      <c r="I95" s="449"/>
      <c r="J95" s="450">
        <v>0</v>
      </c>
      <c r="K95" s="449">
        <v>41052</v>
      </c>
      <c r="L95" s="449"/>
      <c r="M95" s="450">
        <v>0</v>
      </c>
      <c r="N95" s="451" t="s">
        <v>1266</v>
      </c>
      <c r="O95" s="114" t="s">
        <v>370</v>
      </c>
      <c r="P95" s="452" t="s">
        <v>1267</v>
      </c>
      <c r="Q95" s="453"/>
    </row>
    <row r="96" spans="1:17">
      <c r="A96" s="414" t="s">
        <v>1265</v>
      </c>
      <c r="B96" s="206">
        <v>35516</v>
      </c>
      <c r="C96" s="445">
        <v>1</v>
      </c>
      <c r="D96" s="446" t="s">
        <v>245</v>
      </c>
      <c r="E96" s="447" t="s">
        <v>249</v>
      </c>
      <c r="F96" s="448" t="s">
        <v>308</v>
      </c>
      <c r="G96" s="449">
        <v>41261</v>
      </c>
      <c r="H96" s="449">
        <v>41026</v>
      </c>
      <c r="I96" s="449"/>
      <c r="J96" s="450">
        <v>0</v>
      </c>
      <c r="K96" s="449">
        <v>41052</v>
      </c>
      <c r="L96" s="449"/>
      <c r="M96" s="450">
        <v>0</v>
      </c>
      <c r="N96" s="451" t="s">
        <v>1266</v>
      </c>
      <c r="O96" s="114" t="s">
        <v>370</v>
      </c>
      <c r="P96" s="452" t="s">
        <v>1267</v>
      </c>
      <c r="Q96" s="453"/>
    </row>
    <row r="97" spans="1:17">
      <c r="A97" s="414" t="s">
        <v>1268</v>
      </c>
      <c r="B97" s="206">
        <v>35517</v>
      </c>
      <c r="C97" s="445">
        <v>1</v>
      </c>
      <c r="D97" s="446" t="s">
        <v>245</v>
      </c>
      <c r="E97" s="447" t="s">
        <v>249</v>
      </c>
      <c r="F97" s="448" t="s">
        <v>308</v>
      </c>
      <c r="G97" s="449">
        <v>41261</v>
      </c>
      <c r="H97" s="449">
        <v>41026</v>
      </c>
      <c r="I97" s="449"/>
      <c r="J97" s="450">
        <v>0</v>
      </c>
      <c r="K97" s="449">
        <v>41052</v>
      </c>
      <c r="L97" s="449"/>
      <c r="M97" s="450">
        <v>0</v>
      </c>
      <c r="N97" s="451" t="s">
        <v>1266</v>
      </c>
      <c r="O97" s="114" t="s">
        <v>370</v>
      </c>
      <c r="P97" s="452" t="s">
        <v>1267</v>
      </c>
      <c r="Q97" s="453"/>
    </row>
    <row r="98" spans="1:17">
      <c r="A98" s="414" t="s">
        <v>1272</v>
      </c>
      <c r="B98" s="206">
        <v>35537</v>
      </c>
      <c r="C98" s="445">
        <v>2</v>
      </c>
      <c r="D98" s="446" t="s">
        <v>245</v>
      </c>
      <c r="E98" s="447" t="s">
        <v>249</v>
      </c>
      <c r="F98" s="448" t="s">
        <v>308</v>
      </c>
      <c r="G98" s="449">
        <v>41264</v>
      </c>
      <c r="H98" s="449">
        <v>41026</v>
      </c>
      <c r="I98" s="449"/>
      <c r="J98" s="450">
        <v>0</v>
      </c>
      <c r="K98" s="449">
        <v>41052</v>
      </c>
      <c r="L98" s="449"/>
      <c r="M98" s="450">
        <v>0</v>
      </c>
      <c r="N98" s="451" t="s">
        <v>1266</v>
      </c>
      <c r="O98" s="114" t="s">
        <v>370</v>
      </c>
      <c r="P98" s="452" t="s">
        <v>1267</v>
      </c>
      <c r="Q98" s="453"/>
    </row>
    <row r="99" spans="1:17">
      <c r="A99" s="414" t="s">
        <v>1286</v>
      </c>
      <c r="B99" s="206">
        <v>35613</v>
      </c>
      <c r="C99" s="445">
        <v>3</v>
      </c>
      <c r="D99" s="446" t="s">
        <v>245</v>
      </c>
      <c r="E99" s="447" t="s">
        <v>249</v>
      </c>
      <c r="F99" s="448" t="s">
        <v>308</v>
      </c>
      <c r="G99" s="449">
        <v>41284</v>
      </c>
      <c r="H99" s="449">
        <v>41026</v>
      </c>
      <c r="I99" s="449"/>
      <c r="J99" s="450">
        <v>0</v>
      </c>
      <c r="K99" s="449">
        <v>41052</v>
      </c>
      <c r="L99" s="449"/>
      <c r="M99" s="450">
        <v>0</v>
      </c>
      <c r="N99" s="451" t="s">
        <v>1266</v>
      </c>
      <c r="O99" s="114" t="s">
        <v>370</v>
      </c>
      <c r="P99" s="452" t="s">
        <v>1267</v>
      </c>
      <c r="Q99" s="453"/>
    </row>
    <row r="100" spans="1:17">
      <c r="A100" s="414" t="s">
        <v>1283</v>
      </c>
      <c r="B100" s="206">
        <v>35609</v>
      </c>
      <c r="C100" s="445">
        <v>3</v>
      </c>
      <c r="D100" s="446" t="s">
        <v>245</v>
      </c>
      <c r="E100" s="447" t="s">
        <v>249</v>
      </c>
      <c r="F100" s="448" t="s">
        <v>308</v>
      </c>
      <c r="G100" s="449">
        <v>41284</v>
      </c>
      <c r="H100" s="449">
        <v>41026</v>
      </c>
      <c r="I100" s="449"/>
      <c r="J100" s="450">
        <v>0</v>
      </c>
      <c r="K100" s="449">
        <v>41052</v>
      </c>
      <c r="L100" s="449"/>
      <c r="M100" s="450">
        <v>0</v>
      </c>
      <c r="N100" s="451" t="s">
        <v>1266</v>
      </c>
      <c r="O100" s="114" t="s">
        <v>370</v>
      </c>
      <c r="P100" s="452" t="s">
        <v>1267</v>
      </c>
      <c r="Q100" s="453"/>
    </row>
    <row r="101" spans="1:17">
      <c r="A101" s="414" t="s">
        <v>1287</v>
      </c>
      <c r="B101" s="206">
        <v>35625</v>
      </c>
      <c r="C101" s="445">
        <v>2</v>
      </c>
      <c r="D101" s="446" t="s">
        <v>245</v>
      </c>
      <c r="E101" s="447" t="s">
        <v>249</v>
      </c>
      <c r="F101" s="448" t="s">
        <v>308</v>
      </c>
      <c r="G101" s="449">
        <v>41285</v>
      </c>
      <c r="H101" s="449">
        <v>41026</v>
      </c>
      <c r="I101" s="449"/>
      <c r="J101" s="450">
        <v>0</v>
      </c>
      <c r="K101" s="449">
        <v>41052</v>
      </c>
      <c r="L101" s="449"/>
      <c r="M101" s="450">
        <v>0</v>
      </c>
      <c r="N101" s="451" t="s">
        <v>1266</v>
      </c>
      <c r="O101" s="114" t="s">
        <v>370</v>
      </c>
      <c r="P101" s="452" t="s">
        <v>1267</v>
      </c>
      <c r="Q101" s="453"/>
    </row>
    <row r="102" spans="1:17">
      <c r="A102" s="414" t="s">
        <v>1281</v>
      </c>
      <c r="B102" s="206">
        <v>35549</v>
      </c>
      <c r="C102" s="445">
        <v>2</v>
      </c>
      <c r="D102" s="446" t="s">
        <v>245</v>
      </c>
      <c r="E102" s="447" t="s">
        <v>249</v>
      </c>
      <c r="F102" s="448" t="s">
        <v>308</v>
      </c>
      <c r="G102" s="449">
        <v>41277</v>
      </c>
      <c r="H102" s="449">
        <v>41026</v>
      </c>
      <c r="I102" s="449"/>
      <c r="J102" s="450">
        <v>0</v>
      </c>
      <c r="K102" s="449">
        <v>41052</v>
      </c>
      <c r="L102" s="449"/>
      <c r="M102" s="450">
        <v>0</v>
      </c>
      <c r="N102" s="451" t="s">
        <v>1266</v>
      </c>
      <c r="O102" s="114" t="s">
        <v>370</v>
      </c>
      <c r="P102" s="452" t="s">
        <v>1267</v>
      </c>
      <c r="Q102" s="453"/>
    </row>
    <row r="103" spans="1:17">
      <c r="A103" s="414" t="s">
        <v>1276</v>
      </c>
      <c r="B103" s="206">
        <v>35544</v>
      </c>
      <c r="C103" s="445">
        <v>3</v>
      </c>
      <c r="D103" s="446" t="s">
        <v>245</v>
      </c>
      <c r="E103" s="447" t="s">
        <v>249</v>
      </c>
      <c r="F103" s="448" t="s">
        <v>308</v>
      </c>
      <c r="G103" s="449">
        <v>41276</v>
      </c>
      <c r="H103" s="449">
        <v>41026</v>
      </c>
      <c r="I103" s="449"/>
      <c r="J103" s="450">
        <v>0</v>
      </c>
      <c r="K103" s="449">
        <v>41052</v>
      </c>
      <c r="L103" s="449"/>
      <c r="M103" s="450">
        <v>0</v>
      </c>
      <c r="N103" s="451" t="s">
        <v>1266</v>
      </c>
      <c r="O103" s="114" t="s">
        <v>370</v>
      </c>
      <c r="P103" s="452" t="s">
        <v>1267</v>
      </c>
      <c r="Q103" s="453"/>
    </row>
    <row r="104" spans="1:17">
      <c r="A104" s="414" t="s">
        <v>1282</v>
      </c>
      <c r="B104" s="206">
        <v>35555</v>
      </c>
      <c r="C104" s="445">
        <v>2</v>
      </c>
      <c r="D104" s="446" t="s">
        <v>245</v>
      </c>
      <c r="E104" s="447" t="s">
        <v>249</v>
      </c>
      <c r="F104" s="448" t="s">
        <v>308</v>
      </c>
      <c r="G104" s="449">
        <v>41277</v>
      </c>
      <c r="H104" s="449">
        <v>41026</v>
      </c>
      <c r="I104" s="449"/>
      <c r="J104" s="450">
        <v>0</v>
      </c>
      <c r="K104" s="449">
        <v>41052</v>
      </c>
      <c r="L104" s="449"/>
      <c r="M104" s="450">
        <v>0</v>
      </c>
      <c r="N104" s="451" t="s">
        <v>1266</v>
      </c>
      <c r="O104" s="114" t="s">
        <v>370</v>
      </c>
      <c r="P104" s="452" t="s">
        <v>1267</v>
      </c>
      <c r="Q104" s="453"/>
    </row>
    <row r="105" spans="1:17">
      <c r="A105" s="414" t="s">
        <v>1279</v>
      </c>
      <c r="B105" s="206">
        <v>35548</v>
      </c>
      <c r="C105" s="445">
        <v>3</v>
      </c>
      <c r="D105" s="446" t="s">
        <v>245</v>
      </c>
      <c r="E105" s="447" t="s">
        <v>249</v>
      </c>
      <c r="F105" s="448" t="s">
        <v>308</v>
      </c>
      <c r="G105" s="449">
        <v>41277</v>
      </c>
      <c r="H105" s="449">
        <v>41026</v>
      </c>
      <c r="I105" s="449"/>
      <c r="J105" s="450">
        <v>0</v>
      </c>
      <c r="K105" s="449">
        <v>41052</v>
      </c>
      <c r="L105" s="449"/>
      <c r="M105" s="450">
        <v>0</v>
      </c>
      <c r="N105" s="451" t="s">
        <v>1280</v>
      </c>
      <c r="O105" s="114" t="s">
        <v>370</v>
      </c>
      <c r="P105" s="452" t="s">
        <v>960</v>
      </c>
      <c r="Q105" s="453"/>
    </row>
    <row r="106" spans="1:17">
      <c r="A106" s="414" t="s">
        <v>1269</v>
      </c>
      <c r="B106" s="206">
        <v>35527</v>
      </c>
      <c r="C106" s="445">
        <v>1</v>
      </c>
      <c r="D106" s="446" t="s">
        <v>245</v>
      </c>
      <c r="E106" s="447" t="s">
        <v>249</v>
      </c>
      <c r="F106" s="448" t="s">
        <v>308</v>
      </c>
      <c r="G106" s="449">
        <v>41262</v>
      </c>
      <c r="H106" s="449">
        <v>41026</v>
      </c>
      <c r="I106" s="449"/>
      <c r="J106" s="450">
        <v>0</v>
      </c>
      <c r="K106" s="449">
        <v>41052</v>
      </c>
      <c r="L106" s="449"/>
      <c r="M106" s="450">
        <v>0</v>
      </c>
      <c r="N106" s="451" t="s">
        <v>1266</v>
      </c>
      <c r="O106" s="114" t="s">
        <v>370</v>
      </c>
      <c r="P106" s="452" t="s">
        <v>1267</v>
      </c>
      <c r="Q106" s="453"/>
    </row>
    <row r="107" spans="1:17">
      <c r="A107" s="414" t="s">
        <v>1278</v>
      </c>
      <c r="B107" s="206">
        <v>35547</v>
      </c>
      <c r="C107" s="445">
        <v>3</v>
      </c>
      <c r="D107" s="446" t="s">
        <v>245</v>
      </c>
      <c r="E107" s="447" t="s">
        <v>249</v>
      </c>
      <c r="F107" s="448" t="s">
        <v>308</v>
      </c>
      <c r="G107" s="449">
        <v>41277</v>
      </c>
      <c r="H107" s="449">
        <v>41026</v>
      </c>
      <c r="I107" s="449"/>
      <c r="J107" s="450">
        <v>0</v>
      </c>
      <c r="K107" s="449">
        <v>41052</v>
      </c>
      <c r="L107" s="449"/>
      <c r="M107" s="450">
        <v>0</v>
      </c>
      <c r="N107" s="451" t="s">
        <v>1274</v>
      </c>
      <c r="O107" s="114" t="s">
        <v>370</v>
      </c>
      <c r="P107" s="452" t="s">
        <v>1275</v>
      </c>
      <c r="Q107" s="453"/>
    </row>
    <row r="108" spans="1:17">
      <c r="A108" s="414" t="s">
        <v>1277</v>
      </c>
      <c r="B108" s="206">
        <v>35546</v>
      </c>
      <c r="C108" s="445">
        <v>3</v>
      </c>
      <c r="D108" s="446" t="s">
        <v>245</v>
      </c>
      <c r="E108" s="447" t="s">
        <v>249</v>
      </c>
      <c r="F108" s="448" t="s">
        <v>308</v>
      </c>
      <c r="G108" s="449">
        <v>41277</v>
      </c>
      <c r="H108" s="449">
        <v>41026</v>
      </c>
      <c r="I108" s="449"/>
      <c r="J108" s="450">
        <v>0</v>
      </c>
      <c r="K108" s="449">
        <v>41052</v>
      </c>
      <c r="L108" s="449"/>
      <c r="M108" s="450">
        <v>0</v>
      </c>
      <c r="N108" s="451" t="s">
        <v>1274</v>
      </c>
      <c r="O108" s="114" t="s">
        <v>370</v>
      </c>
      <c r="P108" s="452" t="s">
        <v>1275</v>
      </c>
      <c r="Q108" s="453"/>
    </row>
    <row r="109" spans="1:17">
      <c r="A109" s="414" t="s">
        <v>1273</v>
      </c>
      <c r="B109" s="206">
        <v>35542</v>
      </c>
      <c r="C109" s="445">
        <v>3</v>
      </c>
      <c r="D109" s="446" t="s">
        <v>245</v>
      </c>
      <c r="E109" s="447" t="s">
        <v>249</v>
      </c>
      <c r="F109" s="448" t="s">
        <v>308</v>
      </c>
      <c r="G109" s="449">
        <v>41276</v>
      </c>
      <c r="H109" s="449">
        <v>41026</v>
      </c>
      <c r="I109" s="449"/>
      <c r="J109" s="450">
        <v>0</v>
      </c>
      <c r="K109" s="449">
        <v>41052</v>
      </c>
      <c r="L109" s="449"/>
      <c r="M109" s="450">
        <v>0</v>
      </c>
      <c r="N109" s="451" t="s">
        <v>1274</v>
      </c>
      <c r="O109" s="114" t="s">
        <v>370</v>
      </c>
      <c r="P109" s="452" t="s">
        <v>1275</v>
      </c>
      <c r="Q109" s="453"/>
    </row>
    <row r="110" spans="1:17">
      <c r="A110" s="414" t="s">
        <v>1270</v>
      </c>
      <c r="B110" s="206">
        <v>35536</v>
      </c>
      <c r="C110" s="445">
        <v>2</v>
      </c>
      <c r="D110" s="446" t="s">
        <v>245</v>
      </c>
      <c r="E110" s="447" t="s">
        <v>249</v>
      </c>
      <c r="F110" s="448" t="s">
        <v>308</v>
      </c>
      <c r="G110" s="449">
        <v>41263</v>
      </c>
      <c r="H110" s="449">
        <v>41026</v>
      </c>
      <c r="I110" s="449"/>
      <c r="J110" s="450">
        <v>0</v>
      </c>
      <c r="K110" s="449">
        <v>41052</v>
      </c>
      <c r="L110" s="449"/>
      <c r="M110" s="450">
        <v>0</v>
      </c>
      <c r="N110" s="451" t="s">
        <v>1271</v>
      </c>
      <c r="O110" s="114" t="s">
        <v>370</v>
      </c>
      <c r="P110" s="452" t="s">
        <v>1208</v>
      </c>
      <c r="Q110" s="453"/>
    </row>
    <row r="111" spans="1:17">
      <c r="A111" s="414" t="s">
        <v>971</v>
      </c>
      <c r="B111" s="206">
        <v>33314</v>
      </c>
      <c r="C111" s="111">
        <v>2</v>
      </c>
      <c r="D111" s="413" t="s">
        <v>245</v>
      </c>
      <c r="E111" s="411" t="s">
        <v>249</v>
      </c>
      <c r="F111" s="110" t="s">
        <v>308</v>
      </c>
      <c r="G111" s="112">
        <v>40955</v>
      </c>
      <c r="H111" s="112">
        <v>40970</v>
      </c>
      <c r="I111" s="112"/>
      <c r="J111" s="113">
        <v>249</v>
      </c>
      <c r="K111" s="112">
        <v>40984</v>
      </c>
      <c r="L111" s="112"/>
      <c r="M111" s="113">
        <v>239</v>
      </c>
      <c r="N111" s="401" t="s">
        <v>969</v>
      </c>
      <c r="O111" s="114" t="s">
        <v>370</v>
      </c>
      <c r="P111" s="412" t="s">
        <v>960</v>
      </c>
      <c r="Q111" s="249"/>
    </row>
    <row r="112" spans="1:17">
      <c r="A112" s="414" t="s">
        <v>1297</v>
      </c>
      <c r="B112" s="206">
        <v>35786</v>
      </c>
      <c r="C112" s="445">
        <v>3</v>
      </c>
      <c r="D112" s="446" t="s">
        <v>245</v>
      </c>
      <c r="E112" s="447" t="s">
        <v>249</v>
      </c>
      <c r="F112" s="448" t="s">
        <v>308</v>
      </c>
      <c r="G112" s="449">
        <v>41309</v>
      </c>
      <c r="H112" s="449">
        <v>41026</v>
      </c>
      <c r="I112" s="449"/>
      <c r="J112" s="450">
        <v>0</v>
      </c>
      <c r="K112" s="449">
        <v>41052</v>
      </c>
      <c r="L112" s="449"/>
      <c r="M112" s="450">
        <v>0</v>
      </c>
      <c r="N112" s="451" t="s">
        <v>1271</v>
      </c>
      <c r="O112" s="114" t="s">
        <v>370</v>
      </c>
      <c r="P112" s="452" t="s">
        <v>1294</v>
      </c>
      <c r="Q112" s="453"/>
    </row>
    <row r="113" spans="1:17">
      <c r="A113" s="414" t="s">
        <v>1293</v>
      </c>
      <c r="B113" s="206">
        <v>35728</v>
      </c>
      <c r="C113" s="445">
        <v>3</v>
      </c>
      <c r="D113" s="446" t="s">
        <v>245</v>
      </c>
      <c r="E113" s="447" t="s">
        <v>249</v>
      </c>
      <c r="F113" s="448" t="s">
        <v>308</v>
      </c>
      <c r="G113" s="449">
        <v>41299</v>
      </c>
      <c r="H113" s="449">
        <v>41026</v>
      </c>
      <c r="I113" s="449"/>
      <c r="J113" s="450">
        <v>0</v>
      </c>
      <c r="K113" s="449">
        <v>41052</v>
      </c>
      <c r="L113" s="449"/>
      <c r="M113" s="450">
        <v>0</v>
      </c>
      <c r="N113" s="451" t="s">
        <v>1271</v>
      </c>
      <c r="O113" s="114" t="s">
        <v>370</v>
      </c>
      <c r="P113" s="452" t="s">
        <v>1294</v>
      </c>
      <c r="Q113" s="453"/>
    </row>
    <row r="114" spans="1:17">
      <c r="A114" s="414" t="s">
        <v>1288</v>
      </c>
      <c r="B114" s="206">
        <v>35627</v>
      </c>
      <c r="C114" s="445">
        <v>3</v>
      </c>
      <c r="D114" s="446" t="s">
        <v>245</v>
      </c>
      <c r="E114" s="447" t="s">
        <v>249</v>
      </c>
      <c r="F114" s="448" t="s">
        <v>308</v>
      </c>
      <c r="G114" s="449">
        <v>41285</v>
      </c>
      <c r="H114" s="449">
        <v>41026</v>
      </c>
      <c r="I114" s="449"/>
      <c r="J114" s="450">
        <v>0</v>
      </c>
      <c r="K114" s="449">
        <v>41052</v>
      </c>
      <c r="L114" s="449"/>
      <c r="M114" s="450">
        <v>0</v>
      </c>
      <c r="N114" s="451" t="s">
        <v>1289</v>
      </c>
      <c r="O114" s="114" t="s">
        <v>370</v>
      </c>
      <c r="P114" s="452" t="s">
        <v>1275</v>
      </c>
      <c r="Q114" s="453"/>
    </row>
    <row r="115" spans="1:17">
      <c r="A115" s="414" t="s">
        <v>1296</v>
      </c>
      <c r="B115" s="206">
        <v>1</v>
      </c>
      <c r="C115" s="445">
        <v>2</v>
      </c>
      <c r="D115" s="446" t="s">
        <v>245</v>
      </c>
      <c r="E115" s="447" t="s">
        <v>249</v>
      </c>
      <c r="F115" s="448" t="s">
        <v>308</v>
      </c>
      <c r="G115" s="449">
        <v>41305</v>
      </c>
      <c r="H115" s="449">
        <v>41026</v>
      </c>
      <c r="I115" s="449"/>
      <c r="J115" s="450">
        <v>0</v>
      </c>
      <c r="K115" s="449">
        <v>41052</v>
      </c>
      <c r="L115" s="449"/>
      <c r="M115" s="450">
        <v>0</v>
      </c>
      <c r="N115" s="451" t="s">
        <v>1271</v>
      </c>
      <c r="O115" s="114" t="s">
        <v>370</v>
      </c>
      <c r="P115" s="452" t="s">
        <v>1267</v>
      </c>
      <c r="Q115" s="453"/>
    </row>
    <row r="116" spans="1:17">
      <c r="A116" s="414" t="s">
        <v>1292</v>
      </c>
      <c r="B116" s="206">
        <v>35726</v>
      </c>
      <c r="C116" s="445">
        <v>3</v>
      </c>
      <c r="D116" s="446" t="s">
        <v>245</v>
      </c>
      <c r="E116" s="447" t="s">
        <v>249</v>
      </c>
      <c r="F116" s="448" t="s">
        <v>308</v>
      </c>
      <c r="G116" s="449">
        <v>41299</v>
      </c>
      <c r="H116" s="449">
        <v>41026</v>
      </c>
      <c r="I116" s="449"/>
      <c r="J116" s="450">
        <v>0</v>
      </c>
      <c r="K116" s="449">
        <v>41052</v>
      </c>
      <c r="L116" s="449"/>
      <c r="M116" s="450">
        <v>0</v>
      </c>
      <c r="N116" s="451" t="s">
        <v>1291</v>
      </c>
      <c r="O116" s="114" t="s">
        <v>370</v>
      </c>
      <c r="P116" s="452" t="s">
        <v>960</v>
      </c>
      <c r="Q116" s="453"/>
    </row>
    <row r="117" spans="1:17">
      <c r="A117" s="414" t="s">
        <v>1290</v>
      </c>
      <c r="B117" s="206">
        <v>35725</v>
      </c>
      <c r="C117" s="445">
        <v>2</v>
      </c>
      <c r="D117" s="446" t="s">
        <v>245</v>
      </c>
      <c r="E117" s="447" t="s">
        <v>249</v>
      </c>
      <c r="F117" s="448" t="s">
        <v>308</v>
      </c>
      <c r="G117" s="449">
        <v>41299</v>
      </c>
      <c r="H117" s="449">
        <v>41026</v>
      </c>
      <c r="I117" s="449"/>
      <c r="J117" s="450">
        <v>0</v>
      </c>
      <c r="K117" s="449">
        <v>41052</v>
      </c>
      <c r="L117" s="449"/>
      <c r="M117" s="450">
        <v>0</v>
      </c>
      <c r="N117" s="451" t="s">
        <v>1291</v>
      </c>
      <c r="O117" s="114" t="s">
        <v>370</v>
      </c>
      <c r="P117" s="452" t="s">
        <v>960</v>
      </c>
      <c r="Q117" s="453"/>
    </row>
    <row r="118" spans="1:17">
      <c r="A118" s="414" t="s">
        <v>1298</v>
      </c>
      <c r="B118" s="206">
        <v>35798</v>
      </c>
      <c r="C118" s="445">
        <v>3</v>
      </c>
      <c r="D118" s="446" t="s">
        <v>245</v>
      </c>
      <c r="E118" s="447" t="s">
        <v>249</v>
      </c>
      <c r="F118" s="448" t="s">
        <v>308</v>
      </c>
      <c r="G118" s="449">
        <v>41310</v>
      </c>
      <c r="H118" s="449">
        <v>41026</v>
      </c>
      <c r="I118" s="449"/>
      <c r="J118" s="450">
        <v>0</v>
      </c>
      <c r="K118" s="449">
        <v>41052</v>
      </c>
      <c r="L118" s="449"/>
      <c r="M118" s="450">
        <v>0</v>
      </c>
      <c r="N118" s="451" t="s">
        <v>1299</v>
      </c>
      <c r="O118" s="114" t="s">
        <v>370</v>
      </c>
      <c r="P118" s="452" t="s">
        <v>1199</v>
      </c>
      <c r="Q118" s="453"/>
    </row>
    <row r="119" spans="1:17">
      <c r="A119" s="414" t="s">
        <v>1302</v>
      </c>
      <c r="B119" s="206">
        <v>35803</v>
      </c>
      <c r="C119" s="445">
        <v>3</v>
      </c>
      <c r="D119" s="446" t="s">
        <v>245</v>
      </c>
      <c r="E119" s="447" t="s">
        <v>249</v>
      </c>
      <c r="F119" s="448" t="s">
        <v>308</v>
      </c>
      <c r="G119" s="449">
        <v>41310</v>
      </c>
      <c r="H119" s="449">
        <v>41026</v>
      </c>
      <c r="I119" s="449"/>
      <c r="J119" s="450">
        <v>0</v>
      </c>
      <c r="K119" s="449">
        <v>41052</v>
      </c>
      <c r="L119" s="449"/>
      <c r="M119" s="450">
        <v>0</v>
      </c>
      <c r="N119" s="451" t="s">
        <v>1291</v>
      </c>
      <c r="O119" s="114" t="s">
        <v>370</v>
      </c>
      <c r="P119" s="452" t="s">
        <v>1294</v>
      </c>
      <c r="Q119" s="453"/>
    </row>
    <row r="120" spans="1:17">
      <c r="A120" s="414" t="s">
        <v>1300</v>
      </c>
      <c r="B120" s="206">
        <v>35802</v>
      </c>
      <c r="C120" s="445">
        <v>3</v>
      </c>
      <c r="D120" s="446" t="s">
        <v>245</v>
      </c>
      <c r="E120" s="447" t="s">
        <v>249</v>
      </c>
      <c r="F120" s="448" t="s">
        <v>308</v>
      </c>
      <c r="G120" s="449">
        <v>41310</v>
      </c>
      <c r="H120" s="449">
        <v>41026</v>
      </c>
      <c r="I120" s="449"/>
      <c r="J120" s="450">
        <v>0</v>
      </c>
      <c r="K120" s="449">
        <v>41052</v>
      </c>
      <c r="L120" s="449"/>
      <c r="M120" s="450">
        <v>0</v>
      </c>
      <c r="N120" s="451" t="s">
        <v>1301</v>
      </c>
      <c r="O120" s="114" t="s">
        <v>370</v>
      </c>
      <c r="P120" s="452" t="s">
        <v>710</v>
      </c>
      <c r="Q120" s="453"/>
    </row>
    <row r="121" spans="1:17">
      <c r="A121" s="414" t="s">
        <v>974</v>
      </c>
      <c r="B121" s="206">
        <v>33320</v>
      </c>
      <c r="C121" s="111">
        <v>2</v>
      </c>
      <c r="D121" s="413" t="s">
        <v>245</v>
      </c>
      <c r="E121" s="411" t="s">
        <v>249</v>
      </c>
      <c r="F121" s="110" t="s">
        <v>308</v>
      </c>
      <c r="G121" s="112">
        <v>40955</v>
      </c>
      <c r="H121" s="112">
        <v>40970</v>
      </c>
      <c r="I121" s="112"/>
      <c r="J121" s="113">
        <v>249</v>
      </c>
      <c r="K121" s="112">
        <v>40984</v>
      </c>
      <c r="L121" s="112"/>
      <c r="M121" s="113">
        <v>239</v>
      </c>
      <c r="N121" s="401" t="s">
        <v>969</v>
      </c>
      <c r="O121" s="114" t="s">
        <v>370</v>
      </c>
      <c r="P121" s="412" t="s">
        <v>960</v>
      </c>
      <c r="Q121" s="249"/>
    </row>
    <row r="122" spans="1:17">
      <c r="A122" s="414" t="s">
        <v>1308</v>
      </c>
      <c r="B122" s="206">
        <v>35838</v>
      </c>
      <c r="C122" s="445">
        <v>2</v>
      </c>
      <c r="D122" s="446" t="s">
        <v>245</v>
      </c>
      <c r="E122" s="447" t="s">
        <v>249</v>
      </c>
      <c r="F122" s="448" t="s">
        <v>308</v>
      </c>
      <c r="G122" s="449">
        <v>41319</v>
      </c>
      <c r="H122" s="449">
        <v>41026</v>
      </c>
      <c r="I122" s="449"/>
      <c r="J122" s="450">
        <v>0</v>
      </c>
      <c r="K122" s="449">
        <v>41052</v>
      </c>
      <c r="L122" s="449"/>
      <c r="M122" s="450">
        <v>0</v>
      </c>
      <c r="N122" s="451" t="s">
        <v>1306</v>
      </c>
      <c r="O122" s="114" t="s">
        <v>370</v>
      </c>
      <c r="P122" s="452" t="s">
        <v>1091</v>
      </c>
      <c r="Q122" s="453"/>
    </row>
    <row r="123" spans="1:17">
      <c r="A123" s="414" t="s">
        <v>1303</v>
      </c>
      <c r="B123" s="206">
        <v>35819</v>
      </c>
      <c r="C123" s="445">
        <v>2</v>
      </c>
      <c r="D123" s="446" t="s">
        <v>245</v>
      </c>
      <c r="E123" s="447" t="s">
        <v>249</v>
      </c>
      <c r="F123" s="448" t="s">
        <v>308</v>
      </c>
      <c r="G123" s="449">
        <v>41312</v>
      </c>
      <c r="H123" s="449">
        <v>41026</v>
      </c>
      <c r="I123" s="449"/>
      <c r="J123" s="450">
        <v>0</v>
      </c>
      <c r="K123" s="449">
        <v>41052</v>
      </c>
      <c r="L123" s="449"/>
      <c r="M123" s="450">
        <v>0</v>
      </c>
      <c r="N123" s="451" t="s">
        <v>1304</v>
      </c>
      <c r="O123" s="114" t="s">
        <v>370</v>
      </c>
      <c r="P123" s="452" t="s">
        <v>1305</v>
      </c>
      <c r="Q123" s="453"/>
    </row>
    <row r="124" spans="1:17">
      <c r="A124" s="414" t="s">
        <v>1307</v>
      </c>
      <c r="B124" s="206">
        <v>35827</v>
      </c>
      <c r="C124" s="445">
        <v>2</v>
      </c>
      <c r="D124" s="446" t="s">
        <v>245</v>
      </c>
      <c r="E124" s="447" t="s">
        <v>249</v>
      </c>
      <c r="F124" s="448" t="s">
        <v>308</v>
      </c>
      <c r="G124" s="449">
        <v>41316</v>
      </c>
      <c r="H124" s="449">
        <v>41026</v>
      </c>
      <c r="I124" s="449"/>
      <c r="J124" s="450">
        <v>0</v>
      </c>
      <c r="K124" s="449">
        <v>41052</v>
      </c>
      <c r="L124" s="449"/>
      <c r="M124" s="450">
        <v>0</v>
      </c>
      <c r="N124" s="451" t="s">
        <v>1301</v>
      </c>
      <c r="O124" s="114" t="s">
        <v>370</v>
      </c>
      <c r="P124" s="452" t="s">
        <v>1305</v>
      </c>
      <c r="Q124" s="453"/>
    </row>
    <row r="125" spans="1:17">
      <c r="A125" s="414" t="s">
        <v>973</v>
      </c>
      <c r="B125" s="206">
        <v>33319</v>
      </c>
      <c r="C125" s="111">
        <v>2</v>
      </c>
      <c r="D125" s="413" t="s">
        <v>245</v>
      </c>
      <c r="E125" s="411" t="s">
        <v>249</v>
      </c>
      <c r="F125" s="110" t="s">
        <v>308</v>
      </c>
      <c r="G125" s="112">
        <v>40955</v>
      </c>
      <c r="H125" s="112">
        <v>40970</v>
      </c>
      <c r="I125" s="112"/>
      <c r="J125" s="113">
        <v>249</v>
      </c>
      <c r="K125" s="112">
        <v>40984</v>
      </c>
      <c r="L125" s="112"/>
      <c r="M125" s="113">
        <v>239</v>
      </c>
      <c r="N125" s="401" t="s">
        <v>969</v>
      </c>
      <c r="O125" s="114" t="s">
        <v>370</v>
      </c>
      <c r="P125" s="412" t="s">
        <v>960</v>
      </c>
      <c r="Q125" s="249"/>
    </row>
    <row r="126" spans="1:17">
      <c r="A126" s="414" t="s">
        <v>1309</v>
      </c>
      <c r="B126" s="206">
        <v>35856</v>
      </c>
      <c r="C126" s="445">
        <v>2</v>
      </c>
      <c r="D126" s="446" t="s">
        <v>245</v>
      </c>
      <c r="E126" s="447" t="s">
        <v>249</v>
      </c>
      <c r="F126" s="448" t="s">
        <v>308</v>
      </c>
      <c r="G126" s="449">
        <v>41323</v>
      </c>
      <c r="H126" s="449">
        <v>41026</v>
      </c>
      <c r="I126" s="449"/>
      <c r="J126" s="450">
        <v>0</v>
      </c>
      <c r="K126" s="449">
        <v>41052</v>
      </c>
      <c r="L126" s="449"/>
      <c r="M126" s="450">
        <v>0</v>
      </c>
      <c r="N126" s="451" t="s">
        <v>1304</v>
      </c>
      <c r="O126" s="114" t="s">
        <v>370</v>
      </c>
      <c r="P126" s="452" t="s">
        <v>1305</v>
      </c>
      <c r="Q126" s="453"/>
    </row>
    <row r="127" spans="1:17">
      <c r="A127" s="414" t="s">
        <v>1311</v>
      </c>
      <c r="B127" s="206">
        <v>35860</v>
      </c>
      <c r="C127" s="445">
        <v>3</v>
      </c>
      <c r="D127" s="446" t="s">
        <v>245</v>
      </c>
      <c r="E127" s="447" t="s">
        <v>249</v>
      </c>
      <c r="F127" s="448" t="s">
        <v>308</v>
      </c>
      <c r="G127" s="449">
        <v>41323</v>
      </c>
      <c r="H127" s="449">
        <v>41026</v>
      </c>
      <c r="I127" s="449"/>
      <c r="J127" s="450">
        <v>0</v>
      </c>
      <c r="K127" s="449">
        <v>41052</v>
      </c>
      <c r="L127" s="449"/>
      <c r="M127" s="450">
        <v>0</v>
      </c>
      <c r="N127" s="451" t="s">
        <v>1299</v>
      </c>
      <c r="O127" s="114" t="s">
        <v>370</v>
      </c>
      <c r="P127" s="452" t="s">
        <v>1294</v>
      </c>
      <c r="Q127" s="453"/>
    </row>
    <row r="128" spans="1:17">
      <c r="A128" s="414" t="s">
        <v>1312</v>
      </c>
      <c r="B128" s="206">
        <v>35961</v>
      </c>
      <c r="C128" s="445">
        <v>2</v>
      </c>
      <c r="D128" s="446" t="s">
        <v>245</v>
      </c>
      <c r="E128" s="447" t="s">
        <v>249</v>
      </c>
      <c r="F128" s="448" t="s">
        <v>308</v>
      </c>
      <c r="G128" s="449">
        <v>41338</v>
      </c>
      <c r="H128" s="449">
        <v>41026</v>
      </c>
      <c r="I128" s="449"/>
      <c r="J128" s="450">
        <v>0</v>
      </c>
      <c r="K128" s="449">
        <v>41052</v>
      </c>
      <c r="L128" s="449"/>
      <c r="M128" s="450">
        <v>0</v>
      </c>
      <c r="N128" s="451" t="s">
        <v>1304</v>
      </c>
      <c r="O128" s="114" t="s">
        <v>370</v>
      </c>
      <c r="P128" s="452" t="s">
        <v>373</v>
      </c>
      <c r="Q128" s="453"/>
    </row>
    <row r="129" spans="1:17">
      <c r="A129" s="414" t="s">
        <v>1320</v>
      </c>
      <c r="B129" s="206">
        <v>35974</v>
      </c>
      <c r="C129" s="445">
        <v>3</v>
      </c>
      <c r="D129" s="446" t="s">
        <v>245</v>
      </c>
      <c r="E129" s="447" t="s">
        <v>249</v>
      </c>
      <c r="F129" s="448" t="s">
        <v>308</v>
      </c>
      <c r="G129" s="449">
        <v>41339</v>
      </c>
      <c r="H129" s="449">
        <v>41026</v>
      </c>
      <c r="I129" s="449"/>
      <c r="J129" s="450">
        <v>0</v>
      </c>
      <c r="K129" s="449">
        <v>41052</v>
      </c>
      <c r="L129" s="449"/>
      <c r="M129" s="450">
        <v>0</v>
      </c>
      <c r="N129" s="451" t="s">
        <v>1314</v>
      </c>
      <c r="O129" s="114" t="s">
        <v>370</v>
      </c>
      <c r="P129" s="452" t="s">
        <v>1267</v>
      </c>
      <c r="Q129" s="453"/>
    </row>
    <row r="130" spans="1:17">
      <c r="A130" s="414" t="s">
        <v>1313</v>
      </c>
      <c r="B130" s="206">
        <v>35968</v>
      </c>
      <c r="C130" s="445">
        <v>2</v>
      </c>
      <c r="D130" s="446" t="s">
        <v>245</v>
      </c>
      <c r="E130" s="447" t="s">
        <v>249</v>
      </c>
      <c r="F130" s="448" t="s">
        <v>308</v>
      </c>
      <c r="G130" s="449">
        <v>41338</v>
      </c>
      <c r="H130" s="449">
        <v>41026</v>
      </c>
      <c r="I130" s="449"/>
      <c r="J130" s="450">
        <v>0</v>
      </c>
      <c r="K130" s="449">
        <v>41052</v>
      </c>
      <c r="L130" s="449"/>
      <c r="M130" s="450">
        <v>0</v>
      </c>
      <c r="N130" s="451" t="s">
        <v>1314</v>
      </c>
      <c r="O130" s="114" t="s">
        <v>370</v>
      </c>
      <c r="P130" s="452" t="s">
        <v>964</v>
      </c>
      <c r="Q130" s="453"/>
    </row>
    <row r="131" spans="1:17">
      <c r="A131" s="414" t="s">
        <v>1315</v>
      </c>
      <c r="B131" s="206">
        <v>35970</v>
      </c>
      <c r="C131" s="445">
        <v>2</v>
      </c>
      <c r="D131" s="446" t="s">
        <v>245</v>
      </c>
      <c r="E131" s="447" t="s">
        <v>249</v>
      </c>
      <c r="F131" s="448" t="s">
        <v>308</v>
      </c>
      <c r="G131" s="449">
        <v>41339</v>
      </c>
      <c r="H131" s="449">
        <v>41026</v>
      </c>
      <c r="I131" s="449"/>
      <c r="J131" s="450">
        <v>0</v>
      </c>
      <c r="K131" s="449">
        <v>41052</v>
      </c>
      <c r="L131" s="449"/>
      <c r="M131" s="450">
        <v>0</v>
      </c>
      <c r="N131" s="451" t="s">
        <v>1314</v>
      </c>
      <c r="O131" s="114" t="s">
        <v>370</v>
      </c>
      <c r="P131" s="452" t="s">
        <v>1305</v>
      </c>
      <c r="Q131" s="453"/>
    </row>
    <row r="132" spans="1:17">
      <c r="A132" s="414" t="s">
        <v>1318</v>
      </c>
      <c r="B132" s="206">
        <v>35973</v>
      </c>
      <c r="C132" s="445">
        <v>3</v>
      </c>
      <c r="D132" s="446" t="s">
        <v>245</v>
      </c>
      <c r="E132" s="447" t="s">
        <v>249</v>
      </c>
      <c r="F132" s="448" t="s">
        <v>308</v>
      </c>
      <c r="G132" s="449">
        <v>41339</v>
      </c>
      <c r="H132" s="449">
        <v>41026</v>
      </c>
      <c r="I132" s="449"/>
      <c r="J132" s="450">
        <v>0</v>
      </c>
      <c r="K132" s="449">
        <v>41052</v>
      </c>
      <c r="L132" s="449"/>
      <c r="M132" s="450">
        <v>0</v>
      </c>
      <c r="N132" s="451" t="s">
        <v>1314</v>
      </c>
      <c r="O132" s="114" t="s">
        <v>370</v>
      </c>
      <c r="P132" s="452" t="s">
        <v>1319</v>
      </c>
      <c r="Q132" s="453"/>
    </row>
    <row r="133" spans="1:17">
      <c r="A133" s="414" t="s">
        <v>968</v>
      </c>
      <c r="B133" s="206">
        <v>33309</v>
      </c>
      <c r="C133" s="111">
        <v>2</v>
      </c>
      <c r="D133" s="413" t="s">
        <v>245</v>
      </c>
      <c r="E133" s="411" t="s">
        <v>249</v>
      </c>
      <c r="F133" s="110" t="s">
        <v>308</v>
      </c>
      <c r="G133" s="112">
        <v>40955</v>
      </c>
      <c r="H133" s="112">
        <v>40970</v>
      </c>
      <c r="I133" s="112"/>
      <c r="J133" s="113">
        <v>249</v>
      </c>
      <c r="K133" s="112">
        <v>40984</v>
      </c>
      <c r="L133" s="112"/>
      <c r="M133" s="113">
        <v>239</v>
      </c>
      <c r="N133" s="401" t="s">
        <v>969</v>
      </c>
      <c r="O133" s="114" t="s">
        <v>370</v>
      </c>
      <c r="P133" s="412" t="s">
        <v>960</v>
      </c>
      <c r="Q133" s="249"/>
    </row>
    <row r="134" spans="1:17">
      <c r="A134" s="414" t="s">
        <v>1316</v>
      </c>
      <c r="B134" s="206">
        <v>35971</v>
      </c>
      <c r="C134" s="445">
        <v>3</v>
      </c>
      <c r="D134" s="446" t="s">
        <v>245</v>
      </c>
      <c r="E134" s="447" t="s">
        <v>249</v>
      </c>
      <c r="F134" s="448" t="s">
        <v>308</v>
      </c>
      <c r="G134" s="449">
        <v>41339</v>
      </c>
      <c r="H134" s="449">
        <v>41026</v>
      </c>
      <c r="I134" s="449"/>
      <c r="J134" s="450">
        <v>0</v>
      </c>
      <c r="K134" s="449">
        <v>41052</v>
      </c>
      <c r="L134" s="449"/>
      <c r="M134" s="450">
        <v>0</v>
      </c>
      <c r="N134" s="451" t="s">
        <v>1317</v>
      </c>
      <c r="O134" s="114" t="s">
        <v>370</v>
      </c>
      <c r="P134" s="452" t="s">
        <v>967</v>
      </c>
      <c r="Q134" s="453"/>
    </row>
    <row r="135" spans="1:17">
      <c r="A135" s="414" t="s">
        <v>972</v>
      </c>
      <c r="B135" s="206">
        <v>33318</v>
      </c>
      <c r="C135" s="111">
        <v>2</v>
      </c>
      <c r="D135" s="413" t="s">
        <v>245</v>
      </c>
      <c r="E135" s="411" t="s">
        <v>249</v>
      </c>
      <c r="F135" s="110" t="s">
        <v>308</v>
      </c>
      <c r="G135" s="112">
        <v>40955</v>
      </c>
      <c r="H135" s="112">
        <v>40970</v>
      </c>
      <c r="I135" s="112"/>
      <c r="J135" s="113">
        <v>249</v>
      </c>
      <c r="K135" s="112">
        <v>40984</v>
      </c>
      <c r="L135" s="112"/>
      <c r="M135" s="113">
        <v>239</v>
      </c>
      <c r="N135" s="401" t="s">
        <v>969</v>
      </c>
      <c r="O135" s="114" t="s">
        <v>370</v>
      </c>
      <c r="P135" s="412" t="s">
        <v>963</v>
      </c>
      <c r="Q135" s="249"/>
    </row>
    <row r="136" spans="1:17">
      <c r="A136" s="414" t="s">
        <v>977</v>
      </c>
      <c r="B136" s="206">
        <v>33337</v>
      </c>
      <c r="C136" s="111">
        <v>3</v>
      </c>
      <c r="D136" s="413" t="s">
        <v>245</v>
      </c>
      <c r="E136" s="411" t="s">
        <v>249</v>
      </c>
      <c r="F136" s="110" t="s">
        <v>308</v>
      </c>
      <c r="G136" s="112">
        <v>40959</v>
      </c>
      <c r="H136" s="112">
        <v>40981</v>
      </c>
      <c r="I136" s="112"/>
      <c r="J136" s="113">
        <v>242</v>
      </c>
      <c r="K136" s="112">
        <v>41002</v>
      </c>
      <c r="L136" s="112"/>
      <c r="M136" s="113">
        <v>227</v>
      </c>
      <c r="N136" s="401" t="s">
        <v>969</v>
      </c>
      <c r="O136" s="114" t="s">
        <v>370</v>
      </c>
      <c r="P136" s="412" t="s">
        <v>976</v>
      </c>
      <c r="Q136" s="249"/>
    </row>
    <row r="137" spans="1:17">
      <c r="A137" s="414" t="s">
        <v>975</v>
      </c>
      <c r="B137" s="206">
        <v>33336</v>
      </c>
      <c r="C137" s="111">
        <v>3</v>
      </c>
      <c r="D137" s="413" t="s">
        <v>245</v>
      </c>
      <c r="E137" s="411" t="s">
        <v>249</v>
      </c>
      <c r="F137" s="110" t="s">
        <v>308</v>
      </c>
      <c r="G137" s="112">
        <v>40959</v>
      </c>
      <c r="H137" s="112">
        <v>40981</v>
      </c>
      <c r="I137" s="112"/>
      <c r="J137" s="113">
        <v>242</v>
      </c>
      <c r="K137" s="112">
        <v>41002</v>
      </c>
      <c r="L137" s="112"/>
      <c r="M137" s="113">
        <v>227</v>
      </c>
      <c r="N137" s="401" t="s">
        <v>969</v>
      </c>
      <c r="O137" s="114" t="s">
        <v>370</v>
      </c>
      <c r="P137" s="412" t="s">
        <v>976</v>
      </c>
      <c r="Q137" s="249"/>
    </row>
    <row r="138" spans="1:17">
      <c r="A138" s="414" t="s">
        <v>1001</v>
      </c>
      <c r="B138" s="206">
        <v>33515</v>
      </c>
      <c r="C138" s="111">
        <v>3</v>
      </c>
      <c r="D138" s="413" t="s">
        <v>245</v>
      </c>
      <c r="E138" s="411" t="s">
        <v>249</v>
      </c>
      <c r="F138" s="110" t="s">
        <v>308</v>
      </c>
      <c r="G138" s="112">
        <v>40975</v>
      </c>
      <c r="H138" s="112">
        <v>40997</v>
      </c>
      <c r="I138" s="112"/>
      <c r="J138" s="113">
        <v>230</v>
      </c>
      <c r="K138" s="112">
        <v>41019</v>
      </c>
      <c r="L138" s="112"/>
      <c r="M138" s="113">
        <v>215</v>
      </c>
      <c r="N138" s="401" t="s">
        <v>1002</v>
      </c>
      <c r="O138" s="114" t="s">
        <v>370</v>
      </c>
      <c r="P138" s="412" t="s">
        <v>961</v>
      </c>
      <c r="Q138" s="249"/>
    </row>
    <row r="139" spans="1:17">
      <c r="A139" s="414" t="s">
        <v>978</v>
      </c>
      <c r="B139" s="206">
        <v>33487</v>
      </c>
      <c r="C139" s="111">
        <v>2</v>
      </c>
      <c r="D139" s="413" t="s">
        <v>245</v>
      </c>
      <c r="E139" s="411" t="s">
        <v>249</v>
      </c>
      <c r="F139" s="110" t="s">
        <v>308</v>
      </c>
      <c r="G139" s="112">
        <v>40973</v>
      </c>
      <c r="H139" s="112">
        <v>40988</v>
      </c>
      <c r="I139" s="112"/>
      <c r="J139" s="113">
        <v>237</v>
      </c>
      <c r="K139" s="112">
        <v>41002</v>
      </c>
      <c r="L139" s="112"/>
      <c r="M139" s="113">
        <v>227</v>
      </c>
      <c r="N139" s="401">
        <v>71.010000000000005</v>
      </c>
      <c r="O139" s="114" t="s">
        <v>370</v>
      </c>
      <c r="P139" s="412" t="s">
        <v>961</v>
      </c>
      <c r="Q139" s="249"/>
    </row>
    <row r="140" spans="1:17">
      <c r="A140" s="414" t="s">
        <v>1018</v>
      </c>
      <c r="B140" s="206">
        <v>33566</v>
      </c>
      <c r="C140" s="111">
        <v>2</v>
      </c>
      <c r="D140" s="413" t="s">
        <v>245</v>
      </c>
      <c r="E140" s="411" t="s">
        <v>249</v>
      </c>
      <c r="F140" s="110" t="s">
        <v>308</v>
      </c>
      <c r="G140" s="112">
        <v>40982</v>
      </c>
      <c r="H140" s="112">
        <v>40997</v>
      </c>
      <c r="I140" s="112"/>
      <c r="J140" s="113">
        <v>230</v>
      </c>
      <c r="K140" s="112">
        <v>41012</v>
      </c>
      <c r="L140" s="112"/>
      <c r="M140" s="113">
        <v>220</v>
      </c>
      <c r="N140" s="401" t="s">
        <v>1017</v>
      </c>
      <c r="O140" s="114" t="s">
        <v>370</v>
      </c>
      <c r="P140" s="412" t="s">
        <v>961</v>
      </c>
      <c r="Q140" s="249"/>
    </row>
    <row r="141" spans="1:17">
      <c r="A141" s="414" t="s">
        <v>1016</v>
      </c>
      <c r="B141" s="206">
        <v>33566</v>
      </c>
      <c r="C141" s="111">
        <v>2</v>
      </c>
      <c r="D141" s="413" t="s">
        <v>245</v>
      </c>
      <c r="E141" s="411" t="s">
        <v>249</v>
      </c>
      <c r="F141" s="110" t="s">
        <v>308</v>
      </c>
      <c r="G141" s="112">
        <v>40981</v>
      </c>
      <c r="H141" s="112">
        <v>40996</v>
      </c>
      <c r="I141" s="112"/>
      <c r="J141" s="113">
        <v>231</v>
      </c>
      <c r="K141" s="112">
        <v>41011</v>
      </c>
      <c r="L141" s="112"/>
      <c r="M141" s="113">
        <v>221</v>
      </c>
      <c r="N141" s="401" t="s">
        <v>1017</v>
      </c>
      <c r="O141" s="114" t="s">
        <v>370</v>
      </c>
      <c r="P141" s="412" t="s">
        <v>961</v>
      </c>
      <c r="Q141" s="249"/>
    </row>
    <row r="142" spans="1:17">
      <c r="A142" s="414" t="s">
        <v>1007</v>
      </c>
      <c r="B142" s="206">
        <v>33556</v>
      </c>
      <c r="C142" s="111">
        <v>3</v>
      </c>
      <c r="D142" s="413" t="s">
        <v>245</v>
      </c>
      <c r="E142" s="411" t="s">
        <v>249</v>
      </c>
      <c r="F142" s="110" t="s">
        <v>308</v>
      </c>
      <c r="G142" s="112">
        <v>40980</v>
      </c>
      <c r="H142" s="112">
        <v>41002</v>
      </c>
      <c r="I142" s="112"/>
      <c r="J142" s="113">
        <v>227</v>
      </c>
      <c r="K142" s="112">
        <v>41024</v>
      </c>
      <c r="L142" s="112"/>
      <c r="M142" s="113">
        <v>212</v>
      </c>
      <c r="N142" s="401" t="s">
        <v>1008</v>
      </c>
      <c r="O142" s="114" t="s">
        <v>370</v>
      </c>
      <c r="P142" s="412" t="s">
        <v>961</v>
      </c>
      <c r="Q142" s="249"/>
    </row>
    <row r="143" spans="1:17">
      <c r="A143" s="414" t="s">
        <v>999</v>
      </c>
      <c r="B143" s="206">
        <v>33499</v>
      </c>
      <c r="C143" s="111">
        <v>3</v>
      </c>
      <c r="D143" s="413" t="s">
        <v>245</v>
      </c>
      <c r="E143" s="411" t="s">
        <v>249</v>
      </c>
      <c r="F143" s="110" t="s">
        <v>308</v>
      </c>
      <c r="G143" s="112">
        <v>40974</v>
      </c>
      <c r="H143" s="112">
        <v>40996</v>
      </c>
      <c r="I143" s="112"/>
      <c r="J143" s="113">
        <v>231</v>
      </c>
      <c r="K143" s="112">
        <v>41018</v>
      </c>
      <c r="L143" s="112"/>
      <c r="M143" s="113">
        <v>216</v>
      </c>
      <c r="N143" s="401" t="s">
        <v>997</v>
      </c>
      <c r="O143" s="114" t="s">
        <v>370</v>
      </c>
      <c r="P143" s="412" t="s">
        <v>961</v>
      </c>
      <c r="Q143" s="249"/>
    </row>
    <row r="144" spans="1:17">
      <c r="A144" s="414" t="s">
        <v>1000</v>
      </c>
      <c r="B144" s="206">
        <v>33500</v>
      </c>
      <c r="C144" s="111">
        <v>2</v>
      </c>
      <c r="D144" s="413" t="s">
        <v>245</v>
      </c>
      <c r="E144" s="411" t="s">
        <v>249</v>
      </c>
      <c r="F144" s="110" t="s">
        <v>308</v>
      </c>
      <c r="G144" s="112">
        <v>40974</v>
      </c>
      <c r="H144" s="112">
        <v>40989</v>
      </c>
      <c r="I144" s="112"/>
      <c r="J144" s="113">
        <v>236</v>
      </c>
      <c r="K144" s="112">
        <v>41003</v>
      </c>
      <c r="L144" s="112"/>
      <c r="M144" s="113">
        <v>226</v>
      </c>
      <c r="N144" s="401" t="s">
        <v>997</v>
      </c>
      <c r="O144" s="114" t="s">
        <v>370</v>
      </c>
      <c r="P144" s="412" t="s">
        <v>910</v>
      </c>
      <c r="Q144" s="249"/>
    </row>
    <row r="145" spans="1:17">
      <c r="A145" s="414" t="s">
        <v>996</v>
      </c>
      <c r="B145" s="206">
        <v>33491</v>
      </c>
      <c r="C145" s="111">
        <v>2</v>
      </c>
      <c r="D145" s="413" t="s">
        <v>245</v>
      </c>
      <c r="E145" s="411" t="s">
        <v>249</v>
      </c>
      <c r="F145" s="110" t="s">
        <v>308</v>
      </c>
      <c r="G145" s="112">
        <v>40974</v>
      </c>
      <c r="H145" s="112">
        <v>40989</v>
      </c>
      <c r="I145" s="112"/>
      <c r="J145" s="113">
        <v>236</v>
      </c>
      <c r="K145" s="112">
        <v>41003</v>
      </c>
      <c r="L145" s="112"/>
      <c r="M145" s="113">
        <v>226</v>
      </c>
      <c r="N145" s="401" t="s">
        <v>997</v>
      </c>
      <c r="O145" s="114" t="s">
        <v>370</v>
      </c>
      <c r="P145" s="412" t="s">
        <v>960</v>
      </c>
      <c r="Q145" s="249"/>
    </row>
    <row r="146" spans="1:17">
      <c r="A146" s="414" t="s">
        <v>979</v>
      </c>
      <c r="B146" s="206">
        <v>33489</v>
      </c>
      <c r="C146" s="111">
        <v>1</v>
      </c>
      <c r="D146" s="413" t="s">
        <v>245</v>
      </c>
      <c r="E146" s="411" t="s">
        <v>249</v>
      </c>
      <c r="F146" s="110" t="s">
        <v>308</v>
      </c>
      <c r="G146" s="112">
        <v>40974</v>
      </c>
      <c r="H146" s="112">
        <v>40982</v>
      </c>
      <c r="I146" s="112"/>
      <c r="J146" s="113">
        <v>241</v>
      </c>
      <c r="K146" s="112">
        <v>40989</v>
      </c>
      <c r="L146" s="112"/>
      <c r="M146" s="113">
        <v>236</v>
      </c>
      <c r="N146" s="401">
        <v>71.03</v>
      </c>
      <c r="O146" s="114" t="s">
        <v>370</v>
      </c>
      <c r="P146" s="412" t="s">
        <v>980</v>
      </c>
      <c r="Q146" s="249"/>
    </row>
    <row r="147" spans="1:17">
      <c r="A147" s="414" t="s">
        <v>995</v>
      </c>
      <c r="B147" s="206">
        <v>33490</v>
      </c>
      <c r="C147" s="111">
        <v>3</v>
      </c>
      <c r="D147" s="413" t="s">
        <v>245</v>
      </c>
      <c r="E147" s="411" t="s">
        <v>249</v>
      </c>
      <c r="F147" s="110" t="s">
        <v>308</v>
      </c>
      <c r="G147" s="112">
        <v>40974</v>
      </c>
      <c r="H147" s="112">
        <v>40996</v>
      </c>
      <c r="I147" s="112"/>
      <c r="J147" s="113">
        <v>231</v>
      </c>
      <c r="K147" s="112">
        <v>41018</v>
      </c>
      <c r="L147" s="112"/>
      <c r="M147" s="113">
        <v>216</v>
      </c>
      <c r="N147" s="401">
        <v>71.03</v>
      </c>
      <c r="O147" s="114" t="s">
        <v>370</v>
      </c>
      <c r="P147" s="412" t="s">
        <v>960</v>
      </c>
      <c r="Q147" s="249"/>
    </row>
    <row r="148" spans="1:17">
      <c r="A148" s="414" t="s">
        <v>998</v>
      </c>
      <c r="B148" s="206">
        <v>33492</v>
      </c>
      <c r="C148" s="111">
        <v>3</v>
      </c>
      <c r="D148" s="413" t="s">
        <v>245</v>
      </c>
      <c r="E148" s="411" t="s">
        <v>249</v>
      </c>
      <c r="F148" s="110" t="s">
        <v>308</v>
      </c>
      <c r="G148" s="112">
        <v>40974</v>
      </c>
      <c r="H148" s="112">
        <v>40996</v>
      </c>
      <c r="I148" s="112"/>
      <c r="J148" s="113">
        <v>231</v>
      </c>
      <c r="K148" s="112">
        <v>41018</v>
      </c>
      <c r="L148" s="112"/>
      <c r="M148" s="113">
        <v>216</v>
      </c>
      <c r="N148" s="401" t="s">
        <v>997</v>
      </c>
      <c r="O148" s="114" t="s">
        <v>370</v>
      </c>
      <c r="P148" s="412" t="s">
        <v>960</v>
      </c>
      <c r="Q148" s="249"/>
    </row>
    <row r="149" spans="1:17">
      <c r="A149" s="414" t="s">
        <v>1012</v>
      </c>
      <c r="B149" s="206">
        <v>33559</v>
      </c>
      <c r="C149" s="111">
        <v>2</v>
      </c>
      <c r="D149" s="413" t="s">
        <v>245</v>
      </c>
      <c r="E149" s="411" t="s">
        <v>249</v>
      </c>
      <c r="F149" s="110" t="s">
        <v>308</v>
      </c>
      <c r="G149" s="112">
        <v>40981</v>
      </c>
      <c r="H149" s="112">
        <v>40996</v>
      </c>
      <c r="I149" s="112"/>
      <c r="J149" s="113">
        <v>231</v>
      </c>
      <c r="K149" s="112">
        <v>41011</v>
      </c>
      <c r="L149" s="112"/>
      <c r="M149" s="113">
        <v>221</v>
      </c>
      <c r="N149" s="401" t="s">
        <v>1008</v>
      </c>
      <c r="O149" s="114" t="s">
        <v>370</v>
      </c>
      <c r="P149" s="412" t="s">
        <v>960</v>
      </c>
      <c r="Q149" s="249"/>
    </row>
    <row r="150" spans="1:17">
      <c r="A150" s="414" t="s">
        <v>1009</v>
      </c>
      <c r="B150" s="206">
        <v>33558</v>
      </c>
      <c r="C150" s="111">
        <v>2</v>
      </c>
      <c r="D150" s="413" t="s">
        <v>245</v>
      </c>
      <c r="E150" s="411" t="s">
        <v>249</v>
      </c>
      <c r="F150" s="110" t="s">
        <v>308</v>
      </c>
      <c r="G150" s="112">
        <v>40981</v>
      </c>
      <c r="H150" s="112">
        <v>40996</v>
      </c>
      <c r="I150" s="112"/>
      <c r="J150" s="113">
        <v>231</v>
      </c>
      <c r="K150" s="112">
        <v>41011</v>
      </c>
      <c r="L150" s="112"/>
      <c r="M150" s="113">
        <v>221</v>
      </c>
      <c r="N150" s="401" t="s">
        <v>1008</v>
      </c>
      <c r="O150" s="114" t="s">
        <v>370</v>
      </c>
      <c r="P150" s="412" t="s">
        <v>960</v>
      </c>
      <c r="Q150" s="249"/>
    </row>
    <row r="151" spans="1:17">
      <c r="A151" s="414" t="s">
        <v>1019</v>
      </c>
      <c r="B151" s="206">
        <v>33579</v>
      </c>
      <c r="C151" s="111">
        <v>2</v>
      </c>
      <c r="D151" s="413" t="s">
        <v>245</v>
      </c>
      <c r="E151" s="411" t="s">
        <v>249</v>
      </c>
      <c r="F151" s="110" t="s">
        <v>308</v>
      </c>
      <c r="G151" s="112">
        <v>40982</v>
      </c>
      <c r="H151" s="112">
        <v>40997</v>
      </c>
      <c r="I151" s="112"/>
      <c r="J151" s="113">
        <v>230</v>
      </c>
      <c r="K151" s="112">
        <v>41012</v>
      </c>
      <c r="L151" s="112"/>
      <c r="M151" s="113">
        <v>220</v>
      </c>
      <c r="N151" s="401" t="s">
        <v>1020</v>
      </c>
      <c r="O151" s="114" t="s">
        <v>370</v>
      </c>
      <c r="P151" s="412" t="s">
        <v>913</v>
      </c>
      <c r="Q151" s="249"/>
    </row>
    <row r="152" spans="1:17">
      <c r="A152" s="414" t="s">
        <v>1037</v>
      </c>
      <c r="B152" s="206">
        <v>33711</v>
      </c>
      <c r="C152" s="111">
        <v>2</v>
      </c>
      <c r="D152" s="413" t="s">
        <v>245</v>
      </c>
      <c r="E152" s="411" t="s">
        <v>249</v>
      </c>
      <c r="F152" s="110" t="s">
        <v>308</v>
      </c>
      <c r="G152" s="112">
        <v>40991</v>
      </c>
      <c r="H152" s="112">
        <v>41009</v>
      </c>
      <c r="I152" s="112"/>
      <c r="J152" s="113">
        <v>223</v>
      </c>
      <c r="K152" s="112">
        <v>41023</v>
      </c>
      <c r="L152" s="112"/>
      <c r="M152" s="113">
        <v>213</v>
      </c>
      <c r="N152" s="401" t="s">
        <v>1020</v>
      </c>
      <c r="O152" s="114" t="s">
        <v>370</v>
      </c>
      <c r="P152" s="412" t="s">
        <v>963</v>
      </c>
      <c r="Q152" s="249"/>
    </row>
    <row r="153" spans="1:17">
      <c r="A153" s="414" t="s">
        <v>1003</v>
      </c>
      <c r="B153" s="206">
        <v>33525</v>
      </c>
      <c r="C153" s="111">
        <v>2</v>
      </c>
      <c r="D153" s="413" t="s">
        <v>245</v>
      </c>
      <c r="E153" s="411" t="s">
        <v>249</v>
      </c>
      <c r="F153" s="110" t="s">
        <v>308</v>
      </c>
      <c r="G153" s="112">
        <v>40976</v>
      </c>
      <c r="H153" s="112">
        <v>40991</v>
      </c>
      <c r="I153" s="112"/>
      <c r="J153" s="113">
        <v>234</v>
      </c>
      <c r="K153" s="112">
        <v>41005</v>
      </c>
      <c r="L153" s="112"/>
      <c r="M153" s="113">
        <v>224</v>
      </c>
      <c r="N153" s="401"/>
      <c r="O153" s="114" t="s">
        <v>370</v>
      </c>
      <c r="P153" s="412" t="s">
        <v>980</v>
      </c>
      <c r="Q153" s="249"/>
    </row>
    <row r="154" spans="1:17">
      <c r="A154" s="414" t="s">
        <v>1004</v>
      </c>
      <c r="B154" s="206">
        <v>33530</v>
      </c>
      <c r="C154" s="111">
        <v>3</v>
      </c>
      <c r="D154" s="413" t="s">
        <v>245</v>
      </c>
      <c r="E154" s="411" t="s">
        <v>249</v>
      </c>
      <c r="F154" s="110" t="s">
        <v>308</v>
      </c>
      <c r="G154" s="112">
        <v>40977</v>
      </c>
      <c r="H154" s="112">
        <v>41001</v>
      </c>
      <c r="I154" s="112"/>
      <c r="J154" s="113">
        <v>228</v>
      </c>
      <c r="K154" s="112">
        <v>41023</v>
      </c>
      <c r="L154" s="112"/>
      <c r="M154" s="113">
        <v>213</v>
      </c>
      <c r="N154" s="401" t="s">
        <v>1005</v>
      </c>
      <c r="O154" s="114" t="s">
        <v>370</v>
      </c>
      <c r="P154" s="412" t="s">
        <v>963</v>
      </c>
      <c r="Q154" s="249"/>
    </row>
    <row r="155" spans="1:17">
      <c r="A155" s="414" t="s">
        <v>1006</v>
      </c>
      <c r="B155" s="206">
        <v>33531</v>
      </c>
      <c r="C155" s="111">
        <v>3</v>
      </c>
      <c r="D155" s="413" t="s">
        <v>245</v>
      </c>
      <c r="E155" s="411" t="s">
        <v>249</v>
      </c>
      <c r="F155" s="110" t="s">
        <v>308</v>
      </c>
      <c r="G155" s="112">
        <v>40977</v>
      </c>
      <c r="H155" s="112">
        <v>41001</v>
      </c>
      <c r="I155" s="112"/>
      <c r="J155" s="113">
        <v>228</v>
      </c>
      <c r="K155" s="112">
        <v>41023</v>
      </c>
      <c r="L155" s="112"/>
      <c r="M155" s="113">
        <v>213</v>
      </c>
      <c r="N155" s="401" t="s">
        <v>1005</v>
      </c>
      <c r="O155" s="114" t="s">
        <v>370</v>
      </c>
      <c r="P155" s="412" t="s">
        <v>963</v>
      </c>
      <c r="Q155" s="249"/>
    </row>
    <row r="156" spans="1:17">
      <c r="A156" s="414" t="s">
        <v>1035</v>
      </c>
      <c r="B156" s="206">
        <v>33667</v>
      </c>
      <c r="C156" s="111">
        <v>2</v>
      </c>
      <c r="D156" s="413" t="s">
        <v>245</v>
      </c>
      <c r="E156" s="411" t="s">
        <v>249</v>
      </c>
      <c r="F156" s="110" t="s">
        <v>308</v>
      </c>
      <c r="G156" s="112">
        <v>40989</v>
      </c>
      <c r="H156" s="112">
        <v>41004</v>
      </c>
      <c r="I156" s="112"/>
      <c r="J156" s="113">
        <v>225</v>
      </c>
      <c r="K156" s="112">
        <v>41019</v>
      </c>
      <c r="L156" s="112"/>
      <c r="M156" s="113">
        <v>215</v>
      </c>
      <c r="N156" s="401" t="s">
        <v>1036</v>
      </c>
      <c r="O156" s="114" t="s">
        <v>370</v>
      </c>
      <c r="P156" s="412" t="s">
        <v>915</v>
      </c>
      <c r="Q156" s="249"/>
    </row>
    <row r="157" spans="1:17">
      <c r="A157" s="414" t="s">
        <v>1038</v>
      </c>
      <c r="B157" s="206">
        <v>33774</v>
      </c>
      <c r="C157" s="111">
        <v>2</v>
      </c>
      <c r="D157" s="413" t="s">
        <v>245</v>
      </c>
      <c r="E157" s="411" t="s">
        <v>249</v>
      </c>
      <c r="F157" s="110" t="s">
        <v>308</v>
      </c>
      <c r="G157" s="112">
        <v>41001</v>
      </c>
      <c r="H157" s="112">
        <v>41017</v>
      </c>
      <c r="I157" s="112"/>
      <c r="J157" s="113">
        <v>217</v>
      </c>
      <c r="K157" s="112">
        <v>41032</v>
      </c>
      <c r="L157" s="112"/>
      <c r="M157" s="113">
        <v>207</v>
      </c>
      <c r="N157" s="401" t="s">
        <v>1039</v>
      </c>
      <c r="O157" s="114" t="s">
        <v>370</v>
      </c>
      <c r="P157" s="412" t="s">
        <v>1040</v>
      </c>
      <c r="Q157" s="249"/>
    </row>
    <row r="158" spans="1:17">
      <c r="A158" s="414" t="s">
        <v>1044</v>
      </c>
      <c r="B158" s="206">
        <v>33783</v>
      </c>
      <c r="C158" s="111">
        <v>3</v>
      </c>
      <c r="D158" s="413" t="s">
        <v>245</v>
      </c>
      <c r="E158" s="411" t="s">
        <v>249</v>
      </c>
      <c r="F158" s="110" t="s">
        <v>308</v>
      </c>
      <c r="G158" s="112">
        <v>41001</v>
      </c>
      <c r="H158" s="112">
        <v>41024</v>
      </c>
      <c r="I158" s="112"/>
      <c r="J158" s="113">
        <v>212</v>
      </c>
      <c r="K158" s="112">
        <v>41050</v>
      </c>
      <c r="L158" s="112"/>
      <c r="M158" s="113">
        <v>197</v>
      </c>
      <c r="N158" s="401" t="s">
        <v>1039</v>
      </c>
      <c r="O158" s="114" t="s">
        <v>370</v>
      </c>
      <c r="P158" s="412" t="s">
        <v>1040</v>
      </c>
      <c r="Q158" s="249"/>
    </row>
    <row r="159" spans="1:17">
      <c r="A159" s="414" t="s">
        <v>1045</v>
      </c>
      <c r="B159" s="206">
        <v>33784</v>
      </c>
      <c r="C159" s="111">
        <v>3</v>
      </c>
      <c r="D159" s="413" t="s">
        <v>245</v>
      </c>
      <c r="E159" s="411" t="s">
        <v>249</v>
      </c>
      <c r="F159" s="110" t="s">
        <v>308</v>
      </c>
      <c r="G159" s="112">
        <v>41001</v>
      </c>
      <c r="H159" s="112">
        <v>41024</v>
      </c>
      <c r="I159" s="112"/>
      <c r="J159" s="113">
        <v>212</v>
      </c>
      <c r="K159" s="112">
        <v>41050</v>
      </c>
      <c r="L159" s="112"/>
      <c r="M159" s="113">
        <v>197</v>
      </c>
      <c r="N159" s="401" t="s">
        <v>1039</v>
      </c>
      <c r="O159" s="114" t="s">
        <v>370</v>
      </c>
      <c r="P159" s="412" t="s">
        <v>1040</v>
      </c>
      <c r="Q159" s="249"/>
    </row>
    <row r="160" spans="1:17">
      <c r="A160" s="414" t="s">
        <v>1046</v>
      </c>
      <c r="B160" s="206">
        <v>33788</v>
      </c>
      <c r="C160" s="111">
        <v>3</v>
      </c>
      <c r="D160" s="413" t="s">
        <v>245</v>
      </c>
      <c r="E160" s="411" t="s">
        <v>249</v>
      </c>
      <c r="F160" s="110" t="s">
        <v>308</v>
      </c>
      <c r="G160" s="112">
        <v>41001</v>
      </c>
      <c r="H160" s="112">
        <v>41024</v>
      </c>
      <c r="I160" s="112"/>
      <c r="J160" s="113">
        <v>212</v>
      </c>
      <c r="K160" s="112">
        <v>41050</v>
      </c>
      <c r="L160" s="112"/>
      <c r="M160" s="113">
        <v>197</v>
      </c>
      <c r="N160" s="401" t="s">
        <v>1039</v>
      </c>
      <c r="O160" s="114" t="s">
        <v>370</v>
      </c>
      <c r="P160" s="412" t="s">
        <v>1040</v>
      </c>
      <c r="Q160" s="249"/>
    </row>
    <row r="161" spans="1:17">
      <c r="A161" s="414" t="s">
        <v>1047</v>
      </c>
      <c r="B161" s="206">
        <v>33789</v>
      </c>
      <c r="C161" s="111">
        <v>3</v>
      </c>
      <c r="D161" s="413" t="s">
        <v>245</v>
      </c>
      <c r="E161" s="411" t="s">
        <v>249</v>
      </c>
      <c r="F161" s="110" t="s">
        <v>308</v>
      </c>
      <c r="G161" s="112">
        <v>41001</v>
      </c>
      <c r="H161" s="112">
        <v>41024</v>
      </c>
      <c r="I161" s="112"/>
      <c r="J161" s="113">
        <v>212</v>
      </c>
      <c r="K161" s="112">
        <v>41050</v>
      </c>
      <c r="L161" s="112"/>
      <c r="M161" s="113">
        <v>197</v>
      </c>
      <c r="N161" s="401" t="s">
        <v>1039</v>
      </c>
      <c r="O161" s="114" t="s">
        <v>370</v>
      </c>
      <c r="P161" s="412" t="s">
        <v>1040</v>
      </c>
      <c r="Q161" s="249"/>
    </row>
    <row r="162" spans="1:17">
      <c r="A162" s="414" t="s">
        <v>1043</v>
      </c>
      <c r="B162" s="206">
        <v>33782</v>
      </c>
      <c r="C162" s="111">
        <v>2</v>
      </c>
      <c r="D162" s="413" t="s">
        <v>245</v>
      </c>
      <c r="E162" s="411" t="s">
        <v>249</v>
      </c>
      <c r="F162" s="110" t="s">
        <v>308</v>
      </c>
      <c r="G162" s="112">
        <v>41001</v>
      </c>
      <c r="H162" s="112">
        <v>41017</v>
      </c>
      <c r="I162" s="112"/>
      <c r="J162" s="113">
        <v>217</v>
      </c>
      <c r="K162" s="112">
        <v>41032</v>
      </c>
      <c r="L162" s="112"/>
      <c r="M162" s="113">
        <v>207</v>
      </c>
      <c r="N162" s="401" t="s">
        <v>1039</v>
      </c>
      <c r="O162" s="114" t="s">
        <v>370</v>
      </c>
      <c r="P162" s="412" t="s">
        <v>1040</v>
      </c>
      <c r="Q162" s="249"/>
    </row>
    <row r="163" spans="1:17">
      <c r="A163" s="414" t="s">
        <v>1051</v>
      </c>
      <c r="B163" s="206">
        <v>33808</v>
      </c>
      <c r="C163" s="445">
        <v>2</v>
      </c>
      <c r="D163" s="446" t="s">
        <v>245</v>
      </c>
      <c r="E163" s="447" t="s">
        <v>249</v>
      </c>
      <c r="F163" s="448" t="s">
        <v>308</v>
      </c>
      <c r="G163" s="449">
        <v>41004</v>
      </c>
      <c r="H163" s="449">
        <v>41026</v>
      </c>
      <c r="I163" s="449"/>
      <c r="J163" s="450">
        <v>0</v>
      </c>
      <c r="K163" s="449">
        <v>41052</v>
      </c>
      <c r="L163" s="449"/>
      <c r="M163" s="450">
        <v>0</v>
      </c>
      <c r="N163" s="451" t="s">
        <v>1039</v>
      </c>
      <c r="O163" s="114" t="s">
        <v>370</v>
      </c>
      <c r="P163" s="452" t="s">
        <v>960</v>
      </c>
      <c r="Q163" s="453"/>
    </row>
    <row r="164" spans="1:17">
      <c r="A164" s="414" t="s">
        <v>1092</v>
      </c>
      <c r="B164" s="206">
        <v>33962</v>
      </c>
      <c r="C164" s="445">
        <v>2</v>
      </c>
      <c r="D164" s="446" t="s">
        <v>245</v>
      </c>
      <c r="E164" s="447" t="s">
        <v>249</v>
      </c>
      <c r="F164" s="448" t="s">
        <v>308</v>
      </c>
      <c r="G164" s="449">
        <v>41025</v>
      </c>
      <c r="H164" s="449">
        <v>41026</v>
      </c>
      <c r="I164" s="449"/>
      <c r="J164" s="450">
        <v>0</v>
      </c>
      <c r="K164" s="449">
        <v>41052</v>
      </c>
      <c r="L164" s="449"/>
      <c r="M164" s="450">
        <v>0</v>
      </c>
      <c r="N164" s="451" t="s">
        <v>1039</v>
      </c>
      <c r="O164" s="114" t="s">
        <v>370</v>
      </c>
      <c r="P164" s="452" t="s">
        <v>960</v>
      </c>
      <c r="Q164" s="453"/>
    </row>
    <row r="165" spans="1:17">
      <c r="A165" s="414" t="s">
        <v>1042</v>
      </c>
      <c r="B165" s="206">
        <v>33781</v>
      </c>
      <c r="C165" s="111">
        <v>2</v>
      </c>
      <c r="D165" s="413" t="s">
        <v>245</v>
      </c>
      <c r="E165" s="411" t="s">
        <v>249</v>
      </c>
      <c r="F165" s="110" t="s">
        <v>308</v>
      </c>
      <c r="G165" s="112">
        <v>41001</v>
      </c>
      <c r="H165" s="112">
        <v>41017</v>
      </c>
      <c r="I165" s="112"/>
      <c r="J165" s="113">
        <v>217</v>
      </c>
      <c r="K165" s="112">
        <v>41032</v>
      </c>
      <c r="L165" s="112"/>
      <c r="M165" s="113">
        <v>207</v>
      </c>
      <c r="N165" s="401" t="s">
        <v>1039</v>
      </c>
      <c r="O165" s="114" t="s">
        <v>370</v>
      </c>
      <c r="P165" s="412" t="s">
        <v>1040</v>
      </c>
      <c r="Q165" s="249"/>
    </row>
    <row r="166" spans="1:17">
      <c r="A166" s="414" t="s">
        <v>1041</v>
      </c>
      <c r="B166" s="206">
        <v>33780</v>
      </c>
      <c r="C166" s="111">
        <v>2</v>
      </c>
      <c r="D166" s="413" t="s">
        <v>245</v>
      </c>
      <c r="E166" s="411" t="s">
        <v>249</v>
      </c>
      <c r="F166" s="110" t="s">
        <v>308</v>
      </c>
      <c r="G166" s="112">
        <v>41001</v>
      </c>
      <c r="H166" s="112">
        <v>41017</v>
      </c>
      <c r="I166" s="112"/>
      <c r="J166" s="113">
        <v>217</v>
      </c>
      <c r="K166" s="112">
        <v>41032</v>
      </c>
      <c r="L166" s="112"/>
      <c r="M166" s="113">
        <v>207</v>
      </c>
      <c r="N166" s="401" t="s">
        <v>1039</v>
      </c>
      <c r="O166" s="114" t="s">
        <v>370</v>
      </c>
      <c r="P166" s="412" t="s">
        <v>1040</v>
      </c>
      <c r="Q166" s="249"/>
    </row>
    <row r="167" spans="1:17">
      <c r="A167" s="414" t="s">
        <v>1048</v>
      </c>
      <c r="B167" s="206">
        <v>33801</v>
      </c>
      <c r="C167" s="436">
        <v>3</v>
      </c>
      <c r="D167" s="437" t="s">
        <v>245</v>
      </c>
      <c r="E167" s="438" t="s">
        <v>249</v>
      </c>
      <c r="F167" s="439" t="s">
        <v>308</v>
      </c>
      <c r="G167" s="440">
        <v>41003</v>
      </c>
      <c r="H167" s="440">
        <v>41026</v>
      </c>
      <c r="I167" s="440"/>
      <c r="J167" s="441">
        <v>0</v>
      </c>
      <c r="K167" s="440">
        <v>41052</v>
      </c>
      <c r="L167" s="440"/>
      <c r="M167" s="441">
        <v>0</v>
      </c>
      <c r="N167" s="442" t="s">
        <v>1039</v>
      </c>
      <c r="O167" s="114" t="s">
        <v>370</v>
      </c>
      <c r="P167" s="443" t="s">
        <v>960</v>
      </c>
      <c r="Q167" s="444"/>
    </row>
    <row r="168" spans="1:17">
      <c r="A168" s="414" t="s">
        <v>1049</v>
      </c>
      <c r="B168" s="206">
        <v>33802</v>
      </c>
      <c r="C168" s="436">
        <v>3</v>
      </c>
      <c r="D168" s="437" t="s">
        <v>245</v>
      </c>
      <c r="E168" s="438" t="s">
        <v>249</v>
      </c>
      <c r="F168" s="439" t="s">
        <v>308</v>
      </c>
      <c r="G168" s="440">
        <v>41003</v>
      </c>
      <c r="H168" s="440">
        <v>41026</v>
      </c>
      <c r="I168" s="440"/>
      <c r="J168" s="441">
        <v>0</v>
      </c>
      <c r="K168" s="440">
        <v>41052</v>
      </c>
      <c r="L168" s="440"/>
      <c r="M168" s="441">
        <v>0</v>
      </c>
      <c r="N168" s="442" t="s">
        <v>1039</v>
      </c>
      <c r="O168" s="114" t="s">
        <v>370</v>
      </c>
      <c r="P168" s="443" t="s">
        <v>960</v>
      </c>
      <c r="Q168" s="444"/>
    </row>
    <row r="169" spans="1:17">
      <c r="A169" s="414" t="s">
        <v>1050</v>
      </c>
      <c r="B169" s="206">
        <v>33803</v>
      </c>
      <c r="C169" s="445">
        <v>3</v>
      </c>
      <c r="D169" s="446" t="s">
        <v>245</v>
      </c>
      <c r="E169" s="447" t="s">
        <v>249</v>
      </c>
      <c r="F169" s="448" t="s">
        <v>308</v>
      </c>
      <c r="G169" s="449">
        <v>41003</v>
      </c>
      <c r="H169" s="449">
        <v>41026</v>
      </c>
      <c r="I169" s="449"/>
      <c r="J169" s="450">
        <v>0</v>
      </c>
      <c r="K169" s="449">
        <v>41052</v>
      </c>
      <c r="L169" s="449"/>
      <c r="M169" s="450">
        <v>0</v>
      </c>
      <c r="N169" s="451" t="s">
        <v>1039</v>
      </c>
      <c r="O169" s="114" t="s">
        <v>370</v>
      </c>
      <c r="P169" s="452" t="s">
        <v>960</v>
      </c>
      <c r="Q169" s="453"/>
    </row>
    <row r="170" spans="1:17">
      <c r="A170" s="414" t="s">
        <v>1052</v>
      </c>
      <c r="B170" s="206">
        <v>33858</v>
      </c>
      <c r="C170" s="445">
        <v>2</v>
      </c>
      <c r="D170" s="446" t="s">
        <v>245</v>
      </c>
      <c r="E170" s="447" t="s">
        <v>249</v>
      </c>
      <c r="F170" s="448" t="s">
        <v>308</v>
      </c>
      <c r="G170" s="449">
        <v>41012</v>
      </c>
      <c r="H170" s="449">
        <v>41026</v>
      </c>
      <c r="I170" s="449"/>
      <c r="J170" s="450">
        <v>0</v>
      </c>
      <c r="K170" s="449">
        <v>41052</v>
      </c>
      <c r="L170" s="449"/>
      <c r="M170" s="450">
        <v>0</v>
      </c>
      <c r="N170" s="451" t="s">
        <v>1053</v>
      </c>
      <c r="O170" s="114" t="s">
        <v>370</v>
      </c>
      <c r="P170" s="452" t="s">
        <v>373</v>
      </c>
      <c r="Q170" s="453"/>
    </row>
    <row r="171" spans="1:17">
      <c r="A171" s="414" t="s">
        <v>1065</v>
      </c>
      <c r="B171" s="206">
        <v>33862</v>
      </c>
      <c r="C171" s="445">
        <v>1</v>
      </c>
      <c r="D171" s="446" t="s">
        <v>245</v>
      </c>
      <c r="E171" s="447" t="s">
        <v>249</v>
      </c>
      <c r="F171" s="448" t="s">
        <v>308</v>
      </c>
      <c r="G171" s="449">
        <v>41012</v>
      </c>
      <c r="H171" s="449">
        <v>41026</v>
      </c>
      <c r="I171" s="449"/>
      <c r="J171" s="450">
        <v>0</v>
      </c>
      <c r="K171" s="449">
        <v>41052</v>
      </c>
      <c r="L171" s="449"/>
      <c r="M171" s="450">
        <v>0</v>
      </c>
      <c r="N171" s="451" t="s">
        <v>1066</v>
      </c>
      <c r="O171" s="114" t="s">
        <v>370</v>
      </c>
      <c r="P171" s="452" t="s">
        <v>912</v>
      </c>
      <c r="Q171" s="453"/>
    </row>
    <row r="172" spans="1:17">
      <c r="A172" s="414" t="s">
        <v>1132</v>
      </c>
      <c r="B172" s="206">
        <v>34117</v>
      </c>
      <c r="C172" s="445">
        <v>1</v>
      </c>
      <c r="D172" s="446" t="s">
        <v>245</v>
      </c>
      <c r="E172" s="447" t="s">
        <v>249</v>
      </c>
      <c r="F172" s="448" t="s">
        <v>308</v>
      </c>
      <c r="G172" s="449">
        <v>41050</v>
      </c>
      <c r="H172" s="449">
        <v>41026</v>
      </c>
      <c r="I172" s="449"/>
      <c r="J172" s="450">
        <v>0</v>
      </c>
      <c r="K172" s="449">
        <v>41052</v>
      </c>
      <c r="L172" s="449"/>
      <c r="M172" s="450">
        <v>0</v>
      </c>
      <c r="N172" s="451" t="s">
        <v>1133</v>
      </c>
      <c r="O172" s="114" t="s">
        <v>370</v>
      </c>
      <c r="P172" s="452" t="s">
        <v>963</v>
      </c>
      <c r="Q172" s="453"/>
    </row>
    <row r="173" spans="1:17">
      <c r="A173" s="414" t="s">
        <v>1090</v>
      </c>
      <c r="B173" s="206">
        <v>33945</v>
      </c>
      <c r="C173" s="445">
        <v>2</v>
      </c>
      <c r="D173" s="446" t="s">
        <v>245</v>
      </c>
      <c r="E173" s="447" t="s">
        <v>249</v>
      </c>
      <c r="F173" s="448" t="s">
        <v>308</v>
      </c>
      <c r="G173" s="449">
        <v>41023</v>
      </c>
      <c r="H173" s="449">
        <v>41026</v>
      </c>
      <c r="I173" s="449"/>
      <c r="J173" s="450">
        <v>0</v>
      </c>
      <c r="K173" s="449">
        <v>41052</v>
      </c>
      <c r="L173" s="449"/>
      <c r="M173" s="450">
        <v>0</v>
      </c>
      <c r="N173" s="451" t="s">
        <v>1066</v>
      </c>
      <c r="O173" s="114" t="s">
        <v>370</v>
      </c>
      <c r="P173" s="452" t="s">
        <v>960</v>
      </c>
      <c r="Q173" s="453"/>
    </row>
    <row r="174" spans="1:17">
      <c r="A174" s="414" t="s">
        <v>1089</v>
      </c>
      <c r="B174" s="206">
        <v>33944</v>
      </c>
      <c r="C174" s="445">
        <v>2</v>
      </c>
      <c r="D174" s="446" t="s">
        <v>245</v>
      </c>
      <c r="E174" s="447" t="s">
        <v>249</v>
      </c>
      <c r="F174" s="448" t="s">
        <v>308</v>
      </c>
      <c r="G174" s="449">
        <v>41023</v>
      </c>
      <c r="H174" s="449">
        <v>41026</v>
      </c>
      <c r="I174" s="449"/>
      <c r="J174" s="450">
        <v>0</v>
      </c>
      <c r="K174" s="449">
        <v>41052</v>
      </c>
      <c r="L174" s="449"/>
      <c r="M174" s="450">
        <v>0</v>
      </c>
      <c r="N174" s="451" t="s">
        <v>1066</v>
      </c>
      <c r="O174" s="114" t="s">
        <v>370</v>
      </c>
      <c r="P174" s="452" t="s">
        <v>960</v>
      </c>
      <c r="Q174" s="453"/>
    </row>
    <row r="175" spans="1:17">
      <c r="A175" s="414" t="s">
        <v>1088</v>
      </c>
      <c r="B175" s="206">
        <v>33942</v>
      </c>
      <c r="C175" s="445">
        <v>2</v>
      </c>
      <c r="D175" s="446" t="s">
        <v>245</v>
      </c>
      <c r="E175" s="447" t="s">
        <v>249</v>
      </c>
      <c r="F175" s="448" t="s">
        <v>308</v>
      </c>
      <c r="G175" s="449">
        <v>41023</v>
      </c>
      <c r="H175" s="449">
        <v>41026</v>
      </c>
      <c r="I175" s="449"/>
      <c r="J175" s="450">
        <v>0</v>
      </c>
      <c r="K175" s="449">
        <v>41052</v>
      </c>
      <c r="L175" s="449"/>
      <c r="M175" s="450">
        <v>0</v>
      </c>
      <c r="N175" s="451" t="s">
        <v>1066</v>
      </c>
      <c r="O175" s="114" t="s">
        <v>370</v>
      </c>
      <c r="P175" s="452" t="s">
        <v>866</v>
      </c>
      <c r="Q175" s="453"/>
    </row>
    <row r="176" spans="1:17">
      <c r="A176" s="414" t="s">
        <v>1081</v>
      </c>
      <c r="B176" s="206">
        <v>33920</v>
      </c>
      <c r="C176" s="445">
        <v>2</v>
      </c>
      <c r="D176" s="446" t="s">
        <v>245</v>
      </c>
      <c r="E176" s="447" t="s">
        <v>249</v>
      </c>
      <c r="F176" s="448" t="s">
        <v>308</v>
      </c>
      <c r="G176" s="449">
        <v>41022</v>
      </c>
      <c r="H176" s="449">
        <v>41026</v>
      </c>
      <c r="I176" s="449"/>
      <c r="J176" s="450">
        <v>0</v>
      </c>
      <c r="K176" s="449">
        <v>41052</v>
      </c>
      <c r="L176" s="449"/>
      <c r="M176" s="450">
        <v>0</v>
      </c>
      <c r="N176" s="451" t="s">
        <v>1066</v>
      </c>
      <c r="O176" s="114" t="s">
        <v>370</v>
      </c>
      <c r="P176" s="452" t="s">
        <v>964</v>
      </c>
      <c r="Q176" s="453"/>
    </row>
    <row r="177" spans="1:17">
      <c r="A177" s="414" t="s">
        <v>1082</v>
      </c>
      <c r="B177" s="206">
        <v>33921</v>
      </c>
      <c r="C177" s="445">
        <v>1</v>
      </c>
      <c r="D177" s="446" t="s">
        <v>245</v>
      </c>
      <c r="E177" s="447" t="s">
        <v>249</v>
      </c>
      <c r="F177" s="448" t="s">
        <v>308</v>
      </c>
      <c r="G177" s="449">
        <v>41022</v>
      </c>
      <c r="H177" s="449">
        <v>41026</v>
      </c>
      <c r="I177" s="449"/>
      <c r="J177" s="450">
        <v>0</v>
      </c>
      <c r="K177" s="449">
        <v>41052</v>
      </c>
      <c r="L177" s="449"/>
      <c r="M177" s="450">
        <v>0</v>
      </c>
      <c r="N177" s="451" t="s">
        <v>1066</v>
      </c>
      <c r="O177" s="114" t="s">
        <v>370</v>
      </c>
      <c r="P177" s="452" t="s">
        <v>912</v>
      </c>
      <c r="Q177" s="453"/>
    </row>
    <row r="178" spans="1:17">
      <c r="A178" s="414" t="s">
        <v>1083</v>
      </c>
      <c r="B178" s="206">
        <v>33922</v>
      </c>
      <c r="C178" s="445">
        <v>1</v>
      </c>
      <c r="D178" s="446" t="s">
        <v>245</v>
      </c>
      <c r="E178" s="447" t="s">
        <v>249</v>
      </c>
      <c r="F178" s="448" t="s">
        <v>308</v>
      </c>
      <c r="G178" s="449">
        <v>41022</v>
      </c>
      <c r="H178" s="449">
        <v>41026</v>
      </c>
      <c r="I178" s="449"/>
      <c r="J178" s="450">
        <v>0</v>
      </c>
      <c r="K178" s="449">
        <v>41052</v>
      </c>
      <c r="L178" s="449"/>
      <c r="M178" s="450">
        <v>0</v>
      </c>
      <c r="N178" s="451" t="s">
        <v>1066</v>
      </c>
      <c r="O178" s="114" t="s">
        <v>370</v>
      </c>
      <c r="P178" s="452" t="s">
        <v>960</v>
      </c>
      <c r="Q178" s="453"/>
    </row>
    <row r="179" spans="1:17">
      <c r="A179" s="414" t="s">
        <v>1084</v>
      </c>
      <c r="B179" s="206">
        <v>33923</v>
      </c>
      <c r="C179" s="445">
        <v>2</v>
      </c>
      <c r="D179" s="446" t="s">
        <v>245</v>
      </c>
      <c r="E179" s="447" t="s">
        <v>249</v>
      </c>
      <c r="F179" s="448" t="s">
        <v>308</v>
      </c>
      <c r="G179" s="449">
        <v>41022</v>
      </c>
      <c r="H179" s="449">
        <v>41026</v>
      </c>
      <c r="I179" s="449"/>
      <c r="J179" s="450">
        <v>0</v>
      </c>
      <c r="K179" s="449">
        <v>41052</v>
      </c>
      <c r="L179" s="449"/>
      <c r="M179" s="450">
        <v>0</v>
      </c>
      <c r="N179" s="451" t="s">
        <v>1066</v>
      </c>
      <c r="O179" s="114" t="s">
        <v>370</v>
      </c>
      <c r="P179" s="452" t="s">
        <v>960</v>
      </c>
      <c r="Q179" s="453"/>
    </row>
    <row r="180" spans="1:17">
      <c r="A180" s="414" t="s">
        <v>1085</v>
      </c>
      <c r="B180" s="206">
        <v>33924</v>
      </c>
      <c r="C180" s="445">
        <v>1</v>
      </c>
      <c r="D180" s="446" t="s">
        <v>245</v>
      </c>
      <c r="E180" s="447" t="s">
        <v>249</v>
      </c>
      <c r="F180" s="448" t="s">
        <v>308</v>
      </c>
      <c r="G180" s="449">
        <v>41022</v>
      </c>
      <c r="H180" s="449">
        <v>41026</v>
      </c>
      <c r="I180" s="449"/>
      <c r="J180" s="450">
        <v>0</v>
      </c>
      <c r="K180" s="449">
        <v>41052</v>
      </c>
      <c r="L180" s="449"/>
      <c r="M180" s="450">
        <v>0</v>
      </c>
      <c r="N180" s="451" t="s">
        <v>1066</v>
      </c>
      <c r="O180" s="114" t="s">
        <v>370</v>
      </c>
      <c r="P180" s="452" t="s">
        <v>912</v>
      </c>
      <c r="Q180" s="453"/>
    </row>
    <row r="181" spans="1:17">
      <c r="A181" s="414" t="s">
        <v>1069</v>
      </c>
      <c r="B181" s="206">
        <v>33919</v>
      </c>
      <c r="C181" s="445">
        <v>2</v>
      </c>
      <c r="D181" s="446" t="s">
        <v>245</v>
      </c>
      <c r="E181" s="447" t="s">
        <v>249</v>
      </c>
      <c r="F181" s="448" t="s">
        <v>308</v>
      </c>
      <c r="G181" s="449">
        <v>41022</v>
      </c>
      <c r="H181" s="449">
        <v>41026</v>
      </c>
      <c r="I181" s="449"/>
      <c r="J181" s="450">
        <v>0</v>
      </c>
      <c r="K181" s="449">
        <v>41052</v>
      </c>
      <c r="L181" s="449"/>
      <c r="M181" s="450">
        <v>0</v>
      </c>
      <c r="N181" s="451" t="s">
        <v>1070</v>
      </c>
      <c r="O181" s="114" t="s">
        <v>370</v>
      </c>
      <c r="P181" s="452" t="s">
        <v>965</v>
      </c>
      <c r="Q181" s="453"/>
    </row>
    <row r="182" spans="1:17">
      <c r="A182" s="414" t="s">
        <v>1117</v>
      </c>
      <c r="B182" s="206">
        <v>34027</v>
      </c>
      <c r="C182" s="445">
        <v>2</v>
      </c>
      <c r="D182" s="446" t="s">
        <v>245</v>
      </c>
      <c r="E182" s="447" t="s">
        <v>249</v>
      </c>
      <c r="F182" s="448" t="s">
        <v>308</v>
      </c>
      <c r="G182" s="449">
        <v>41038</v>
      </c>
      <c r="H182" s="449">
        <v>41026</v>
      </c>
      <c r="I182" s="449"/>
      <c r="J182" s="450">
        <v>0</v>
      </c>
      <c r="K182" s="449">
        <v>41052</v>
      </c>
      <c r="L182" s="449"/>
      <c r="M182" s="450">
        <v>0</v>
      </c>
      <c r="N182" s="451" t="s">
        <v>1096</v>
      </c>
      <c r="O182" s="114" t="s">
        <v>370</v>
      </c>
      <c r="P182" s="452" t="s">
        <v>917</v>
      </c>
      <c r="Q182" s="453"/>
    </row>
    <row r="183" spans="1:17">
      <c r="A183" s="414" t="s">
        <v>1093</v>
      </c>
      <c r="B183" s="206">
        <v>33964</v>
      </c>
      <c r="C183" s="445">
        <v>2</v>
      </c>
      <c r="D183" s="446" t="s">
        <v>245</v>
      </c>
      <c r="E183" s="447" t="s">
        <v>249</v>
      </c>
      <c r="F183" s="448" t="s">
        <v>308</v>
      </c>
      <c r="G183" s="449">
        <v>41026</v>
      </c>
      <c r="H183" s="449">
        <v>41026</v>
      </c>
      <c r="I183" s="449"/>
      <c r="J183" s="450">
        <v>0</v>
      </c>
      <c r="K183" s="449">
        <v>41052</v>
      </c>
      <c r="L183" s="449"/>
      <c r="M183" s="450">
        <v>0</v>
      </c>
      <c r="N183" s="451" t="s">
        <v>1086</v>
      </c>
      <c r="O183" s="114" t="s">
        <v>370</v>
      </c>
      <c r="P183" s="452" t="s">
        <v>1094</v>
      </c>
      <c r="Q183" s="453"/>
    </row>
    <row r="184" spans="1:17">
      <c r="A184" s="414" t="s">
        <v>1103</v>
      </c>
      <c r="B184" s="206">
        <v>34008</v>
      </c>
      <c r="C184" s="445">
        <v>2</v>
      </c>
      <c r="D184" s="446" t="s">
        <v>245</v>
      </c>
      <c r="E184" s="447" t="s">
        <v>249</v>
      </c>
      <c r="F184" s="448" t="s">
        <v>308</v>
      </c>
      <c r="G184" s="449">
        <v>41033</v>
      </c>
      <c r="H184" s="449">
        <v>41026</v>
      </c>
      <c r="I184" s="449"/>
      <c r="J184" s="450">
        <v>0</v>
      </c>
      <c r="K184" s="449">
        <v>41052</v>
      </c>
      <c r="L184" s="449"/>
      <c r="M184" s="450">
        <v>0</v>
      </c>
      <c r="N184" s="451" t="s">
        <v>1096</v>
      </c>
      <c r="O184" s="114" t="s">
        <v>370</v>
      </c>
      <c r="P184" s="452" t="s">
        <v>1094</v>
      </c>
      <c r="Q184" s="453"/>
    </row>
    <row r="185" spans="1:17">
      <c r="A185" s="414" t="s">
        <v>1219</v>
      </c>
      <c r="B185" s="206">
        <v>34969</v>
      </c>
      <c r="C185" s="445">
        <v>2</v>
      </c>
      <c r="D185" s="446" t="s">
        <v>245</v>
      </c>
      <c r="E185" s="447" t="s">
        <v>249</v>
      </c>
      <c r="F185" s="448" t="s">
        <v>308</v>
      </c>
      <c r="G185" s="449">
        <v>41173</v>
      </c>
      <c r="H185" s="449">
        <v>41026</v>
      </c>
      <c r="I185" s="449"/>
      <c r="J185" s="450">
        <v>0</v>
      </c>
      <c r="K185" s="449">
        <v>41052</v>
      </c>
      <c r="L185" s="449"/>
      <c r="M185" s="450">
        <v>0</v>
      </c>
      <c r="N185" s="451" t="s">
        <v>1180</v>
      </c>
      <c r="O185" s="114" t="s">
        <v>370</v>
      </c>
      <c r="P185" s="452" t="s">
        <v>963</v>
      </c>
      <c r="Q185" s="453"/>
    </row>
    <row r="186" spans="1:17">
      <c r="A186" s="414" t="s">
        <v>1186</v>
      </c>
      <c r="B186" s="206">
        <v>34588</v>
      </c>
      <c r="C186" s="445">
        <v>3</v>
      </c>
      <c r="D186" s="446" t="s">
        <v>245</v>
      </c>
      <c r="E186" s="447" t="s">
        <v>249</v>
      </c>
      <c r="F186" s="448" t="s">
        <v>308</v>
      </c>
      <c r="G186" s="449">
        <v>41115</v>
      </c>
      <c r="H186" s="449">
        <v>41026</v>
      </c>
      <c r="I186" s="449"/>
      <c r="J186" s="450">
        <v>0</v>
      </c>
      <c r="K186" s="449">
        <v>41052</v>
      </c>
      <c r="L186" s="449"/>
      <c r="M186" s="450">
        <v>0</v>
      </c>
      <c r="N186" s="451" t="s">
        <v>1096</v>
      </c>
      <c r="O186" s="114" t="s">
        <v>370</v>
      </c>
      <c r="P186" s="452" t="s">
        <v>1094</v>
      </c>
      <c r="Q186" s="453"/>
    </row>
    <row r="187" spans="1:17">
      <c r="A187" s="414" t="s">
        <v>1102</v>
      </c>
      <c r="B187" s="206">
        <v>34007</v>
      </c>
      <c r="C187" s="445">
        <v>3</v>
      </c>
      <c r="D187" s="446" t="s">
        <v>245</v>
      </c>
      <c r="E187" s="447" t="s">
        <v>249</v>
      </c>
      <c r="F187" s="448" t="s">
        <v>308</v>
      </c>
      <c r="G187" s="449">
        <v>41033</v>
      </c>
      <c r="H187" s="449">
        <v>41026</v>
      </c>
      <c r="I187" s="449"/>
      <c r="J187" s="450">
        <v>0</v>
      </c>
      <c r="K187" s="449">
        <v>41052</v>
      </c>
      <c r="L187" s="449"/>
      <c r="M187" s="450">
        <v>0</v>
      </c>
      <c r="N187" s="451" t="s">
        <v>1096</v>
      </c>
      <c r="O187" s="114" t="s">
        <v>370</v>
      </c>
      <c r="P187" s="452" t="s">
        <v>1094</v>
      </c>
      <c r="Q187" s="453"/>
    </row>
    <row r="188" spans="1:17">
      <c r="A188" s="414" t="s">
        <v>1120</v>
      </c>
      <c r="B188" s="206">
        <v>34080</v>
      </c>
      <c r="C188" s="445">
        <v>3</v>
      </c>
      <c r="D188" s="446" t="s">
        <v>245</v>
      </c>
      <c r="E188" s="447" t="s">
        <v>249</v>
      </c>
      <c r="F188" s="448" t="s">
        <v>308</v>
      </c>
      <c r="G188" s="449">
        <v>41043</v>
      </c>
      <c r="H188" s="449">
        <v>41026</v>
      </c>
      <c r="I188" s="449"/>
      <c r="J188" s="450">
        <v>0</v>
      </c>
      <c r="K188" s="449">
        <v>41052</v>
      </c>
      <c r="L188" s="449"/>
      <c r="M188" s="450">
        <v>0</v>
      </c>
      <c r="N188" s="451" t="s">
        <v>1096</v>
      </c>
      <c r="O188" s="114" t="s">
        <v>370</v>
      </c>
      <c r="P188" s="452" t="s">
        <v>1094</v>
      </c>
      <c r="Q188" s="453"/>
    </row>
    <row r="189" spans="1:17">
      <c r="A189" s="414" t="s">
        <v>1101</v>
      </c>
      <c r="B189" s="206">
        <v>34006</v>
      </c>
      <c r="C189" s="445">
        <v>2</v>
      </c>
      <c r="D189" s="446" t="s">
        <v>245</v>
      </c>
      <c r="E189" s="447" t="s">
        <v>249</v>
      </c>
      <c r="F189" s="448" t="s">
        <v>308</v>
      </c>
      <c r="G189" s="449">
        <v>41033</v>
      </c>
      <c r="H189" s="449">
        <v>41026</v>
      </c>
      <c r="I189" s="449"/>
      <c r="J189" s="450">
        <v>0</v>
      </c>
      <c r="K189" s="449">
        <v>41052</v>
      </c>
      <c r="L189" s="449"/>
      <c r="M189" s="450">
        <v>0</v>
      </c>
      <c r="N189" s="451" t="s">
        <v>1096</v>
      </c>
      <c r="O189" s="114" t="s">
        <v>370</v>
      </c>
      <c r="P189" s="452" t="s">
        <v>1094</v>
      </c>
      <c r="Q189" s="453"/>
    </row>
    <row r="190" spans="1:17">
      <c r="A190" s="414" t="s">
        <v>1119</v>
      </c>
      <c r="B190" s="206">
        <v>34040</v>
      </c>
      <c r="C190" s="445">
        <v>2</v>
      </c>
      <c r="D190" s="446" t="s">
        <v>245</v>
      </c>
      <c r="E190" s="447" t="s">
        <v>249</v>
      </c>
      <c r="F190" s="448" t="s">
        <v>308</v>
      </c>
      <c r="G190" s="449">
        <v>41039</v>
      </c>
      <c r="H190" s="449">
        <v>41026</v>
      </c>
      <c r="I190" s="449"/>
      <c r="J190" s="450">
        <v>0</v>
      </c>
      <c r="K190" s="449">
        <v>41052</v>
      </c>
      <c r="L190" s="449"/>
      <c r="M190" s="450">
        <v>0</v>
      </c>
      <c r="N190" s="451" t="s">
        <v>1096</v>
      </c>
      <c r="O190" s="114" t="s">
        <v>370</v>
      </c>
      <c r="P190" s="452" t="s">
        <v>1094</v>
      </c>
      <c r="Q190" s="453"/>
    </row>
    <row r="191" spans="1:17">
      <c r="A191" s="414" t="s">
        <v>1100</v>
      </c>
      <c r="B191" s="206">
        <v>34005</v>
      </c>
      <c r="C191" s="445">
        <v>2</v>
      </c>
      <c r="D191" s="446" t="s">
        <v>245</v>
      </c>
      <c r="E191" s="447" t="s">
        <v>249</v>
      </c>
      <c r="F191" s="448" t="s">
        <v>308</v>
      </c>
      <c r="G191" s="449">
        <v>41033</v>
      </c>
      <c r="H191" s="449">
        <v>41026</v>
      </c>
      <c r="I191" s="449"/>
      <c r="J191" s="450">
        <v>0</v>
      </c>
      <c r="K191" s="449">
        <v>41052</v>
      </c>
      <c r="L191" s="449"/>
      <c r="M191" s="450">
        <v>0</v>
      </c>
      <c r="N191" s="451" t="s">
        <v>1096</v>
      </c>
      <c r="O191" s="114" t="s">
        <v>370</v>
      </c>
      <c r="P191" s="452" t="s">
        <v>1094</v>
      </c>
      <c r="Q191" s="453"/>
    </row>
    <row r="192" spans="1:17">
      <c r="A192" s="414" t="s">
        <v>1099</v>
      </c>
      <c r="B192" s="206">
        <v>34004</v>
      </c>
      <c r="C192" s="445">
        <v>3</v>
      </c>
      <c r="D192" s="446" t="s">
        <v>245</v>
      </c>
      <c r="E192" s="447" t="s">
        <v>249</v>
      </c>
      <c r="F192" s="448" t="s">
        <v>308</v>
      </c>
      <c r="G192" s="449">
        <v>41033</v>
      </c>
      <c r="H192" s="449">
        <v>41026</v>
      </c>
      <c r="I192" s="449"/>
      <c r="J192" s="450">
        <v>0</v>
      </c>
      <c r="K192" s="449">
        <v>41052</v>
      </c>
      <c r="L192" s="449"/>
      <c r="M192" s="450">
        <v>0</v>
      </c>
      <c r="N192" s="451" t="s">
        <v>1096</v>
      </c>
      <c r="O192" s="114" t="s">
        <v>370</v>
      </c>
      <c r="P192" s="452" t="s">
        <v>1094</v>
      </c>
      <c r="Q192" s="453"/>
    </row>
    <row r="193" spans="1:17">
      <c r="A193" s="414" t="s">
        <v>1098</v>
      </c>
      <c r="B193" s="206">
        <v>34003</v>
      </c>
      <c r="C193" s="445">
        <v>2</v>
      </c>
      <c r="D193" s="446" t="s">
        <v>245</v>
      </c>
      <c r="E193" s="447" t="s">
        <v>249</v>
      </c>
      <c r="F193" s="448" t="s">
        <v>308</v>
      </c>
      <c r="G193" s="449">
        <v>41033</v>
      </c>
      <c r="H193" s="449">
        <v>41026</v>
      </c>
      <c r="I193" s="449"/>
      <c r="J193" s="450">
        <v>0</v>
      </c>
      <c r="K193" s="449">
        <v>41052</v>
      </c>
      <c r="L193" s="449"/>
      <c r="M193" s="450">
        <v>0</v>
      </c>
      <c r="N193" s="451" t="s">
        <v>1096</v>
      </c>
      <c r="O193" s="114" t="s">
        <v>370</v>
      </c>
      <c r="P193" s="452" t="s">
        <v>1094</v>
      </c>
      <c r="Q193" s="453"/>
    </row>
    <row r="194" spans="1:17">
      <c r="A194" s="414" t="s">
        <v>1097</v>
      </c>
      <c r="B194" s="206">
        <v>34002</v>
      </c>
      <c r="C194" s="445">
        <v>2</v>
      </c>
      <c r="D194" s="446" t="s">
        <v>245</v>
      </c>
      <c r="E194" s="447" t="s">
        <v>249</v>
      </c>
      <c r="F194" s="448" t="s">
        <v>308</v>
      </c>
      <c r="G194" s="449">
        <v>41033</v>
      </c>
      <c r="H194" s="449">
        <v>41026</v>
      </c>
      <c r="I194" s="449"/>
      <c r="J194" s="450">
        <v>0</v>
      </c>
      <c r="K194" s="449">
        <v>41052</v>
      </c>
      <c r="L194" s="449"/>
      <c r="M194" s="450">
        <v>0</v>
      </c>
      <c r="N194" s="451" t="s">
        <v>1096</v>
      </c>
      <c r="O194" s="114" t="s">
        <v>370</v>
      </c>
      <c r="P194" s="452" t="s">
        <v>1094</v>
      </c>
      <c r="Q194" s="453"/>
    </row>
    <row r="195" spans="1:17">
      <c r="A195" s="414" t="s">
        <v>1095</v>
      </c>
      <c r="B195" s="206">
        <v>33990</v>
      </c>
      <c r="C195" s="445">
        <v>2</v>
      </c>
      <c r="D195" s="446" t="s">
        <v>245</v>
      </c>
      <c r="E195" s="447" t="s">
        <v>249</v>
      </c>
      <c r="F195" s="448" t="s">
        <v>308</v>
      </c>
      <c r="G195" s="449">
        <v>41032</v>
      </c>
      <c r="H195" s="449">
        <v>41026</v>
      </c>
      <c r="I195" s="449"/>
      <c r="J195" s="450">
        <v>0</v>
      </c>
      <c r="K195" s="449">
        <v>41052</v>
      </c>
      <c r="L195" s="449"/>
      <c r="M195" s="450">
        <v>0</v>
      </c>
      <c r="N195" s="451" t="s">
        <v>1096</v>
      </c>
      <c r="O195" s="114" t="s">
        <v>370</v>
      </c>
      <c r="P195" s="452" t="s">
        <v>1094</v>
      </c>
      <c r="Q195" s="453"/>
    </row>
    <row r="196" spans="1:17">
      <c r="A196" s="414" t="s">
        <v>1118</v>
      </c>
      <c r="B196" s="206">
        <v>34031</v>
      </c>
      <c r="C196" s="445">
        <v>2</v>
      </c>
      <c r="D196" s="446" t="s">
        <v>245</v>
      </c>
      <c r="E196" s="447" t="s">
        <v>249</v>
      </c>
      <c r="F196" s="448" t="s">
        <v>308</v>
      </c>
      <c r="G196" s="449">
        <v>41038</v>
      </c>
      <c r="H196" s="449">
        <v>41026</v>
      </c>
      <c r="I196" s="449"/>
      <c r="J196" s="450">
        <v>0</v>
      </c>
      <c r="K196" s="449">
        <v>41052</v>
      </c>
      <c r="L196" s="449"/>
      <c r="M196" s="450">
        <v>0</v>
      </c>
      <c r="N196" s="451" t="s">
        <v>1086</v>
      </c>
      <c r="O196" s="114" t="s">
        <v>370</v>
      </c>
      <c r="P196" s="452" t="s">
        <v>712</v>
      </c>
      <c r="Q196" s="453"/>
    </row>
    <row r="197" spans="1:17">
      <c r="A197" s="414" t="s">
        <v>1134</v>
      </c>
      <c r="B197" s="206">
        <v>34118</v>
      </c>
      <c r="C197" s="445">
        <v>3</v>
      </c>
      <c r="D197" s="446" t="s">
        <v>245</v>
      </c>
      <c r="E197" s="447" t="s">
        <v>249</v>
      </c>
      <c r="F197" s="448" t="s">
        <v>308</v>
      </c>
      <c r="G197" s="449">
        <v>41050</v>
      </c>
      <c r="H197" s="449">
        <v>41026</v>
      </c>
      <c r="I197" s="449"/>
      <c r="J197" s="450">
        <v>0</v>
      </c>
      <c r="K197" s="449">
        <v>41052</v>
      </c>
      <c r="L197" s="449"/>
      <c r="M197" s="450">
        <v>0</v>
      </c>
      <c r="N197" s="451"/>
      <c r="O197" s="114" t="s">
        <v>370</v>
      </c>
      <c r="P197" s="452" t="s">
        <v>1135</v>
      </c>
      <c r="Q197" s="453"/>
    </row>
    <row r="198" spans="1:17">
      <c r="A198" s="414" t="s">
        <v>1126</v>
      </c>
      <c r="B198" s="206">
        <v>34084</v>
      </c>
      <c r="C198" s="445">
        <v>1</v>
      </c>
      <c r="D198" s="446" t="s">
        <v>245</v>
      </c>
      <c r="E198" s="447" t="s">
        <v>249</v>
      </c>
      <c r="F198" s="448" t="s">
        <v>308</v>
      </c>
      <c r="G198" s="449">
        <v>41044</v>
      </c>
      <c r="H198" s="449">
        <v>41026</v>
      </c>
      <c r="I198" s="449"/>
      <c r="J198" s="450">
        <v>0</v>
      </c>
      <c r="K198" s="449">
        <v>41052</v>
      </c>
      <c r="L198" s="449"/>
      <c r="M198" s="450">
        <v>0</v>
      </c>
      <c r="N198" s="451" t="s">
        <v>1127</v>
      </c>
      <c r="O198" s="114" t="s">
        <v>370</v>
      </c>
      <c r="P198" s="452" t="s">
        <v>711</v>
      </c>
      <c r="Q198" s="453"/>
    </row>
    <row r="199" spans="1:17">
      <c r="A199" s="414" t="s">
        <v>1130</v>
      </c>
      <c r="B199" s="206">
        <v>34113</v>
      </c>
      <c r="C199" s="445">
        <v>2</v>
      </c>
      <c r="D199" s="446" t="s">
        <v>245</v>
      </c>
      <c r="E199" s="447" t="s">
        <v>249</v>
      </c>
      <c r="F199" s="448" t="s">
        <v>308</v>
      </c>
      <c r="G199" s="449">
        <v>41050</v>
      </c>
      <c r="H199" s="449">
        <v>41026</v>
      </c>
      <c r="I199" s="449"/>
      <c r="J199" s="450">
        <v>0</v>
      </c>
      <c r="K199" s="449">
        <v>41052</v>
      </c>
      <c r="L199" s="449"/>
      <c r="M199" s="450">
        <v>0</v>
      </c>
      <c r="N199" s="451" t="s">
        <v>1131</v>
      </c>
      <c r="O199" s="114" t="s">
        <v>370</v>
      </c>
      <c r="P199" s="452" t="s">
        <v>912</v>
      </c>
      <c r="Q199" s="453"/>
    </row>
    <row r="200" spans="1:17">
      <c r="A200" s="414" t="s">
        <v>1128</v>
      </c>
      <c r="B200" s="206">
        <v>34087</v>
      </c>
      <c r="C200" s="445">
        <v>1</v>
      </c>
      <c r="D200" s="446" t="s">
        <v>245</v>
      </c>
      <c r="E200" s="447" t="s">
        <v>249</v>
      </c>
      <c r="F200" s="448" t="s">
        <v>308</v>
      </c>
      <c r="G200" s="449">
        <v>41044</v>
      </c>
      <c r="H200" s="449">
        <v>41026</v>
      </c>
      <c r="I200" s="449"/>
      <c r="J200" s="450">
        <v>0</v>
      </c>
      <c r="K200" s="449">
        <v>41052</v>
      </c>
      <c r="L200" s="449"/>
      <c r="M200" s="450">
        <v>0</v>
      </c>
      <c r="N200" s="451" t="s">
        <v>1129</v>
      </c>
      <c r="O200" s="114" t="s">
        <v>370</v>
      </c>
      <c r="P200" s="452" t="s">
        <v>711</v>
      </c>
      <c r="Q200" s="453"/>
    </row>
    <row r="201" spans="1:17">
      <c r="A201" s="414" t="s">
        <v>1139</v>
      </c>
      <c r="B201" s="206">
        <v>34127</v>
      </c>
      <c r="C201" s="445">
        <v>3</v>
      </c>
      <c r="D201" s="446" t="s">
        <v>245</v>
      </c>
      <c r="E201" s="447" t="s">
        <v>249</v>
      </c>
      <c r="F201" s="448" t="s">
        <v>308</v>
      </c>
      <c r="G201" s="449">
        <v>41051</v>
      </c>
      <c r="H201" s="449">
        <v>41026</v>
      </c>
      <c r="I201" s="449"/>
      <c r="J201" s="450">
        <v>0</v>
      </c>
      <c r="K201" s="449">
        <v>41052</v>
      </c>
      <c r="L201" s="449"/>
      <c r="M201" s="450">
        <v>0</v>
      </c>
      <c r="N201" s="451" t="s">
        <v>1131</v>
      </c>
      <c r="O201" s="114" t="s">
        <v>370</v>
      </c>
      <c r="P201" s="452" t="s">
        <v>960</v>
      </c>
      <c r="Q201" s="453"/>
    </row>
    <row r="202" spans="1:17">
      <c r="A202" s="414" t="s">
        <v>1136</v>
      </c>
      <c r="B202" s="206">
        <v>34119</v>
      </c>
      <c r="C202" s="445">
        <v>3</v>
      </c>
      <c r="D202" s="446" t="s">
        <v>245</v>
      </c>
      <c r="E202" s="447" t="s">
        <v>249</v>
      </c>
      <c r="F202" s="448" t="s">
        <v>308</v>
      </c>
      <c r="G202" s="449">
        <v>41050</v>
      </c>
      <c r="H202" s="449">
        <v>41026</v>
      </c>
      <c r="I202" s="449"/>
      <c r="J202" s="450">
        <v>0</v>
      </c>
      <c r="K202" s="449">
        <v>41052</v>
      </c>
      <c r="L202" s="449"/>
      <c r="M202" s="450">
        <v>0</v>
      </c>
      <c r="N202" s="451" t="s">
        <v>1131</v>
      </c>
      <c r="O202" s="114" t="s">
        <v>370</v>
      </c>
      <c r="P202" s="452" t="s">
        <v>960</v>
      </c>
      <c r="Q202" s="453"/>
    </row>
    <row r="203" spans="1:17">
      <c r="A203" s="414" t="s">
        <v>1138</v>
      </c>
      <c r="B203" s="206">
        <v>34126</v>
      </c>
      <c r="C203" s="445">
        <v>1</v>
      </c>
      <c r="D203" s="446" t="s">
        <v>245</v>
      </c>
      <c r="E203" s="447" t="s">
        <v>249</v>
      </c>
      <c r="F203" s="448" t="s">
        <v>308</v>
      </c>
      <c r="G203" s="449">
        <v>41051</v>
      </c>
      <c r="H203" s="449">
        <v>41026</v>
      </c>
      <c r="I203" s="449"/>
      <c r="J203" s="450">
        <v>0</v>
      </c>
      <c r="K203" s="449">
        <v>41052</v>
      </c>
      <c r="L203" s="449"/>
      <c r="M203" s="450">
        <v>0</v>
      </c>
      <c r="N203" s="451" t="s">
        <v>1131</v>
      </c>
      <c r="O203" s="114" t="s">
        <v>370</v>
      </c>
      <c r="P203" s="452" t="s">
        <v>1022</v>
      </c>
      <c r="Q203" s="453"/>
    </row>
    <row r="204" spans="1:17">
      <c r="A204" s="414" t="s">
        <v>1140</v>
      </c>
      <c r="B204" s="206">
        <v>34156</v>
      </c>
      <c r="C204" s="445">
        <v>2</v>
      </c>
      <c r="D204" s="446" t="s">
        <v>245</v>
      </c>
      <c r="E204" s="447" t="s">
        <v>249</v>
      </c>
      <c r="F204" s="448" t="s">
        <v>308</v>
      </c>
      <c r="G204" s="449">
        <v>41054</v>
      </c>
      <c r="H204" s="449">
        <v>41026</v>
      </c>
      <c r="I204" s="449"/>
      <c r="J204" s="450">
        <v>0</v>
      </c>
      <c r="K204" s="449">
        <v>41052</v>
      </c>
      <c r="L204" s="449"/>
      <c r="M204" s="450">
        <v>0</v>
      </c>
      <c r="N204" s="451" t="s">
        <v>1131</v>
      </c>
      <c r="O204" s="114" t="s">
        <v>370</v>
      </c>
      <c r="P204" s="452" t="s">
        <v>963</v>
      </c>
      <c r="Q204" s="453"/>
    </row>
    <row r="205" spans="1:17">
      <c r="A205" s="414" t="s">
        <v>1141</v>
      </c>
      <c r="B205" s="206">
        <v>34158</v>
      </c>
      <c r="C205" s="445">
        <v>3</v>
      </c>
      <c r="D205" s="446" t="s">
        <v>245</v>
      </c>
      <c r="E205" s="447" t="s">
        <v>249</v>
      </c>
      <c r="F205" s="448" t="s">
        <v>308</v>
      </c>
      <c r="G205" s="449">
        <v>41054</v>
      </c>
      <c r="H205" s="449">
        <v>41026</v>
      </c>
      <c r="I205" s="449"/>
      <c r="J205" s="450">
        <v>0</v>
      </c>
      <c r="K205" s="449">
        <v>41052</v>
      </c>
      <c r="L205" s="449"/>
      <c r="M205" s="450">
        <v>0</v>
      </c>
      <c r="N205" s="451" t="s">
        <v>1142</v>
      </c>
      <c r="O205" s="114" t="s">
        <v>370</v>
      </c>
      <c r="P205" s="452" t="s">
        <v>1094</v>
      </c>
      <c r="Q205" s="453"/>
    </row>
    <row r="206" spans="1:17">
      <c r="A206" s="414" t="s">
        <v>1179</v>
      </c>
      <c r="B206" s="206">
        <v>34584</v>
      </c>
      <c r="C206" s="445">
        <v>3</v>
      </c>
      <c r="D206" s="446" t="s">
        <v>245</v>
      </c>
      <c r="E206" s="447" t="s">
        <v>249</v>
      </c>
      <c r="F206" s="448" t="s">
        <v>308</v>
      </c>
      <c r="G206" s="449">
        <v>41115</v>
      </c>
      <c r="H206" s="449">
        <v>41026</v>
      </c>
      <c r="I206" s="449"/>
      <c r="J206" s="450">
        <v>0</v>
      </c>
      <c r="K206" s="449">
        <v>41052</v>
      </c>
      <c r="L206" s="449"/>
      <c r="M206" s="450">
        <v>0</v>
      </c>
      <c r="N206" s="451" t="s">
        <v>1180</v>
      </c>
      <c r="O206" s="114" t="s">
        <v>370</v>
      </c>
      <c r="P206" s="452" t="s">
        <v>1181</v>
      </c>
      <c r="Q206" s="453"/>
    </row>
    <row r="207" spans="1:17">
      <c r="A207" s="414" t="s">
        <v>1182</v>
      </c>
      <c r="B207" s="206">
        <v>34585</v>
      </c>
      <c r="C207" s="445">
        <v>3</v>
      </c>
      <c r="D207" s="446" t="s">
        <v>245</v>
      </c>
      <c r="E207" s="447" t="s">
        <v>249</v>
      </c>
      <c r="F207" s="448" t="s">
        <v>308</v>
      </c>
      <c r="G207" s="449">
        <v>41115</v>
      </c>
      <c r="H207" s="449">
        <v>41026</v>
      </c>
      <c r="I207" s="449"/>
      <c r="J207" s="450">
        <v>0</v>
      </c>
      <c r="K207" s="449">
        <v>41052</v>
      </c>
      <c r="L207" s="449"/>
      <c r="M207" s="450">
        <v>0</v>
      </c>
      <c r="N207" s="451" t="s">
        <v>1183</v>
      </c>
      <c r="O207" s="114" t="s">
        <v>370</v>
      </c>
      <c r="P207" s="452" t="s">
        <v>1184</v>
      </c>
      <c r="Q207" s="453"/>
    </row>
    <row r="208" spans="1:17">
      <c r="A208" s="414" t="s">
        <v>1187</v>
      </c>
      <c r="B208" s="206">
        <v>34622</v>
      </c>
      <c r="C208" s="445">
        <v>3</v>
      </c>
      <c r="D208" s="446" t="s">
        <v>245</v>
      </c>
      <c r="E208" s="447" t="s">
        <v>249</v>
      </c>
      <c r="F208" s="448" t="s">
        <v>308</v>
      </c>
      <c r="G208" s="449">
        <v>41121</v>
      </c>
      <c r="H208" s="449">
        <v>41026</v>
      </c>
      <c r="I208" s="449"/>
      <c r="J208" s="450">
        <v>0</v>
      </c>
      <c r="K208" s="449">
        <v>41052</v>
      </c>
      <c r="L208" s="449"/>
      <c r="M208" s="450">
        <v>0</v>
      </c>
      <c r="N208" s="451" t="s">
        <v>1183</v>
      </c>
      <c r="O208" s="114" t="s">
        <v>370</v>
      </c>
      <c r="P208" s="452" t="s">
        <v>1181</v>
      </c>
      <c r="Q208" s="453"/>
    </row>
    <row r="209" spans="1:17">
      <c r="A209" s="414" t="s">
        <v>1185</v>
      </c>
      <c r="B209" s="206">
        <v>34586</v>
      </c>
      <c r="C209" s="445">
        <v>2</v>
      </c>
      <c r="D209" s="446" t="s">
        <v>245</v>
      </c>
      <c r="E209" s="447" t="s">
        <v>249</v>
      </c>
      <c r="F209" s="448" t="s">
        <v>308</v>
      </c>
      <c r="G209" s="449">
        <v>41115</v>
      </c>
      <c r="H209" s="449">
        <v>41026</v>
      </c>
      <c r="I209" s="449"/>
      <c r="J209" s="450">
        <v>0</v>
      </c>
      <c r="K209" s="449">
        <v>41052</v>
      </c>
      <c r="L209" s="449"/>
      <c r="M209" s="450">
        <v>0</v>
      </c>
      <c r="N209" s="451" t="s">
        <v>1183</v>
      </c>
      <c r="O209" s="114" t="s">
        <v>370</v>
      </c>
      <c r="P209" s="452" t="s">
        <v>1181</v>
      </c>
      <c r="Q209" s="453"/>
    </row>
    <row r="210" spans="1:17">
      <c r="A210" s="414" t="s">
        <v>1192</v>
      </c>
      <c r="B210" s="206">
        <v>34801</v>
      </c>
      <c r="C210" s="445">
        <v>2</v>
      </c>
      <c r="D210" s="446" t="s">
        <v>245</v>
      </c>
      <c r="E210" s="447" t="s">
        <v>249</v>
      </c>
      <c r="F210" s="448" t="s">
        <v>308</v>
      </c>
      <c r="G210" s="449">
        <v>41155</v>
      </c>
      <c r="H210" s="449">
        <v>41026</v>
      </c>
      <c r="I210" s="449"/>
      <c r="J210" s="450">
        <v>0</v>
      </c>
      <c r="K210" s="449">
        <v>41052</v>
      </c>
      <c r="L210" s="449"/>
      <c r="M210" s="450">
        <v>0</v>
      </c>
      <c r="N210" s="451" t="s">
        <v>1193</v>
      </c>
      <c r="O210" s="114" t="s">
        <v>370</v>
      </c>
      <c r="P210" s="452" t="s">
        <v>1181</v>
      </c>
      <c r="Q210" s="453"/>
    </row>
    <row r="211" spans="1:17">
      <c r="A211" s="414" t="s">
        <v>1194</v>
      </c>
      <c r="B211" s="206">
        <v>34802</v>
      </c>
      <c r="C211" s="445">
        <v>2</v>
      </c>
      <c r="D211" s="446" t="s">
        <v>245</v>
      </c>
      <c r="E211" s="447" t="s">
        <v>249</v>
      </c>
      <c r="F211" s="448" t="s">
        <v>308</v>
      </c>
      <c r="G211" s="449">
        <v>41155</v>
      </c>
      <c r="H211" s="449">
        <v>41026</v>
      </c>
      <c r="I211" s="449"/>
      <c r="J211" s="450">
        <v>0</v>
      </c>
      <c r="K211" s="449">
        <v>41052</v>
      </c>
      <c r="L211" s="449"/>
      <c r="M211" s="450">
        <v>0</v>
      </c>
      <c r="N211" s="451" t="s">
        <v>1193</v>
      </c>
      <c r="O211" s="114" t="s">
        <v>370</v>
      </c>
      <c r="P211" s="452" t="s">
        <v>1195</v>
      </c>
      <c r="Q211" s="453"/>
    </row>
    <row r="212" spans="1:17">
      <c r="A212" s="414" t="s">
        <v>1196</v>
      </c>
      <c r="B212" s="206">
        <v>34803</v>
      </c>
      <c r="C212" s="445">
        <v>3</v>
      </c>
      <c r="D212" s="446" t="s">
        <v>245</v>
      </c>
      <c r="E212" s="447" t="s">
        <v>249</v>
      </c>
      <c r="F212" s="448" t="s">
        <v>308</v>
      </c>
      <c r="G212" s="449">
        <v>41155</v>
      </c>
      <c r="H212" s="449">
        <v>41026</v>
      </c>
      <c r="I212" s="449"/>
      <c r="J212" s="450">
        <v>0</v>
      </c>
      <c r="K212" s="449">
        <v>41052</v>
      </c>
      <c r="L212" s="449"/>
      <c r="M212" s="450">
        <v>0</v>
      </c>
      <c r="N212" s="451" t="s">
        <v>1193</v>
      </c>
      <c r="O212" s="114" t="s">
        <v>370</v>
      </c>
      <c r="P212" s="452" t="s">
        <v>711</v>
      </c>
      <c r="Q212" s="453"/>
    </row>
    <row r="213" spans="1:17">
      <c r="A213" s="414" t="s">
        <v>1198</v>
      </c>
      <c r="B213" s="206">
        <v>34839</v>
      </c>
      <c r="C213" s="445">
        <v>2</v>
      </c>
      <c r="D213" s="446" t="s">
        <v>245</v>
      </c>
      <c r="E213" s="447" t="s">
        <v>249</v>
      </c>
      <c r="F213" s="448" t="s">
        <v>308</v>
      </c>
      <c r="G213" s="449">
        <v>41157</v>
      </c>
      <c r="H213" s="449">
        <v>41026</v>
      </c>
      <c r="I213" s="449"/>
      <c r="J213" s="450">
        <v>0</v>
      </c>
      <c r="K213" s="449">
        <v>41052</v>
      </c>
      <c r="L213" s="449"/>
      <c r="M213" s="450">
        <v>0</v>
      </c>
      <c r="N213" s="451" t="s">
        <v>1193</v>
      </c>
      <c r="O213" s="114" t="s">
        <v>370</v>
      </c>
      <c r="P213" s="452" t="s">
        <v>1199</v>
      </c>
      <c r="Q213" s="453"/>
    </row>
    <row r="214" spans="1:17">
      <c r="A214" s="414" t="s">
        <v>1205</v>
      </c>
      <c r="B214" s="206">
        <v>34899</v>
      </c>
      <c r="C214" s="445">
        <v>1</v>
      </c>
      <c r="D214" s="446" t="s">
        <v>245</v>
      </c>
      <c r="E214" s="447" t="s">
        <v>249</v>
      </c>
      <c r="F214" s="448" t="s">
        <v>308</v>
      </c>
      <c r="G214" s="449">
        <v>41163</v>
      </c>
      <c r="H214" s="449">
        <v>41026</v>
      </c>
      <c r="I214" s="449"/>
      <c r="J214" s="450">
        <v>0</v>
      </c>
      <c r="K214" s="449">
        <v>41052</v>
      </c>
      <c r="L214" s="449"/>
      <c r="M214" s="450">
        <v>0</v>
      </c>
      <c r="N214" s="451" t="s">
        <v>1202</v>
      </c>
      <c r="O214" s="114" t="s">
        <v>370</v>
      </c>
      <c r="P214" s="452" t="s">
        <v>1190</v>
      </c>
      <c r="Q214" s="453"/>
    </row>
    <row r="215" spans="1:17">
      <c r="A215" s="414" t="s">
        <v>1137</v>
      </c>
      <c r="B215" s="206">
        <v>34124</v>
      </c>
      <c r="C215" s="445">
        <v>2</v>
      </c>
      <c r="D215" s="446" t="s">
        <v>245</v>
      </c>
      <c r="E215" s="447" t="s">
        <v>249</v>
      </c>
      <c r="F215" s="448" t="s">
        <v>308</v>
      </c>
      <c r="G215" s="449">
        <v>41050</v>
      </c>
      <c r="H215" s="449">
        <v>41026</v>
      </c>
      <c r="I215" s="449"/>
      <c r="J215" s="450">
        <v>0</v>
      </c>
      <c r="K215" s="449">
        <v>41052</v>
      </c>
      <c r="L215" s="449"/>
      <c r="M215" s="450">
        <v>0</v>
      </c>
      <c r="N215" s="451" t="s">
        <v>1034</v>
      </c>
      <c r="O215" s="114" t="s">
        <v>370</v>
      </c>
      <c r="P215" s="452" t="s">
        <v>709</v>
      </c>
      <c r="Q215" s="453"/>
    </row>
    <row r="216" spans="1:17">
      <c r="A216" s="414" t="s">
        <v>1153</v>
      </c>
      <c r="B216" s="206">
        <v>34349</v>
      </c>
      <c r="C216" s="445">
        <v>1</v>
      </c>
      <c r="D216" s="446" t="s">
        <v>245</v>
      </c>
      <c r="E216" s="447" t="s">
        <v>249</v>
      </c>
      <c r="F216" s="448" t="s">
        <v>308</v>
      </c>
      <c r="G216" s="449">
        <v>41087</v>
      </c>
      <c r="H216" s="449">
        <v>41026</v>
      </c>
      <c r="I216" s="449"/>
      <c r="J216" s="450">
        <v>0</v>
      </c>
      <c r="K216" s="449">
        <v>41052</v>
      </c>
      <c r="L216" s="449"/>
      <c r="M216" s="450">
        <v>0</v>
      </c>
      <c r="N216" s="451" t="s">
        <v>1152</v>
      </c>
      <c r="O216" s="114" t="s">
        <v>370</v>
      </c>
      <c r="P216" s="452" t="s">
        <v>976</v>
      </c>
      <c r="Q216" s="453"/>
    </row>
    <row r="217" spans="1:17">
      <c r="A217" s="414" t="s">
        <v>1295</v>
      </c>
      <c r="B217" s="206">
        <v>35745</v>
      </c>
      <c r="C217" s="445">
        <v>2</v>
      </c>
      <c r="D217" s="446" t="s">
        <v>245</v>
      </c>
      <c r="E217" s="447" t="s">
        <v>249</v>
      </c>
      <c r="F217" s="448" t="s">
        <v>308</v>
      </c>
      <c r="G217" s="449">
        <v>41302</v>
      </c>
      <c r="H217" s="449">
        <v>41026</v>
      </c>
      <c r="I217" s="449"/>
      <c r="J217" s="450">
        <v>0</v>
      </c>
      <c r="K217" s="449">
        <v>41052</v>
      </c>
      <c r="L217" s="449"/>
      <c r="M217" s="450">
        <v>0</v>
      </c>
      <c r="N217" s="451">
        <v>6.33</v>
      </c>
      <c r="O217" s="114" t="s">
        <v>370</v>
      </c>
      <c r="P217" s="452" t="s">
        <v>901</v>
      </c>
      <c r="Q217" s="453"/>
    </row>
  </sheetData>
  <autoFilter ref="A12:Q12">
    <filterColumn colId="16">
      <customFilters>
        <customFilter operator="notEqual" val=" "/>
      </customFilters>
    </filterColumn>
  </autoFilter>
  <mergeCells count="7">
    <mergeCell ref="F4:J4"/>
    <mergeCell ref="K4:M4"/>
    <mergeCell ref="A4:B4"/>
    <mergeCell ref="C2:D2"/>
    <mergeCell ref="A2:B2"/>
    <mergeCell ref="D4:D5"/>
    <mergeCell ref="E4:E5"/>
  </mergeCells>
  <phoneticPr fontId="104" type="noConversion"/>
  <conditionalFormatting sqref="E12 M10:M11 M1:M3">
    <cfRule type="cellIs" dxfId="979" priority="276674" stopIfTrue="1" operator="equal">
      <formula>Etats_possibles_Corr</formula>
    </cfRule>
    <cfRule type="expression" dxfId="978" priority="276675" stopIfTrue="1">
      <formula>OR(#REF!=PIMMS,"N12=DNR")</formula>
    </cfRule>
  </conditionalFormatting>
  <conditionalFormatting sqref="J11 J1:J3">
    <cfRule type="cellIs" dxfId="977" priority="276676" stopIfTrue="1" operator="greaterThanOrEqual">
      <formula>1</formula>
    </cfRule>
  </conditionalFormatting>
  <conditionalFormatting sqref="E44">
    <cfRule type="cellIs" dxfId="976" priority="733" stopIfTrue="1" operator="equal">
      <formula>"Rejetée"</formula>
    </cfRule>
    <cfRule type="cellIs" dxfId="975" priority="734" stopIfTrue="1" operator="equal">
      <formula>Etats_possibles_Corr</formula>
    </cfRule>
    <cfRule type="cellIs" dxfId="974" priority="735" stopIfTrue="1" operator="equal">
      <formula>"DNR"</formula>
    </cfRule>
  </conditionalFormatting>
  <conditionalFormatting sqref="M16 J16">
    <cfRule type="cellIs" dxfId="973" priority="848" stopIfTrue="1" operator="greaterThanOrEqual">
      <formula>1</formula>
    </cfRule>
  </conditionalFormatting>
  <conditionalFormatting sqref="E16">
    <cfRule type="cellIs" dxfId="972" priority="845" stopIfTrue="1" operator="equal">
      <formula>"Rejetée"</formula>
    </cfRule>
    <cfRule type="cellIs" dxfId="971" priority="846" stopIfTrue="1" operator="equal">
      <formula>Etats_possibles_Corr</formula>
    </cfRule>
    <cfRule type="cellIs" dxfId="970" priority="847" stopIfTrue="1" operator="equal">
      <formula>"DNR"</formula>
    </cfRule>
  </conditionalFormatting>
  <conditionalFormatting sqref="M17 J17">
    <cfRule type="cellIs" dxfId="969" priority="844" stopIfTrue="1" operator="greaterThanOrEqual">
      <formula>1</formula>
    </cfRule>
  </conditionalFormatting>
  <conditionalFormatting sqref="E17">
    <cfRule type="cellIs" dxfId="968" priority="841" stopIfTrue="1" operator="equal">
      <formula>"Rejetée"</formula>
    </cfRule>
    <cfRule type="cellIs" dxfId="967" priority="842" stopIfTrue="1" operator="equal">
      <formula>Etats_possibles_Corr</formula>
    </cfRule>
    <cfRule type="cellIs" dxfId="966" priority="843" stopIfTrue="1" operator="equal">
      <formula>"DNR"</formula>
    </cfRule>
  </conditionalFormatting>
  <conditionalFormatting sqref="M18 J18">
    <cfRule type="cellIs" dxfId="965" priority="840" stopIfTrue="1" operator="greaterThanOrEqual">
      <formula>1</formula>
    </cfRule>
  </conditionalFormatting>
  <conditionalFormatting sqref="E18">
    <cfRule type="cellIs" dxfId="964" priority="837" stopIfTrue="1" operator="equal">
      <formula>"Rejetée"</formula>
    </cfRule>
    <cfRule type="cellIs" dxfId="963" priority="838" stopIfTrue="1" operator="equal">
      <formula>Etats_possibles_Corr</formula>
    </cfRule>
    <cfRule type="cellIs" dxfId="962" priority="839" stopIfTrue="1" operator="equal">
      <formula>"DNR"</formula>
    </cfRule>
  </conditionalFormatting>
  <conditionalFormatting sqref="M19 J19">
    <cfRule type="cellIs" dxfId="961" priority="836" stopIfTrue="1" operator="greaterThanOrEqual">
      <formula>1</formula>
    </cfRule>
  </conditionalFormatting>
  <conditionalFormatting sqref="E19">
    <cfRule type="cellIs" dxfId="960" priority="833" stopIfTrue="1" operator="equal">
      <formula>"Rejetée"</formula>
    </cfRule>
    <cfRule type="cellIs" dxfId="959" priority="834" stopIfTrue="1" operator="equal">
      <formula>Etats_possibles_Corr</formula>
    </cfRule>
    <cfRule type="cellIs" dxfId="958" priority="835" stopIfTrue="1" operator="equal">
      <formula>"DNR"</formula>
    </cfRule>
  </conditionalFormatting>
  <conditionalFormatting sqref="M20 J20">
    <cfRule type="cellIs" dxfId="957" priority="832" stopIfTrue="1" operator="greaterThanOrEqual">
      <formula>1</formula>
    </cfRule>
  </conditionalFormatting>
  <conditionalFormatting sqref="E20">
    <cfRule type="cellIs" dxfId="956" priority="829" stopIfTrue="1" operator="equal">
      <formula>"Rejetée"</formula>
    </cfRule>
    <cfRule type="cellIs" dxfId="955" priority="830" stopIfTrue="1" operator="equal">
      <formula>Etats_possibles_Corr</formula>
    </cfRule>
    <cfRule type="cellIs" dxfId="954" priority="831" stopIfTrue="1" operator="equal">
      <formula>"DNR"</formula>
    </cfRule>
  </conditionalFormatting>
  <conditionalFormatting sqref="M21 J21">
    <cfRule type="cellIs" dxfId="953" priority="828" stopIfTrue="1" operator="greaterThanOrEqual">
      <formula>1</formula>
    </cfRule>
  </conditionalFormatting>
  <conditionalFormatting sqref="E21">
    <cfRule type="cellIs" dxfId="952" priority="825" stopIfTrue="1" operator="equal">
      <formula>"Rejetée"</formula>
    </cfRule>
    <cfRule type="cellIs" dxfId="951" priority="826" stopIfTrue="1" operator="equal">
      <formula>Etats_possibles_Corr</formula>
    </cfRule>
    <cfRule type="cellIs" dxfId="950" priority="827" stopIfTrue="1" operator="equal">
      <formula>"DNR"</formula>
    </cfRule>
  </conditionalFormatting>
  <conditionalFormatting sqref="M22 J22">
    <cfRule type="cellIs" dxfId="949" priority="824" stopIfTrue="1" operator="greaterThanOrEqual">
      <formula>1</formula>
    </cfRule>
  </conditionalFormatting>
  <conditionalFormatting sqref="E22">
    <cfRule type="cellIs" dxfId="948" priority="821" stopIfTrue="1" operator="equal">
      <formula>"Rejetée"</formula>
    </cfRule>
    <cfRule type="cellIs" dxfId="947" priority="822" stopIfTrue="1" operator="equal">
      <formula>Etats_possibles_Corr</formula>
    </cfRule>
    <cfRule type="cellIs" dxfId="946" priority="823" stopIfTrue="1" operator="equal">
      <formula>"DNR"</formula>
    </cfRule>
  </conditionalFormatting>
  <conditionalFormatting sqref="M23 J23">
    <cfRule type="cellIs" dxfId="945" priority="820" stopIfTrue="1" operator="greaterThanOrEqual">
      <formula>1</formula>
    </cfRule>
  </conditionalFormatting>
  <conditionalFormatting sqref="E23">
    <cfRule type="cellIs" dxfId="944" priority="817" stopIfTrue="1" operator="equal">
      <formula>"Rejetée"</formula>
    </cfRule>
    <cfRule type="cellIs" dxfId="943" priority="818" stopIfTrue="1" operator="equal">
      <formula>Etats_possibles_Corr</formula>
    </cfRule>
    <cfRule type="cellIs" dxfId="942" priority="819" stopIfTrue="1" operator="equal">
      <formula>"DNR"</formula>
    </cfRule>
  </conditionalFormatting>
  <conditionalFormatting sqref="M24 J24">
    <cfRule type="cellIs" dxfId="941" priority="816" stopIfTrue="1" operator="greaterThanOrEqual">
      <formula>1</formula>
    </cfRule>
  </conditionalFormatting>
  <conditionalFormatting sqref="E24">
    <cfRule type="cellIs" dxfId="940" priority="813" stopIfTrue="1" operator="equal">
      <formula>"Rejetée"</formula>
    </cfRule>
    <cfRule type="cellIs" dxfId="939" priority="814" stopIfTrue="1" operator="equal">
      <formula>Etats_possibles_Corr</formula>
    </cfRule>
    <cfRule type="cellIs" dxfId="938" priority="815" stopIfTrue="1" operator="equal">
      <formula>"DNR"</formula>
    </cfRule>
  </conditionalFormatting>
  <conditionalFormatting sqref="M25 J25">
    <cfRule type="cellIs" dxfId="937" priority="812" stopIfTrue="1" operator="greaterThanOrEqual">
      <formula>1</formula>
    </cfRule>
  </conditionalFormatting>
  <conditionalFormatting sqref="E25">
    <cfRule type="cellIs" dxfId="936" priority="809" stopIfTrue="1" operator="equal">
      <formula>"Rejetée"</formula>
    </cfRule>
    <cfRule type="cellIs" dxfId="935" priority="810" stopIfTrue="1" operator="equal">
      <formula>Etats_possibles_Corr</formula>
    </cfRule>
    <cfRule type="cellIs" dxfId="934" priority="811" stopIfTrue="1" operator="equal">
      <formula>"DNR"</formula>
    </cfRule>
  </conditionalFormatting>
  <conditionalFormatting sqref="M26 J26">
    <cfRule type="cellIs" dxfId="933" priority="808" stopIfTrue="1" operator="greaterThanOrEqual">
      <formula>1</formula>
    </cfRule>
  </conditionalFormatting>
  <conditionalFormatting sqref="E26">
    <cfRule type="cellIs" dxfId="932" priority="805" stopIfTrue="1" operator="equal">
      <formula>"Rejetée"</formula>
    </cfRule>
    <cfRule type="cellIs" dxfId="931" priority="806" stopIfTrue="1" operator="equal">
      <formula>Etats_possibles_Corr</formula>
    </cfRule>
    <cfRule type="cellIs" dxfId="930" priority="807" stopIfTrue="1" operator="equal">
      <formula>"DNR"</formula>
    </cfRule>
  </conditionalFormatting>
  <conditionalFormatting sqref="M27 J27">
    <cfRule type="cellIs" dxfId="929" priority="804" stopIfTrue="1" operator="greaterThanOrEqual">
      <formula>1</formula>
    </cfRule>
  </conditionalFormatting>
  <conditionalFormatting sqref="E27">
    <cfRule type="cellIs" dxfId="928" priority="801" stopIfTrue="1" operator="equal">
      <formula>"Rejetée"</formula>
    </cfRule>
    <cfRule type="cellIs" dxfId="927" priority="802" stopIfTrue="1" operator="equal">
      <formula>Etats_possibles_Corr</formula>
    </cfRule>
    <cfRule type="cellIs" dxfId="926" priority="803" stopIfTrue="1" operator="equal">
      <formula>"DNR"</formula>
    </cfRule>
  </conditionalFormatting>
  <conditionalFormatting sqref="M28 J28">
    <cfRule type="cellIs" dxfId="925" priority="800" stopIfTrue="1" operator="greaterThanOrEqual">
      <formula>1</formula>
    </cfRule>
  </conditionalFormatting>
  <conditionalFormatting sqref="E28">
    <cfRule type="cellIs" dxfId="924" priority="797" stopIfTrue="1" operator="equal">
      <formula>"Rejetée"</formula>
    </cfRule>
    <cfRule type="cellIs" dxfId="923" priority="798" stopIfTrue="1" operator="equal">
      <formula>Etats_possibles_Corr</formula>
    </cfRule>
    <cfRule type="cellIs" dxfId="922" priority="799" stopIfTrue="1" operator="equal">
      <formula>"DNR"</formula>
    </cfRule>
  </conditionalFormatting>
  <conditionalFormatting sqref="M29 J29">
    <cfRule type="cellIs" dxfId="921" priority="796" stopIfTrue="1" operator="greaterThanOrEqual">
      <formula>1</formula>
    </cfRule>
  </conditionalFormatting>
  <conditionalFormatting sqref="E29">
    <cfRule type="cellIs" dxfId="920" priority="793" stopIfTrue="1" operator="equal">
      <formula>"Rejetée"</formula>
    </cfRule>
    <cfRule type="cellIs" dxfId="919" priority="794" stopIfTrue="1" operator="equal">
      <formula>Etats_possibles_Corr</formula>
    </cfRule>
    <cfRule type="cellIs" dxfId="918" priority="795" stopIfTrue="1" operator="equal">
      <formula>"DNR"</formula>
    </cfRule>
  </conditionalFormatting>
  <conditionalFormatting sqref="M30 J30">
    <cfRule type="cellIs" dxfId="917" priority="792" stopIfTrue="1" operator="greaterThanOrEqual">
      <formula>1</formula>
    </cfRule>
  </conditionalFormatting>
  <conditionalFormatting sqref="E30">
    <cfRule type="cellIs" dxfId="916" priority="789" stopIfTrue="1" operator="equal">
      <formula>"Rejetée"</formula>
    </cfRule>
    <cfRule type="cellIs" dxfId="915" priority="790" stopIfTrue="1" operator="equal">
      <formula>Etats_possibles_Corr</formula>
    </cfRule>
    <cfRule type="cellIs" dxfId="914" priority="791" stopIfTrue="1" operator="equal">
      <formula>"DNR"</formula>
    </cfRule>
  </conditionalFormatting>
  <conditionalFormatting sqref="M31 J31">
    <cfRule type="cellIs" dxfId="913" priority="788" stopIfTrue="1" operator="greaterThanOrEqual">
      <formula>1</formula>
    </cfRule>
  </conditionalFormatting>
  <conditionalFormatting sqref="E31">
    <cfRule type="cellIs" dxfId="912" priority="785" stopIfTrue="1" operator="equal">
      <formula>"Rejetée"</formula>
    </cfRule>
    <cfRule type="cellIs" dxfId="911" priority="786" stopIfTrue="1" operator="equal">
      <formula>Etats_possibles_Corr</formula>
    </cfRule>
    <cfRule type="cellIs" dxfId="910" priority="787" stopIfTrue="1" operator="equal">
      <formula>"DNR"</formula>
    </cfRule>
  </conditionalFormatting>
  <conditionalFormatting sqref="M32 J32">
    <cfRule type="cellIs" dxfId="909" priority="784" stopIfTrue="1" operator="greaterThanOrEqual">
      <formula>1</formula>
    </cfRule>
  </conditionalFormatting>
  <conditionalFormatting sqref="E32">
    <cfRule type="cellIs" dxfId="908" priority="781" stopIfTrue="1" operator="equal">
      <formula>"Rejetée"</formula>
    </cfRule>
    <cfRule type="cellIs" dxfId="907" priority="782" stopIfTrue="1" operator="equal">
      <formula>Etats_possibles_Corr</formula>
    </cfRule>
    <cfRule type="cellIs" dxfId="906" priority="783" stopIfTrue="1" operator="equal">
      <formula>"DNR"</formula>
    </cfRule>
  </conditionalFormatting>
  <conditionalFormatting sqref="M33 J33">
    <cfRule type="cellIs" dxfId="905" priority="780" stopIfTrue="1" operator="greaterThanOrEqual">
      <formula>1</formula>
    </cfRule>
  </conditionalFormatting>
  <conditionalFormatting sqref="E33">
    <cfRule type="cellIs" dxfId="904" priority="777" stopIfTrue="1" operator="equal">
      <formula>"Rejetée"</formula>
    </cfRule>
    <cfRule type="cellIs" dxfId="903" priority="778" stopIfTrue="1" operator="equal">
      <formula>Etats_possibles_Corr</formula>
    </cfRule>
    <cfRule type="cellIs" dxfId="902" priority="779" stopIfTrue="1" operator="equal">
      <formula>"DNR"</formula>
    </cfRule>
  </conditionalFormatting>
  <conditionalFormatting sqref="M34 J34">
    <cfRule type="cellIs" dxfId="901" priority="776" stopIfTrue="1" operator="greaterThanOrEqual">
      <formula>1</formula>
    </cfRule>
  </conditionalFormatting>
  <conditionalFormatting sqref="E34">
    <cfRule type="cellIs" dxfId="900" priority="773" stopIfTrue="1" operator="equal">
      <formula>"Rejetée"</formula>
    </cfRule>
    <cfRule type="cellIs" dxfId="899" priority="774" stopIfTrue="1" operator="equal">
      <formula>Etats_possibles_Corr</formula>
    </cfRule>
    <cfRule type="cellIs" dxfId="898" priority="775" stopIfTrue="1" operator="equal">
      <formula>"DNR"</formula>
    </cfRule>
  </conditionalFormatting>
  <conditionalFormatting sqref="M35 J35">
    <cfRule type="cellIs" dxfId="897" priority="772" stopIfTrue="1" operator="greaterThanOrEqual">
      <formula>1</formula>
    </cfRule>
  </conditionalFormatting>
  <conditionalFormatting sqref="E35">
    <cfRule type="cellIs" dxfId="896" priority="769" stopIfTrue="1" operator="equal">
      <formula>"Rejetée"</formula>
    </cfRule>
    <cfRule type="cellIs" dxfId="895" priority="770" stopIfTrue="1" operator="equal">
      <formula>Etats_possibles_Corr</formula>
    </cfRule>
    <cfRule type="cellIs" dxfId="894" priority="771" stopIfTrue="1" operator="equal">
      <formula>"DNR"</formula>
    </cfRule>
  </conditionalFormatting>
  <conditionalFormatting sqref="M36 J36">
    <cfRule type="cellIs" dxfId="893" priority="768" stopIfTrue="1" operator="greaterThanOrEqual">
      <formula>1</formula>
    </cfRule>
  </conditionalFormatting>
  <conditionalFormatting sqref="E36">
    <cfRule type="cellIs" dxfId="892" priority="765" stopIfTrue="1" operator="equal">
      <formula>"Rejetée"</formula>
    </cfRule>
    <cfRule type="cellIs" dxfId="891" priority="766" stopIfTrue="1" operator="equal">
      <formula>Etats_possibles_Corr</formula>
    </cfRule>
    <cfRule type="cellIs" dxfId="890" priority="767" stopIfTrue="1" operator="equal">
      <formula>"DNR"</formula>
    </cfRule>
  </conditionalFormatting>
  <conditionalFormatting sqref="M37 J37">
    <cfRule type="cellIs" dxfId="889" priority="764" stopIfTrue="1" operator="greaterThanOrEqual">
      <formula>1</formula>
    </cfRule>
  </conditionalFormatting>
  <conditionalFormatting sqref="E37">
    <cfRule type="cellIs" dxfId="888" priority="761" stopIfTrue="1" operator="equal">
      <formula>"Rejetée"</formula>
    </cfRule>
    <cfRule type="cellIs" dxfId="887" priority="762" stopIfTrue="1" operator="equal">
      <formula>Etats_possibles_Corr</formula>
    </cfRule>
    <cfRule type="cellIs" dxfId="886" priority="763" stopIfTrue="1" operator="equal">
      <formula>"DNR"</formula>
    </cfRule>
  </conditionalFormatting>
  <conditionalFormatting sqref="M38 J38">
    <cfRule type="cellIs" dxfId="885" priority="760" stopIfTrue="1" operator="greaterThanOrEqual">
      <formula>1</formula>
    </cfRule>
  </conditionalFormatting>
  <conditionalFormatting sqref="E38">
    <cfRule type="cellIs" dxfId="884" priority="757" stopIfTrue="1" operator="equal">
      <formula>"Rejetée"</formula>
    </cfRule>
    <cfRule type="cellIs" dxfId="883" priority="758" stopIfTrue="1" operator="equal">
      <formula>Etats_possibles_Corr</formula>
    </cfRule>
    <cfRule type="cellIs" dxfId="882" priority="759" stopIfTrue="1" operator="equal">
      <formula>"DNR"</formula>
    </cfRule>
  </conditionalFormatting>
  <conditionalFormatting sqref="M39 J39">
    <cfRule type="cellIs" dxfId="881" priority="756" stopIfTrue="1" operator="greaterThanOrEqual">
      <formula>1</formula>
    </cfRule>
  </conditionalFormatting>
  <conditionalFormatting sqref="E39">
    <cfRule type="cellIs" dxfId="880" priority="753" stopIfTrue="1" operator="equal">
      <formula>"Rejetée"</formula>
    </cfRule>
    <cfRule type="cellIs" dxfId="879" priority="754" stopIfTrue="1" operator="equal">
      <formula>Etats_possibles_Corr</formula>
    </cfRule>
    <cfRule type="cellIs" dxfId="878" priority="755" stopIfTrue="1" operator="equal">
      <formula>"DNR"</formula>
    </cfRule>
  </conditionalFormatting>
  <conditionalFormatting sqref="M40 J40">
    <cfRule type="cellIs" dxfId="877" priority="752" stopIfTrue="1" operator="greaterThanOrEqual">
      <formula>1</formula>
    </cfRule>
  </conditionalFormatting>
  <conditionalFormatting sqref="E40">
    <cfRule type="cellIs" dxfId="876" priority="749" stopIfTrue="1" operator="equal">
      <formula>"Rejetée"</formula>
    </cfRule>
    <cfRule type="cellIs" dxfId="875" priority="750" stopIfTrue="1" operator="equal">
      <formula>Etats_possibles_Corr</formula>
    </cfRule>
    <cfRule type="cellIs" dxfId="874" priority="751" stopIfTrue="1" operator="equal">
      <formula>"DNR"</formula>
    </cfRule>
  </conditionalFormatting>
  <conditionalFormatting sqref="M41 J41">
    <cfRule type="cellIs" dxfId="873" priority="748" stopIfTrue="1" operator="greaterThanOrEqual">
      <formula>1</formula>
    </cfRule>
  </conditionalFormatting>
  <conditionalFormatting sqref="E41">
    <cfRule type="cellIs" dxfId="872" priority="745" stopIfTrue="1" operator="equal">
      <formula>"Rejetée"</formula>
    </cfRule>
    <cfRule type="cellIs" dxfId="871" priority="746" stopIfTrue="1" operator="equal">
      <formula>Etats_possibles_Corr</formula>
    </cfRule>
    <cfRule type="cellIs" dxfId="870" priority="747" stopIfTrue="1" operator="equal">
      <formula>"DNR"</formula>
    </cfRule>
  </conditionalFormatting>
  <conditionalFormatting sqref="M42 J42">
    <cfRule type="cellIs" dxfId="869" priority="744" stopIfTrue="1" operator="greaterThanOrEqual">
      <formula>1</formula>
    </cfRule>
  </conditionalFormatting>
  <conditionalFormatting sqref="E42">
    <cfRule type="cellIs" dxfId="868" priority="741" stopIfTrue="1" operator="equal">
      <formula>"Rejetée"</formula>
    </cfRule>
    <cfRule type="cellIs" dxfId="867" priority="742" stopIfTrue="1" operator="equal">
      <formula>Etats_possibles_Corr</formula>
    </cfRule>
    <cfRule type="cellIs" dxfId="866" priority="743" stopIfTrue="1" operator="equal">
      <formula>"DNR"</formula>
    </cfRule>
  </conditionalFormatting>
  <conditionalFormatting sqref="M43 J43">
    <cfRule type="cellIs" dxfId="865" priority="740" stopIfTrue="1" operator="greaterThanOrEqual">
      <formula>1</formula>
    </cfRule>
  </conditionalFormatting>
  <conditionalFormatting sqref="E43">
    <cfRule type="cellIs" dxfId="864" priority="737" stopIfTrue="1" operator="equal">
      <formula>"Rejetée"</formula>
    </cfRule>
    <cfRule type="cellIs" dxfId="863" priority="738" stopIfTrue="1" operator="equal">
      <formula>Etats_possibles_Corr</formula>
    </cfRule>
    <cfRule type="cellIs" dxfId="862" priority="739" stopIfTrue="1" operator="equal">
      <formula>"DNR"</formula>
    </cfRule>
  </conditionalFormatting>
  <conditionalFormatting sqref="M44 J44">
    <cfRule type="cellIs" dxfId="861" priority="736" stopIfTrue="1" operator="greaterThanOrEqual">
      <formula>1</formula>
    </cfRule>
  </conditionalFormatting>
  <conditionalFormatting sqref="M45 J45">
    <cfRule type="cellIs" dxfId="860" priority="732" stopIfTrue="1" operator="greaterThanOrEqual">
      <formula>1</formula>
    </cfRule>
  </conditionalFormatting>
  <conditionalFormatting sqref="E45">
    <cfRule type="cellIs" dxfId="859" priority="729" stopIfTrue="1" operator="equal">
      <formula>"Rejetée"</formula>
    </cfRule>
    <cfRule type="cellIs" dxfId="858" priority="730" stopIfTrue="1" operator="equal">
      <formula>Etats_possibles_Corr</formula>
    </cfRule>
    <cfRule type="cellIs" dxfId="857" priority="731" stopIfTrue="1" operator="equal">
      <formula>"DNR"</formula>
    </cfRule>
  </conditionalFormatting>
  <conditionalFormatting sqref="M46 J46">
    <cfRule type="cellIs" dxfId="856" priority="728" stopIfTrue="1" operator="greaterThanOrEqual">
      <formula>1</formula>
    </cfRule>
  </conditionalFormatting>
  <conditionalFormatting sqref="E46">
    <cfRule type="cellIs" dxfId="855" priority="725" stopIfTrue="1" operator="equal">
      <formula>"Rejetée"</formula>
    </cfRule>
    <cfRule type="cellIs" dxfId="854" priority="726" stopIfTrue="1" operator="equal">
      <formula>Etats_possibles_Corr</formula>
    </cfRule>
    <cfRule type="cellIs" dxfId="853" priority="727" stopIfTrue="1" operator="equal">
      <formula>"DNR"</formula>
    </cfRule>
  </conditionalFormatting>
  <conditionalFormatting sqref="M47 J47">
    <cfRule type="cellIs" dxfId="852" priority="724" stopIfTrue="1" operator="greaterThanOrEqual">
      <formula>1</formula>
    </cfRule>
  </conditionalFormatting>
  <conditionalFormatting sqref="E47">
    <cfRule type="cellIs" dxfId="851" priority="721" stopIfTrue="1" operator="equal">
      <formula>"Rejetée"</formula>
    </cfRule>
    <cfRule type="cellIs" dxfId="850" priority="722" stopIfTrue="1" operator="equal">
      <formula>Etats_possibles_Corr</formula>
    </cfRule>
    <cfRule type="cellIs" dxfId="849" priority="723" stopIfTrue="1" operator="equal">
      <formula>"DNR"</formula>
    </cfRule>
  </conditionalFormatting>
  <conditionalFormatting sqref="M48 J48">
    <cfRule type="cellIs" dxfId="848" priority="720" stopIfTrue="1" operator="greaterThanOrEqual">
      <formula>1</formula>
    </cfRule>
  </conditionalFormatting>
  <conditionalFormatting sqref="E48">
    <cfRule type="cellIs" dxfId="847" priority="717" stopIfTrue="1" operator="equal">
      <formula>"Rejetée"</formula>
    </cfRule>
    <cfRule type="cellIs" dxfId="846" priority="718" stopIfTrue="1" operator="equal">
      <formula>Etats_possibles_Corr</formula>
    </cfRule>
    <cfRule type="cellIs" dxfId="845" priority="719" stopIfTrue="1" operator="equal">
      <formula>"DNR"</formula>
    </cfRule>
  </conditionalFormatting>
  <conditionalFormatting sqref="M49 J49">
    <cfRule type="cellIs" dxfId="844" priority="716" stopIfTrue="1" operator="greaterThanOrEqual">
      <formula>1</formula>
    </cfRule>
  </conditionalFormatting>
  <conditionalFormatting sqref="E49">
    <cfRule type="cellIs" dxfId="843" priority="713" stopIfTrue="1" operator="equal">
      <formula>"Rejetée"</formula>
    </cfRule>
    <cfRule type="cellIs" dxfId="842" priority="714" stopIfTrue="1" operator="equal">
      <formula>Etats_possibles_Corr</formula>
    </cfRule>
    <cfRule type="cellIs" dxfId="841" priority="715" stopIfTrue="1" operator="equal">
      <formula>"DNR"</formula>
    </cfRule>
  </conditionalFormatting>
  <conditionalFormatting sqref="M50 J50">
    <cfRule type="cellIs" dxfId="840" priority="712" stopIfTrue="1" operator="greaterThanOrEqual">
      <formula>1</formula>
    </cfRule>
  </conditionalFormatting>
  <conditionalFormatting sqref="E50">
    <cfRule type="cellIs" dxfId="839" priority="709" stopIfTrue="1" operator="equal">
      <formula>"Rejetée"</formula>
    </cfRule>
    <cfRule type="cellIs" dxfId="838" priority="710" stopIfTrue="1" operator="equal">
      <formula>Etats_possibles_Corr</formula>
    </cfRule>
    <cfRule type="cellIs" dxfId="837" priority="711" stopIfTrue="1" operator="equal">
      <formula>"DNR"</formula>
    </cfRule>
  </conditionalFormatting>
  <conditionalFormatting sqref="M51 J51">
    <cfRule type="cellIs" dxfId="836" priority="708" stopIfTrue="1" operator="greaterThanOrEqual">
      <formula>1</formula>
    </cfRule>
  </conditionalFormatting>
  <conditionalFormatting sqref="E51">
    <cfRule type="cellIs" dxfId="835" priority="705" stopIfTrue="1" operator="equal">
      <formula>"Rejetée"</formula>
    </cfRule>
    <cfRule type="cellIs" dxfId="834" priority="706" stopIfTrue="1" operator="equal">
      <formula>Etats_possibles_Corr</formula>
    </cfRule>
    <cfRule type="cellIs" dxfId="833" priority="707" stopIfTrue="1" operator="equal">
      <formula>"DNR"</formula>
    </cfRule>
  </conditionalFormatting>
  <conditionalFormatting sqref="M52 J52">
    <cfRule type="cellIs" dxfId="832" priority="704" stopIfTrue="1" operator="greaterThanOrEqual">
      <formula>1</formula>
    </cfRule>
  </conditionalFormatting>
  <conditionalFormatting sqref="E52">
    <cfRule type="cellIs" dxfId="831" priority="701" stopIfTrue="1" operator="equal">
      <formula>"Rejetée"</formula>
    </cfRule>
    <cfRule type="cellIs" dxfId="830" priority="702" stopIfTrue="1" operator="equal">
      <formula>Etats_possibles_Corr</formula>
    </cfRule>
    <cfRule type="cellIs" dxfId="829" priority="703" stopIfTrue="1" operator="equal">
      <formula>"DNR"</formula>
    </cfRule>
  </conditionalFormatting>
  <conditionalFormatting sqref="M53 J53">
    <cfRule type="cellIs" dxfId="828" priority="700" stopIfTrue="1" operator="greaterThanOrEqual">
      <formula>1</formula>
    </cfRule>
  </conditionalFormatting>
  <conditionalFormatting sqref="E53">
    <cfRule type="cellIs" dxfId="827" priority="697" stopIfTrue="1" operator="equal">
      <formula>"Rejetée"</formula>
    </cfRule>
    <cfRule type="cellIs" dxfId="826" priority="698" stopIfTrue="1" operator="equal">
      <formula>Etats_possibles_Corr</formula>
    </cfRule>
    <cfRule type="cellIs" dxfId="825" priority="699" stopIfTrue="1" operator="equal">
      <formula>"DNR"</formula>
    </cfRule>
  </conditionalFormatting>
  <conditionalFormatting sqref="M54 J54">
    <cfRule type="cellIs" dxfId="824" priority="696" stopIfTrue="1" operator="greaterThanOrEqual">
      <formula>1</formula>
    </cfRule>
  </conditionalFormatting>
  <conditionalFormatting sqref="E54">
    <cfRule type="cellIs" dxfId="823" priority="693" stopIfTrue="1" operator="equal">
      <formula>"Rejetée"</formula>
    </cfRule>
    <cfRule type="cellIs" dxfId="822" priority="694" stopIfTrue="1" operator="equal">
      <formula>Etats_possibles_Corr</formula>
    </cfRule>
    <cfRule type="cellIs" dxfId="821" priority="695" stopIfTrue="1" operator="equal">
      <formula>"DNR"</formula>
    </cfRule>
  </conditionalFormatting>
  <conditionalFormatting sqref="M55 J55">
    <cfRule type="cellIs" dxfId="820" priority="692" stopIfTrue="1" operator="greaterThanOrEqual">
      <formula>1</formula>
    </cfRule>
  </conditionalFormatting>
  <conditionalFormatting sqref="E55">
    <cfRule type="cellIs" dxfId="819" priority="689" stopIfTrue="1" operator="equal">
      <formula>"Rejetée"</formula>
    </cfRule>
    <cfRule type="cellIs" dxfId="818" priority="690" stopIfTrue="1" operator="equal">
      <formula>Etats_possibles_Corr</formula>
    </cfRule>
    <cfRule type="cellIs" dxfId="817" priority="691" stopIfTrue="1" operator="equal">
      <formula>"DNR"</formula>
    </cfRule>
  </conditionalFormatting>
  <conditionalFormatting sqref="M56 J56">
    <cfRule type="cellIs" dxfId="816" priority="688" stopIfTrue="1" operator="greaterThanOrEqual">
      <formula>1</formula>
    </cfRule>
  </conditionalFormatting>
  <conditionalFormatting sqref="E56">
    <cfRule type="cellIs" dxfId="815" priority="685" stopIfTrue="1" operator="equal">
      <formula>"Rejetée"</formula>
    </cfRule>
    <cfRule type="cellIs" dxfId="814" priority="686" stopIfTrue="1" operator="equal">
      <formula>Etats_possibles_Corr</formula>
    </cfRule>
    <cfRule type="cellIs" dxfId="813" priority="687" stopIfTrue="1" operator="equal">
      <formula>"DNR"</formula>
    </cfRule>
  </conditionalFormatting>
  <conditionalFormatting sqref="M57 J57">
    <cfRule type="cellIs" dxfId="812" priority="684" stopIfTrue="1" operator="greaterThanOrEqual">
      <formula>1</formula>
    </cfRule>
  </conditionalFormatting>
  <conditionalFormatting sqref="E57">
    <cfRule type="cellIs" dxfId="811" priority="681" stopIfTrue="1" operator="equal">
      <formula>"Rejetée"</formula>
    </cfRule>
    <cfRule type="cellIs" dxfId="810" priority="682" stopIfTrue="1" operator="equal">
      <formula>Etats_possibles_Corr</formula>
    </cfRule>
    <cfRule type="cellIs" dxfId="809" priority="683" stopIfTrue="1" operator="equal">
      <formula>"DNR"</formula>
    </cfRule>
  </conditionalFormatting>
  <conditionalFormatting sqref="M58 J58">
    <cfRule type="cellIs" dxfId="808" priority="680" stopIfTrue="1" operator="greaterThanOrEqual">
      <formula>1</formula>
    </cfRule>
  </conditionalFormatting>
  <conditionalFormatting sqref="E58">
    <cfRule type="cellIs" dxfId="807" priority="677" stopIfTrue="1" operator="equal">
      <formula>"Rejetée"</formula>
    </cfRule>
    <cfRule type="cellIs" dxfId="806" priority="678" stopIfTrue="1" operator="equal">
      <formula>Etats_possibles_Corr</formula>
    </cfRule>
    <cfRule type="cellIs" dxfId="805" priority="679" stopIfTrue="1" operator="equal">
      <formula>"DNR"</formula>
    </cfRule>
  </conditionalFormatting>
  <conditionalFormatting sqref="M59 J59">
    <cfRule type="cellIs" dxfId="804" priority="676" stopIfTrue="1" operator="greaterThanOrEqual">
      <formula>1</formula>
    </cfRule>
  </conditionalFormatting>
  <conditionalFormatting sqref="E59">
    <cfRule type="cellIs" dxfId="803" priority="673" stopIfTrue="1" operator="equal">
      <formula>"Rejetée"</formula>
    </cfRule>
    <cfRule type="cellIs" dxfId="802" priority="674" stopIfTrue="1" operator="equal">
      <formula>Etats_possibles_Corr</formula>
    </cfRule>
    <cfRule type="cellIs" dxfId="801" priority="675" stopIfTrue="1" operator="equal">
      <formula>"DNR"</formula>
    </cfRule>
  </conditionalFormatting>
  <conditionalFormatting sqref="M60 J60">
    <cfRule type="cellIs" dxfId="800" priority="672" stopIfTrue="1" operator="greaterThanOrEqual">
      <formula>1</formula>
    </cfRule>
  </conditionalFormatting>
  <conditionalFormatting sqref="E60">
    <cfRule type="cellIs" dxfId="799" priority="669" stopIfTrue="1" operator="equal">
      <formula>"Rejetée"</formula>
    </cfRule>
    <cfRule type="cellIs" dxfId="798" priority="670" stopIfTrue="1" operator="equal">
      <formula>Etats_possibles_Corr</formula>
    </cfRule>
    <cfRule type="cellIs" dxfId="797" priority="671" stopIfTrue="1" operator="equal">
      <formula>"DNR"</formula>
    </cfRule>
  </conditionalFormatting>
  <conditionalFormatting sqref="M61 J61">
    <cfRule type="cellIs" dxfId="796" priority="668" stopIfTrue="1" operator="greaterThanOrEqual">
      <formula>1</formula>
    </cfRule>
  </conditionalFormatting>
  <conditionalFormatting sqref="E61">
    <cfRule type="cellIs" dxfId="795" priority="665" stopIfTrue="1" operator="equal">
      <formula>"Rejetée"</formula>
    </cfRule>
    <cfRule type="cellIs" dxfId="794" priority="666" stopIfTrue="1" operator="equal">
      <formula>Etats_possibles_Corr</formula>
    </cfRule>
    <cfRule type="cellIs" dxfId="793" priority="667" stopIfTrue="1" operator="equal">
      <formula>"DNR"</formula>
    </cfRule>
  </conditionalFormatting>
  <conditionalFormatting sqref="M62 J62">
    <cfRule type="cellIs" dxfId="792" priority="664" stopIfTrue="1" operator="greaterThanOrEqual">
      <formula>1</formula>
    </cfRule>
  </conditionalFormatting>
  <conditionalFormatting sqref="E62">
    <cfRule type="cellIs" dxfId="791" priority="661" stopIfTrue="1" operator="equal">
      <formula>"Rejetée"</formula>
    </cfRule>
    <cfRule type="cellIs" dxfId="790" priority="662" stopIfTrue="1" operator="equal">
      <formula>Etats_possibles_Corr</formula>
    </cfRule>
    <cfRule type="cellIs" dxfId="789" priority="663" stopIfTrue="1" operator="equal">
      <formula>"DNR"</formula>
    </cfRule>
  </conditionalFormatting>
  <conditionalFormatting sqref="M63 J63">
    <cfRule type="cellIs" dxfId="788" priority="660" stopIfTrue="1" operator="greaterThanOrEqual">
      <formula>1</formula>
    </cfRule>
  </conditionalFormatting>
  <conditionalFormatting sqref="E63">
    <cfRule type="cellIs" dxfId="787" priority="657" stopIfTrue="1" operator="equal">
      <formula>"Rejetée"</formula>
    </cfRule>
    <cfRule type="cellIs" dxfId="786" priority="658" stopIfTrue="1" operator="equal">
      <formula>Etats_possibles_Corr</formula>
    </cfRule>
    <cfRule type="cellIs" dxfId="785" priority="659" stopIfTrue="1" operator="equal">
      <formula>"DNR"</formula>
    </cfRule>
  </conditionalFormatting>
  <conditionalFormatting sqref="M64 J64">
    <cfRule type="cellIs" dxfId="784" priority="656" stopIfTrue="1" operator="greaterThanOrEqual">
      <formula>1</formula>
    </cfRule>
  </conditionalFormatting>
  <conditionalFormatting sqref="E64">
    <cfRule type="cellIs" dxfId="783" priority="653" stopIfTrue="1" operator="equal">
      <formula>"Rejetée"</formula>
    </cfRule>
    <cfRule type="cellIs" dxfId="782" priority="654" stopIfTrue="1" operator="equal">
      <formula>Etats_possibles_Corr</formula>
    </cfRule>
    <cfRule type="cellIs" dxfId="781" priority="655" stopIfTrue="1" operator="equal">
      <formula>"DNR"</formula>
    </cfRule>
  </conditionalFormatting>
  <conditionalFormatting sqref="M65 J65">
    <cfRule type="cellIs" dxfId="780" priority="652" stopIfTrue="1" operator="greaterThanOrEqual">
      <formula>1</formula>
    </cfRule>
  </conditionalFormatting>
  <conditionalFormatting sqref="E65">
    <cfRule type="cellIs" dxfId="779" priority="649" stopIfTrue="1" operator="equal">
      <formula>"Rejetée"</formula>
    </cfRule>
    <cfRule type="cellIs" dxfId="778" priority="650" stopIfTrue="1" operator="equal">
      <formula>Etats_possibles_Corr</formula>
    </cfRule>
    <cfRule type="cellIs" dxfId="777" priority="651" stopIfTrue="1" operator="equal">
      <formula>"DNR"</formula>
    </cfRule>
  </conditionalFormatting>
  <conditionalFormatting sqref="M66 J66">
    <cfRule type="cellIs" dxfId="776" priority="648" stopIfTrue="1" operator="greaterThanOrEqual">
      <formula>1</formula>
    </cfRule>
  </conditionalFormatting>
  <conditionalFormatting sqref="E66">
    <cfRule type="cellIs" dxfId="775" priority="645" stopIfTrue="1" operator="equal">
      <formula>"Rejetée"</formula>
    </cfRule>
    <cfRule type="cellIs" dxfId="774" priority="646" stopIfTrue="1" operator="equal">
      <formula>Etats_possibles_Corr</formula>
    </cfRule>
    <cfRule type="cellIs" dxfId="773" priority="647" stopIfTrue="1" operator="equal">
      <formula>"DNR"</formula>
    </cfRule>
  </conditionalFormatting>
  <conditionalFormatting sqref="M67 J67">
    <cfRule type="cellIs" dxfId="772" priority="644" stopIfTrue="1" operator="greaterThanOrEqual">
      <formula>1</formula>
    </cfRule>
  </conditionalFormatting>
  <conditionalFormatting sqref="E67">
    <cfRule type="cellIs" dxfId="771" priority="641" stopIfTrue="1" operator="equal">
      <formula>"Rejetée"</formula>
    </cfRule>
    <cfRule type="cellIs" dxfId="770" priority="642" stopIfTrue="1" operator="equal">
      <formula>Etats_possibles_Corr</formula>
    </cfRule>
    <cfRule type="cellIs" dxfId="769" priority="643" stopIfTrue="1" operator="equal">
      <formula>"DNR"</formula>
    </cfRule>
  </conditionalFormatting>
  <conditionalFormatting sqref="M68 J68">
    <cfRule type="cellIs" dxfId="768" priority="640" stopIfTrue="1" operator="greaterThanOrEqual">
      <formula>1</formula>
    </cfRule>
  </conditionalFormatting>
  <conditionalFormatting sqref="E68">
    <cfRule type="cellIs" dxfId="767" priority="637" stopIfTrue="1" operator="equal">
      <formula>"Rejetée"</formula>
    </cfRule>
    <cfRule type="cellIs" dxfId="766" priority="638" stopIfTrue="1" operator="equal">
      <formula>Etats_possibles_Corr</formula>
    </cfRule>
    <cfRule type="cellIs" dxfId="765" priority="639" stopIfTrue="1" operator="equal">
      <formula>"DNR"</formula>
    </cfRule>
  </conditionalFormatting>
  <conditionalFormatting sqref="M69 J69">
    <cfRule type="cellIs" dxfId="764" priority="636" stopIfTrue="1" operator="greaterThanOrEqual">
      <formula>1</formula>
    </cfRule>
  </conditionalFormatting>
  <conditionalFormatting sqref="E69">
    <cfRule type="cellIs" dxfId="763" priority="633" stopIfTrue="1" operator="equal">
      <formula>"Rejetée"</formula>
    </cfRule>
    <cfRule type="cellIs" dxfId="762" priority="634" stopIfTrue="1" operator="equal">
      <formula>Etats_possibles_Corr</formula>
    </cfRule>
    <cfRule type="cellIs" dxfId="761" priority="635" stopIfTrue="1" operator="equal">
      <formula>"DNR"</formula>
    </cfRule>
  </conditionalFormatting>
  <conditionalFormatting sqref="M70 J70">
    <cfRule type="cellIs" dxfId="760" priority="632" stopIfTrue="1" operator="greaterThanOrEqual">
      <formula>1</formula>
    </cfRule>
  </conditionalFormatting>
  <conditionalFormatting sqref="E70">
    <cfRule type="cellIs" dxfId="759" priority="629" stopIfTrue="1" operator="equal">
      <formula>"Rejetée"</formula>
    </cfRule>
    <cfRule type="cellIs" dxfId="758" priority="630" stopIfTrue="1" operator="equal">
      <formula>Etats_possibles_Corr</formula>
    </cfRule>
    <cfRule type="cellIs" dxfId="757" priority="631" stopIfTrue="1" operator="equal">
      <formula>"DNR"</formula>
    </cfRule>
  </conditionalFormatting>
  <conditionalFormatting sqref="M71 J71">
    <cfRule type="cellIs" dxfId="756" priority="628" stopIfTrue="1" operator="greaterThanOrEqual">
      <formula>1</formula>
    </cfRule>
  </conditionalFormatting>
  <conditionalFormatting sqref="E71">
    <cfRule type="cellIs" dxfId="755" priority="625" stopIfTrue="1" operator="equal">
      <formula>"Rejetée"</formula>
    </cfRule>
    <cfRule type="cellIs" dxfId="754" priority="626" stopIfTrue="1" operator="equal">
      <formula>Etats_possibles_Corr</formula>
    </cfRule>
    <cfRule type="cellIs" dxfId="753" priority="627" stopIfTrue="1" operator="equal">
      <formula>"DNR"</formula>
    </cfRule>
  </conditionalFormatting>
  <conditionalFormatting sqref="M72 J72">
    <cfRule type="cellIs" dxfId="752" priority="624" stopIfTrue="1" operator="greaterThanOrEqual">
      <formula>1</formula>
    </cfRule>
  </conditionalFormatting>
  <conditionalFormatting sqref="E72">
    <cfRule type="cellIs" dxfId="751" priority="621" stopIfTrue="1" operator="equal">
      <formula>"Rejetée"</formula>
    </cfRule>
    <cfRule type="cellIs" dxfId="750" priority="622" stopIfTrue="1" operator="equal">
      <formula>Etats_possibles_Corr</formula>
    </cfRule>
    <cfRule type="cellIs" dxfId="749" priority="623" stopIfTrue="1" operator="equal">
      <formula>"DNR"</formula>
    </cfRule>
  </conditionalFormatting>
  <conditionalFormatting sqref="M73 J73">
    <cfRule type="cellIs" dxfId="748" priority="620" stopIfTrue="1" operator="greaterThanOrEqual">
      <formula>1</formula>
    </cfRule>
  </conditionalFormatting>
  <conditionalFormatting sqref="E73">
    <cfRule type="cellIs" dxfId="747" priority="617" stopIfTrue="1" operator="equal">
      <formula>"Rejetée"</formula>
    </cfRule>
    <cfRule type="cellIs" dxfId="746" priority="618" stopIfTrue="1" operator="equal">
      <formula>Etats_possibles_Corr</formula>
    </cfRule>
    <cfRule type="cellIs" dxfId="745" priority="619" stopIfTrue="1" operator="equal">
      <formula>"DNR"</formula>
    </cfRule>
  </conditionalFormatting>
  <conditionalFormatting sqref="M74 J74">
    <cfRule type="cellIs" dxfId="744" priority="616" stopIfTrue="1" operator="greaterThanOrEqual">
      <formula>1</formula>
    </cfRule>
  </conditionalFormatting>
  <conditionalFormatting sqref="E74">
    <cfRule type="cellIs" dxfId="743" priority="613" stopIfTrue="1" operator="equal">
      <formula>"Rejetée"</formula>
    </cfRule>
    <cfRule type="cellIs" dxfId="742" priority="614" stopIfTrue="1" operator="equal">
      <formula>Etats_possibles_Corr</formula>
    </cfRule>
    <cfRule type="cellIs" dxfId="741" priority="615" stopIfTrue="1" operator="equal">
      <formula>"DNR"</formula>
    </cfRule>
  </conditionalFormatting>
  <conditionalFormatting sqref="M75 J75">
    <cfRule type="cellIs" dxfId="740" priority="612" stopIfTrue="1" operator="greaterThanOrEqual">
      <formula>1</formula>
    </cfRule>
  </conditionalFormatting>
  <conditionalFormatting sqref="E75">
    <cfRule type="cellIs" dxfId="739" priority="609" stopIfTrue="1" operator="equal">
      <formula>"Rejetée"</formula>
    </cfRule>
    <cfRule type="cellIs" dxfId="738" priority="610" stopIfTrue="1" operator="equal">
      <formula>Etats_possibles_Corr</formula>
    </cfRule>
    <cfRule type="cellIs" dxfId="737" priority="611" stopIfTrue="1" operator="equal">
      <formula>"DNR"</formula>
    </cfRule>
  </conditionalFormatting>
  <conditionalFormatting sqref="M76 J76">
    <cfRule type="cellIs" dxfId="736" priority="608" stopIfTrue="1" operator="greaterThanOrEqual">
      <formula>1</formula>
    </cfRule>
  </conditionalFormatting>
  <conditionalFormatting sqref="E76">
    <cfRule type="cellIs" dxfId="735" priority="605" stopIfTrue="1" operator="equal">
      <formula>"Rejetée"</formula>
    </cfRule>
    <cfRule type="cellIs" dxfId="734" priority="606" stopIfTrue="1" operator="equal">
      <formula>Etats_possibles_Corr</formula>
    </cfRule>
    <cfRule type="cellIs" dxfId="733" priority="607" stopIfTrue="1" operator="equal">
      <formula>"DNR"</formula>
    </cfRule>
  </conditionalFormatting>
  <conditionalFormatting sqref="M77 J77">
    <cfRule type="cellIs" dxfId="732" priority="604" stopIfTrue="1" operator="greaterThanOrEqual">
      <formula>1</formula>
    </cfRule>
  </conditionalFormatting>
  <conditionalFormatting sqref="E77">
    <cfRule type="cellIs" dxfId="731" priority="601" stopIfTrue="1" operator="equal">
      <formula>"Rejetée"</formula>
    </cfRule>
    <cfRule type="cellIs" dxfId="730" priority="602" stopIfTrue="1" operator="equal">
      <formula>Etats_possibles_Corr</formula>
    </cfRule>
    <cfRule type="cellIs" dxfId="729" priority="603" stopIfTrue="1" operator="equal">
      <formula>"DNR"</formula>
    </cfRule>
  </conditionalFormatting>
  <conditionalFormatting sqref="M78 J78">
    <cfRule type="cellIs" dxfId="728" priority="600" stopIfTrue="1" operator="greaterThanOrEqual">
      <formula>1</formula>
    </cfRule>
  </conditionalFormatting>
  <conditionalFormatting sqref="E78">
    <cfRule type="cellIs" dxfId="727" priority="597" stopIfTrue="1" operator="equal">
      <formula>"Rejetée"</formula>
    </cfRule>
    <cfRule type="cellIs" dxfId="726" priority="598" stopIfTrue="1" operator="equal">
      <formula>Etats_possibles_Corr</formula>
    </cfRule>
    <cfRule type="cellIs" dxfId="725" priority="599" stopIfTrue="1" operator="equal">
      <formula>"DNR"</formula>
    </cfRule>
  </conditionalFormatting>
  <conditionalFormatting sqref="M79 J79">
    <cfRule type="cellIs" dxfId="724" priority="596" stopIfTrue="1" operator="greaterThanOrEqual">
      <formula>1</formula>
    </cfRule>
  </conditionalFormatting>
  <conditionalFormatting sqref="E79">
    <cfRule type="cellIs" dxfId="723" priority="593" stopIfTrue="1" operator="equal">
      <formula>"Rejetée"</formula>
    </cfRule>
    <cfRule type="cellIs" dxfId="722" priority="594" stopIfTrue="1" operator="equal">
      <formula>Etats_possibles_Corr</formula>
    </cfRule>
    <cfRule type="cellIs" dxfId="721" priority="595" stopIfTrue="1" operator="equal">
      <formula>"DNR"</formula>
    </cfRule>
  </conditionalFormatting>
  <conditionalFormatting sqref="M80 J80">
    <cfRule type="cellIs" dxfId="720" priority="592" stopIfTrue="1" operator="greaterThanOrEqual">
      <formula>1</formula>
    </cfRule>
  </conditionalFormatting>
  <conditionalFormatting sqref="E80">
    <cfRule type="cellIs" dxfId="719" priority="589" stopIfTrue="1" operator="equal">
      <formula>"Rejetée"</formula>
    </cfRule>
    <cfRule type="cellIs" dxfId="718" priority="590" stopIfTrue="1" operator="equal">
      <formula>Etats_possibles_Corr</formula>
    </cfRule>
    <cfRule type="cellIs" dxfId="717" priority="591" stopIfTrue="1" operator="equal">
      <formula>"DNR"</formula>
    </cfRule>
  </conditionalFormatting>
  <conditionalFormatting sqref="M81 J81">
    <cfRule type="cellIs" dxfId="716" priority="588" stopIfTrue="1" operator="greaterThanOrEqual">
      <formula>1</formula>
    </cfRule>
  </conditionalFormatting>
  <conditionalFormatting sqref="E81">
    <cfRule type="cellIs" dxfId="715" priority="585" stopIfTrue="1" operator="equal">
      <formula>"Rejetée"</formula>
    </cfRule>
    <cfRule type="cellIs" dxfId="714" priority="586" stopIfTrue="1" operator="equal">
      <formula>Etats_possibles_Corr</formula>
    </cfRule>
    <cfRule type="cellIs" dxfId="713" priority="587" stopIfTrue="1" operator="equal">
      <formula>"DNR"</formula>
    </cfRule>
  </conditionalFormatting>
  <conditionalFormatting sqref="M82 J82">
    <cfRule type="cellIs" dxfId="712" priority="584" stopIfTrue="1" operator="greaterThanOrEqual">
      <formula>1</formula>
    </cfRule>
  </conditionalFormatting>
  <conditionalFormatting sqref="E82">
    <cfRule type="cellIs" dxfId="711" priority="581" stopIfTrue="1" operator="equal">
      <formula>"Rejetée"</formula>
    </cfRule>
    <cfRule type="cellIs" dxfId="710" priority="582" stopIfTrue="1" operator="equal">
      <formula>Etats_possibles_Corr</formula>
    </cfRule>
    <cfRule type="cellIs" dxfId="709" priority="583" stopIfTrue="1" operator="equal">
      <formula>"DNR"</formula>
    </cfRule>
  </conditionalFormatting>
  <conditionalFormatting sqref="M83 J83">
    <cfRule type="cellIs" dxfId="708" priority="580" stopIfTrue="1" operator="greaterThanOrEqual">
      <formula>1</formula>
    </cfRule>
  </conditionalFormatting>
  <conditionalFormatting sqref="E83">
    <cfRule type="cellIs" dxfId="707" priority="577" stopIfTrue="1" operator="equal">
      <formula>"Rejetée"</formula>
    </cfRule>
    <cfRule type="cellIs" dxfId="706" priority="578" stopIfTrue="1" operator="equal">
      <formula>Etats_possibles_Corr</formula>
    </cfRule>
    <cfRule type="cellIs" dxfId="705" priority="579" stopIfTrue="1" operator="equal">
      <formula>"DNR"</formula>
    </cfRule>
  </conditionalFormatting>
  <conditionalFormatting sqref="M84 J84">
    <cfRule type="cellIs" dxfId="704" priority="576" stopIfTrue="1" operator="greaterThanOrEqual">
      <formula>1</formula>
    </cfRule>
  </conditionalFormatting>
  <conditionalFormatting sqref="E84">
    <cfRule type="cellIs" dxfId="703" priority="573" stopIfTrue="1" operator="equal">
      <formula>"Rejetée"</formula>
    </cfRule>
    <cfRule type="cellIs" dxfId="702" priority="574" stopIfTrue="1" operator="equal">
      <formula>Etats_possibles_Corr</formula>
    </cfRule>
    <cfRule type="cellIs" dxfId="701" priority="575" stopIfTrue="1" operator="equal">
      <formula>"DNR"</formula>
    </cfRule>
  </conditionalFormatting>
  <conditionalFormatting sqref="M85 J85">
    <cfRule type="cellIs" dxfId="700" priority="572" stopIfTrue="1" operator="greaterThanOrEqual">
      <formula>1</formula>
    </cfRule>
  </conditionalFormatting>
  <conditionalFormatting sqref="E85">
    <cfRule type="cellIs" dxfId="699" priority="569" stopIfTrue="1" operator="equal">
      <formula>"Rejetée"</formula>
    </cfRule>
    <cfRule type="cellIs" dxfId="698" priority="570" stopIfTrue="1" operator="equal">
      <formula>Etats_possibles_Corr</formula>
    </cfRule>
    <cfRule type="cellIs" dxfId="697" priority="571" stopIfTrue="1" operator="equal">
      <formula>"DNR"</formula>
    </cfRule>
  </conditionalFormatting>
  <conditionalFormatting sqref="M86 J86">
    <cfRule type="cellIs" dxfId="696" priority="568" stopIfTrue="1" operator="greaterThanOrEqual">
      <formula>1</formula>
    </cfRule>
  </conditionalFormatting>
  <conditionalFormatting sqref="E86">
    <cfRule type="cellIs" dxfId="695" priority="565" stopIfTrue="1" operator="equal">
      <formula>"Rejetée"</formula>
    </cfRule>
    <cfRule type="cellIs" dxfId="694" priority="566" stopIfTrue="1" operator="equal">
      <formula>Etats_possibles_Corr</formula>
    </cfRule>
    <cfRule type="cellIs" dxfId="693" priority="567" stopIfTrue="1" operator="equal">
      <formula>"DNR"</formula>
    </cfRule>
  </conditionalFormatting>
  <conditionalFormatting sqref="M87 J87">
    <cfRule type="cellIs" dxfId="692" priority="564" stopIfTrue="1" operator="greaterThanOrEqual">
      <formula>1</formula>
    </cfRule>
  </conditionalFormatting>
  <conditionalFormatting sqref="E87">
    <cfRule type="cellIs" dxfId="691" priority="561" stopIfTrue="1" operator="equal">
      <formula>"Rejetée"</formula>
    </cfRule>
    <cfRule type="cellIs" dxfId="690" priority="562" stopIfTrue="1" operator="equal">
      <formula>Etats_possibles_Corr</formula>
    </cfRule>
    <cfRule type="cellIs" dxfId="689" priority="563" stopIfTrue="1" operator="equal">
      <formula>"DNR"</formula>
    </cfRule>
  </conditionalFormatting>
  <conditionalFormatting sqref="M88 J88">
    <cfRule type="cellIs" dxfId="688" priority="560" stopIfTrue="1" operator="greaterThanOrEqual">
      <formula>1</formula>
    </cfRule>
  </conditionalFormatting>
  <conditionalFormatting sqref="E88">
    <cfRule type="cellIs" dxfId="687" priority="557" stopIfTrue="1" operator="equal">
      <formula>"Rejetée"</formula>
    </cfRule>
    <cfRule type="cellIs" dxfId="686" priority="558" stopIfTrue="1" operator="equal">
      <formula>Etats_possibles_Corr</formula>
    </cfRule>
    <cfRule type="cellIs" dxfId="685" priority="559" stopIfTrue="1" operator="equal">
      <formula>"DNR"</formula>
    </cfRule>
  </conditionalFormatting>
  <conditionalFormatting sqref="M89 J89">
    <cfRule type="cellIs" dxfId="684" priority="556" stopIfTrue="1" operator="greaterThanOrEqual">
      <formula>1</formula>
    </cfRule>
  </conditionalFormatting>
  <conditionalFormatting sqref="E89">
    <cfRule type="cellIs" dxfId="683" priority="553" stopIfTrue="1" operator="equal">
      <formula>"Rejetée"</formula>
    </cfRule>
    <cfRule type="cellIs" dxfId="682" priority="554" stopIfTrue="1" operator="equal">
      <formula>Etats_possibles_Corr</formula>
    </cfRule>
    <cfRule type="cellIs" dxfId="681" priority="555" stopIfTrue="1" operator="equal">
      <formula>"DNR"</formula>
    </cfRule>
  </conditionalFormatting>
  <conditionalFormatting sqref="M90 J90">
    <cfRule type="cellIs" dxfId="680" priority="552" stopIfTrue="1" operator="greaterThanOrEqual">
      <formula>1</formula>
    </cfRule>
  </conditionalFormatting>
  <conditionalFormatting sqref="E90">
    <cfRule type="cellIs" dxfId="679" priority="549" stopIfTrue="1" operator="equal">
      <formula>"Rejetée"</formula>
    </cfRule>
    <cfRule type="cellIs" dxfId="678" priority="550" stopIfTrue="1" operator="equal">
      <formula>Etats_possibles_Corr</formula>
    </cfRule>
    <cfRule type="cellIs" dxfId="677" priority="551" stopIfTrue="1" operator="equal">
      <formula>"DNR"</formula>
    </cfRule>
  </conditionalFormatting>
  <conditionalFormatting sqref="M91 J91">
    <cfRule type="cellIs" dxfId="676" priority="548" stopIfTrue="1" operator="greaterThanOrEqual">
      <formula>1</formula>
    </cfRule>
  </conditionalFormatting>
  <conditionalFormatting sqref="E91">
    <cfRule type="cellIs" dxfId="675" priority="545" stopIfTrue="1" operator="equal">
      <formula>"Rejetée"</formula>
    </cfRule>
    <cfRule type="cellIs" dxfId="674" priority="546" stopIfTrue="1" operator="equal">
      <formula>Etats_possibles_Corr</formula>
    </cfRule>
    <cfRule type="cellIs" dxfId="673" priority="547" stopIfTrue="1" operator="equal">
      <formula>"DNR"</formula>
    </cfRule>
  </conditionalFormatting>
  <conditionalFormatting sqref="M92 J92">
    <cfRule type="cellIs" dxfId="672" priority="544" stopIfTrue="1" operator="greaterThanOrEqual">
      <formula>1</formula>
    </cfRule>
  </conditionalFormatting>
  <conditionalFormatting sqref="E92">
    <cfRule type="cellIs" dxfId="671" priority="541" stopIfTrue="1" operator="equal">
      <formula>"Rejetée"</formula>
    </cfRule>
    <cfRule type="cellIs" dxfId="670" priority="542" stopIfTrue="1" operator="equal">
      <formula>Etats_possibles_Corr</formula>
    </cfRule>
    <cfRule type="cellIs" dxfId="669" priority="543" stopIfTrue="1" operator="equal">
      <formula>"DNR"</formula>
    </cfRule>
  </conditionalFormatting>
  <conditionalFormatting sqref="M93 J93">
    <cfRule type="cellIs" dxfId="668" priority="540" stopIfTrue="1" operator="greaterThanOrEqual">
      <formula>1</formula>
    </cfRule>
  </conditionalFormatting>
  <conditionalFormatting sqref="E93">
    <cfRule type="cellIs" dxfId="667" priority="537" stopIfTrue="1" operator="equal">
      <formula>"Rejetée"</formula>
    </cfRule>
    <cfRule type="cellIs" dxfId="666" priority="538" stopIfTrue="1" operator="equal">
      <formula>Etats_possibles_Corr</formula>
    </cfRule>
    <cfRule type="cellIs" dxfId="665" priority="539" stopIfTrue="1" operator="equal">
      <formula>"DNR"</formula>
    </cfRule>
  </conditionalFormatting>
  <conditionalFormatting sqref="M94 J94">
    <cfRule type="cellIs" dxfId="664" priority="536" stopIfTrue="1" operator="greaterThanOrEqual">
      <formula>1</formula>
    </cfRule>
  </conditionalFormatting>
  <conditionalFormatting sqref="E94">
    <cfRule type="cellIs" dxfId="663" priority="533" stopIfTrue="1" operator="equal">
      <formula>"Rejetée"</formula>
    </cfRule>
    <cfRule type="cellIs" dxfId="662" priority="534" stopIfTrue="1" operator="equal">
      <formula>Etats_possibles_Corr</formula>
    </cfRule>
    <cfRule type="cellIs" dxfId="661" priority="535" stopIfTrue="1" operator="equal">
      <formula>"DNR"</formula>
    </cfRule>
  </conditionalFormatting>
  <conditionalFormatting sqref="M95 J95">
    <cfRule type="cellIs" dxfId="660" priority="532" stopIfTrue="1" operator="greaterThanOrEqual">
      <formula>1</formula>
    </cfRule>
  </conditionalFormatting>
  <conditionalFormatting sqref="E95">
    <cfRule type="cellIs" dxfId="659" priority="529" stopIfTrue="1" operator="equal">
      <formula>"Rejetée"</formula>
    </cfRule>
    <cfRule type="cellIs" dxfId="658" priority="530" stopIfTrue="1" operator="equal">
      <formula>Etats_possibles_Corr</formula>
    </cfRule>
    <cfRule type="cellIs" dxfId="657" priority="531" stopIfTrue="1" operator="equal">
      <formula>"DNR"</formula>
    </cfRule>
  </conditionalFormatting>
  <conditionalFormatting sqref="M96 J96">
    <cfRule type="cellIs" dxfId="656" priority="528" stopIfTrue="1" operator="greaterThanOrEqual">
      <formula>1</formula>
    </cfRule>
  </conditionalFormatting>
  <conditionalFormatting sqref="E96">
    <cfRule type="cellIs" dxfId="655" priority="525" stopIfTrue="1" operator="equal">
      <formula>"Rejetée"</formula>
    </cfRule>
    <cfRule type="cellIs" dxfId="654" priority="526" stopIfTrue="1" operator="equal">
      <formula>Etats_possibles_Corr</formula>
    </cfRule>
    <cfRule type="cellIs" dxfId="653" priority="527" stopIfTrue="1" operator="equal">
      <formula>"DNR"</formula>
    </cfRule>
  </conditionalFormatting>
  <conditionalFormatting sqref="M97 J97">
    <cfRule type="cellIs" dxfId="652" priority="524" stopIfTrue="1" operator="greaterThanOrEqual">
      <formula>1</formula>
    </cfRule>
  </conditionalFormatting>
  <conditionalFormatting sqref="E97">
    <cfRule type="cellIs" dxfId="651" priority="521" stopIfTrue="1" operator="equal">
      <formula>"Rejetée"</formula>
    </cfRule>
    <cfRule type="cellIs" dxfId="650" priority="522" stopIfTrue="1" operator="equal">
      <formula>Etats_possibles_Corr</formula>
    </cfRule>
    <cfRule type="cellIs" dxfId="649" priority="523" stopIfTrue="1" operator="equal">
      <formula>"DNR"</formula>
    </cfRule>
  </conditionalFormatting>
  <conditionalFormatting sqref="M98 J98">
    <cfRule type="cellIs" dxfId="648" priority="520" stopIfTrue="1" operator="greaterThanOrEqual">
      <formula>1</formula>
    </cfRule>
  </conditionalFormatting>
  <conditionalFormatting sqref="E98">
    <cfRule type="cellIs" dxfId="647" priority="517" stopIfTrue="1" operator="equal">
      <formula>"Rejetée"</formula>
    </cfRule>
    <cfRule type="cellIs" dxfId="646" priority="518" stopIfTrue="1" operator="equal">
      <formula>Etats_possibles_Corr</formula>
    </cfRule>
    <cfRule type="cellIs" dxfId="645" priority="519" stopIfTrue="1" operator="equal">
      <formula>"DNR"</formula>
    </cfRule>
  </conditionalFormatting>
  <conditionalFormatting sqref="M99 J99">
    <cfRule type="cellIs" dxfId="644" priority="516" stopIfTrue="1" operator="greaterThanOrEqual">
      <formula>1</formula>
    </cfRule>
  </conditionalFormatting>
  <conditionalFormatting sqref="E99">
    <cfRule type="cellIs" dxfId="643" priority="513" stopIfTrue="1" operator="equal">
      <formula>"Rejetée"</formula>
    </cfRule>
    <cfRule type="cellIs" dxfId="642" priority="514" stopIfTrue="1" operator="equal">
      <formula>Etats_possibles_Corr</formula>
    </cfRule>
    <cfRule type="cellIs" dxfId="641" priority="515" stopIfTrue="1" operator="equal">
      <formula>"DNR"</formula>
    </cfRule>
  </conditionalFormatting>
  <conditionalFormatting sqref="M100 J100">
    <cfRule type="cellIs" dxfId="640" priority="512" stopIfTrue="1" operator="greaterThanOrEqual">
      <formula>1</formula>
    </cfRule>
  </conditionalFormatting>
  <conditionalFormatting sqref="E100">
    <cfRule type="cellIs" dxfId="639" priority="509" stopIfTrue="1" operator="equal">
      <formula>"Rejetée"</formula>
    </cfRule>
    <cfRule type="cellIs" dxfId="638" priority="510" stopIfTrue="1" operator="equal">
      <formula>Etats_possibles_Corr</formula>
    </cfRule>
    <cfRule type="cellIs" dxfId="637" priority="511" stopIfTrue="1" operator="equal">
      <formula>"DNR"</formula>
    </cfRule>
  </conditionalFormatting>
  <conditionalFormatting sqref="M101 J101">
    <cfRule type="cellIs" dxfId="636" priority="508" stopIfTrue="1" operator="greaterThanOrEqual">
      <formula>1</formula>
    </cfRule>
  </conditionalFormatting>
  <conditionalFormatting sqref="E101">
    <cfRule type="cellIs" dxfId="635" priority="505" stopIfTrue="1" operator="equal">
      <formula>"Rejetée"</formula>
    </cfRule>
    <cfRule type="cellIs" dxfId="634" priority="506" stopIfTrue="1" operator="equal">
      <formula>Etats_possibles_Corr</formula>
    </cfRule>
    <cfRule type="cellIs" dxfId="633" priority="507" stopIfTrue="1" operator="equal">
      <formula>"DNR"</formula>
    </cfRule>
  </conditionalFormatting>
  <conditionalFormatting sqref="M102 J102">
    <cfRule type="cellIs" dxfId="632" priority="504" stopIfTrue="1" operator="greaterThanOrEqual">
      <formula>1</formula>
    </cfRule>
  </conditionalFormatting>
  <conditionalFormatting sqref="E102">
    <cfRule type="cellIs" dxfId="631" priority="501" stopIfTrue="1" operator="equal">
      <formula>"Rejetée"</formula>
    </cfRule>
    <cfRule type="cellIs" dxfId="630" priority="502" stopIfTrue="1" operator="equal">
      <formula>Etats_possibles_Corr</formula>
    </cfRule>
    <cfRule type="cellIs" dxfId="629" priority="503" stopIfTrue="1" operator="equal">
      <formula>"DNR"</formula>
    </cfRule>
  </conditionalFormatting>
  <conditionalFormatting sqref="M103 J103">
    <cfRule type="cellIs" dxfId="628" priority="500" stopIfTrue="1" operator="greaterThanOrEqual">
      <formula>1</formula>
    </cfRule>
  </conditionalFormatting>
  <conditionalFormatting sqref="E103">
    <cfRule type="cellIs" dxfId="627" priority="497" stopIfTrue="1" operator="equal">
      <formula>"Rejetée"</formula>
    </cfRule>
    <cfRule type="cellIs" dxfId="626" priority="498" stopIfTrue="1" operator="equal">
      <formula>Etats_possibles_Corr</formula>
    </cfRule>
    <cfRule type="cellIs" dxfId="625" priority="499" stopIfTrue="1" operator="equal">
      <formula>"DNR"</formula>
    </cfRule>
  </conditionalFormatting>
  <conditionalFormatting sqref="M104 J104">
    <cfRule type="cellIs" dxfId="624" priority="496" stopIfTrue="1" operator="greaterThanOrEqual">
      <formula>1</formula>
    </cfRule>
  </conditionalFormatting>
  <conditionalFormatting sqref="E104">
    <cfRule type="cellIs" dxfId="623" priority="493" stopIfTrue="1" operator="equal">
      <formula>"Rejetée"</formula>
    </cfRule>
    <cfRule type="cellIs" dxfId="622" priority="494" stopIfTrue="1" operator="equal">
      <formula>Etats_possibles_Corr</formula>
    </cfRule>
    <cfRule type="cellIs" dxfId="621" priority="495" stopIfTrue="1" operator="equal">
      <formula>"DNR"</formula>
    </cfRule>
  </conditionalFormatting>
  <conditionalFormatting sqref="M105 J105">
    <cfRule type="cellIs" dxfId="620" priority="492" stopIfTrue="1" operator="greaterThanOrEqual">
      <formula>1</formula>
    </cfRule>
  </conditionalFormatting>
  <conditionalFormatting sqref="E105">
    <cfRule type="cellIs" dxfId="619" priority="489" stopIfTrue="1" operator="equal">
      <formula>"Rejetée"</formula>
    </cfRule>
    <cfRule type="cellIs" dxfId="618" priority="490" stopIfTrue="1" operator="equal">
      <formula>Etats_possibles_Corr</formula>
    </cfRule>
    <cfRule type="cellIs" dxfId="617" priority="491" stopIfTrue="1" operator="equal">
      <formula>"DNR"</formula>
    </cfRule>
  </conditionalFormatting>
  <conditionalFormatting sqref="M106 J106">
    <cfRule type="cellIs" dxfId="616" priority="488" stopIfTrue="1" operator="greaterThanOrEqual">
      <formula>1</formula>
    </cfRule>
  </conditionalFormatting>
  <conditionalFormatting sqref="E106">
    <cfRule type="cellIs" dxfId="615" priority="485" stopIfTrue="1" operator="equal">
      <formula>"Rejetée"</formula>
    </cfRule>
    <cfRule type="cellIs" dxfId="614" priority="486" stopIfTrue="1" operator="equal">
      <formula>Etats_possibles_Corr</formula>
    </cfRule>
    <cfRule type="cellIs" dxfId="613" priority="487" stopIfTrue="1" operator="equal">
      <formula>"DNR"</formula>
    </cfRule>
  </conditionalFormatting>
  <conditionalFormatting sqref="M107 J107">
    <cfRule type="cellIs" dxfId="612" priority="484" stopIfTrue="1" operator="greaterThanOrEqual">
      <formula>1</formula>
    </cfRule>
  </conditionalFormatting>
  <conditionalFormatting sqref="E107">
    <cfRule type="cellIs" dxfId="611" priority="481" stopIfTrue="1" operator="equal">
      <formula>"Rejetée"</formula>
    </cfRule>
    <cfRule type="cellIs" dxfId="610" priority="482" stopIfTrue="1" operator="equal">
      <formula>Etats_possibles_Corr</formula>
    </cfRule>
    <cfRule type="cellIs" dxfId="609" priority="483" stopIfTrue="1" operator="equal">
      <formula>"DNR"</formula>
    </cfRule>
  </conditionalFormatting>
  <conditionalFormatting sqref="M108 J108">
    <cfRule type="cellIs" dxfId="608" priority="480" stopIfTrue="1" operator="greaterThanOrEqual">
      <formula>1</formula>
    </cfRule>
  </conditionalFormatting>
  <conditionalFormatting sqref="E108">
    <cfRule type="cellIs" dxfId="607" priority="477" stopIfTrue="1" operator="equal">
      <formula>"Rejetée"</formula>
    </cfRule>
    <cfRule type="cellIs" dxfId="606" priority="478" stopIfTrue="1" operator="equal">
      <formula>Etats_possibles_Corr</formula>
    </cfRule>
    <cfRule type="cellIs" dxfId="605" priority="479" stopIfTrue="1" operator="equal">
      <formula>"DNR"</formula>
    </cfRule>
  </conditionalFormatting>
  <conditionalFormatting sqref="M109 J109">
    <cfRule type="cellIs" dxfId="604" priority="476" stopIfTrue="1" operator="greaterThanOrEqual">
      <formula>1</formula>
    </cfRule>
  </conditionalFormatting>
  <conditionalFormatting sqref="E109">
    <cfRule type="cellIs" dxfId="603" priority="473" stopIfTrue="1" operator="equal">
      <formula>"Rejetée"</formula>
    </cfRule>
    <cfRule type="cellIs" dxfId="602" priority="474" stopIfTrue="1" operator="equal">
      <formula>Etats_possibles_Corr</formula>
    </cfRule>
    <cfRule type="cellIs" dxfId="601" priority="475" stopIfTrue="1" operator="equal">
      <formula>"DNR"</formula>
    </cfRule>
  </conditionalFormatting>
  <conditionalFormatting sqref="M110 J110">
    <cfRule type="cellIs" dxfId="600" priority="472" stopIfTrue="1" operator="greaterThanOrEqual">
      <formula>1</formula>
    </cfRule>
  </conditionalFormatting>
  <conditionalFormatting sqref="E110">
    <cfRule type="cellIs" dxfId="599" priority="469" stopIfTrue="1" operator="equal">
      <formula>"Rejetée"</formula>
    </cfRule>
    <cfRule type="cellIs" dxfId="598" priority="470" stopIfTrue="1" operator="equal">
      <formula>Etats_possibles_Corr</formula>
    </cfRule>
    <cfRule type="cellIs" dxfId="597" priority="471" stopIfTrue="1" operator="equal">
      <formula>"DNR"</formula>
    </cfRule>
  </conditionalFormatting>
  <conditionalFormatting sqref="M111 J111">
    <cfRule type="cellIs" dxfId="596" priority="468" stopIfTrue="1" operator="greaterThanOrEqual">
      <formula>1</formula>
    </cfRule>
  </conditionalFormatting>
  <conditionalFormatting sqref="E111">
    <cfRule type="cellIs" dxfId="595" priority="465" stopIfTrue="1" operator="equal">
      <formula>"Rejetée"</formula>
    </cfRule>
    <cfRule type="cellIs" dxfId="594" priority="466" stopIfTrue="1" operator="equal">
      <formula>Etats_possibles_Corr</formula>
    </cfRule>
    <cfRule type="cellIs" dxfId="593" priority="467" stopIfTrue="1" operator="equal">
      <formula>"DNR"</formula>
    </cfRule>
  </conditionalFormatting>
  <conditionalFormatting sqref="M112 J112">
    <cfRule type="cellIs" dxfId="592" priority="464" stopIfTrue="1" operator="greaterThanOrEqual">
      <formula>1</formula>
    </cfRule>
  </conditionalFormatting>
  <conditionalFormatting sqref="E112">
    <cfRule type="cellIs" dxfId="591" priority="461" stopIfTrue="1" operator="equal">
      <formula>"Rejetée"</formula>
    </cfRule>
    <cfRule type="cellIs" dxfId="590" priority="462" stopIfTrue="1" operator="equal">
      <formula>Etats_possibles_Corr</formula>
    </cfRule>
    <cfRule type="cellIs" dxfId="589" priority="463" stopIfTrue="1" operator="equal">
      <formula>"DNR"</formula>
    </cfRule>
  </conditionalFormatting>
  <conditionalFormatting sqref="M113 J113">
    <cfRule type="cellIs" dxfId="588" priority="460" stopIfTrue="1" operator="greaterThanOrEqual">
      <formula>1</formula>
    </cfRule>
  </conditionalFormatting>
  <conditionalFormatting sqref="E113">
    <cfRule type="cellIs" dxfId="587" priority="457" stopIfTrue="1" operator="equal">
      <formula>"Rejetée"</formula>
    </cfRule>
    <cfRule type="cellIs" dxfId="586" priority="458" stopIfTrue="1" operator="equal">
      <formula>Etats_possibles_Corr</formula>
    </cfRule>
    <cfRule type="cellIs" dxfId="585" priority="459" stopIfTrue="1" operator="equal">
      <formula>"DNR"</formula>
    </cfRule>
  </conditionalFormatting>
  <conditionalFormatting sqref="M114 J114">
    <cfRule type="cellIs" dxfId="584" priority="456" stopIfTrue="1" operator="greaterThanOrEqual">
      <formula>1</formula>
    </cfRule>
  </conditionalFormatting>
  <conditionalFormatting sqref="E114">
    <cfRule type="cellIs" dxfId="583" priority="453" stopIfTrue="1" operator="equal">
      <formula>"Rejetée"</formula>
    </cfRule>
    <cfRule type="cellIs" dxfId="582" priority="454" stopIfTrue="1" operator="equal">
      <formula>Etats_possibles_Corr</formula>
    </cfRule>
    <cfRule type="cellIs" dxfId="581" priority="455" stopIfTrue="1" operator="equal">
      <formula>"DNR"</formula>
    </cfRule>
  </conditionalFormatting>
  <conditionalFormatting sqref="M115 J115">
    <cfRule type="cellIs" dxfId="580" priority="452" stopIfTrue="1" operator="greaterThanOrEqual">
      <formula>1</formula>
    </cfRule>
  </conditionalFormatting>
  <conditionalFormatting sqref="E115">
    <cfRule type="cellIs" dxfId="579" priority="449" stopIfTrue="1" operator="equal">
      <formula>"Rejetée"</formula>
    </cfRule>
    <cfRule type="cellIs" dxfId="578" priority="450" stopIfTrue="1" operator="equal">
      <formula>Etats_possibles_Corr</formula>
    </cfRule>
    <cfRule type="cellIs" dxfId="577" priority="451" stopIfTrue="1" operator="equal">
      <formula>"DNR"</formula>
    </cfRule>
  </conditionalFormatting>
  <conditionalFormatting sqref="M116 J116">
    <cfRule type="cellIs" dxfId="576" priority="448" stopIfTrue="1" operator="greaterThanOrEqual">
      <formula>1</formula>
    </cfRule>
  </conditionalFormatting>
  <conditionalFormatting sqref="E116">
    <cfRule type="cellIs" dxfId="575" priority="445" stopIfTrue="1" operator="equal">
      <formula>"Rejetée"</formula>
    </cfRule>
    <cfRule type="cellIs" dxfId="574" priority="446" stopIfTrue="1" operator="equal">
      <formula>Etats_possibles_Corr</formula>
    </cfRule>
    <cfRule type="cellIs" dxfId="573" priority="447" stopIfTrue="1" operator="equal">
      <formula>"DNR"</formula>
    </cfRule>
  </conditionalFormatting>
  <conditionalFormatting sqref="M117 J117">
    <cfRule type="cellIs" dxfId="572" priority="444" stopIfTrue="1" operator="greaterThanOrEqual">
      <formula>1</formula>
    </cfRule>
  </conditionalFormatting>
  <conditionalFormatting sqref="E117">
    <cfRule type="cellIs" dxfId="571" priority="441" stopIfTrue="1" operator="equal">
      <formula>"Rejetée"</formula>
    </cfRule>
    <cfRule type="cellIs" dxfId="570" priority="442" stopIfTrue="1" operator="equal">
      <formula>Etats_possibles_Corr</formula>
    </cfRule>
    <cfRule type="cellIs" dxfId="569" priority="443" stopIfTrue="1" operator="equal">
      <formula>"DNR"</formula>
    </cfRule>
  </conditionalFormatting>
  <conditionalFormatting sqref="M118 J118">
    <cfRule type="cellIs" dxfId="568" priority="440" stopIfTrue="1" operator="greaterThanOrEqual">
      <formula>1</formula>
    </cfRule>
  </conditionalFormatting>
  <conditionalFormatting sqref="E118">
    <cfRule type="cellIs" dxfId="567" priority="437" stopIfTrue="1" operator="equal">
      <formula>"Rejetée"</formula>
    </cfRule>
    <cfRule type="cellIs" dxfId="566" priority="438" stopIfTrue="1" operator="equal">
      <formula>Etats_possibles_Corr</formula>
    </cfRule>
    <cfRule type="cellIs" dxfId="565" priority="439" stopIfTrue="1" operator="equal">
      <formula>"DNR"</formula>
    </cfRule>
  </conditionalFormatting>
  <conditionalFormatting sqref="M119 J119">
    <cfRule type="cellIs" dxfId="564" priority="436" stopIfTrue="1" operator="greaterThanOrEqual">
      <formula>1</formula>
    </cfRule>
  </conditionalFormatting>
  <conditionalFormatting sqref="E119">
    <cfRule type="cellIs" dxfId="563" priority="433" stopIfTrue="1" operator="equal">
      <formula>"Rejetée"</formula>
    </cfRule>
    <cfRule type="cellIs" dxfId="562" priority="434" stopIfTrue="1" operator="equal">
      <formula>Etats_possibles_Corr</formula>
    </cfRule>
    <cfRule type="cellIs" dxfId="561" priority="435" stopIfTrue="1" operator="equal">
      <formula>"DNR"</formula>
    </cfRule>
  </conditionalFormatting>
  <conditionalFormatting sqref="M120 J120">
    <cfRule type="cellIs" dxfId="560" priority="432" stopIfTrue="1" operator="greaterThanOrEqual">
      <formula>1</formula>
    </cfRule>
  </conditionalFormatting>
  <conditionalFormatting sqref="E120">
    <cfRule type="cellIs" dxfId="559" priority="429" stopIfTrue="1" operator="equal">
      <formula>"Rejetée"</formula>
    </cfRule>
    <cfRule type="cellIs" dxfId="558" priority="430" stopIfTrue="1" operator="equal">
      <formula>Etats_possibles_Corr</formula>
    </cfRule>
    <cfRule type="cellIs" dxfId="557" priority="431" stopIfTrue="1" operator="equal">
      <formula>"DNR"</formula>
    </cfRule>
  </conditionalFormatting>
  <conditionalFormatting sqref="M121 J121">
    <cfRule type="cellIs" dxfId="556" priority="428" stopIfTrue="1" operator="greaterThanOrEqual">
      <formula>1</formula>
    </cfRule>
  </conditionalFormatting>
  <conditionalFormatting sqref="E121">
    <cfRule type="cellIs" dxfId="555" priority="425" stopIfTrue="1" operator="equal">
      <formula>"Rejetée"</formula>
    </cfRule>
    <cfRule type="cellIs" dxfId="554" priority="426" stopIfTrue="1" operator="equal">
      <formula>Etats_possibles_Corr</formula>
    </cfRule>
    <cfRule type="cellIs" dxfId="553" priority="427" stopIfTrue="1" operator="equal">
      <formula>"DNR"</formula>
    </cfRule>
  </conditionalFormatting>
  <conditionalFormatting sqref="M122 J122">
    <cfRule type="cellIs" dxfId="552" priority="424" stopIfTrue="1" operator="greaterThanOrEqual">
      <formula>1</formula>
    </cfRule>
  </conditionalFormatting>
  <conditionalFormatting sqref="E122">
    <cfRule type="cellIs" dxfId="551" priority="421" stopIfTrue="1" operator="equal">
      <formula>"Rejetée"</formula>
    </cfRule>
    <cfRule type="cellIs" dxfId="550" priority="422" stopIfTrue="1" operator="equal">
      <formula>Etats_possibles_Corr</formula>
    </cfRule>
    <cfRule type="cellIs" dxfId="549" priority="423" stopIfTrue="1" operator="equal">
      <formula>"DNR"</formula>
    </cfRule>
  </conditionalFormatting>
  <conditionalFormatting sqref="M123 J123">
    <cfRule type="cellIs" dxfId="548" priority="420" stopIfTrue="1" operator="greaterThanOrEqual">
      <formula>1</formula>
    </cfRule>
  </conditionalFormatting>
  <conditionalFormatting sqref="E123">
    <cfRule type="cellIs" dxfId="547" priority="417" stopIfTrue="1" operator="equal">
      <formula>"Rejetée"</formula>
    </cfRule>
    <cfRule type="cellIs" dxfId="546" priority="418" stopIfTrue="1" operator="equal">
      <formula>Etats_possibles_Corr</formula>
    </cfRule>
    <cfRule type="cellIs" dxfId="545" priority="419" stopIfTrue="1" operator="equal">
      <formula>"DNR"</formula>
    </cfRule>
  </conditionalFormatting>
  <conditionalFormatting sqref="M124 J124">
    <cfRule type="cellIs" dxfId="544" priority="416" stopIfTrue="1" operator="greaterThanOrEqual">
      <formula>1</formula>
    </cfRule>
  </conditionalFormatting>
  <conditionalFormatting sqref="E124">
    <cfRule type="cellIs" dxfId="543" priority="413" stopIfTrue="1" operator="equal">
      <formula>"Rejetée"</formula>
    </cfRule>
    <cfRule type="cellIs" dxfId="542" priority="414" stopIfTrue="1" operator="equal">
      <formula>Etats_possibles_Corr</formula>
    </cfRule>
    <cfRule type="cellIs" dxfId="541" priority="415" stopIfTrue="1" operator="equal">
      <formula>"DNR"</formula>
    </cfRule>
  </conditionalFormatting>
  <conditionalFormatting sqref="M125 J125">
    <cfRule type="cellIs" dxfId="540" priority="412" stopIfTrue="1" operator="greaterThanOrEqual">
      <formula>1</formula>
    </cfRule>
  </conditionalFormatting>
  <conditionalFormatting sqref="E125">
    <cfRule type="cellIs" dxfId="539" priority="409" stopIfTrue="1" operator="equal">
      <formula>"Rejetée"</formula>
    </cfRule>
    <cfRule type="cellIs" dxfId="538" priority="410" stopIfTrue="1" operator="equal">
      <formula>Etats_possibles_Corr</formula>
    </cfRule>
    <cfRule type="cellIs" dxfId="537" priority="411" stopIfTrue="1" operator="equal">
      <formula>"DNR"</formula>
    </cfRule>
  </conditionalFormatting>
  <conditionalFormatting sqref="M126 J126">
    <cfRule type="cellIs" dxfId="536" priority="408" stopIfTrue="1" operator="greaterThanOrEqual">
      <formula>1</formula>
    </cfRule>
  </conditionalFormatting>
  <conditionalFormatting sqref="E126">
    <cfRule type="cellIs" dxfId="535" priority="405" stopIfTrue="1" operator="equal">
      <formula>"Rejetée"</formula>
    </cfRule>
    <cfRule type="cellIs" dxfId="534" priority="406" stopIfTrue="1" operator="equal">
      <formula>Etats_possibles_Corr</formula>
    </cfRule>
    <cfRule type="cellIs" dxfId="533" priority="407" stopIfTrue="1" operator="equal">
      <formula>"DNR"</formula>
    </cfRule>
  </conditionalFormatting>
  <conditionalFormatting sqref="M127 J127">
    <cfRule type="cellIs" dxfId="532" priority="404" stopIfTrue="1" operator="greaterThanOrEqual">
      <formula>1</formula>
    </cfRule>
  </conditionalFormatting>
  <conditionalFormatting sqref="E127">
    <cfRule type="cellIs" dxfId="531" priority="401" stopIfTrue="1" operator="equal">
      <formula>"Rejetée"</formula>
    </cfRule>
    <cfRule type="cellIs" dxfId="530" priority="402" stopIfTrue="1" operator="equal">
      <formula>Etats_possibles_Corr</formula>
    </cfRule>
    <cfRule type="cellIs" dxfId="529" priority="403" stopIfTrue="1" operator="equal">
      <formula>"DNR"</formula>
    </cfRule>
  </conditionalFormatting>
  <conditionalFormatting sqref="M128 J128">
    <cfRule type="cellIs" dxfId="528" priority="400" stopIfTrue="1" operator="greaterThanOrEqual">
      <formula>1</formula>
    </cfRule>
  </conditionalFormatting>
  <conditionalFormatting sqref="E128">
    <cfRule type="cellIs" dxfId="527" priority="397" stopIfTrue="1" operator="equal">
      <formula>"Rejetée"</formula>
    </cfRule>
    <cfRule type="cellIs" dxfId="526" priority="398" stopIfTrue="1" operator="equal">
      <formula>Etats_possibles_Corr</formula>
    </cfRule>
    <cfRule type="cellIs" dxfId="525" priority="399" stopIfTrue="1" operator="equal">
      <formula>"DNR"</formula>
    </cfRule>
  </conditionalFormatting>
  <conditionalFormatting sqref="M129 J129">
    <cfRule type="cellIs" dxfId="524" priority="396" stopIfTrue="1" operator="greaterThanOrEqual">
      <formula>1</formula>
    </cfRule>
  </conditionalFormatting>
  <conditionalFormatting sqref="E129">
    <cfRule type="cellIs" dxfId="523" priority="393" stopIfTrue="1" operator="equal">
      <formula>"Rejetée"</formula>
    </cfRule>
    <cfRule type="cellIs" dxfId="522" priority="394" stopIfTrue="1" operator="equal">
      <formula>Etats_possibles_Corr</formula>
    </cfRule>
    <cfRule type="cellIs" dxfId="521" priority="395" stopIfTrue="1" operator="equal">
      <formula>"DNR"</formula>
    </cfRule>
  </conditionalFormatting>
  <conditionalFormatting sqref="M130 J130">
    <cfRule type="cellIs" dxfId="520" priority="392" stopIfTrue="1" operator="greaterThanOrEqual">
      <formula>1</formula>
    </cfRule>
  </conditionalFormatting>
  <conditionalFormatting sqref="E130">
    <cfRule type="cellIs" dxfId="519" priority="389" stopIfTrue="1" operator="equal">
      <formula>"Rejetée"</formula>
    </cfRule>
    <cfRule type="cellIs" dxfId="518" priority="390" stopIfTrue="1" operator="equal">
      <formula>Etats_possibles_Corr</formula>
    </cfRule>
    <cfRule type="cellIs" dxfId="517" priority="391" stopIfTrue="1" operator="equal">
      <formula>"DNR"</formula>
    </cfRule>
  </conditionalFormatting>
  <conditionalFormatting sqref="M131 J131">
    <cfRule type="cellIs" dxfId="516" priority="388" stopIfTrue="1" operator="greaterThanOrEqual">
      <formula>1</formula>
    </cfRule>
  </conditionalFormatting>
  <conditionalFormatting sqref="E131">
    <cfRule type="cellIs" dxfId="515" priority="385" stopIfTrue="1" operator="equal">
      <formula>"Rejetée"</formula>
    </cfRule>
    <cfRule type="cellIs" dxfId="514" priority="386" stopIfTrue="1" operator="equal">
      <formula>Etats_possibles_Corr</formula>
    </cfRule>
    <cfRule type="cellIs" dxfId="513" priority="387" stopIfTrue="1" operator="equal">
      <formula>"DNR"</formula>
    </cfRule>
  </conditionalFormatting>
  <conditionalFormatting sqref="M132 J132">
    <cfRule type="cellIs" dxfId="512" priority="384" stopIfTrue="1" operator="greaterThanOrEqual">
      <formula>1</formula>
    </cfRule>
  </conditionalFormatting>
  <conditionalFormatting sqref="E132">
    <cfRule type="cellIs" dxfId="511" priority="381" stopIfTrue="1" operator="equal">
      <formula>"Rejetée"</formula>
    </cfRule>
    <cfRule type="cellIs" dxfId="510" priority="382" stopIfTrue="1" operator="equal">
      <formula>Etats_possibles_Corr</formula>
    </cfRule>
    <cfRule type="cellIs" dxfId="509" priority="383" stopIfTrue="1" operator="equal">
      <formula>"DNR"</formula>
    </cfRule>
  </conditionalFormatting>
  <conditionalFormatting sqref="M133 J133">
    <cfRule type="cellIs" dxfId="508" priority="380" stopIfTrue="1" operator="greaterThanOrEqual">
      <formula>1</formula>
    </cfRule>
  </conditionalFormatting>
  <conditionalFormatting sqref="E133">
    <cfRule type="cellIs" dxfId="507" priority="377" stopIfTrue="1" operator="equal">
      <formula>"Rejetée"</formula>
    </cfRule>
    <cfRule type="cellIs" dxfId="506" priority="378" stopIfTrue="1" operator="equal">
      <formula>Etats_possibles_Corr</formula>
    </cfRule>
    <cfRule type="cellIs" dxfId="505" priority="379" stopIfTrue="1" operator="equal">
      <formula>"DNR"</formula>
    </cfRule>
  </conditionalFormatting>
  <conditionalFormatting sqref="M134 J134">
    <cfRule type="cellIs" dxfId="504" priority="376" stopIfTrue="1" operator="greaterThanOrEqual">
      <formula>1</formula>
    </cfRule>
  </conditionalFormatting>
  <conditionalFormatting sqref="E134">
    <cfRule type="cellIs" dxfId="503" priority="373" stopIfTrue="1" operator="equal">
      <formula>"Rejetée"</formula>
    </cfRule>
    <cfRule type="cellIs" dxfId="502" priority="374" stopIfTrue="1" operator="equal">
      <formula>Etats_possibles_Corr</formula>
    </cfRule>
    <cfRule type="cellIs" dxfId="501" priority="375" stopIfTrue="1" operator="equal">
      <formula>"DNR"</formula>
    </cfRule>
  </conditionalFormatting>
  <conditionalFormatting sqref="M135 J135">
    <cfRule type="cellIs" dxfId="500" priority="372" stopIfTrue="1" operator="greaterThanOrEqual">
      <formula>1</formula>
    </cfRule>
  </conditionalFormatting>
  <conditionalFormatting sqref="E135">
    <cfRule type="cellIs" dxfId="499" priority="369" stopIfTrue="1" operator="equal">
      <formula>"Rejetée"</formula>
    </cfRule>
    <cfRule type="cellIs" dxfId="498" priority="370" stopIfTrue="1" operator="equal">
      <formula>Etats_possibles_Corr</formula>
    </cfRule>
    <cfRule type="cellIs" dxfId="497" priority="371" stopIfTrue="1" operator="equal">
      <formula>"DNR"</formula>
    </cfRule>
  </conditionalFormatting>
  <conditionalFormatting sqref="M136 J136">
    <cfRule type="cellIs" dxfId="496" priority="368" stopIfTrue="1" operator="greaterThanOrEqual">
      <formula>1</formula>
    </cfRule>
  </conditionalFormatting>
  <conditionalFormatting sqref="E136">
    <cfRule type="cellIs" dxfId="495" priority="365" stopIfTrue="1" operator="equal">
      <formula>"Rejetée"</formula>
    </cfRule>
    <cfRule type="cellIs" dxfId="494" priority="366" stopIfTrue="1" operator="equal">
      <formula>Etats_possibles_Corr</formula>
    </cfRule>
    <cfRule type="cellIs" dxfId="493" priority="367" stopIfTrue="1" operator="equal">
      <formula>"DNR"</formula>
    </cfRule>
  </conditionalFormatting>
  <conditionalFormatting sqref="M137 J137">
    <cfRule type="cellIs" dxfId="492" priority="364" stopIfTrue="1" operator="greaterThanOrEqual">
      <formula>1</formula>
    </cfRule>
  </conditionalFormatting>
  <conditionalFormatting sqref="E137">
    <cfRule type="cellIs" dxfId="491" priority="361" stopIfTrue="1" operator="equal">
      <formula>"Rejetée"</formula>
    </cfRule>
    <cfRule type="cellIs" dxfId="490" priority="362" stopIfTrue="1" operator="equal">
      <formula>Etats_possibles_Corr</formula>
    </cfRule>
    <cfRule type="cellIs" dxfId="489" priority="363" stopIfTrue="1" operator="equal">
      <formula>"DNR"</formula>
    </cfRule>
  </conditionalFormatting>
  <conditionalFormatting sqref="M138 J138">
    <cfRule type="cellIs" dxfId="488" priority="360" stopIfTrue="1" operator="greaterThanOrEqual">
      <formula>1</formula>
    </cfRule>
  </conditionalFormatting>
  <conditionalFormatting sqref="E138">
    <cfRule type="cellIs" dxfId="487" priority="357" stopIfTrue="1" operator="equal">
      <formula>"Rejetée"</formula>
    </cfRule>
    <cfRule type="cellIs" dxfId="486" priority="358" stopIfTrue="1" operator="equal">
      <formula>Etats_possibles_Corr</formula>
    </cfRule>
    <cfRule type="cellIs" dxfId="485" priority="359" stopIfTrue="1" operator="equal">
      <formula>"DNR"</formula>
    </cfRule>
  </conditionalFormatting>
  <conditionalFormatting sqref="M139 J139">
    <cfRule type="cellIs" dxfId="484" priority="356" stopIfTrue="1" operator="greaterThanOrEqual">
      <formula>1</formula>
    </cfRule>
  </conditionalFormatting>
  <conditionalFormatting sqref="E139">
    <cfRule type="cellIs" dxfId="483" priority="353" stopIfTrue="1" operator="equal">
      <formula>"Rejetée"</formula>
    </cfRule>
    <cfRule type="cellIs" dxfId="482" priority="354" stopIfTrue="1" operator="equal">
      <formula>Etats_possibles_Corr</formula>
    </cfRule>
    <cfRule type="cellIs" dxfId="481" priority="355" stopIfTrue="1" operator="equal">
      <formula>"DNR"</formula>
    </cfRule>
  </conditionalFormatting>
  <conditionalFormatting sqref="M140 J140">
    <cfRule type="cellIs" dxfId="480" priority="352" stopIfTrue="1" operator="greaterThanOrEqual">
      <formula>1</formula>
    </cfRule>
  </conditionalFormatting>
  <conditionalFormatting sqref="E140">
    <cfRule type="cellIs" dxfId="479" priority="349" stopIfTrue="1" operator="equal">
      <formula>"Rejetée"</formula>
    </cfRule>
    <cfRule type="cellIs" dxfId="478" priority="350" stopIfTrue="1" operator="equal">
      <formula>Etats_possibles_Corr</formula>
    </cfRule>
    <cfRule type="cellIs" dxfId="477" priority="351" stopIfTrue="1" operator="equal">
      <formula>"DNR"</formula>
    </cfRule>
  </conditionalFormatting>
  <conditionalFormatting sqref="M141 J141">
    <cfRule type="cellIs" dxfId="476" priority="348" stopIfTrue="1" operator="greaterThanOrEqual">
      <formula>1</formula>
    </cfRule>
  </conditionalFormatting>
  <conditionalFormatting sqref="E141">
    <cfRule type="cellIs" dxfId="475" priority="345" stopIfTrue="1" operator="equal">
      <formula>"Rejetée"</formula>
    </cfRule>
    <cfRule type="cellIs" dxfId="474" priority="346" stopIfTrue="1" operator="equal">
      <formula>Etats_possibles_Corr</formula>
    </cfRule>
    <cfRule type="cellIs" dxfId="473" priority="347" stopIfTrue="1" operator="equal">
      <formula>"DNR"</formula>
    </cfRule>
  </conditionalFormatting>
  <conditionalFormatting sqref="M142 J142">
    <cfRule type="cellIs" dxfId="472" priority="344" stopIfTrue="1" operator="greaterThanOrEqual">
      <formula>1</formula>
    </cfRule>
  </conditionalFormatting>
  <conditionalFormatting sqref="E142">
    <cfRule type="cellIs" dxfId="471" priority="341" stopIfTrue="1" operator="equal">
      <formula>"Rejetée"</formula>
    </cfRule>
    <cfRule type="cellIs" dxfId="470" priority="342" stopIfTrue="1" operator="equal">
      <formula>Etats_possibles_Corr</formula>
    </cfRule>
    <cfRule type="cellIs" dxfId="469" priority="343" stopIfTrue="1" operator="equal">
      <formula>"DNR"</formula>
    </cfRule>
  </conditionalFormatting>
  <conditionalFormatting sqref="M143 J143">
    <cfRule type="cellIs" dxfId="468" priority="340" stopIfTrue="1" operator="greaterThanOrEqual">
      <formula>1</formula>
    </cfRule>
  </conditionalFormatting>
  <conditionalFormatting sqref="E143">
    <cfRule type="cellIs" dxfId="467" priority="337" stopIfTrue="1" operator="equal">
      <formula>"Rejetée"</formula>
    </cfRule>
    <cfRule type="cellIs" dxfId="466" priority="338" stopIfTrue="1" operator="equal">
      <formula>Etats_possibles_Corr</formula>
    </cfRule>
    <cfRule type="cellIs" dxfId="465" priority="339" stopIfTrue="1" operator="equal">
      <formula>"DNR"</formula>
    </cfRule>
  </conditionalFormatting>
  <conditionalFormatting sqref="M144 J144">
    <cfRule type="cellIs" dxfId="464" priority="336" stopIfTrue="1" operator="greaterThanOrEqual">
      <formula>1</formula>
    </cfRule>
  </conditionalFormatting>
  <conditionalFormatting sqref="E144">
    <cfRule type="cellIs" dxfId="463" priority="333" stopIfTrue="1" operator="equal">
      <formula>"Rejetée"</formula>
    </cfRule>
    <cfRule type="cellIs" dxfId="462" priority="334" stopIfTrue="1" operator="equal">
      <formula>Etats_possibles_Corr</formula>
    </cfRule>
    <cfRule type="cellIs" dxfId="461" priority="335" stopIfTrue="1" operator="equal">
      <formula>"DNR"</formula>
    </cfRule>
  </conditionalFormatting>
  <conditionalFormatting sqref="M145 J145">
    <cfRule type="cellIs" dxfId="460" priority="332" stopIfTrue="1" operator="greaterThanOrEqual">
      <formula>1</formula>
    </cfRule>
  </conditionalFormatting>
  <conditionalFormatting sqref="E145">
    <cfRule type="cellIs" dxfId="459" priority="329" stopIfTrue="1" operator="equal">
      <formula>"Rejetée"</formula>
    </cfRule>
    <cfRule type="cellIs" dxfId="458" priority="330" stopIfTrue="1" operator="equal">
      <formula>Etats_possibles_Corr</formula>
    </cfRule>
    <cfRule type="cellIs" dxfId="457" priority="331" stopIfTrue="1" operator="equal">
      <formula>"DNR"</formula>
    </cfRule>
  </conditionalFormatting>
  <conditionalFormatting sqref="M146 J146">
    <cfRule type="cellIs" dxfId="456" priority="328" stopIfTrue="1" operator="greaterThanOrEqual">
      <formula>1</formula>
    </cfRule>
  </conditionalFormatting>
  <conditionalFormatting sqref="E146">
    <cfRule type="cellIs" dxfId="455" priority="325" stopIfTrue="1" operator="equal">
      <formula>"Rejetée"</formula>
    </cfRule>
    <cfRule type="cellIs" dxfId="454" priority="326" stopIfTrue="1" operator="equal">
      <formula>Etats_possibles_Corr</formula>
    </cfRule>
    <cfRule type="cellIs" dxfId="453" priority="327" stopIfTrue="1" operator="equal">
      <formula>"DNR"</formula>
    </cfRule>
  </conditionalFormatting>
  <conditionalFormatting sqref="M147 J147">
    <cfRule type="cellIs" dxfId="452" priority="324" stopIfTrue="1" operator="greaterThanOrEqual">
      <formula>1</formula>
    </cfRule>
  </conditionalFormatting>
  <conditionalFormatting sqref="E147">
    <cfRule type="cellIs" dxfId="451" priority="321" stopIfTrue="1" operator="equal">
      <formula>"Rejetée"</formula>
    </cfRule>
    <cfRule type="cellIs" dxfId="450" priority="322" stopIfTrue="1" operator="equal">
      <formula>Etats_possibles_Corr</formula>
    </cfRule>
    <cfRule type="cellIs" dxfId="449" priority="323" stopIfTrue="1" operator="equal">
      <formula>"DNR"</formula>
    </cfRule>
  </conditionalFormatting>
  <conditionalFormatting sqref="M148 J148">
    <cfRule type="cellIs" dxfId="448" priority="320" stopIfTrue="1" operator="greaterThanOrEqual">
      <formula>1</formula>
    </cfRule>
  </conditionalFormatting>
  <conditionalFormatting sqref="E148">
    <cfRule type="cellIs" dxfId="447" priority="317" stopIfTrue="1" operator="equal">
      <formula>"Rejetée"</formula>
    </cfRule>
    <cfRule type="cellIs" dxfId="446" priority="318" stopIfTrue="1" operator="equal">
      <formula>Etats_possibles_Corr</formula>
    </cfRule>
    <cfRule type="cellIs" dxfId="445" priority="319" stopIfTrue="1" operator="equal">
      <formula>"DNR"</formula>
    </cfRule>
  </conditionalFormatting>
  <conditionalFormatting sqref="M149 J149">
    <cfRule type="cellIs" dxfId="444" priority="316" stopIfTrue="1" operator="greaterThanOrEqual">
      <formula>1</formula>
    </cfRule>
  </conditionalFormatting>
  <conditionalFormatting sqref="E149">
    <cfRule type="cellIs" dxfId="443" priority="313" stopIfTrue="1" operator="equal">
      <formula>"Rejetée"</formula>
    </cfRule>
    <cfRule type="cellIs" dxfId="442" priority="314" stopIfTrue="1" operator="equal">
      <formula>Etats_possibles_Corr</formula>
    </cfRule>
    <cfRule type="cellIs" dxfId="441" priority="315" stopIfTrue="1" operator="equal">
      <formula>"DNR"</formula>
    </cfRule>
  </conditionalFormatting>
  <conditionalFormatting sqref="M150 J150">
    <cfRule type="cellIs" dxfId="440" priority="312" stopIfTrue="1" operator="greaterThanOrEqual">
      <formula>1</formula>
    </cfRule>
  </conditionalFormatting>
  <conditionalFormatting sqref="E150">
    <cfRule type="cellIs" dxfId="439" priority="309" stopIfTrue="1" operator="equal">
      <formula>"Rejetée"</formula>
    </cfRule>
    <cfRule type="cellIs" dxfId="438" priority="310" stopIfTrue="1" operator="equal">
      <formula>Etats_possibles_Corr</formula>
    </cfRule>
    <cfRule type="cellIs" dxfId="437" priority="311" stopIfTrue="1" operator="equal">
      <formula>"DNR"</formula>
    </cfRule>
  </conditionalFormatting>
  <conditionalFormatting sqref="M151 J151">
    <cfRule type="cellIs" dxfId="436" priority="308" stopIfTrue="1" operator="greaterThanOrEqual">
      <formula>1</formula>
    </cfRule>
  </conditionalFormatting>
  <conditionalFormatting sqref="E151">
    <cfRule type="cellIs" dxfId="435" priority="305" stopIfTrue="1" operator="equal">
      <formula>"Rejetée"</formula>
    </cfRule>
    <cfRule type="cellIs" dxfId="434" priority="306" stopIfTrue="1" operator="equal">
      <formula>Etats_possibles_Corr</formula>
    </cfRule>
    <cfRule type="cellIs" dxfId="433" priority="307" stopIfTrue="1" operator="equal">
      <formula>"DNR"</formula>
    </cfRule>
  </conditionalFormatting>
  <conditionalFormatting sqref="M152 J152">
    <cfRule type="cellIs" dxfId="432" priority="304" stopIfTrue="1" operator="greaterThanOrEqual">
      <formula>1</formula>
    </cfRule>
  </conditionalFormatting>
  <conditionalFormatting sqref="E152">
    <cfRule type="cellIs" dxfId="431" priority="301" stopIfTrue="1" operator="equal">
      <formula>"Rejetée"</formula>
    </cfRule>
    <cfRule type="cellIs" dxfId="430" priority="302" stopIfTrue="1" operator="equal">
      <formula>Etats_possibles_Corr</formula>
    </cfRule>
    <cfRule type="cellIs" dxfId="429" priority="303" stopIfTrue="1" operator="equal">
      <formula>"DNR"</formula>
    </cfRule>
  </conditionalFormatting>
  <conditionalFormatting sqref="M153 J153">
    <cfRule type="cellIs" dxfId="428" priority="300" stopIfTrue="1" operator="greaterThanOrEqual">
      <formula>1</formula>
    </cfRule>
  </conditionalFormatting>
  <conditionalFormatting sqref="E153">
    <cfRule type="cellIs" dxfId="427" priority="297" stopIfTrue="1" operator="equal">
      <formula>"Rejetée"</formula>
    </cfRule>
    <cfRule type="cellIs" dxfId="426" priority="298" stopIfTrue="1" operator="equal">
      <formula>Etats_possibles_Corr</formula>
    </cfRule>
    <cfRule type="cellIs" dxfId="425" priority="299" stopIfTrue="1" operator="equal">
      <formula>"DNR"</formula>
    </cfRule>
  </conditionalFormatting>
  <conditionalFormatting sqref="M154 J154">
    <cfRule type="cellIs" dxfId="424" priority="296" stopIfTrue="1" operator="greaterThanOrEqual">
      <formula>1</formula>
    </cfRule>
  </conditionalFormatting>
  <conditionalFormatting sqref="E154">
    <cfRule type="cellIs" dxfId="423" priority="293" stopIfTrue="1" operator="equal">
      <formula>"Rejetée"</formula>
    </cfRule>
    <cfRule type="cellIs" dxfId="422" priority="294" stopIfTrue="1" operator="equal">
      <formula>Etats_possibles_Corr</formula>
    </cfRule>
    <cfRule type="cellIs" dxfId="421" priority="295" stopIfTrue="1" operator="equal">
      <formula>"DNR"</formula>
    </cfRule>
  </conditionalFormatting>
  <conditionalFormatting sqref="M155 J155">
    <cfRule type="cellIs" dxfId="420" priority="292" stopIfTrue="1" operator="greaterThanOrEqual">
      <formula>1</formula>
    </cfRule>
  </conditionalFormatting>
  <conditionalFormatting sqref="E155">
    <cfRule type="cellIs" dxfId="419" priority="289" stopIfTrue="1" operator="equal">
      <formula>"Rejetée"</formula>
    </cfRule>
    <cfRule type="cellIs" dxfId="418" priority="290" stopIfTrue="1" operator="equal">
      <formula>Etats_possibles_Corr</formula>
    </cfRule>
    <cfRule type="cellIs" dxfId="417" priority="291" stopIfTrue="1" operator="equal">
      <formula>"DNR"</formula>
    </cfRule>
  </conditionalFormatting>
  <conditionalFormatting sqref="M156 J156">
    <cfRule type="cellIs" dxfId="416" priority="288" stopIfTrue="1" operator="greaterThanOrEqual">
      <formula>1</formula>
    </cfRule>
  </conditionalFormatting>
  <conditionalFormatting sqref="E156">
    <cfRule type="cellIs" dxfId="415" priority="285" stopIfTrue="1" operator="equal">
      <formula>"Rejetée"</formula>
    </cfRule>
    <cfRule type="cellIs" dxfId="414" priority="286" stopIfTrue="1" operator="equal">
      <formula>Etats_possibles_Corr</formula>
    </cfRule>
    <cfRule type="cellIs" dxfId="413" priority="287" stopIfTrue="1" operator="equal">
      <formula>"DNR"</formula>
    </cfRule>
  </conditionalFormatting>
  <conditionalFormatting sqref="M157 J157">
    <cfRule type="cellIs" dxfId="412" priority="284" stopIfTrue="1" operator="greaterThanOrEqual">
      <formula>1</formula>
    </cfRule>
  </conditionalFormatting>
  <conditionalFormatting sqref="E157">
    <cfRule type="cellIs" dxfId="411" priority="281" stopIfTrue="1" operator="equal">
      <formula>"Rejetée"</formula>
    </cfRule>
    <cfRule type="cellIs" dxfId="410" priority="282" stopIfTrue="1" operator="equal">
      <formula>Etats_possibles_Corr</formula>
    </cfRule>
    <cfRule type="cellIs" dxfId="409" priority="283" stopIfTrue="1" operator="equal">
      <formula>"DNR"</formula>
    </cfRule>
  </conditionalFormatting>
  <conditionalFormatting sqref="M158 J158">
    <cfRule type="cellIs" dxfId="408" priority="280" stopIfTrue="1" operator="greaterThanOrEqual">
      <formula>1</formula>
    </cfRule>
  </conditionalFormatting>
  <conditionalFormatting sqref="E158">
    <cfRule type="cellIs" dxfId="407" priority="277" stopIfTrue="1" operator="equal">
      <formula>"Rejetée"</formula>
    </cfRule>
    <cfRule type="cellIs" dxfId="406" priority="278" stopIfTrue="1" operator="equal">
      <formula>Etats_possibles_Corr</formula>
    </cfRule>
    <cfRule type="cellIs" dxfId="405" priority="279" stopIfTrue="1" operator="equal">
      <formula>"DNR"</formula>
    </cfRule>
  </conditionalFormatting>
  <conditionalFormatting sqref="M159 J159">
    <cfRule type="cellIs" dxfId="404" priority="276" stopIfTrue="1" operator="greaterThanOrEqual">
      <formula>1</formula>
    </cfRule>
  </conditionalFormatting>
  <conditionalFormatting sqref="E159">
    <cfRule type="cellIs" dxfId="403" priority="273" stopIfTrue="1" operator="equal">
      <formula>"Rejetée"</formula>
    </cfRule>
    <cfRule type="cellIs" dxfId="402" priority="274" stopIfTrue="1" operator="equal">
      <formula>Etats_possibles_Corr</formula>
    </cfRule>
    <cfRule type="cellIs" dxfId="401" priority="275" stopIfTrue="1" operator="equal">
      <formula>"DNR"</formula>
    </cfRule>
  </conditionalFormatting>
  <conditionalFormatting sqref="M160 J160">
    <cfRule type="cellIs" dxfId="400" priority="272" stopIfTrue="1" operator="greaterThanOrEqual">
      <formula>1</formula>
    </cfRule>
  </conditionalFormatting>
  <conditionalFormatting sqref="E160">
    <cfRule type="cellIs" dxfId="399" priority="269" stopIfTrue="1" operator="equal">
      <formula>"Rejetée"</formula>
    </cfRule>
    <cfRule type="cellIs" dxfId="398" priority="270" stopIfTrue="1" operator="equal">
      <formula>Etats_possibles_Corr</formula>
    </cfRule>
    <cfRule type="cellIs" dxfId="397" priority="271" stopIfTrue="1" operator="equal">
      <formula>"DNR"</formula>
    </cfRule>
  </conditionalFormatting>
  <conditionalFormatting sqref="M161 J161">
    <cfRule type="cellIs" dxfId="396" priority="268" stopIfTrue="1" operator="greaterThanOrEqual">
      <formula>1</formula>
    </cfRule>
  </conditionalFormatting>
  <conditionalFormatting sqref="E161">
    <cfRule type="cellIs" dxfId="395" priority="265" stopIfTrue="1" operator="equal">
      <formula>"Rejetée"</formula>
    </cfRule>
    <cfRule type="cellIs" dxfId="394" priority="266" stopIfTrue="1" operator="equal">
      <formula>Etats_possibles_Corr</formula>
    </cfRule>
    <cfRule type="cellIs" dxfId="393" priority="267" stopIfTrue="1" operator="equal">
      <formula>"DNR"</formula>
    </cfRule>
  </conditionalFormatting>
  <conditionalFormatting sqref="M162 J162">
    <cfRule type="cellIs" dxfId="392" priority="264" stopIfTrue="1" operator="greaterThanOrEqual">
      <formula>1</formula>
    </cfRule>
  </conditionalFormatting>
  <conditionalFormatting sqref="E162">
    <cfRule type="cellIs" dxfId="391" priority="261" stopIfTrue="1" operator="equal">
      <formula>"Rejetée"</formula>
    </cfRule>
    <cfRule type="cellIs" dxfId="390" priority="262" stopIfTrue="1" operator="equal">
      <formula>Etats_possibles_Corr</formula>
    </cfRule>
    <cfRule type="cellIs" dxfId="389" priority="263" stopIfTrue="1" operator="equal">
      <formula>"DNR"</formula>
    </cfRule>
  </conditionalFormatting>
  <conditionalFormatting sqref="M163 J163">
    <cfRule type="cellIs" dxfId="388" priority="260" stopIfTrue="1" operator="greaterThanOrEqual">
      <formula>1</formula>
    </cfRule>
  </conditionalFormatting>
  <conditionalFormatting sqref="E163">
    <cfRule type="cellIs" dxfId="387" priority="257" stopIfTrue="1" operator="equal">
      <formula>"Rejetée"</formula>
    </cfRule>
    <cfRule type="cellIs" dxfId="386" priority="258" stopIfTrue="1" operator="equal">
      <formula>Etats_possibles_Corr</formula>
    </cfRule>
    <cfRule type="cellIs" dxfId="385" priority="259" stopIfTrue="1" operator="equal">
      <formula>"DNR"</formula>
    </cfRule>
  </conditionalFormatting>
  <conditionalFormatting sqref="M164 J164">
    <cfRule type="cellIs" dxfId="384" priority="256" stopIfTrue="1" operator="greaterThanOrEqual">
      <formula>1</formula>
    </cfRule>
  </conditionalFormatting>
  <conditionalFormatting sqref="E164">
    <cfRule type="cellIs" dxfId="383" priority="253" stopIfTrue="1" operator="equal">
      <formula>"Rejetée"</formula>
    </cfRule>
    <cfRule type="cellIs" dxfId="382" priority="254" stopIfTrue="1" operator="equal">
      <formula>Etats_possibles_Corr</formula>
    </cfRule>
    <cfRule type="cellIs" dxfId="381" priority="255" stopIfTrue="1" operator="equal">
      <formula>"DNR"</formula>
    </cfRule>
  </conditionalFormatting>
  <conditionalFormatting sqref="M165 J165">
    <cfRule type="cellIs" dxfId="380" priority="252" stopIfTrue="1" operator="greaterThanOrEqual">
      <formula>1</formula>
    </cfRule>
  </conditionalFormatting>
  <conditionalFormatting sqref="E165">
    <cfRule type="cellIs" dxfId="379" priority="249" stopIfTrue="1" operator="equal">
      <formula>"Rejetée"</formula>
    </cfRule>
    <cfRule type="cellIs" dxfId="378" priority="250" stopIfTrue="1" operator="equal">
      <formula>Etats_possibles_Corr</formula>
    </cfRule>
    <cfRule type="cellIs" dxfId="377" priority="251" stopIfTrue="1" operator="equal">
      <formula>"DNR"</formula>
    </cfRule>
  </conditionalFormatting>
  <conditionalFormatting sqref="M166 J166">
    <cfRule type="cellIs" dxfId="376" priority="248" stopIfTrue="1" operator="greaterThanOrEqual">
      <formula>1</formula>
    </cfRule>
  </conditionalFormatting>
  <conditionalFormatting sqref="E166">
    <cfRule type="cellIs" dxfId="375" priority="245" stopIfTrue="1" operator="equal">
      <formula>"Rejetée"</formula>
    </cfRule>
    <cfRule type="cellIs" dxfId="374" priority="246" stopIfTrue="1" operator="equal">
      <formula>Etats_possibles_Corr</formula>
    </cfRule>
    <cfRule type="cellIs" dxfId="373" priority="247" stopIfTrue="1" operator="equal">
      <formula>"DNR"</formula>
    </cfRule>
  </conditionalFormatting>
  <conditionalFormatting sqref="M167 J167">
    <cfRule type="cellIs" dxfId="372" priority="244" stopIfTrue="1" operator="greaterThanOrEqual">
      <formula>1</formula>
    </cfRule>
  </conditionalFormatting>
  <conditionalFormatting sqref="E167">
    <cfRule type="cellIs" dxfId="371" priority="241" stopIfTrue="1" operator="equal">
      <formula>"Rejetée"</formula>
    </cfRule>
    <cfRule type="cellIs" dxfId="370" priority="242" stopIfTrue="1" operator="equal">
      <formula>Etats_possibles_Corr</formula>
    </cfRule>
    <cfRule type="cellIs" dxfId="369" priority="243" stopIfTrue="1" operator="equal">
      <formula>"DNR"</formula>
    </cfRule>
  </conditionalFormatting>
  <conditionalFormatting sqref="M168 J168">
    <cfRule type="cellIs" dxfId="368" priority="240" stopIfTrue="1" operator="greaterThanOrEqual">
      <formula>1</formula>
    </cfRule>
  </conditionalFormatting>
  <conditionalFormatting sqref="E168">
    <cfRule type="cellIs" dxfId="367" priority="237" stopIfTrue="1" operator="equal">
      <formula>"Rejetée"</formula>
    </cfRule>
    <cfRule type="cellIs" dxfId="366" priority="238" stopIfTrue="1" operator="equal">
      <formula>Etats_possibles_Corr</formula>
    </cfRule>
    <cfRule type="cellIs" dxfId="365" priority="239" stopIfTrue="1" operator="equal">
      <formula>"DNR"</formula>
    </cfRule>
  </conditionalFormatting>
  <conditionalFormatting sqref="M169 J169">
    <cfRule type="cellIs" dxfId="364" priority="236" stopIfTrue="1" operator="greaterThanOrEqual">
      <formula>1</formula>
    </cfRule>
  </conditionalFormatting>
  <conditionalFormatting sqref="E169">
    <cfRule type="cellIs" dxfId="363" priority="233" stopIfTrue="1" operator="equal">
      <formula>"Rejetée"</formula>
    </cfRule>
    <cfRule type="cellIs" dxfId="362" priority="234" stopIfTrue="1" operator="equal">
      <formula>Etats_possibles_Corr</formula>
    </cfRule>
    <cfRule type="cellIs" dxfId="361" priority="235" stopIfTrue="1" operator="equal">
      <formula>"DNR"</formula>
    </cfRule>
  </conditionalFormatting>
  <conditionalFormatting sqref="M170 J170">
    <cfRule type="cellIs" dxfId="360" priority="232" stopIfTrue="1" operator="greaterThanOrEqual">
      <formula>1</formula>
    </cfRule>
  </conditionalFormatting>
  <conditionalFormatting sqref="E170">
    <cfRule type="cellIs" dxfId="359" priority="229" stopIfTrue="1" operator="equal">
      <formula>"Rejetée"</formula>
    </cfRule>
    <cfRule type="cellIs" dxfId="358" priority="230" stopIfTrue="1" operator="equal">
      <formula>Etats_possibles_Corr</formula>
    </cfRule>
    <cfRule type="cellIs" dxfId="357" priority="231" stopIfTrue="1" operator="equal">
      <formula>"DNR"</formula>
    </cfRule>
  </conditionalFormatting>
  <conditionalFormatting sqref="M171 J171">
    <cfRule type="cellIs" dxfId="356" priority="228" stopIfTrue="1" operator="greaterThanOrEqual">
      <formula>1</formula>
    </cfRule>
  </conditionalFormatting>
  <conditionalFormatting sqref="E171">
    <cfRule type="cellIs" dxfId="355" priority="225" stopIfTrue="1" operator="equal">
      <formula>"Rejetée"</formula>
    </cfRule>
    <cfRule type="cellIs" dxfId="354" priority="226" stopIfTrue="1" operator="equal">
      <formula>Etats_possibles_Corr</formula>
    </cfRule>
    <cfRule type="cellIs" dxfId="353" priority="227" stopIfTrue="1" operator="equal">
      <formula>"DNR"</formula>
    </cfRule>
  </conditionalFormatting>
  <conditionalFormatting sqref="M172 J172">
    <cfRule type="cellIs" dxfId="352" priority="224" stopIfTrue="1" operator="greaterThanOrEqual">
      <formula>1</formula>
    </cfRule>
  </conditionalFormatting>
  <conditionalFormatting sqref="E172">
    <cfRule type="cellIs" dxfId="351" priority="221" stopIfTrue="1" operator="equal">
      <formula>"Rejetée"</formula>
    </cfRule>
    <cfRule type="cellIs" dxfId="350" priority="222" stopIfTrue="1" operator="equal">
      <formula>Etats_possibles_Corr</formula>
    </cfRule>
    <cfRule type="cellIs" dxfId="349" priority="223" stopIfTrue="1" operator="equal">
      <formula>"DNR"</formula>
    </cfRule>
  </conditionalFormatting>
  <conditionalFormatting sqref="M173 J173">
    <cfRule type="cellIs" dxfId="348" priority="220" stopIfTrue="1" operator="greaterThanOrEqual">
      <formula>1</formula>
    </cfRule>
  </conditionalFormatting>
  <conditionalFormatting sqref="E173">
    <cfRule type="cellIs" dxfId="347" priority="217" stopIfTrue="1" operator="equal">
      <formula>"Rejetée"</formula>
    </cfRule>
    <cfRule type="cellIs" dxfId="346" priority="218" stopIfTrue="1" operator="equal">
      <formula>Etats_possibles_Corr</formula>
    </cfRule>
    <cfRule type="cellIs" dxfId="345" priority="219" stopIfTrue="1" operator="equal">
      <formula>"DNR"</formula>
    </cfRule>
  </conditionalFormatting>
  <conditionalFormatting sqref="M174 J174">
    <cfRule type="cellIs" dxfId="344" priority="216" stopIfTrue="1" operator="greaterThanOrEqual">
      <formula>1</formula>
    </cfRule>
  </conditionalFormatting>
  <conditionalFormatting sqref="E174">
    <cfRule type="cellIs" dxfId="343" priority="213" stopIfTrue="1" operator="equal">
      <formula>"Rejetée"</formula>
    </cfRule>
    <cfRule type="cellIs" dxfId="342" priority="214" stopIfTrue="1" operator="equal">
      <formula>Etats_possibles_Corr</formula>
    </cfRule>
    <cfRule type="cellIs" dxfId="341" priority="215" stopIfTrue="1" operator="equal">
      <formula>"DNR"</formula>
    </cfRule>
  </conditionalFormatting>
  <conditionalFormatting sqref="M175 J175">
    <cfRule type="cellIs" dxfId="340" priority="212" stopIfTrue="1" operator="greaterThanOrEqual">
      <formula>1</formula>
    </cfRule>
  </conditionalFormatting>
  <conditionalFormatting sqref="E175">
    <cfRule type="cellIs" dxfId="339" priority="209" stopIfTrue="1" operator="equal">
      <formula>"Rejetée"</formula>
    </cfRule>
    <cfRule type="cellIs" dxfId="338" priority="210" stopIfTrue="1" operator="equal">
      <formula>Etats_possibles_Corr</formula>
    </cfRule>
    <cfRule type="cellIs" dxfId="337" priority="211" stopIfTrue="1" operator="equal">
      <formula>"DNR"</formula>
    </cfRule>
  </conditionalFormatting>
  <conditionalFormatting sqref="M176 J176">
    <cfRule type="cellIs" dxfId="336" priority="208" stopIfTrue="1" operator="greaterThanOrEqual">
      <formula>1</formula>
    </cfRule>
  </conditionalFormatting>
  <conditionalFormatting sqref="E176">
    <cfRule type="cellIs" dxfId="335" priority="205" stopIfTrue="1" operator="equal">
      <formula>"Rejetée"</formula>
    </cfRule>
    <cfRule type="cellIs" dxfId="334" priority="206" stopIfTrue="1" operator="equal">
      <formula>Etats_possibles_Corr</formula>
    </cfRule>
    <cfRule type="cellIs" dxfId="333" priority="207" stopIfTrue="1" operator="equal">
      <formula>"DNR"</formula>
    </cfRule>
  </conditionalFormatting>
  <conditionalFormatting sqref="M177 J177">
    <cfRule type="cellIs" dxfId="332" priority="204" stopIfTrue="1" operator="greaterThanOrEqual">
      <formula>1</formula>
    </cfRule>
  </conditionalFormatting>
  <conditionalFormatting sqref="E177">
    <cfRule type="cellIs" dxfId="331" priority="201" stopIfTrue="1" operator="equal">
      <formula>"Rejetée"</formula>
    </cfRule>
    <cfRule type="cellIs" dxfId="330" priority="202" stopIfTrue="1" operator="equal">
      <formula>Etats_possibles_Corr</formula>
    </cfRule>
    <cfRule type="cellIs" dxfId="329" priority="203" stopIfTrue="1" operator="equal">
      <formula>"DNR"</formula>
    </cfRule>
  </conditionalFormatting>
  <conditionalFormatting sqref="M178 J178">
    <cfRule type="cellIs" dxfId="328" priority="200" stopIfTrue="1" operator="greaterThanOrEqual">
      <formula>1</formula>
    </cfRule>
  </conditionalFormatting>
  <conditionalFormatting sqref="E178">
    <cfRule type="cellIs" dxfId="327" priority="197" stopIfTrue="1" operator="equal">
      <formula>"Rejetée"</formula>
    </cfRule>
    <cfRule type="cellIs" dxfId="326" priority="198" stopIfTrue="1" operator="equal">
      <formula>Etats_possibles_Corr</formula>
    </cfRule>
    <cfRule type="cellIs" dxfId="325" priority="199" stopIfTrue="1" operator="equal">
      <formula>"DNR"</formula>
    </cfRule>
  </conditionalFormatting>
  <conditionalFormatting sqref="M179 J179">
    <cfRule type="cellIs" dxfId="324" priority="196" stopIfTrue="1" operator="greaterThanOrEqual">
      <formula>1</formula>
    </cfRule>
  </conditionalFormatting>
  <conditionalFormatting sqref="E179">
    <cfRule type="cellIs" dxfId="323" priority="193" stopIfTrue="1" operator="equal">
      <formula>"Rejetée"</formula>
    </cfRule>
    <cfRule type="cellIs" dxfId="322" priority="194" stopIfTrue="1" operator="equal">
      <formula>Etats_possibles_Corr</formula>
    </cfRule>
    <cfRule type="cellIs" dxfId="321" priority="195" stopIfTrue="1" operator="equal">
      <formula>"DNR"</formula>
    </cfRule>
  </conditionalFormatting>
  <conditionalFormatting sqref="M180 J180">
    <cfRule type="cellIs" dxfId="320" priority="192" stopIfTrue="1" operator="greaterThanOrEqual">
      <formula>1</formula>
    </cfRule>
  </conditionalFormatting>
  <conditionalFormatting sqref="E180">
    <cfRule type="cellIs" dxfId="319" priority="189" stopIfTrue="1" operator="equal">
      <formula>"Rejetée"</formula>
    </cfRule>
    <cfRule type="cellIs" dxfId="318" priority="190" stopIfTrue="1" operator="equal">
      <formula>Etats_possibles_Corr</formula>
    </cfRule>
    <cfRule type="cellIs" dxfId="317" priority="191" stopIfTrue="1" operator="equal">
      <formula>"DNR"</formula>
    </cfRule>
  </conditionalFormatting>
  <conditionalFormatting sqref="M181 J181">
    <cfRule type="cellIs" dxfId="316" priority="188" stopIfTrue="1" operator="greaterThanOrEqual">
      <formula>1</formula>
    </cfRule>
  </conditionalFormatting>
  <conditionalFormatting sqref="E181">
    <cfRule type="cellIs" dxfId="315" priority="185" stopIfTrue="1" operator="equal">
      <formula>"Rejetée"</formula>
    </cfRule>
    <cfRule type="cellIs" dxfId="314" priority="186" stopIfTrue="1" operator="equal">
      <formula>Etats_possibles_Corr</formula>
    </cfRule>
    <cfRule type="cellIs" dxfId="313" priority="187" stopIfTrue="1" operator="equal">
      <formula>"DNR"</formula>
    </cfRule>
  </conditionalFormatting>
  <conditionalFormatting sqref="M182 J182">
    <cfRule type="cellIs" dxfId="312" priority="184" stopIfTrue="1" operator="greaterThanOrEqual">
      <formula>1</formula>
    </cfRule>
  </conditionalFormatting>
  <conditionalFormatting sqref="E182">
    <cfRule type="cellIs" dxfId="311" priority="181" stopIfTrue="1" operator="equal">
      <formula>"Rejetée"</formula>
    </cfRule>
    <cfRule type="cellIs" dxfId="310" priority="182" stopIfTrue="1" operator="equal">
      <formula>Etats_possibles_Corr</formula>
    </cfRule>
    <cfRule type="cellIs" dxfId="309" priority="183" stopIfTrue="1" operator="equal">
      <formula>"DNR"</formula>
    </cfRule>
  </conditionalFormatting>
  <conditionalFormatting sqref="M183 J183">
    <cfRule type="cellIs" dxfId="308" priority="180" stopIfTrue="1" operator="greaterThanOrEqual">
      <formula>1</formula>
    </cfRule>
  </conditionalFormatting>
  <conditionalFormatting sqref="E183">
    <cfRule type="cellIs" dxfId="307" priority="177" stopIfTrue="1" operator="equal">
      <formula>"Rejetée"</formula>
    </cfRule>
    <cfRule type="cellIs" dxfId="306" priority="178" stopIfTrue="1" operator="equal">
      <formula>Etats_possibles_Corr</formula>
    </cfRule>
    <cfRule type="cellIs" dxfId="305" priority="179" stopIfTrue="1" operator="equal">
      <formula>"DNR"</formula>
    </cfRule>
  </conditionalFormatting>
  <conditionalFormatting sqref="M184 J184">
    <cfRule type="cellIs" dxfId="304" priority="176" stopIfTrue="1" operator="greaterThanOrEqual">
      <formula>1</formula>
    </cfRule>
  </conditionalFormatting>
  <conditionalFormatting sqref="E184">
    <cfRule type="cellIs" dxfId="303" priority="173" stopIfTrue="1" operator="equal">
      <formula>"Rejetée"</formula>
    </cfRule>
    <cfRule type="cellIs" dxfId="302" priority="174" stopIfTrue="1" operator="equal">
      <formula>Etats_possibles_Corr</formula>
    </cfRule>
    <cfRule type="cellIs" dxfId="301" priority="175" stopIfTrue="1" operator="equal">
      <formula>"DNR"</formula>
    </cfRule>
  </conditionalFormatting>
  <conditionalFormatting sqref="M185 J185">
    <cfRule type="cellIs" dxfId="300" priority="172" stopIfTrue="1" operator="greaterThanOrEqual">
      <formula>1</formula>
    </cfRule>
  </conditionalFormatting>
  <conditionalFormatting sqref="E185">
    <cfRule type="cellIs" dxfId="299" priority="169" stopIfTrue="1" operator="equal">
      <formula>"Rejetée"</formula>
    </cfRule>
    <cfRule type="cellIs" dxfId="298" priority="170" stopIfTrue="1" operator="equal">
      <formula>Etats_possibles_Corr</formula>
    </cfRule>
    <cfRule type="cellIs" dxfId="297" priority="171" stopIfTrue="1" operator="equal">
      <formula>"DNR"</formula>
    </cfRule>
  </conditionalFormatting>
  <conditionalFormatting sqref="M186 J186">
    <cfRule type="cellIs" dxfId="296" priority="168" stopIfTrue="1" operator="greaterThanOrEqual">
      <formula>1</formula>
    </cfRule>
  </conditionalFormatting>
  <conditionalFormatting sqref="E186">
    <cfRule type="cellIs" dxfId="295" priority="165" stopIfTrue="1" operator="equal">
      <formula>"Rejetée"</formula>
    </cfRule>
    <cfRule type="cellIs" dxfId="294" priority="166" stopIfTrue="1" operator="equal">
      <formula>Etats_possibles_Corr</formula>
    </cfRule>
    <cfRule type="cellIs" dxfId="293" priority="167" stopIfTrue="1" operator="equal">
      <formula>"DNR"</formula>
    </cfRule>
  </conditionalFormatting>
  <conditionalFormatting sqref="M187 J187">
    <cfRule type="cellIs" dxfId="292" priority="164" stopIfTrue="1" operator="greaterThanOrEqual">
      <formula>1</formula>
    </cfRule>
  </conditionalFormatting>
  <conditionalFormatting sqref="E187">
    <cfRule type="cellIs" dxfId="291" priority="161" stopIfTrue="1" operator="equal">
      <formula>"Rejetée"</formula>
    </cfRule>
    <cfRule type="cellIs" dxfId="290" priority="162" stopIfTrue="1" operator="equal">
      <formula>Etats_possibles_Corr</formula>
    </cfRule>
    <cfRule type="cellIs" dxfId="289" priority="163" stopIfTrue="1" operator="equal">
      <formula>"DNR"</formula>
    </cfRule>
  </conditionalFormatting>
  <conditionalFormatting sqref="M188 J188">
    <cfRule type="cellIs" dxfId="288" priority="160" stopIfTrue="1" operator="greaterThanOrEqual">
      <formula>1</formula>
    </cfRule>
  </conditionalFormatting>
  <conditionalFormatting sqref="E188">
    <cfRule type="cellIs" dxfId="287" priority="157" stopIfTrue="1" operator="equal">
      <formula>"Rejetée"</formula>
    </cfRule>
    <cfRule type="cellIs" dxfId="286" priority="158" stopIfTrue="1" operator="equal">
      <formula>Etats_possibles_Corr</formula>
    </cfRule>
    <cfRule type="cellIs" dxfId="285" priority="159" stopIfTrue="1" operator="equal">
      <formula>"DNR"</formula>
    </cfRule>
  </conditionalFormatting>
  <conditionalFormatting sqref="M189 J189">
    <cfRule type="cellIs" dxfId="284" priority="156" stopIfTrue="1" operator="greaterThanOrEqual">
      <formula>1</formula>
    </cfRule>
  </conditionalFormatting>
  <conditionalFormatting sqref="E189">
    <cfRule type="cellIs" dxfId="283" priority="153" stopIfTrue="1" operator="equal">
      <formula>"Rejetée"</formula>
    </cfRule>
    <cfRule type="cellIs" dxfId="282" priority="154" stopIfTrue="1" operator="equal">
      <formula>Etats_possibles_Corr</formula>
    </cfRule>
    <cfRule type="cellIs" dxfId="281" priority="155" stopIfTrue="1" operator="equal">
      <formula>"DNR"</formula>
    </cfRule>
  </conditionalFormatting>
  <conditionalFormatting sqref="M190 J190">
    <cfRule type="cellIs" dxfId="280" priority="152" stopIfTrue="1" operator="greaterThanOrEqual">
      <formula>1</formula>
    </cfRule>
  </conditionalFormatting>
  <conditionalFormatting sqref="E190">
    <cfRule type="cellIs" dxfId="279" priority="149" stopIfTrue="1" operator="equal">
      <formula>"Rejetée"</formula>
    </cfRule>
    <cfRule type="cellIs" dxfId="278" priority="150" stopIfTrue="1" operator="equal">
      <formula>Etats_possibles_Corr</formula>
    </cfRule>
    <cfRule type="cellIs" dxfId="277" priority="151" stopIfTrue="1" operator="equal">
      <formula>"DNR"</formula>
    </cfRule>
  </conditionalFormatting>
  <conditionalFormatting sqref="M191 J191">
    <cfRule type="cellIs" dxfId="276" priority="148" stopIfTrue="1" operator="greaterThanOrEqual">
      <formula>1</formula>
    </cfRule>
  </conditionalFormatting>
  <conditionalFormatting sqref="E191">
    <cfRule type="cellIs" dxfId="275" priority="145" stopIfTrue="1" operator="equal">
      <formula>"Rejetée"</formula>
    </cfRule>
    <cfRule type="cellIs" dxfId="274" priority="146" stopIfTrue="1" operator="equal">
      <formula>Etats_possibles_Corr</formula>
    </cfRule>
    <cfRule type="cellIs" dxfId="273" priority="147" stopIfTrue="1" operator="equal">
      <formula>"DNR"</formula>
    </cfRule>
  </conditionalFormatting>
  <conditionalFormatting sqref="M192 J192">
    <cfRule type="cellIs" dxfId="272" priority="144" stopIfTrue="1" operator="greaterThanOrEqual">
      <formula>1</formula>
    </cfRule>
  </conditionalFormatting>
  <conditionalFormatting sqref="E192">
    <cfRule type="cellIs" dxfId="271" priority="141" stopIfTrue="1" operator="equal">
      <formula>"Rejetée"</formula>
    </cfRule>
    <cfRule type="cellIs" dxfId="270" priority="142" stopIfTrue="1" operator="equal">
      <formula>Etats_possibles_Corr</formula>
    </cfRule>
    <cfRule type="cellIs" dxfId="269" priority="143" stopIfTrue="1" operator="equal">
      <formula>"DNR"</formula>
    </cfRule>
  </conditionalFormatting>
  <conditionalFormatting sqref="M193 J193">
    <cfRule type="cellIs" dxfId="268" priority="140" stopIfTrue="1" operator="greaterThanOrEqual">
      <formula>1</formula>
    </cfRule>
  </conditionalFormatting>
  <conditionalFormatting sqref="E193">
    <cfRule type="cellIs" dxfId="267" priority="137" stopIfTrue="1" operator="equal">
      <formula>"Rejetée"</formula>
    </cfRule>
    <cfRule type="cellIs" dxfId="266" priority="138" stopIfTrue="1" operator="equal">
      <formula>Etats_possibles_Corr</formula>
    </cfRule>
    <cfRule type="cellIs" dxfId="265" priority="139" stopIfTrue="1" operator="equal">
      <formula>"DNR"</formula>
    </cfRule>
  </conditionalFormatting>
  <conditionalFormatting sqref="M194 J194">
    <cfRule type="cellIs" dxfId="264" priority="136" stopIfTrue="1" operator="greaterThanOrEqual">
      <formula>1</formula>
    </cfRule>
  </conditionalFormatting>
  <conditionalFormatting sqref="E194">
    <cfRule type="cellIs" dxfId="263" priority="133" stopIfTrue="1" operator="equal">
      <formula>"Rejetée"</formula>
    </cfRule>
    <cfRule type="cellIs" dxfId="262" priority="134" stopIfTrue="1" operator="equal">
      <formula>Etats_possibles_Corr</formula>
    </cfRule>
    <cfRule type="cellIs" dxfId="261" priority="135" stopIfTrue="1" operator="equal">
      <formula>"DNR"</formula>
    </cfRule>
  </conditionalFormatting>
  <conditionalFormatting sqref="M195 J195">
    <cfRule type="cellIs" dxfId="260" priority="132" stopIfTrue="1" operator="greaterThanOrEqual">
      <formula>1</formula>
    </cfRule>
  </conditionalFormatting>
  <conditionalFormatting sqref="E195">
    <cfRule type="cellIs" dxfId="259" priority="129" stopIfTrue="1" operator="equal">
      <formula>"Rejetée"</formula>
    </cfRule>
    <cfRule type="cellIs" dxfId="258" priority="130" stopIfTrue="1" operator="equal">
      <formula>Etats_possibles_Corr</formula>
    </cfRule>
    <cfRule type="cellIs" dxfId="257" priority="131" stopIfTrue="1" operator="equal">
      <formula>"DNR"</formula>
    </cfRule>
  </conditionalFormatting>
  <conditionalFormatting sqref="M196 J196">
    <cfRule type="cellIs" dxfId="256" priority="128" stopIfTrue="1" operator="greaterThanOrEqual">
      <formula>1</formula>
    </cfRule>
  </conditionalFormatting>
  <conditionalFormatting sqref="E196">
    <cfRule type="cellIs" dxfId="255" priority="125" stopIfTrue="1" operator="equal">
      <formula>"Rejetée"</formula>
    </cfRule>
    <cfRule type="cellIs" dxfId="254" priority="126" stopIfTrue="1" operator="equal">
      <formula>Etats_possibles_Corr</formula>
    </cfRule>
    <cfRule type="cellIs" dxfId="253" priority="127" stopIfTrue="1" operator="equal">
      <formula>"DNR"</formula>
    </cfRule>
  </conditionalFormatting>
  <conditionalFormatting sqref="M197 J197">
    <cfRule type="cellIs" dxfId="252" priority="124" stopIfTrue="1" operator="greaterThanOrEqual">
      <formula>1</formula>
    </cfRule>
  </conditionalFormatting>
  <conditionalFormatting sqref="E197">
    <cfRule type="cellIs" dxfId="251" priority="121" stopIfTrue="1" operator="equal">
      <formula>"Rejetée"</formula>
    </cfRule>
    <cfRule type="cellIs" dxfId="250" priority="122" stopIfTrue="1" operator="equal">
      <formula>Etats_possibles_Corr</formula>
    </cfRule>
    <cfRule type="cellIs" dxfId="249" priority="123" stopIfTrue="1" operator="equal">
      <formula>"DNR"</formula>
    </cfRule>
  </conditionalFormatting>
  <conditionalFormatting sqref="M198 J198">
    <cfRule type="cellIs" dxfId="248" priority="120" stopIfTrue="1" operator="greaterThanOrEqual">
      <formula>1</formula>
    </cfRule>
  </conditionalFormatting>
  <conditionalFormatting sqref="E198">
    <cfRule type="cellIs" dxfId="247" priority="117" stopIfTrue="1" operator="equal">
      <formula>"Rejetée"</formula>
    </cfRule>
    <cfRule type="cellIs" dxfId="246" priority="118" stopIfTrue="1" operator="equal">
      <formula>Etats_possibles_Corr</formula>
    </cfRule>
    <cfRule type="cellIs" dxfId="245" priority="119" stopIfTrue="1" operator="equal">
      <formula>"DNR"</formula>
    </cfRule>
  </conditionalFormatting>
  <conditionalFormatting sqref="M199 J199">
    <cfRule type="cellIs" dxfId="244" priority="116" stopIfTrue="1" operator="greaterThanOrEqual">
      <formula>1</formula>
    </cfRule>
  </conditionalFormatting>
  <conditionalFormatting sqref="E199">
    <cfRule type="cellIs" dxfId="243" priority="113" stopIfTrue="1" operator="equal">
      <formula>"Rejetée"</formula>
    </cfRule>
    <cfRule type="cellIs" dxfId="242" priority="114" stopIfTrue="1" operator="equal">
      <formula>Etats_possibles_Corr</formula>
    </cfRule>
    <cfRule type="cellIs" dxfId="241" priority="115" stopIfTrue="1" operator="equal">
      <formula>"DNR"</formula>
    </cfRule>
  </conditionalFormatting>
  <conditionalFormatting sqref="M200 J200">
    <cfRule type="cellIs" dxfId="240" priority="112" stopIfTrue="1" operator="greaterThanOrEqual">
      <formula>1</formula>
    </cfRule>
  </conditionalFormatting>
  <conditionalFormatting sqref="E200">
    <cfRule type="cellIs" dxfId="239" priority="109" stopIfTrue="1" operator="equal">
      <formula>"Rejetée"</formula>
    </cfRule>
    <cfRule type="cellIs" dxfId="238" priority="110" stopIfTrue="1" operator="equal">
      <formula>Etats_possibles_Corr</formula>
    </cfRule>
    <cfRule type="cellIs" dxfId="237" priority="111" stopIfTrue="1" operator="equal">
      <formula>"DNR"</formula>
    </cfRule>
  </conditionalFormatting>
  <conditionalFormatting sqref="M201 J201">
    <cfRule type="cellIs" dxfId="236" priority="108" stopIfTrue="1" operator="greaterThanOrEqual">
      <formula>1</formula>
    </cfRule>
  </conditionalFormatting>
  <conditionalFormatting sqref="E201">
    <cfRule type="cellIs" dxfId="235" priority="105" stopIfTrue="1" operator="equal">
      <formula>"Rejetée"</formula>
    </cfRule>
    <cfRule type="cellIs" dxfId="234" priority="106" stopIfTrue="1" operator="equal">
      <formula>Etats_possibles_Corr</formula>
    </cfRule>
    <cfRule type="cellIs" dxfId="233" priority="107" stopIfTrue="1" operator="equal">
      <formula>"DNR"</formula>
    </cfRule>
  </conditionalFormatting>
  <conditionalFormatting sqref="M202 J202">
    <cfRule type="cellIs" dxfId="232" priority="104" stopIfTrue="1" operator="greaterThanOrEqual">
      <formula>1</formula>
    </cfRule>
  </conditionalFormatting>
  <conditionalFormatting sqref="E202">
    <cfRule type="cellIs" dxfId="231" priority="101" stopIfTrue="1" operator="equal">
      <formula>"Rejetée"</formula>
    </cfRule>
    <cfRule type="cellIs" dxfId="230" priority="102" stopIfTrue="1" operator="equal">
      <formula>Etats_possibles_Corr</formula>
    </cfRule>
    <cfRule type="cellIs" dxfId="229" priority="103" stopIfTrue="1" operator="equal">
      <formula>"DNR"</formula>
    </cfRule>
  </conditionalFormatting>
  <conditionalFormatting sqref="M203 J203">
    <cfRule type="cellIs" dxfId="228" priority="100" stopIfTrue="1" operator="greaterThanOrEqual">
      <formula>1</formula>
    </cfRule>
  </conditionalFormatting>
  <conditionalFormatting sqref="E203">
    <cfRule type="cellIs" dxfId="227" priority="97" stopIfTrue="1" operator="equal">
      <formula>"Rejetée"</formula>
    </cfRule>
    <cfRule type="cellIs" dxfId="226" priority="98" stopIfTrue="1" operator="equal">
      <formula>Etats_possibles_Corr</formula>
    </cfRule>
    <cfRule type="cellIs" dxfId="225" priority="99" stopIfTrue="1" operator="equal">
      <formula>"DNR"</formula>
    </cfRule>
  </conditionalFormatting>
  <conditionalFormatting sqref="M204 J204">
    <cfRule type="cellIs" dxfId="224" priority="96" stopIfTrue="1" operator="greaterThanOrEqual">
      <formula>1</formula>
    </cfRule>
  </conditionalFormatting>
  <conditionalFormatting sqref="E204">
    <cfRule type="cellIs" dxfId="223" priority="93" stopIfTrue="1" operator="equal">
      <formula>"Rejetée"</formula>
    </cfRule>
    <cfRule type="cellIs" dxfId="222" priority="94" stopIfTrue="1" operator="equal">
      <formula>Etats_possibles_Corr</formula>
    </cfRule>
    <cfRule type="cellIs" dxfId="221" priority="95" stopIfTrue="1" operator="equal">
      <formula>"DNR"</formula>
    </cfRule>
  </conditionalFormatting>
  <conditionalFormatting sqref="M205 J205">
    <cfRule type="cellIs" dxfId="220" priority="92" stopIfTrue="1" operator="greaterThanOrEqual">
      <formula>1</formula>
    </cfRule>
  </conditionalFormatting>
  <conditionalFormatting sqref="E205">
    <cfRule type="cellIs" dxfId="219" priority="89" stopIfTrue="1" operator="equal">
      <formula>"Rejetée"</formula>
    </cfRule>
    <cfRule type="cellIs" dxfId="218" priority="90" stopIfTrue="1" operator="equal">
      <formula>Etats_possibles_Corr</formula>
    </cfRule>
    <cfRule type="cellIs" dxfId="217" priority="91" stopIfTrue="1" operator="equal">
      <formula>"DNR"</formula>
    </cfRule>
  </conditionalFormatting>
  <conditionalFormatting sqref="M206 J206">
    <cfRule type="cellIs" dxfId="216" priority="88" stopIfTrue="1" operator="greaterThanOrEqual">
      <formula>1</formula>
    </cfRule>
  </conditionalFormatting>
  <conditionalFormatting sqref="E206">
    <cfRule type="cellIs" dxfId="215" priority="85" stopIfTrue="1" operator="equal">
      <formula>"Rejetée"</formula>
    </cfRule>
    <cfRule type="cellIs" dxfId="214" priority="86" stopIfTrue="1" operator="equal">
      <formula>Etats_possibles_Corr</formula>
    </cfRule>
    <cfRule type="cellIs" dxfId="213" priority="87" stopIfTrue="1" operator="equal">
      <formula>"DNR"</formula>
    </cfRule>
  </conditionalFormatting>
  <conditionalFormatting sqref="M207 J207">
    <cfRule type="cellIs" dxfId="212" priority="84" stopIfTrue="1" operator="greaterThanOrEqual">
      <formula>1</formula>
    </cfRule>
  </conditionalFormatting>
  <conditionalFormatting sqref="E207">
    <cfRule type="cellIs" dxfId="211" priority="81" stopIfTrue="1" operator="equal">
      <formula>"Rejetée"</formula>
    </cfRule>
    <cfRule type="cellIs" dxfId="210" priority="82" stopIfTrue="1" operator="equal">
      <formula>Etats_possibles_Corr</formula>
    </cfRule>
    <cfRule type="cellIs" dxfId="209" priority="83" stopIfTrue="1" operator="equal">
      <formula>"DNR"</formula>
    </cfRule>
  </conditionalFormatting>
  <conditionalFormatting sqref="M208 J208">
    <cfRule type="cellIs" dxfId="208" priority="80" stopIfTrue="1" operator="greaterThanOrEqual">
      <formula>1</formula>
    </cfRule>
  </conditionalFormatting>
  <conditionalFormatting sqref="E208">
    <cfRule type="cellIs" dxfId="207" priority="77" stopIfTrue="1" operator="equal">
      <formula>"Rejetée"</formula>
    </cfRule>
    <cfRule type="cellIs" dxfId="206" priority="78" stopIfTrue="1" operator="equal">
      <formula>Etats_possibles_Corr</formula>
    </cfRule>
    <cfRule type="cellIs" dxfId="205" priority="79" stopIfTrue="1" operator="equal">
      <formula>"DNR"</formula>
    </cfRule>
  </conditionalFormatting>
  <conditionalFormatting sqref="M209 J209">
    <cfRule type="cellIs" dxfId="204" priority="76" stopIfTrue="1" operator="greaterThanOrEqual">
      <formula>1</formula>
    </cfRule>
  </conditionalFormatting>
  <conditionalFormatting sqref="E209">
    <cfRule type="cellIs" dxfId="203" priority="73" stopIfTrue="1" operator="equal">
      <formula>"Rejetée"</formula>
    </cfRule>
    <cfRule type="cellIs" dxfId="202" priority="74" stopIfTrue="1" operator="equal">
      <formula>Etats_possibles_Corr</formula>
    </cfRule>
    <cfRule type="cellIs" dxfId="201" priority="75" stopIfTrue="1" operator="equal">
      <formula>"DNR"</formula>
    </cfRule>
  </conditionalFormatting>
  <conditionalFormatting sqref="M210 J210">
    <cfRule type="cellIs" dxfId="200" priority="72" stopIfTrue="1" operator="greaterThanOrEqual">
      <formula>1</formula>
    </cfRule>
  </conditionalFormatting>
  <conditionalFormatting sqref="E210">
    <cfRule type="cellIs" dxfId="199" priority="69" stopIfTrue="1" operator="equal">
      <formula>"Rejetée"</formula>
    </cfRule>
    <cfRule type="cellIs" dxfId="198" priority="70" stopIfTrue="1" operator="equal">
      <formula>Etats_possibles_Corr</formula>
    </cfRule>
    <cfRule type="cellIs" dxfId="197" priority="71" stopIfTrue="1" operator="equal">
      <formula>"DNR"</formula>
    </cfRule>
  </conditionalFormatting>
  <conditionalFormatting sqref="M211 J211">
    <cfRule type="cellIs" dxfId="196" priority="68" stopIfTrue="1" operator="greaterThanOrEqual">
      <formula>1</formula>
    </cfRule>
  </conditionalFormatting>
  <conditionalFormatting sqref="E211">
    <cfRule type="cellIs" dxfId="195" priority="65" stopIfTrue="1" operator="equal">
      <formula>"Rejetée"</formula>
    </cfRule>
    <cfRule type="cellIs" dxfId="194" priority="66" stopIfTrue="1" operator="equal">
      <formula>Etats_possibles_Corr</formula>
    </cfRule>
    <cfRule type="cellIs" dxfId="193" priority="67" stopIfTrue="1" operator="equal">
      <formula>"DNR"</formula>
    </cfRule>
  </conditionalFormatting>
  <conditionalFormatting sqref="M212 J212">
    <cfRule type="cellIs" dxfId="192" priority="64" stopIfTrue="1" operator="greaterThanOrEqual">
      <formula>1</formula>
    </cfRule>
  </conditionalFormatting>
  <conditionalFormatting sqref="E212">
    <cfRule type="cellIs" dxfId="191" priority="61" stopIfTrue="1" operator="equal">
      <formula>"Rejetée"</formula>
    </cfRule>
    <cfRule type="cellIs" dxfId="190" priority="62" stopIfTrue="1" operator="equal">
      <formula>Etats_possibles_Corr</formula>
    </cfRule>
    <cfRule type="cellIs" dxfId="189" priority="63" stopIfTrue="1" operator="equal">
      <formula>"DNR"</formula>
    </cfRule>
  </conditionalFormatting>
  <conditionalFormatting sqref="M213 J213">
    <cfRule type="cellIs" dxfId="188" priority="60" stopIfTrue="1" operator="greaterThanOrEqual">
      <formula>1</formula>
    </cfRule>
  </conditionalFormatting>
  <conditionalFormatting sqref="E213">
    <cfRule type="cellIs" dxfId="187" priority="57" stopIfTrue="1" operator="equal">
      <formula>"Rejetée"</formula>
    </cfRule>
    <cfRule type="cellIs" dxfId="186" priority="58" stopIfTrue="1" operator="equal">
      <formula>Etats_possibles_Corr</formula>
    </cfRule>
    <cfRule type="cellIs" dxfId="185" priority="59" stopIfTrue="1" operator="equal">
      <formula>"DNR"</formula>
    </cfRule>
  </conditionalFormatting>
  <conditionalFormatting sqref="M214 J214">
    <cfRule type="cellIs" dxfId="184" priority="56" stopIfTrue="1" operator="greaterThanOrEqual">
      <formula>1</formula>
    </cfRule>
  </conditionalFormatting>
  <conditionalFormatting sqref="E214">
    <cfRule type="cellIs" dxfId="183" priority="53" stopIfTrue="1" operator="equal">
      <formula>"Rejetée"</formula>
    </cfRule>
    <cfRule type="cellIs" dxfId="182" priority="54" stopIfTrue="1" operator="equal">
      <formula>Etats_possibles_Corr</formula>
    </cfRule>
    <cfRule type="cellIs" dxfId="181" priority="55" stopIfTrue="1" operator="equal">
      <formula>"DNR"</formula>
    </cfRule>
  </conditionalFormatting>
  <conditionalFormatting sqref="M215 J215">
    <cfRule type="cellIs" dxfId="180" priority="52" stopIfTrue="1" operator="greaterThanOrEqual">
      <formula>1</formula>
    </cfRule>
  </conditionalFormatting>
  <conditionalFormatting sqref="E215">
    <cfRule type="cellIs" dxfId="179" priority="49" stopIfTrue="1" operator="equal">
      <formula>"Rejetée"</formula>
    </cfRule>
    <cfRule type="cellIs" dxfId="178" priority="50" stopIfTrue="1" operator="equal">
      <formula>Etats_possibles_Corr</formula>
    </cfRule>
    <cfRule type="cellIs" dxfId="177" priority="51" stopIfTrue="1" operator="equal">
      <formula>"DNR"</formula>
    </cfRule>
  </conditionalFormatting>
  <conditionalFormatting sqref="M216 J216">
    <cfRule type="cellIs" dxfId="176" priority="48" stopIfTrue="1" operator="greaterThanOrEqual">
      <formula>1</formula>
    </cfRule>
  </conditionalFormatting>
  <conditionalFormatting sqref="E216">
    <cfRule type="cellIs" dxfId="175" priority="45" stopIfTrue="1" operator="equal">
      <formula>"Rejetée"</formula>
    </cfRule>
    <cfRule type="cellIs" dxfId="174" priority="46" stopIfTrue="1" operator="equal">
      <formula>Etats_possibles_Corr</formula>
    </cfRule>
    <cfRule type="cellIs" dxfId="173" priority="47" stopIfTrue="1" operator="equal">
      <formula>"DNR"</formula>
    </cfRule>
  </conditionalFormatting>
  <conditionalFormatting sqref="M217 J217">
    <cfRule type="cellIs" dxfId="172" priority="44" stopIfTrue="1" operator="greaterThanOrEqual">
      <formula>1</formula>
    </cfRule>
  </conditionalFormatting>
  <conditionalFormatting sqref="E217">
    <cfRule type="cellIs" dxfId="171" priority="41" stopIfTrue="1" operator="equal">
      <formula>"Rejetée"</formula>
    </cfRule>
    <cfRule type="cellIs" dxfId="170" priority="42" stopIfTrue="1" operator="equal">
      <formula>Etats_possibles_Corr</formula>
    </cfRule>
    <cfRule type="cellIs" dxfId="169" priority="43" stopIfTrue="1" operator="equal">
      <formula>"DNR"</formula>
    </cfRule>
  </conditionalFormatting>
  <conditionalFormatting sqref="M13 J13">
    <cfRule type="cellIs" dxfId="168" priority="12" stopIfTrue="1" operator="greaterThanOrEqual">
      <formula>1</formula>
    </cfRule>
  </conditionalFormatting>
  <conditionalFormatting sqref="E13">
    <cfRule type="cellIs" dxfId="167" priority="9" stopIfTrue="1" operator="equal">
      <formula>"Rejetée"</formula>
    </cfRule>
    <cfRule type="cellIs" dxfId="166" priority="10" stopIfTrue="1" operator="equal">
      <formula>Etats_possibles_Corr</formula>
    </cfRule>
    <cfRule type="cellIs" dxfId="165" priority="11" stopIfTrue="1" operator="equal">
      <formula>"DNR"</formula>
    </cfRule>
  </conditionalFormatting>
  <conditionalFormatting sqref="M14 J14">
    <cfRule type="cellIs" dxfId="164" priority="8" stopIfTrue="1" operator="greaterThanOrEqual">
      <formula>1</formula>
    </cfRule>
  </conditionalFormatting>
  <conditionalFormatting sqref="E14">
    <cfRule type="cellIs" dxfId="163" priority="5" stopIfTrue="1" operator="equal">
      <formula>"Rejetée"</formula>
    </cfRule>
    <cfRule type="cellIs" dxfId="162" priority="6" stopIfTrue="1" operator="equal">
      <formula>Etats_possibles_Corr</formula>
    </cfRule>
    <cfRule type="cellIs" dxfId="161" priority="7" stopIfTrue="1" operator="equal">
      <formula>"DNR"</formula>
    </cfRule>
  </conditionalFormatting>
  <conditionalFormatting sqref="M15 J15">
    <cfRule type="cellIs" dxfId="160" priority="4" stopIfTrue="1" operator="greaterThanOrEqual">
      <formula>1</formula>
    </cfRule>
  </conditionalFormatting>
  <conditionalFormatting sqref="E15">
    <cfRule type="cellIs" dxfId="159" priority="1" stopIfTrue="1" operator="equal">
      <formula>"Rejetée"</formula>
    </cfRule>
    <cfRule type="cellIs" dxfId="158" priority="2" stopIfTrue="1" operator="equal">
      <formula>Etats_possibles_Corr</formula>
    </cfRule>
    <cfRule type="cellIs" dxfId="157" priority="3" stopIfTrue="1" operator="equal">
      <formula>"DNR"</formula>
    </cfRule>
  </conditionalFormatting>
  <dataValidations count="1">
    <dataValidation type="list" allowBlank="1" showInputMessage="1" showErrorMessage="1" sqref="M10:M11 M1:M3">
      <formula1>Etats_possibles</formula1>
    </dataValidation>
  </dataValidations>
  <hyperlinks>
    <hyperlink ref="B13" r:id="rId1" display="https://budiag4.actia.fr/bugzilla-applicative/show_bug.cgi?id=34423"/>
    <hyperlink ref="B14" r:id="rId2" display="https://budiag4.actia.fr/bugzilla-applicative/show_bug.cgi?id=35627"/>
    <hyperlink ref="B15" r:id="rId3" display="https://budiag4.actia.fr/bugzilla-applicative/show_bug.cgi?id=35989"/>
    <hyperlink ref="B16" r:id="rId4" display="https://budiag4.actia.fr/bugzilla-applicative/show_bug.cgi?id=32827"/>
    <hyperlink ref="B17" r:id="rId5" display="https://budiag4.actia.fr/bugzilla-applicative/show_bug.cgi?id=32828"/>
    <hyperlink ref="B18" r:id="rId6" display="https://budiag4.actia.fr/bugzilla-applicative/show_bug.cgi?id=32829"/>
    <hyperlink ref="B19" r:id="rId7" display="https://budiag4.actia.fr/bugzilla-applicative/show_bug.cgi?id=32830"/>
    <hyperlink ref="B20" r:id="rId8" display="https://budiag4.actia.fr/bugzilla-applicative/show_bug.cgi?id=32865"/>
    <hyperlink ref="B21" r:id="rId9" display="https://budiag4.actia.fr/bugzilla-applicative/show_bug.cgi?id=32869"/>
    <hyperlink ref="B22" r:id="rId10" display="https://budiag4.actia.fr/bugzilla-applicative/show_bug.cgi?id=33611"/>
    <hyperlink ref="B23" r:id="rId11" display="https://budiag4.actia.fr/bugzilla-applicative/show_bug.cgi?id=32895"/>
    <hyperlink ref="B24" r:id="rId12" display="https://budiag4.actia.fr/bugzilla-applicative/show_bug.cgi?id=32872"/>
    <hyperlink ref="B25" r:id="rId13" display="https://budiag4.actia.fr/bugzilla-applicative/show_bug.cgi?id=32880"/>
    <hyperlink ref="B26" r:id="rId14" display="https://budiag4.actia.fr/bugzilla-applicative/show_bug.cgi?id=32892"/>
    <hyperlink ref="B27" r:id="rId15" display="https://budiag4.actia.fr/bugzilla-applicative/show_bug.cgi?id=32909"/>
    <hyperlink ref="B28" r:id="rId16" display="https://budiag4.actia.fr/bugzilla-applicative/show_bug.cgi?id=32922"/>
    <hyperlink ref="B29" r:id="rId17" display="https://budiag4.actia.fr/bugzilla-applicative/show_bug.cgi?id=32921"/>
    <hyperlink ref="B30" r:id="rId18" display="https://budiag4.actia.fr/bugzilla-applicative/show_bug.cgi?id=32930"/>
    <hyperlink ref="B31" r:id="rId19" display="https://budiag4.actia.fr/bugzilla-applicative/show_bug.cgi?id=32911"/>
    <hyperlink ref="B32" r:id="rId20" display="https://budiag4.actia.fr/bugzilla-applicative/show_bug.cgi?id=32980"/>
    <hyperlink ref="B33" r:id="rId21" display="https://budiag4.actia.fr/bugzilla-applicative/show_bug.cgi?id=33144"/>
    <hyperlink ref="B34" r:id="rId22" display="https://budiag4.actia.fr/bugzilla-applicative/show_bug.cgi?id=33036"/>
    <hyperlink ref="B35" r:id="rId23" display="https://budiag4.actia.fr/bugzilla-applicative/show_bug.cgi?id=32983"/>
    <hyperlink ref="B36" r:id="rId24" display="https://budiag4.actia.fr/bugzilla-applicative/show_bug.cgi?id=32986"/>
    <hyperlink ref="B37" r:id="rId25" display="https://budiag4.actia.fr/bugzilla-applicative/show_bug.cgi?id=32934"/>
    <hyperlink ref="B38" r:id="rId26" display="https://budiag4.actia.fr/bugzilla-applicative/show_bug.cgi?id=33142"/>
    <hyperlink ref="B39" r:id="rId27" display="https://budiag4.actia.fr/bugzilla-applicative/show_bug.cgi?id=33644"/>
    <hyperlink ref="B40" r:id="rId28" display="https://budiag4.actia.fr/bugzilla-applicative/show_bug.cgi?id=33037"/>
    <hyperlink ref="B41" r:id="rId29" display="https://budiag4.actia.fr/bugzilla-applicative/show_bug.cgi?id=33039"/>
    <hyperlink ref="B42" r:id="rId30" display="https://budiag4.actia.fr/bugzilla-applicative/show_bug.cgi?id=33060"/>
    <hyperlink ref="B43" r:id="rId31" display="https://budiag4.actia.fr/bugzilla-applicative/show_bug.cgi?id=33195"/>
    <hyperlink ref="B44" r:id="rId32" display="https://budiag4.actia.fr/bugzilla-applicative/show_bug.cgi?id=33228"/>
    <hyperlink ref="B45" r:id="rId33" display="https://budiag4.actia.fr/bugzilla-applicative/show_bug.cgi?id=34825"/>
    <hyperlink ref="B46" r:id="rId34" display="https://budiag4.actia.fr/bugzilla-applicative/show_bug.cgi?id=34799"/>
    <hyperlink ref="B47" r:id="rId35" display="https://budiag4.actia.fr/bugzilla-applicative/show_bug.cgi?id=34800"/>
    <hyperlink ref="B48" r:id="rId36" display="https://budiag4.actia.fr/bugzilla-applicative/show_bug.cgi?id=34860"/>
    <hyperlink ref="B49" r:id="rId37" display="https://budiag4.actia.fr/bugzilla-applicative/show_bug.cgi?id=34861"/>
    <hyperlink ref="B50" r:id="rId38" display="https://budiag4.actia.fr/bugzilla-applicative/show_bug.cgi?id=34862"/>
    <hyperlink ref="B51" r:id="rId39" display="https://budiag4.actia.fr/bugzilla-applicative/show_bug.cgi?id=34840"/>
    <hyperlink ref="B52" r:id="rId40" display="https://budiag4.actia.fr/bugzilla-applicative/show_bug.cgi?id=35060"/>
    <hyperlink ref="B53" r:id="rId41" display="https://budiag4.actia.fr/bugzilla-applicative/show_bug.cgi?id=34917"/>
    <hyperlink ref="B54" r:id="rId42" display="https://budiag4.actia.fr/bugzilla-applicative/show_bug.cgi?id=34920"/>
    <hyperlink ref="B55" r:id="rId43" display="https://budiag4.actia.fr/bugzilla-applicative/show_bug.cgi?id=34918"/>
    <hyperlink ref="B56" r:id="rId44" display="https://budiag4.actia.fr/bugzilla-applicative/show_bug.cgi?id=34919"/>
    <hyperlink ref="B57" r:id="rId45" display="https://budiag4.actia.fr/bugzilla-applicative/show_bug.cgi?id=34964"/>
    <hyperlink ref="B58" r:id="rId46" display="https://budiag4.actia.fr/bugzilla-applicative/show_bug.cgi?id=34965"/>
    <hyperlink ref="B59" r:id="rId47" display="https://budiag4.actia.fr/bugzilla-applicative/show_bug.cgi?id=34966"/>
    <hyperlink ref="B60" r:id="rId48" display="https://budiag4.actia.fr/bugzilla-applicative/show_bug.cgi?id=34967"/>
    <hyperlink ref="B61" r:id="rId49" display="https://budiag4.actia.fr/bugzilla-applicative/show_bug.cgi?id=34968"/>
    <hyperlink ref="B62" r:id="rId50" display="https://budiag4.actia.fr/bugzilla-applicative/show_bug.cgi?id=34988"/>
    <hyperlink ref="B63" r:id="rId51" display="https://budiag4.actia.fr/bugzilla-applicative/show_bug.cgi?id=34987"/>
    <hyperlink ref="B64" r:id="rId52" display="https://budiag4.actia.fr/bugzilla-applicative/show_bug.cgi?id=34986"/>
    <hyperlink ref="B65" r:id="rId53" display="https://budiag4.actia.fr/bugzilla-applicative/show_bug.cgi?id=35073"/>
    <hyperlink ref="B66" r:id="rId54" display="https://budiag4.actia.fr/bugzilla-applicative/show_bug.cgi?id=35037"/>
    <hyperlink ref="B67" r:id="rId55" display="https://budiag4.actia.fr/bugzilla-applicative/show_bug.cgi?id=35080"/>
    <hyperlink ref="B68" r:id="rId56" display="https://budiag4.actia.fr/bugzilla-applicative/show_bug.cgi?id=35096"/>
    <hyperlink ref="B69" r:id="rId57" display="https://budiag4.actia.fr/bugzilla-applicative/show_bug.cgi?id=35081"/>
    <hyperlink ref="B70" r:id="rId58" display="https://budiag4.actia.fr/bugzilla-applicative/show_bug.cgi?id=35103"/>
    <hyperlink ref="B71" r:id="rId59" display="https://budiag4.actia.fr/bugzilla-applicative/show_bug.cgi?id=35295"/>
    <hyperlink ref="B72" r:id="rId60" display="https://budiag4.actia.fr/bugzilla-applicative/show_bug.cgi?id=35172"/>
    <hyperlink ref="B73" r:id="rId61" display="https://budiag4.actia.fr/bugzilla-applicative/show_bug.cgi?id=35225"/>
    <hyperlink ref="B74" r:id="rId62" display="https://budiag4.actia.fr/bugzilla-applicative/show_bug.cgi?id=35292"/>
    <hyperlink ref="B75" r:id="rId63" display="https://budiag4.actia.fr/bugzilla-applicative/show_bug.cgi?id=35293"/>
    <hyperlink ref="B76" r:id="rId64" display="https://budiag4.actia.fr/bugzilla-applicative/show_bug.cgi?id=333333"/>
    <hyperlink ref="B77" r:id="rId65" display="https://budiag4.actia.fr/bugzilla-applicative/show_bug.cgi?id=35190"/>
    <hyperlink ref="B78" r:id="rId66" display="https://budiag4.actia.fr/bugzilla-applicative/show_bug.cgi?id=35313"/>
    <hyperlink ref="B79" r:id="rId67" display="https://budiag4.actia.fr/bugzilla-applicative/show_bug.cgi?id=35215"/>
    <hyperlink ref="B80" r:id="rId68" display="https://budiag4.actia.fr/bugzilla-applicative/show_bug.cgi?id=35223"/>
    <hyperlink ref="B81" r:id="rId69" display="https://budiag4.actia.fr/bugzilla-applicative/show_bug.cgi?id=35244"/>
    <hyperlink ref="B82" r:id="rId70" display="https://budiag4.actia.fr/bugzilla-applicative/show_bug.cgi?id=35291"/>
    <hyperlink ref="B83" r:id="rId71" display="https://budiag4.actia.fr/bugzilla-applicative/show_bug.cgi?id=35294"/>
    <hyperlink ref="B84" r:id="rId72" display="https://budiag4.actia.fr/bugzilla-applicative/show_bug.cgi?id=35281"/>
    <hyperlink ref="B85" r:id="rId73" display="https://budiag4.actia.fr/bugzilla-applicative/show_bug.cgi?id=35407"/>
    <hyperlink ref="B86" r:id="rId74" display="https://budiag4.actia.fr/bugzilla-applicative/show_bug.cgi?id=35258"/>
    <hyperlink ref="B87" r:id="rId75" display="https://budiag4.actia.fr/bugzilla-applicative/show_bug.cgi?id=35297"/>
    <hyperlink ref="B88" r:id="rId76" display="https://budiag4.actia.fr/bugzilla-applicative/show_bug.cgi?id=35285"/>
    <hyperlink ref="B89" r:id="rId77" display="https://budiag4.actia.fr/bugzilla-applicative/show_bug.cgi?id=35306"/>
    <hyperlink ref="B90" r:id="rId78" display="https://budiag4.actia.fr/bugzilla-applicative/show_bug.cgi?id=35365"/>
    <hyperlink ref="B91" r:id="rId79" display="https://budiag4.actia.fr/bugzilla-applicative/show_bug.cgi?id=35378"/>
    <hyperlink ref="B92" r:id="rId80" display="https://budiag4.actia.fr/bugzilla-applicative/show_bug.cgi?id=35379"/>
    <hyperlink ref="B93" r:id="rId81" display="https://budiag4.actia.fr/bugzilla-applicative/show_bug.cgi?id=35857"/>
    <hyperlink ref="B94" r:id="rId82" display="https://budiag4.actia.fr/bugzilla-applicative/show_bug.cgi?id=35610"/>
    <hyperlink ref="B95" r:id="rId83" display="https://budiag4.actia.fr/bugzilla-applicative/show_bug.cgi?id=35612"/>
    <hyperlink ref="B96" r:id="rId84" display="https://budiag4.actia.fr/bugzilla-applicative/show_bug.cgi?id=35516"/>
    <hyperlink ref="B97" r:id="rId85" display="https://budiag4.actia.fr/bugzilla-applicative/show_bug.cgi?id=35517"/>
    <hyperlink ref="B98" r:id="rId86" display="https://budiag4.actia.fr/bugzilla-applicative/show_bug.cgi?id=35537"/>
    <hyperlink ref="B99" r:id="rId87" display="https://budiag4.actia.fr/bugzilla-applicative/show_bug.cgi?id=35613"/>
    <hyperlink ref="B100" r:id="rId88" display="https://budiag4.actia.fr/bugzilla-applicative/show_bug.cgi?id=35609"/>
    <hyperlink ref="B101" r:id="rId89" display="https://budiag4.actia.fr/bugzilla-applicative/show_bug.cgi?id=35625"/>
    <hyperlink ref="B102" r:id="rId90" display="https://budiag4.actia.fr/bugzilla-applicative/show_bug.cgi?id=35549"/>
    <hyperlink ref="B103" r:id="rId91" display="https://budiag4.actia.fr/bugzilla-applicative/show_bug.cgi?id=35544"/>
    <hyperlink ref="B104" r:id="rId92" display="https://budiag4.actia.fr/bugzilla-applicative/show_bug.cgi?id=35555"/>
    <hyperlink ref="B105" r:id="rId93" display="https://budiag4.actia.fr/bugzilla-applicative/show_bug.cgi?id=35548"/>
    <hyperlink ref="B106" r:id="rId94" display="https://budiag4.actia.fr/bugzilla-applicative/show_bug.cgi?id=35527"/>
    <hyperlink ref="B107" r:id="rId95" display="https://budiag4.actia.fr/bugzilla-applicative/show_bug.cgi?id=35547"/>
    <hyperlink ref="B108" r:id="rId96" display="https://budiag4.actia.fr/bugzilla-applicative/show_bug.cgi?id=35546"/>
    <hyperlink ref="B109" r:id="rId97" display="https://budiag4.actia.fr/bugzilla-applicative/show_bug.cgi?id=35542"/>
    <hyperlink ref="B110" r:id="rId98" display="https://budiag4.actia.fr/bugzilla-applicative/show_bug.cgi?id=35536"/>
    <hyperlink ref="B111" r:id="rId99" display="https://budiag4.actia.fr/bugzilla-applicative/show_bug.cgi?id=33314"/>
    <hyperlink ref="B112" r:id="rId100" display="https://budiag4.actia.fr/bugzilla-applicative/show_bug.cgi?id=35786"/>
    <hyperlink ref="B113" r:id="rId101" display="https://budiag4.actia.fr/bugzilla-applicative/show_bug.cgi?id=35728"/>
    <hyperlink ref="B114" r:id="rId102" display="https://budiag4.actia.fr/bugzilla-applicative/show_bug.cgi?id=35627"/>
    <hyperlink ref="B115" r:id="rId103" display="https://budiag4.actia.fr/bugzilla-applicative/show_bug.cgi?id=1"/>
    <hyperlink ref="B116" r:id="rId104" display="https://budiag4.actia.fr/bugzilla-applicative/show_bug.cgi?id=35726"/>
    <hyperlink ref="B117" r:id="rId105" display="https://budiag4.actia.fr/bugzilla-applicative/show_bug.cgi?id=35725"/>
    <hyperlink ref="B118" r:id="rId106" display="https://budiag4.actia.fr/bugzilla-applicative/show_bug.cgi?id=35798"/>
    <hyperlink ref="B119" r:id="rId107" display="https://budiag4.actia.fr/bugzilla-applicative/show_bug.cgi?id=35803"/>
    <hyperlink ref="B120" r:id="rId108" display="https://budiag4.actia.fr/bugzilla-applicative/show_bug.cgi?id=35802"/>
    <hyperlink ref="B121" r:id="rId109" display="https://budiag4.actia.fr/bugzilla-applicative/show_bug.cgi?id=33320"/>
    <hyperlink ref="B122" r:id="rId110" display="https://budiag4.actia.fr/bugzilla-applicative/show_bug.cgi?id=35838"/>
    <hyperlink ref="B123" r:id="rId111" display="https://budiag4.actia.fr/bugzilla-applicative/show_bug.cgi?id=35819"/>
    <hyperlink ref="B124" r:id="rId112" display="https://budiag4.actia.fr/bugzilla-applicative/show_bug.cgi?id=35827"/>
    <hyperlink ref="B125" r:id="rId113" display="https://budiag4.actia.fr/bugzilla-applicative/show_bug.cgi?id=33319"/>
    <hyperlink ref="B126" r:id="rId114" display="https://budiag4.actia.fr/bugzilla-applicative/show_bug.cgi?id=35856"/>
    <hyperlink ref="B127" r:id="rId115" display="https://budiag4.actia.fr/bugzilla-applicative/show_bug.cgi?id=35860"/>
    <hyperlink ref="B128" r:id="rId116" display="https://budiag4.actia.fr/bugzilla-applicative/show_bug.cgi?id=35961"/>
    <hyperlink ref="B129" r:id="rId117" display="https://budiag4.actia.fr/bugzilla-applicative/show_bug.cgi?id=35974"/>
    <hyperlink ref="B130" r:id="rId118" display="https://budiag4.actia.fr/bugzilla-applicative/show_bug.cgi?id=35968"/>
    <hyperlink ref="B131" r:id="rId119" display="https://budiag4.actia.fr/bugzilla-applicative/show_bug.cgi?id=35970"/>
    <hyperlink ref="B132" r:id="rId120" display="https://budiag4.actia.fr/bugzilla-applicative/show_bug.cgi?id=35973"/>
    <hyperlink ref="B133" r:id="rId121" display="https://budiag4.actia.fr/bugzilla-applicative/show_bug.cgi?id=33309"/>
    <hyperlink ref="B134" r:id="rId122" display="https://budiag4.actia.fr/bugzilla-applicative/show_bug.cgi?id=35971"/>
    <hyperlink ref="B135" r:id="rId123" display="https://budiag4.actia.fr/bugzilla-applicative/show_bug.cgi?id=33318"/>
    <hyperlink ref="B136" r:id="rId124" display="https://budiag4.actia.fr/bugzilla-applicative/show_bug.cgi?id=33337"/>
    <hyperlink ref="B137" r:id="rId125" display="https://budiag4.actia.fr/bugzilla-applicative/show_bug.cgi?id=33336"/>
    <hyperlink ref="B138" r:id="rId126" display="https://budiag4.actia.fr/bugzilla-applicative/show_bug.cgi?id=33515"/>
    <hyperlink ref="B139" r:id="rId127" display="https://budiag4.actia.fr/bugzilla-applicative/show_bug.cgi?id=33487"/>
    <hyperlink ref="B140" r:id="rId128" display="https://budiag4.actia.fr/bugzilla-applicative/show_bug.cgi?id=33566"/>
    <hyperlink ref="B141" r:id="rId129" display="https://budiag4.actia.fr/bugzilla-applicative/show_bug.cgi?id=33566"/>
    <hyperlink ref="B142" r:id="rId130" display="https://budiag4.actia.fr/bugzilla-applicative/show_bug.cgi?id=33556"/>
    <hyperlink ref="B143" r:id="rId131" display="https://budiag4.actia.fr/bugzilla-applicative/show_bug.cgi?id=33499"/>
    <hyperlink ref="B144" r:id="rId132" display="https://budiag4.actia.fr/bugzilla-applicative/show_bug.cgi?id=33500"/>
    <hyperlink ref="B145" r:id="rId133" display="https://budiag4.actia.fr/bugzilla-applicative/show_bug.cgi?id=33491"/>
    <hyperlink ref="B146" r:id="rId134" display="https://budiag4.actia.fr/bugzilla-applicative/show_bug.cgi?id=33489"/>
    <hyperlink ref="B147" r:id="rId135" display="https://budiag4.actia.fr/bugzilla-applicative/show_bug.cgi?id=33490"/>
    <hyperlink ref="B148" r:id="rId136" display="https://budiag4.actia.fr/bugzilla-applicative/show_bug.cgi?id=33492"/>
    <hyperlink ref="B149" r:id="rId137" display="https://budiag4.actia.fr/bugzilla-applicative/show_bug.cgi?id=33559"/>
    <hyperlink ref="B150" r:id="rId138" display="https://budiag4.actia.fr/bugzilla-applicative/show_bug.cgi?id=33558"/>
    <hyperlink ref="B151" r:id="rId139" display="https://budiag4.actia.fr/bugzilla-applicative/show_bug.cgi?id=33579"/>
    <hyperlink ref="B152" r:id="rId140" display="https://budiag4.actia.fr/bugzilla-applicative/show_bug.cgi?id=33711"/>
    <hyperlink ref="B153" r:id="rId141" display="https://budiag4.actia.fr/bugzilla-applicative/show_bug.cgi?id=33525"/>
    <hyperlink ref="B154" r:id="rId142" display="https://budiag4.actia.fr/bugzilla-applicative/show_bug.cgi?id=33530"/>
    <hyperlink ref="B155" r:id="rId143" display="https://budiag4.actia.fr/bugzilla-applicative/show_bug.cgi?id=33531"/>
    <hyperlink ref="B156" r:id="rId144" display="https://budiag4.actia.fr/bugzilla-applicative/show_bug.cgi?id=33667"/>
    <hyperlink ref="B157" r:id="rId145" display="https://budiag4.actia.fr/bugzilla-applicative/show_bug.cgi?id=33774"/>
    <hyperlink ref="B158" r:id="rId146" display="https://budiag4.actia.fr/bugzilla-applicative/show_bug.cgi?id=33783"/>
    <hyperlink ref="B159" r:id="rId147" display="https://budiag4.actia.fr/bugzilla-applicative/show_bug.cgi?id=33784"/>
    <hyperlink ref="B160" r:id="rId148" display="https://budiag4.actia.fr/bugzilla-applicative/show_bug.cgi?id=33788"/>
    <hyperlink ref="B161" r:id="rId149" display="https://budiag4.actia.fr/bugzilla-applicative/show_bug.cgi?id=33789"/>
    <hyperlink ref="B162" r:id="rId150" display="https://budiag4.actia.fr/bugzilla-applicative/show_bug.cgi?id=33782"/>
    <hyperlink ref="B163" r:id="rId151" display="https://budiag4.actia.fr/bugzilla-applicative/show_bug.cgi?id=33808"/>
    <hyperlink ref="B164" r:id="rId152" display="https://budiag4.actia.fr/bugzilla-applicative/show_bug.cgi?id=33962"/>
    <hyperlink ref="B165" r:id="rId153" display="https://budiag4.actia.fr/bugzilla-applicative/show_bug.cgi?id=33781"/>
    <hyperlink ref="B166" r:id="rId154" display="https://budiag4.actia.fr/bugzilla-applicative/show_bug.cgi?id=33780"/>
    <hyperlink ref="B167" r:id="rId155" display="https://budiag4.actia.fr/bugzilla-applicative/show_bug.cgi?id=33801"/>
    <hyperlink ref="B168" r:id="rId156" display="https://budiag4.actia.fr/bugzilla-applicative/show_bug.cgi?id=33802"/>
    <hyperlink ref="B169" r:id="rId157" display="https://budiag4.actia.fr/bugzilla-applicative/show_bug.cgi?id=33803"/>
    <hyperlink ref="B170" r:id="rId158" display="https://budiag4.actia.fr/bugzilla-applicative/show_bug.cgi?id=33858"/>
    <hyperlink ref="B171" r:id="rId159" display="https://budiag4.actia.fr/bugzilla-applicative/show_bug.cgi?id=33862"/>
    <hyperlink ref="B172" r:id="rId160" display="https://budiag4.actia.fr/bugzilla-applicative/show_bug.cgi?id=34117"/>
    <hyperlink ref="B173" r:id="rId161" display="https://budiag4.actia.fr/bugzilla-applicative/show_bug.cgi?id=33945"/>
    <hyperlink ref="B174" r:id="rId162" display="https://budiag4.actia.fr/bugzilla-applicative/show_bug.cgi?id=33944"/>
    <hyperlink ref="B175" r:id="rId163" display="https://budiag4.actia.fr/bugzilla-applicative/show_bug.cgi?id=33942"/>
    <hyperlink ref="B176" r:id="rId164" display="https://budiag4.actia.fr/bugzilla-applicative/show_bug.cgi?id=33920"/>
    <hyperlink ref="B177" r:id="rId165" display="https://budiag4.actia.fr/bugzilla-applicative/show_bug.cgi?id=33921"/>
    <hyperlink ref="B178" r:id="rId166" display="https://budiag4.actia.fr/bugzilla-applicative/show_bug.cgi?id=33922"/>
    <hyperlink ref="B179" r:id="rId167" display="https://budiag4.actia.fr/bugzilla-applicative/show_bug.cgi?id=33923"/>
    <hyperlink ref="B180" r:id="rId168" display="https://budiag4.actia.fr/bugzilla-applicative/show_bug.cgi?id=33924"/>
    <hyperlink ref="B181" r:id="rId169" display="https://budiag4.actia.fr/bugzilla-applicative/show_bug.cgi?id=33919"/>
    <hyperlink ref="B182" r:id="rId170" display="https://budiag4.actia.fr/bugzilla-applicative/show_bug.cgi?id=34027"/>
    <hyperlink ref="B183" r:id="rId171" display="https://budiag4.actia.fr/bugzilla-applicative/show_bug.cgi?id=33964"/>
    <hyperlink ref="B184" r:id="rId172" display="https://budiag4.actia.fr/bugzilla-applicative/show_bug.cgi?id=34008"/>
    <hyperlink ref="B185" r:id="rId173" display="https://budiag4.actia.fr/bugzilla-applicative/show_bug.cgi?id=34969"/>
    <hyperlink ref="B186" r:id="rId174" display="https://budiag4.actia.fr/bugzilla-applicative/show_bug.cgi?id=34588"/>
    <hyperlink ref="B187" r:id="rId175" display="https://budiag4.actia.fr/bugzilla-applicative/show_bug.cgi?id=34007"/>
    <hyperlink ref="B188" r:id="rId176" display="https://budiag4.actia.fr/bugzilla-applicative/show_bug.cgi?id=34080"/>
    <hyperlink ref="B189" r:id="rId177" display="https://budiag4.actia.fr/bugzilla-applicative/show_bug.cgi?id=34006"/>
    <hyperlink ref="B190" r:id="rId178" display="https://budiag4.actia.fr/bugzilla-applicative/show_bug.cgi?id=34040"/>
    <hyperlink ref="B191" r:id="rId179" display="https://budiag4.actia.fr/bugzilla-applicative/show_bug.cgi?id=34005"/>
    <hyperlink ref="B192" r:id="rId180" display="https://budiag4.actia.fr/bugzilla-applicative/show_bug.cgi?id=34004"/>
    <hyperlink ref="B193" r:id="rId181" display="https://budiag4.actia.fr/bugzilla-applicative/show_bug.cgi?id=34003"/>
    <hyperlink ref="B194" r:id="rId182" display="https://budiag4.actia.fr/bugzilla-applicative/show_bug.cgi?id=34002"/>
    <hyperlink ref="B195" r:id="rId183" display="https://budiag4.actia.fr/bugzilla-applicative/show_bug.cgi?id=33990"/>
    <hyperlink ref="B196" r:id="rId184" display="https://budiag4.actia.fr/bugzilla-applicative/show_bug.cgi?id=34031"/>
    <hyperlink ref="B197" r:id="rId185" display="https://budiag4.actia.fr/bugzilla-applicative/show_bug.cgi?id=34118"/>
    <hyperlink ref="B198" r:id="rId186" display="https://budiag4.actia.fr/bugzilla-applicative/show_bug.cgi?id=34084"/>
    <hyperlink ref="B199" r:id="rId187" display="https://budiag4.actia.fr/bugzilla-applicative/show_bug.cgi?id=34113"/>
    <hyperlink ref="B200" r:id="rId188" display="https://budiag4.actia.fr/bugzilla-applicative/show_bug.cgi?id=34087"/>
    <hyperlink ref="B201" r:id="rId189" display="https://budiag4.actia.fr/bugzilla-applicative/show_bug.cgi?id=34127"/>
    <hyperlink ref="B202" r:id="rId190" display="https://budiag4.actia.fr/bugzilla-applicative/show_bug.cgi?id=34119"/>
    <hyperlink ref="B203" r:id="rId191" display="https://budiag4.actia.fr/bugzilla-applicative/show_bug.cgi?id=34126"/>
    <hyperlink ref="B204" r:id="rId192" display="https://budiag4.actia.fr/bugzilla-applicative/show_bug.cgi?id=34156"/>
    <hyperlink ref="B205" r:id="rId193" display="https://budiag4.actia.fr/bugzilla-applicative/show_bug.cgi?id=34158"/>
    <hyperlink ref="B206" r:id="rId194" display="https://budiag4.actia.fr/bugzilla-applicative/show_bug.cgi?id=34584"/>
    <hyperlink ref="B207" r:id="rId195" display="https://budiag4.actia.fr/bugzilla-applicative/show_bug.cgi?id=34585"/>
    <hyperlink ref="B208" r:id="rId196" display="https://budiag4.actia.fr/bugzilla-applicative/show_bug.cgi?id=34622"/>
    <hyperlink ref="B209" r:id="rId197" display="https://budiag4.actia.fr/bugzilla-applicative/show_bug.cgi?id=34586"/>
    <hyperlink ref="B210" r:id="rId198" display="https://budiag4.actia.fr/bugzilla-applicative/show_bug.cgi?id=34801"/>
    <hyperlink ref="B211" r:id="rId199" display="https://budiag4.actia.fr/bugzilla-applicative/show_bug.cgi?id=34802"/>
    <hyperlink ref="B212" r:id="rId200" display="https://budiag4.actia.fr/bugzilla-applicative/show_bug.cgi?id=34803"/>
    <hyperlink ref="B213" r:id="rId201" display="https://budiag4.actia.fr/bugzilla-applicative/show_bug.cgi?id=34839"/>
    <hyperlink ref="B214" r:id="rId202" display="https://budiag4.actia.fr/bugzilla-applicative/show_bug.cgi?id=34899"/>
    <hyperlink ref="B215" r:id="rId203" display="https://budiag4.actia.fr/bugzilla-applicative/show_bug.cgi?id=34124"/>
    <hyperlink ref="B216" r:id="rId204" display="https://budiag4.actia.fr/bugzilla-applicative/show_bug.cgi?id=34349"/>
    <hyperlink ref="B217" r:id="rId205" display="https://budiag4.actia.fr/bugzilla-applicative/show_bug.cgi?id=35745"/>
  </hyperlinks>
  <pageMargins left="0.31496062992125984" right="0.31496062992125984" top="0.15748031496062992" bottom="0.15748031496062992" header="0.15748031496062992" footer="0.15748031496062992"/>
  <pageSetup paperSize="9" scale="35" orientation="portrait" r:id="rId206"/>
  <headerFooter alignWithMargins="0"/>
</worksheet>
</file>

<file path=xl/worksheets/sheet2.xml><?xml version="1.0" encoding="utf-8"?>
<worksheet xmlns="http://schemas.openxmlformats.org/spreadsheetml/2006/main" xmlns:r="http://schemas.openxmlformats.org/officeDocument/2006/relationships">
  <sheetPr codeName="Feuil1">
    <pageSetUpPr fitToPage="1"/>
  </sheetPr>
  <dimension ref="A1:S164"/>
  <sheetViews>
    <sheetView tabSelected="1" workbookViewId="0">
      <pane xSplit="1" ySplit="8" topLeftCell="B96" activePane="bottomRight" state="frozen"/>
      <selection activeCell="I104" sqref="I104"/>
      <selection pane="topRight" activeCell="I104" sqref="I104"/>
      <selection pane="bottomLeft" activeCell="I104" sqref="I104"/>
      <selection pane="bottomRight" activeCell="K6" sqref="K6"/>
    </sheetView>
  </sheetViews>
  <sheetFormatPr baseColWidth="10" defaultRowHeight="12.75"/>
  <cols>
    <col min="1" max="1" width="23.5703125" customWidth="1"/>
    <col min="2" max="2" width="7.85546875" customWidth="1"/>
    <col min="3" max="3" width="5.140625" customWidth="1"/>
    <col min="4" max="4" width="6" customWidth="1"/>
    <col min="5" max="5" width="10.28515625" style="48" customWidth="1"/>
    <col min="6" max="6" width="7.42578125" customWidth="1"/>
    <col min="7" max="7" width="10.28515625" style="9" customWidth="1"/>
    <col min="8" max="8" width="11.42578125" style="9" customWidth="1"/>
    <col min="9" max="9" width="10.140625" customWidth="1"/>
    <col min="10" max="10" width="9.7109375" customWidth="1"/>
    <col min="11" max="11" width="9.42578125" style="9" customWidth="1"/>
    <col min="12" max="12" width="9.28515625" style="9" customWidth="1"/>
    <col min="13" max="13" width="8.5703125" customWidth="1"/>
    <col min="14" max="14" width="17.85546875" customWidth="1"/>
    <col min="15" max="15" width="11.42578125" style="17"/>
    <col min="16" max="16" width="8.28515625" bestFit="1" customWidth="1"/>
    <col min="17" max="17" width="37.42578125" style="205" customWidth="1"/>
    <col min="18" max="19" width="8.42578125" customWidth="1"/>
  </cols>
  <sheetData>
    <row r="1" spans="1:19" ht="18">
      <c r="A1" s="8" t="s">
        <v>0</v>
      </c>
      <c r="G1" s="50"/>
      <c r="H1" s="50"/>
      <c r="O1" s="360"/>
    </row>
    <row r="2" spans="1:19" ht="12.75" customHeight="1" thickBot="1">
      <c r="A2" s="4"/>
      <c r="C2" s="4"/>
      <c r="D2" s="7"/>
      <c r="F2" s="7"/>
      <c r="G2" s="51"/>
      <c r="H2" s="51"/>
      <c r="L2"/>
      <c r="N2" s="194"/>
      <c r="O2" s="360"/>
    </row>
    <row r="3" spans="1:19" ht="13.5" thickBot="1">
      <c r="A3" s="5"/>
      <c r="B3" s="195"/>
      <c r="E3" s="492" t="s">
        <v>23</v>
      </c>
      <c r="F3" s="493"/>
      <c r="G3" s="507" t="s">
        <v>90</v>
      </c>
      <c r="H3" s="508"/>
      <c r="I3" s="504" t="str">
        <f>" FI Ouvertes: " &amp; COUNTIF(E:E,"En analyse")+COUNTIF(E:E,"Réouverte")+COUNTIF(E:E,"Analysée")</f>
        <v xml:space="preserve"> FI Ouvertes: 146</v>
      </c>
      <c r="J3" s="505"/>
      <c r="K3" s="506"/>
      <c r="L3" s="421" t="s">
        <v>717</v>
      </c>
      <c r="M3" s="244"/>
      <c r="O3" s="373" t="s">
        <v>5</v>
      </c>
      <c r="P3" s="367"/>
      <c r="Q3" s="368"/>
    </row>
    <row r="4" spans="1:19" ht="13.5" thickBot="1">
      <c r="A4" s="4"/>
      <c r="B4" s="4"/>
      <c r="C4" s="366"/>
      <c r="D4" s="45"/>
      <c r="E4" s="494"/>
      <c r="F4" s="495"/>
      <c r="G4" s="509"/>
      <c r="H4" s="510"/>
      <c r="I4" s="498" t="s">
        <v>311</v>
      </c>
      <c r="J4" s="499"/>
      <c r="K4" s="500"/>
      <c r="L4" s="355">
        <f>(COUNTIF(E:E,"En analyse")+COUNTIF(E:E,"Réouverte")+COUNTIF(E:E,"Analysée"))-Stat!Y1</f>
        <v>0</v>
      </c>
      <c r="M4" s="244"/>
      <c r="O4" s="369" t="s">
        <v>3</v>
      </c>
      <c r="P4" s="490" t="s">
        <v>4</v>
      </c>
      <c r="Q4" s="491"/>
    </row>
    <row r="5" spans="1:19" ht="13.5" thickBot="1">
      <c r="A5" s="4"/>
      <c r="B5" s="45"/>
      <c r="C5" s="45"/>
      <c r="D5" s="45"/>
      <c r="E5" s="494"/>
      <c r="F5" s="495"/>
      <c r="G5" s="511"/>
      <c r="H5" s="512"/>
      <c r="I5" s="501">
        <v>40931</v>
      </c>
      <c r="J5" s="502"/>
      <c r="K5" s="503"/>
      <c r="L5" s="244"/>
      <c r="M5" s="244"/>
      <c r="O5" s="369" t="s">
        <v>188</v>
      </c>
      <c r="P5" s="490" t="s">
        <v>189</v>
      </c>
      <c r="Q5" s="491"/>
    </row>
    <row r="6" spans="1:19" ht="36.75" customHeight="1" thickBot="1">
      <c r="A6" s="4"/>
      <c r="D6" s="45"/>
      <c r="E6" s="496"/>
      <c r="F6" s="497"/>
      <c r="G6" s="513"/>
      <c r="H6" s="513"/>
      <c r="I6" s="416"/>
      <c r="J6" s="417"/>
      <c r="K6" s="433"/>
      <c r="L6" s="244"/>
      <c r="M6" s="244"/>
      <c r="N6" s="338"/>
      <c r="O6" s="370"/>
      <c r="P6" s="371"/>
      <c r="Q6" s="372"/>
    </row>
    <row r="7" spans="1:19">
      <c r="G7" s="50"/>
      <c r="H7" s="50"/>
    </row>
    <row r="8" spans="1:19" s="11" customFormat="1" ht="38.25">
      <c r="A8" s="13" t="s">
        <v>242</v>
      </c>
      <c r="B8" s="13" t="s">
        <v>346</v>
      </c>
      <c r="C8" s="13" t="s">
        <v>267</v>
      </c>
      <c r="D8" s="13" t="s">
        <v>243</v>
      </c>
      <c r="E8" s="49" t="s">
        <v>349</v>
      </c>
      <c r="F8" s="13" t="s">
        <v>309</v>
      </c>
      <c r="G8" s="52" t="s">
        <v>259</v>
      </c>
      <c r="H8" s="52" t="s">
        <v>258</v>
      </c>
      <c r="I8" s="13" t="s">
        <v>260</v>
      </c>
      <c r="J8" s="13" t="s">
        <v>262</v>
      </c>
      <c r="K8" s="19" t="s">
        <v>264</v>
      </c>
      <c r="L8" s="19" t="s">
        <v>261</v>
      </c>
      <c r="M8" s="13" t="s">
        <v>263</v>
      </c>
      <c r="N8" s="13" t="s">
        <v>270</v>
      </c>
      <c r="O8" s="16" t="s">
        <v>8</v>
      </c>
      <c r="P8" s="13" t="s">
        <v>714</v>
      </c>
      <c r="Q8" s="13" t="s">
        <v>300</v>
      </c>
      <c r="R8" s="207" t="s">
        <v>22</v>
      </c>
      <c r="S8" s="333" t="s">
        <v>655</v>
      </c>
    </row>
    <row r="9" spans="1:19">
      <c r="A9" s="414" t="s">
        <v>1574</v>
      </c>
      <c r="B9" s="206">
        <v>36911</v>
      </c>
      <c r="C9" s="445">
        <v>2</v>
      </c>
      <c r="D9" s="446" t="s">
        <v>245</v>
      </c>
      <c r="E9" s="447" t="s">
        <v>249</v>
      </c>
      <c r="F9" s="448" t="s">
        <v>308</v>
      </c>
      <c r="G9" s="449">
        <v>41464</v>
      </c>
      <c r="H9" s="449">
        <v>41026</v>
      </c>
      <c r="I9" s="449"/>
      <c r="J9" s="450">
        <v>0</v>
      </c>
      <c r="K9" s="449">
        <v>41052</v>
      </c>
      <c r="L9" s="449"/>
      <c r="M9" s="450">
        <v>0</v>
      </c>
      <c r="N9" s="451" t="s">
        <v>1551</v>
      </c>
      <c r="O9" s="114" t="s">
        <v>370</v>
      </c>
      <c r="P9" s="452" t="s">
        <v>1575</v>
      </c>
      <c r="Q9" s="453"/>
      <c r="R9" s="454" t="s">
        <v>308</v>
      </c>
      <c r="S9" s="454"/>
    </row>
    <row r="10" spans="1:19" ht="33.75">
      <c r="A10" s="414" t="s">
        <v>1400</v>
      </c>
      <c r="B10" s="206">
        <v>36089</v>
      </c>
      <c r="C10" s="445">
        <v>2</v>
      </c>
      <c r="D10" s="446" t="s">
        <v>245</v>
      </c>
      <c r="E10" s="447" t="s">
        <v>249</v>
      </c>
      <c r="F10" s="448" t="s">
        <v>308</v>
      </c>
      <c r="G10" s="449">
        <v>41355</v>
      </c>
      <c r="H10" s="449">
        <v>41026</v>
      </c>
      <c r="I10" s="449"/>
      <c r="J10" s="450">
        <v>0</v>
      </c>
      <c r="K10" s="449">
        <v>41052</v>
      </c>
      <c r="L10" s="449"/>
      <c r="M10" s="450">
        <v>0</v>
      </c>
      <c r="N10" s="451">
        <v>6.08</v>
      </c>
      <c r="O10" s="114" t="s">
        <v>370</v>
      </c>
      <c r="P10" s="452" t="s">
        <v>961</v>
      </c>
      <c r="Q10" s="453" t="s">
        <v>1401</v>
      </c>
      <c r="R10" s="454" t="s">
        <v>308</v>
      </c>
      <c r="S10" s="454"/>
    </row>
    <row r="11" spans="1:19">
      <c r="A11" s="414" t="s">
        <v>1498</v>
      </c>
      <c r="B11" s="206">
        <v>36579</v>
      </c>
      <c r="C11" s="445">
        <v>2</v>
      </c>
      <c r="D11" s="446" t="s">
        <v>245</v>
      </c>
      <c r="E11" s="447" t="s">
        <v>249</v>
      </c>
      <c r="F11" s="448" t="s">
        <v>308</v>
      </c>
      <c r="G11" s="449">
        <v>41417</v>
      </c>
      <c r="H11" s="449">
        <v>41026</v>
      </c>
      <c r="I11" s="449"/>
      <c r="J11" s="450">
        <v>0</v>
      </c>
      <c r="K11" s="449">
        <v>41052</v>
      </c>
      <c r="L11" s="449"/>
      <c r="M11" s="450">
        <v>0</v>
      </c>
      <c r="N11" s="451">
        <v>6.3</v>
      </c>
      <c r="O11" s="114" t="s">
        <v>370</v>
      </c>
      <c r="P11" s="452" t="s">
        <v>903</v>
      </c>
      <c r="Q11" s="453"/>
      <c r="R11" s="454" t="s">
        <v>308</v>
      </c>
      <c r="S11" s="454"/>
    </row>
    <row r="12" spans="1:19">
      <c r="A12" s="414" t="s">
        <v>1404</v>
      </c>
      <c r="B12" s="206">
        <v>36094</v>
      </c>
      <c r="C12" s="445">
        <v>2</v>
      </c>
      <c r="D12" s="446" t="s">
        <v>245</v>
      </c>
      <c r="E12" s="447" t="s">
        <v>249</v>
      </c>
      <c r="F12" s="448" t="s">
        <v>308</v>
      </c>
      <c r="G12" s="449">
        <v>41355</v>
      </c>
      <c r="H12" s="449">
        <v>41026</v>
      </c>
      <c r="I12" s="449"/>
      <c r="J12" s="450">
        <v>0</v>
      </c>
      <c r="K12" s="449">
        <v>41052</v>
      </c>
      <c r="L12" s="449"/>
      <c r="M12" s="450">
        <v>0</v>
      </c>
      <c r="N12" s="451" t="s">
        <v>1361</v>
      </c>
      <c r="O12" s="114" t="s">
        <v>370</v>
      </c>
      <c r="P12" s="452" t="s">
        <v>901</v>
      </c>
      <c r="Q12" s="453"/>
      <c r="R12" s="454" t="s">
        <v>308</v>
      </c>
      <c r="S12" s="454"/>
    </row>
    <row r="13" spans="1:19">
      <c r="A13" s="414" t="s">
        <v>1360</v>
      </c>
      <c r="B13" s="206">
        <v>34423</v>
      </c>
      <c r="C13" s="445">
        <v>1</v>
      </c>
      <c r="D13" s="446" t="s">
        <v>245</v>
      </c>
      <c r="E13" s="447" t="s">
        <v>249</v>
      </c>
      <c r="F13" s="448" t="s">
        <v>308</v>
      </c>
      <c r="G13" s="449">
        <v>41341</v>
      </c>
      <c r="H13" s="449">
        <v>41391</v>
      </c>
      <c r="I13" s="449"/>
      <c r="J13" s="450">
        <v>0</v>
      </c>
      <c r="K13" s="449">
        <v>41417</v>
      </c>
      <c r="L13" s="449"/>
      <c r="M13" s="450">
        <v>0</v>
      </c>
      <c r="N13" s="451" t="s">
        <v>1361</v>
      </c>
      <c r="O13" s="114" t="s">
        <v>370</v>
      </c>
      <c r="P13" s="452" t="s">
        <v>910</v>
      </c>
      <c r="Q13" s="453" t="s">
        <v>1362</v>
      </c>
      <c r="R13" s="454" t="s">
        <v>308</v>
      </c>
      <c r="S13" s="454"/>
    </row>
    <row r="14" spans="1:19">
      <c r="A14" s="414" t="s">
        <v>1425</v>
      </c>
      <c r="B14" s="206">
        <v>5478</v>
      </c>
      <c r="C14" s="445">
        <v>3</v>
      </c>
      <c r="D14" s="446" t="s">
        <v>245</v>
      </c>
      <c r="E14" s="447" t="s">
        <v>249</v>
      </c>
      <c r="F14" s="448" t="s">
        <v>308</v>
      </c>
      <c r="G14" s="449">
        <v>41374</v>
      </c>
      <c r="H14" s="449">
        <v>41026</v>
      </c>
      <c r="I14" s="449"/>
      <c r="J14" s="450">
        <v>0</v>
      </c>
      <c r="K14" s="449">
        <v>41052</v>
      </c>
      <c r="L14" s="449"/>
      <c r="M14" s="450">
        <v>0</v>
      </c>
      <c r="N14" s="451" t="s">
        <v>1357</v>
      </c>
      <c r="O14" s="114" t="s">
        <v>370</v>
      </c>
      <c r="P14" s="452" t="s">
        <v>1294</v>
      </c>
      <c r="Q14" s="453"/>
      <c r="R14" s="454" t="s">
        <v>308</v>
      </c>
      <c r="S14" s="454"/>
    </row>
    <row r="15" spans="1:19">
      <c r="A15" s="414" t="s">
        <v>1355</v>
      </c>
      <c r="B15" s="206">
        <v>35627</v>
      </c>
      <c r="C15" s="445">
        <v>3</v>
      </c>
      <c r="D15" s="446" t="s">
        <v>245</v>
      </c>
      <c r="E15" s="447" t="s">
        <v>249</v>
      </c>
      <c r="F15" s="448" t="s">
        <v>308</v>
      </c>
      <c r="G15" s="449">
        <v>41341</v>
      </c>
      <c r="H15" s="449">
        <v>41026</v>
      </c>
      <c r="I15" s="449"/>
      <c r="J15" s="450">
        <v>0</v>
      </c>
      <c r="K15" s="449">
        <v>41052</v>
      </c>
      <c r="L15" s="449"/>
      <c r="M15" s="450">
        <v>0</v>
      </c>
      <c r="N15" s="451" t="s">
        <v>1357</v>
      </c>
      <c r="O15" s="114" t="s">
        <v>370</v>
      </c>
      <c r="P15" s="452" t="s">
        <v>1275</v>
      </c>
      <c r="Q15" s="453" t="s">
        <v>1356</v>
      </c>
      <c r="R15" s="454" t="s">
        <v>308</v>
      </c>
      <c r="S15" s="454"/>
    </row>
    <row r="16" spans="1:19">
      <c r="A16" s="414" t="s">
        <v>1321</v>
      </c>
      <c r="B16" s="206">
        <v>35989</v>
      </c>
      <c r="C16" s="445">
        <v>1</v>
      </c>
      <c r="D16" s="446" t="s">
        <v>245</v>
      </c>
      <c r="E16" s="447" t="s">
        <v>249</v>
      </c>
      <c r="F16" s="448" t="s">
        <v>308</v>
      </c>
      <c r="G16" s="449">
        <v>41341</v>
      </c>
      <c r="H16" s="449">
        <v>41026</v>
      </c>
      <c r="I16" s="449"/>
      <c r="J16" s="450">
        <v>0</v>
      </c>
      <c r="K16" s="449">
        <v>41052</v>
      </c>
      <c r="L16" s="449"/>
      <c r="M16" s="450">
        <v>0</v>
      </c>
      <c r="N16" s="451" t="s">
        <v>1358</v>
      </c>
      <c r="O16" s="114" t="s">
        <v>370</v>
      </c>
      <c r="P16" s="452" t="s">
        <v>914</v>
      </c>
      <c r="Q16" s="453" t="s">
        <v>1359</v>
      </c>
      <c r="R16" s="454" t="s">
        <v>308</v>
      </c>
      <c r="S16" s="454"/>
    </row>
    <row r="17" spans="1:19">
      <c r="A17" s="414" t="s">
        <v>1368</v>
      </c>
      <c r="B17" s="206">
        <v>36018</v>
      </c>
      <c r="C17" s="445">
        <v>1</v>
      </c>
      <c r="D17" s="446" t="s">
        <v>245</v>
      </c>
      <c r="E17" s="447" t="s">
        <v>249</v>
      </c>
      <c r="F17" s="448" t="s">
        <v>308</v>
      </c>
      <c r="G17" s="449">
        <v>41345</v>
      </c>
      <c r="H17" s="449">
        <v>41026</v>
      </c>
      <c r="I17" s="449"/>
      <c r="J17" s="450">
        <v>0</v>
      </c>
      <c r="K17" s="449">
        <v>41052</v>
      </c>
      <c r="L17" s="449"/>
      <c r="M17" s="450">
        <v>0</v>
      </c>
      <c r="N17" s="451" t="s">
        <v>1358</v>
      </c>
      <c r="O17" s="114" t="s">
        <v>370</v>
      </c>
      <c r="P17" s="452" t="s">
        <v>903</v>
      </c>
      <c r="Q17" s="453"/>
      <c r="R17" s="454" t="s">
        <v>308</v>
      </c>
      <c r="S17" s="454"/>
    </row>
    <row r="18" spans="1:19">
      <c r="A18" s="414" t="s">
        <v>1369</v>
      </c>
      <c r="B18" s="206">
        <v>36024</v>
      </c>
      <c r="C18" s="445">
        <v>2</v>
      </c>
      <c r="D18" s="446" t="s">
        <v>245</v>
      </c>
      <c r="E18" s="447" t="s">
        <v>249</v>
      </c>
      <c r="F18" s="448" t="s">
        <v>308</v>
      </c>
      <c r="G18" s="449">
        <v>41346</v>
      </c>
      <c r="H18" s="449">
        <v>41026</v>
      </c>
      <c r="I18" s="449"/>
      <c r="J18" s="450">
        <v>0</v>
      </c>
      <c r="K18" s="449">
        <v>41052</v>
      </c>
      <c r="L18" s="449"/>
      <c r="M18" s="450">
        <v>0</v>
      </c>
      <c r="N18" s="451" t="s">
        <v>1358</v>
      </c>
      <c r="O18" s="114" t="s">
        <v>370</v>
      </c>
      <c r="P18" s="452" t="s">
        <v>965</v>
      </c>
      <c r="Q18" s="453"/>
      <c r="R18" s="454" t="s">
        <v>308</v>
      </c>
      <c r="S18" s="454"/>
    </row>
    <row r="19" spans="1:19">
      <c r="A19" s="414" t="s">
        <v>1370</v>
      </c>
      <c r="B19" s="206">
        <v>36025</v>
      </c>
      <c r="C19" s="445">
        <v>1</v>
      </c>
      <c r="D19" s="446" t="s">
        <v>245</v>
      </c>
      <c r="E19" s="447" t="s">
        <v>249</v>
      </c>
      <c r="F19" s="448" t="s">
        <v>308</v>
      </c>
      <c r="G19" s="449">
        <v>41346</v>
      </c>
      <c r="H19" s="449">
        <v>41026</v>
      </c>
      <c r="I19" s="449"/>
      <c r="J19" s="450">
        <v>0</v>
      </c>
      <c r="K19" s="449">
        <v>41052</v>
      </c>
      <c r="L19" s="449"/>
      <c r="M19" s="450">
        <v>0</v>
      </c>
      <c r="N19" s="451" t="s">
        <v>1371</v>
      </c>
      <c r="O19" s="114" t="s">
        <v>370</v>
      </c>
      <c r="P19" s="452" t="s">
        <v>1372</v>
      </c>
      <c r="Q19" s="453"/>
      <c r="R19" s="454" t="s">
        <v>308</v>
      </c>
      <c r="S19" s="454"/>
    </row>
    <row r="20" spans="1:19">
      <c r="A20" s="414" t="s">
        <v>1373</v>
      </c>
      <c r="B20" s="206">
        <v>36028</v>
      </c>
      <c r="C20" s="445">
        <v>1</v>
      </c>
      <c r="D20" s="446" t="s">
        <v>245</v>
      </c>
      <c r="E20" s="447" t="s">
        <v>249</v>
      </c>
      <c r="F20" s="448" t="s">
        <v>308</v>
      </c>
      <c r="G20" s="449">
        <v>41347</v>
      </c>
      <c r="H20" s="449">
        <v>41026</v>
      </c>
      <c r="I20" s="449"/>
      <c r="J20" s="450">
        <v>0</v>
      </c>
      <c r="K20" s="449">
        <v>41052</v>
      </c>
      <c r="L20" s="449"/>
      <c r="M20" s="450">
        <v>0</v>
      </c>
      <c r="N20" s="451" t="s">
        <v>1358</v>
      </c>
      <c r="O20" s="114" t="s">
        <v>370</v>
      </c>
      <c r="P20" s="452" t="s">
        <v>904</v>
      </c>
      <c r="Q20" s="453"/>
      <c r="R20" s="454" t="s">
        <v>308</v>
      </c>
      <c r="S20" s="454"/>
    </row>
    <row r="21" spans="1:19">
      <c r="A21" s="414" t="s">
        <v>1375</v>
      </c>
      <c r="B21" s="206">
        <v>55478</v>
      </c>
      <c r="C21" s="445">
        <v>2</v>
      </c>
      <c r="D21" s="446" t="s">
        <v>245</v>
      </c>
      <c r="E21" s="447" t="s">
        <v>249</v>
      </c>
      <c r="F21" s="448" t="s">
        <v>308</v>
      </c>
      <c r="G21" s="449">
        <v>41348</v>
      </c>
      <c r="H21" s="449">
        <v>41026</v>
      </c>
      <c r="I21" s="449"/>
      <c r="J21" s="450">
        <v>0</v>
      </c>
      <c r="K21" s="449">
        <v>41052</v>
      </c>
      <c r="L21" s="449"/>
      <c r="M21" s="450">
        <v>0</v>
      </c>
      <c r="N21" s="451" t="s">
        <v>1371</v>
      </c>
      <c r="O21" s="114" t="s">
        <v>370</v>
      </c>
      <c r="P21" s="452" t="s">
        <v>912</v>
      </c>
      <c r="Q21" s="453"/>
      <c r="R21" s="454" t="s">
        <v>308</v>
      </c>
      <c r="S21" s="454"/>
    </row>
    <row r="22" spans="1:19">
      <c r="A22" s="414" t="s">
        <v>1374</v>
      </c>
      <c r="B22" s="206">
        <v>36029</v>
      </c>
      <c r="C22" s="445">
        <v>2</v>
      </c>
      <c r="D22" s="446" t="s">
        <v>245</v>
      </c>
      <c r="E22" s="447" t="s">
        <v>249</v>
      </c>
      <c r="F22" s="448" t="s">
        <v>308</v>
      </c>
      <c r="G22" s="449">
        <v>41347</v>
      </c>
      <c r="H22" s="449">
        <v>41026</v>
      </c>
      <c r="I22" s="449"/>
      <c r="J22" s="450">
        <v>0</v>
      </c>
      <c r="K22" s="449">
        <v>41052</v>
      </c>
      <c r="L22" s="449"/>
      <c r="M22" s="450">
        <v>0</v>
      </c>
      <c r="N22" s="451" t="s">
        <v>1371</v>
      </c>
      <c r="O22" s="114" t="s">
        <v>370</v>
      </c>
      <c r="P22" s="452" t="s">
        <v>866</v>
      </c>
      <c r="Q22" s="453"/>
      <c r="R22" s="454" t="s">
        <v>308</v>
      </c>
      <c r="S22" s="454"/>
    </row>
    <row r="23" spans="1:19">
      <c r="A23" s="414" t="s">
        <v>1380</v>
      </c>
      <c r="B23" s="206">
        <v>36042</v>
      </c>
      <c r="C23" s="445">
        <v>2</v>
      </c>
      <c r="D23" s="446" t="s">
        <v>245</v>
      </c>
      <c r="E23" s="447" t="s">
        <v>249</v>
      </c>
      <c r="F23" s="448" t="s">
        <v>308</v>
      </c>
      <c r="G23" s="449">
        <v>41351</v>
      </c>
      <c r="H23" s="449">
        <v>41026</v>
      </c>
      <c r="I23" s="449"/>
      <c r="J23" s="450">
        <v>0</v>
      </c>
      <c r="K23" s="449">
        <v>41052</v>
      </c>
      <c r="L23" s="449"/>
      <c r="M23" s="450">
        <v>0</v>
      </c>
      <c r="N23" s="451">
        <v>500.48</v>
      </c>
      <c r="O23" s="114" t="s">
        <v>370</v>
      </c>
      <c r="P23" s="452" t="s">
        <v>1135</v>
      </c>
      <c r="Q23" s="453"/>
      <c r="R23" s="454" t="s">
        <v>308</v>
      </c>
      <c r="S23" s="454"/>
    </row>
    <row r="24" spans="1:19">
      <c r="A24" s="414" t="s">
        <v>1376</v>
      </c>
      <c r="B24" s="206">
        <v>36031</v>
      </c>
      <c r="C24" s="445">
        <v>2</v>
      </c>
      <c r="D24" s="446" t="s">
        <v>245</v>
      </c>
      <c r="E24" s="447" t="s">
        <v>249</v>
      </c>
      <c r="F24" s="448" t="s">
        <v>308</v>
      </c>
      <c r="G24" s="449">
        <v>41348</v>
      </c>
      <c r="H24" s="449">
        <v>41026</v>
      </c>
      <c r="I24" s="449"/>
      <c r="J24" s="450">
        <v>0</v>
      </c>
      <c r="K24" s="449">
        <v>41052</v>
      </c>
      <c r="L24" s="449"/>
      <c r="M24" s="450">
        <v>0</v>
      </c>
      <c r="N24" s="451" t="s">
        <v>1358</v>
      </c>
      <c r="O24" s="114" t="s">
        <v>370</v>
      </c>
      <c r="P24" s="452" t="s">
        <v>901</v>
      </c>
      <c r="Q24" s="453"/>
      <c r="R24" s="454" t="s">
        <v>308</v>
      </c>
      <c r="S24" s="454"/>
    </row>
    <row r="25" spans="1:19">
      <c r="A25" s="414" t="s">
        <v>1377</v>
      </c>
      <c r="B25" s="206">
        <v>36038</v>
      </c>
      <c r="C25" s="445">
        <v>1</v>
      </c>
      <c r="D25" s="446" t="s">
        <v>245</v>
      </c>
      <c r="E25" s="447" t="s">
        <v>249</v>
      </c>
      <c r="F25" s="448" t="s">
        <v>308</v>
      </c>
      <c r="G25" s="449">
        <v>41351</v>
      </c>
      <c r="H25" s="449">
        <v>41026</v>
      </c>
      <c r="I25" s="449"/>
      <c r="J25" s="450">
        <v>0</v>
      </c>
      <c r="K25" s="449">
        <v>41052</v>
      </c>
      <c r="L25" s="449"/>
      <c r="M25" s="450">
        <v>0</v>
      </c>
      <c r="N25" s="451" t="s">
        <v>1371</v>
      </c>
      <c r="O25" s="114" t="s">
        <v>370</v>
      </c>
      <c r="P25" s="452" t="s">
        <v>1378</v>
      </c>
      <c r="Q25" s="453"/>
      <c r="R25" s="454" t="s">
        <v>308</v>
      </c>
      <c r="S25" s="454"/>
    </row>
    <row r="26" spans="1:19">
      <c r="A26" s="414" t="s">
        <v>1385</v>
      </c>
      <c r="B26" s="206">
        <v>36047</v>
      </c>
      <c r="C26" s="445">
        <v>2</v>
      </c>
      <c r="D26" s="446" t="s">
        <v>245</v>
      </c>
      <c r="E26" s="447" t="s">
        <v>249</v>
      </c>
      <c r="F26" s="448" t="s">
        <v>308</v>
      </c>
      <c r="G26" s="449">
        <v>41352</v>
      </c>
      <c r="H26" s="449">
        <v>41026</v>
      </c>
      <c r="I26" s="449"/>
      <c r="J26" s="450">
        <v>0</v>
      </c>
      <c r="K26" s="449">
        <v>41052</v>
      </c>
      <c r="L26" s="449"/>
      <c r="M26" s="450">
        <v>0</v>
      </c>
      <c r="N26" s="451" t="s">
        <v>1371</v>
      </c>
      <c r="O26" s="114" t="s">
        <v>370</v>
      </c>
      <c r="P26" s="452" t="s">
        <v>905</v>
      </c>
      <c r="Q26" s="453"/>
      <c r="R26" s="454" t="s">
        <v>308</v>
      </c>
      <c r="S26" s="454"/>
    </row>
    <row r="27" spans="1:19">
      <c r="A27" s="414" t="s">
        <v>1379</v>
      </c>
      <c r="B27" s="206">
        <v>36040</v>
      </c>
      <c r="C27" s="445">
        <v>2</v>
      </c>
      <c r="D27" s="446" t="s">
        <v>245</v>
      </c>
      <c r="E27" s="447" t="s">
        <v>249</v>
      </c>
      <c r="F27" s="448" t="s">
        <v>308</v>
      </c>
      <c r="G27" s="449">
        <v>41351</v>
      </c>
      <c r="H27" s="449">
        <v>41026</v>
      </c>
      <c r="I27" s="449"/>
      <c r="J27" s="450">
        <v>0</v>
      </c>
      <c r="K27" s="449">
        <v>41052</v>
      </c>
      <c r="L27" s="449"/>
      <c r="M27" s="450">
        <v>0</v>
      </c>
      <c r="N27" s="451" t="s">
        <v>1371</v>
      </c>
      <c r="O27" s="114" t="s">
        <v>370</v>
      </c>
      <c r="P27" s="452" t="s">
        <v>711</v>
      </c>
      <c r="Q27" s="453"/>
      <c r="R27" s="454" t="s">
        <v>308</v>
      </c>
      <c r="S27" s="454"/>
    </row>
    <row r="28" spans="1:19">
      <c r="A28" s="414" t="s">
        <v>1386</v>
      </c>
      <c r="B28" s="206">
        <v>36055</v>
      </c>
      <c r="C28" s="445">
        <v>2</v>
      </c>
      <c r="D28" s="446" t="s">
        <v>245</v>
      </c>
      <c r="E28" s="447" t="s">
        <v>249</v>
      </c>
      <c r="F28" s="448" t="s">
        <v>308</v>
      </c>
      <c r="G28" s="449">
        <v>41352</v>
      </c>
      <c r="H28" s="449">
        <v>41026</v>
      </c>
      <c r="I28" s="449"/>
      <c r="J28" s="450">
        <v>0</v>
      </c>
      <c r="K28" s="449">
        <v>41052</v>
      </c>
      <c r="L28" s="449"/>
      <c r="M28" s="450">
        <v>0</v>
      </c>
      <c r="N28" s="451" t="s">
        <v>1371</v>
      </c>
      <c r="O28" s="114" t="s">
        <v>370</v>
      </c>
      <c r="P28" s="452" t="s">
        <v>903</v>
      </c>
      <c r="Q28" s="453"/>
      <c r="R28" s="454" t="s">
        <v>308</v>
      </c>
      <c r="S28" s="454"/>
    </row>
    <row r="29" spans="1:19">
      <c r="A29" s="414" t="s">
        <v>1387</v>
      </c>
      <c r="B29" s="206">
        <v>1</v>
      </c>
      <c r="C29" s="445">
        <v>3</v>
      </c>
      <c r="D29" s="446" t="s">
        <v>245</v>
      </c>
      <c r="E29" s="447" t="s">
        <v>249</v>
      </c>
      <c r="F29" s="448" t="s">
        <v>308</v>
      </c>
      <c r="G29" s="449">
        <v>41354</v>
      </c>
      <c r="H29" s="449">
        <v>41026</v>
      </c>
      <c r="I29" s="449"/>
      <c r="J29" s="450">
        <v>0</v>
      </c>
      <c r="K29" s="449">
        <v>41052</v>
      </c>
      <c r="L29" s="449"/>
      <c r="M29" s="450">
        <v>0</v>
      </c>
      <c r="N29" s="451" t="s">
        <v>1371</v>
      </c>
      <c r="O29" s="114" t="s">
        <v>370</v>
      </c>
      <c r="P29" s="452" t="s">
        <v>901</v>
      </c>
      <c r="Q29" s="453"/>
      <c r="R29" s="454" t="s">
        <v>308</v>
      </c>
      <c r="S29" s="454"/>
    </row>
    <row r="30" spans="1:19">
      <c r="A30" s="414" t="s">
        <v>1387</v>
      </c>
      <c r="B30" s="206">
        <v>36081</v>
      </c>
      <c r="C30" s="445">
        <v>3</v>
      </c>
      <c r="D30" s="446" t="s">
        <v>245</v>
      </c>
      <c r="E30" s="447" t="s">
        <v>249</v>
      </c>
      <c r="F30" s="448" t="s">
        <v>308</v>
      </c>
      <c r="G30" s="449">
        <v>41354</v>
      </c>
      <c r="H30" s="449">
        <v>41026</v>
      </c>
      <c r="I30" s="449"/>
      <c r="J30" s="450">
        <v>0</v>
      </c>
      <c r="K30" s="449">
        <v>41052</v>
      </c>
      <c r="L30" s="449"/>
      <c r="M30" s="450">
        <v>0</v>
      </c>
      <c r="N30" s="451" t="s">
        <v>1371</v>
      </c>
      <c r="O30" s="114" t="s">
        <v>370</v>
      </c>
      <c r="P30" s="452" t="s">
        <v>901</v>
      </c>
      <c r="Q30" s="453"/>
      <c r="R30" s="454" t="s">
        <v>308</v>
      </c>
      <c r="S30" s="454"/>
    </row>
    <row r="31" spans="1:19">
      <c r="A31" s="414" t="s">
        <v>1388</v>
      </c>
      <c r="B31" s="206">
        <v>1</v>
      </c>
      <c r="C31" s="445">
        <v>2</v>
      </c>
      <c r="D31" s="446" t="s">
        <v>245</v>
      </c>
      <c r="E31" s="447" t="s">
        <v>249</v>
      </c>
      <c r="F31" s="448" t="s">
        <v>308</v>
      </c>
      <c r="G31" s="449">
        <v>41354</v>
      </c>
      <c r="H31" s="449">
        <v>41026</v>
      </c>
      <c r="I31" s="449"/>
      <c r="J31" s="450">
        <v>0</v>
      </c>
      <c r="K31" s="449">
        <v>41052</v>
      </c>
      <c r="L31" s="449"/>
      <c r="M31" s="450">
        <v>0</v>
      </c>
      <c r="N31" s="451" t="s">
        <v>1389</v>
      </c>
      <c r="O31" s="114" t="s">
        <v>370</v>
      </c>
      <c r="P31" s="452" t="s">
        <v>1390</v>
      </c>
      <c r="Q31" s="453"/>
      <c r="R31" s="454" t="s">
        <v>308</v>
      </c>
      <c r="S31" s="454"/>
    </row>
    <row r="32" spans="1:19">
      <c r="A32" s="414" t="s">
        <v>1388</v>
      </c>
      <c r="B32" s="206">
        <v>36082</v>
      </c>
      <c r="C32" s="445">
        <v>2</v>
      </c>
      <c r="D32" s="446" t="s">
        <v>245</v>
      </c>
      <c r="E32" s="447" t="s">
        <v>249</v>
      </c>
      <c r="F32" s="448" t="s">
        <v>308</v>
      </c>
      <c r="G32" s="449">
        <v>41354</v>
      </c>
      <c r="H32" s="449">
        <v>41026</v>
      </c>
      <c r="I32" s="449"/>
      <c r="J32" s="450">
        <v>0</v>
      </c>
      <c r="K32" s="449">
        <v>41052</v>
      </c>
      <c r="L32" s="449"/>
      <c r="M32" s="450">
        <v>0</v>
      </c>
      <c r="N32" s="451" t="s">
        <v>1389</v>
      </c>
      <c r="O32" s="114" t="s">
        <v>370</v>
      </c>
      <c r="P32" s="452" t="s">
        <v>1390</v>
      </c>
      <c r="Q32" s="453"/>
      <c r="R32" s="454" t="s">
        <v>308</v>
      </c>
      <c r="S32" s="454"/>
    </row>
    <row r="33" spans="1:19">
      <c r="A33" s="414" t="s">
        <v>1395</v>
      </c>
      <c r="B33" s="206">
        <v>36085</v>
      </c>
      <c r="C33" s="445">
        <v>2</v>
      </c>
      <c r="D33" s="446" t="s">
        <v>245</v>
      </c>
      <c r="E33" s="447" t="s">
        <v>249</v>
      </c>
      <c r="F33" s="448" t="s">
        <v>308</v>
      </c>
      <c r="G33" s="449">
        <v>41354</v>
      </c>
      <c r="H33" s="449">
        <v>41026</v>
      </c>
      <c r="I33" s="449"/>
      <c r="J33" s="450">
        <v>0</v>
      </c>
      <c r="K33" s="449">
        <v>41052</v>
      </c>
      <c r="L33" s="449"/>
      <c r="M33" s="450">
        <v>0</v>
      </c>
      <c r="N33" s="451" t="s">
        <v>1358</v>
      </c>
      <c r="O33" s="114" t="s">
        <v>370</v>
      </c>
      <c r="P33" s="452" t="s">
        <v>1396</v>
      </c>
      <c r="Q33" s="453"/>
      <c r="R33" s="454" t="s">
        <v>308</v>
      </c>
      <c r="S33" s="454"/>
    </row>
    <row r="34" spans="1:19">
      <c r="A34" s="414" t="s">
        <v>1405</v>
      </c>
      <c r="B34" s="206">
        <v>36113</v>
      </c>
      <c r="C34" s="445">
        <v>2</v>
      </c>
      <c r="D34" s="446" t="s">
        <v>245</v>
      </c>
      <c r="E34" s="447" t="s">
        <v>249</v>
      </c>
      <c r="F34" s="448" t="s">
        <v>308</v>
      </c>
      <c r="G34" s="449">
        <v>41360</v>
      </c>
      <c r="H34" s="449">
        <v>41026</v>
      </c>
      <c r="I34" s="449"/>
      <c r="J34" s="450">
        <v>0</v>
      </c>
      <c r="K34" s="449">
        <v>41052</v>
      </c>
      <c r="L34" s="449"/>
      <c r="M34" s="450">
        <v>0</v>
      </c>
      <c r="N34" s="451" t="s">
        <v>1358</v>
      </c>
      <c r="O34" s="114" t="s">
        <v>370</v>
      </c>
      <c r="P34" s="452" t="s">
        <v>910</v>
      </c>
      <c r="Q34" s="453"/>
      <c r="R34" s="454" t="s">
        <v>308</v>
      </c>
      <c r="S34" s="454"/>
    </row>
    <row r="35" spans="1:19">
      <c r="A35" s="414" t="s">
        <v>1420</v>
      </c>
      <c r="B35" s="206">
        <v>36189</v>
      </c>
      <c r="C35" s="445">
        <v>1</v>
      </c>
      <c r="D35" s="446" t="s">
        <v>245</v>
      </c>
      <c r="E35" s="447" t="s">
        <v>249</v>
      </c>
      <c r="F35" s="448" t="s">
        <v>308</v>
      </c>
      <c r="G35" s="449">
        <v>41372</v>
      </c>
      <c r="H35" s="449">
        <v>41026</v>
      </c>
      <c r="I35" s="449"/>
      <c r="J35" s="450">
        <v>0</v>
      </c>
      <c r="K35" s="449">
        <v>41052</v>
      </c>
      <c r="L35" s="449"/>
      <c r="M35" s="450">
        <v>0</v>
      </c>
      <c r="N35" s="451">
        <v>500.49</v>
      </c>
      <c r="O35" s="114" t="s">
        <v>370</v>
      </c>
      <c r="P35" s="452" t="s">
        <v>1421</v>
      </c>
      <c r="Q35" s="453"/>
      <c r="R35" s="454" t="s">
        <v>308</v>
      </c>
      <c r="S35" s="454"/>
    </row>
    <row r="36" spans="1:19">
      <c r="A36" s="414" t="s">
        <v>1406</v>
      </c>
      <c r="B36" s="206">
        <v>36136</v>
      </c>
      <c r="C36" s="445">
        <v>2</v>
      </c>
      <c r="D36" s="446" t="s">
        <v>245</v>
      </c>
      <c r="E36" s="447" t="s">
        <v>249</v>
      </c>
      <c r="F36" s="448" t="s">
        <v>308</v>
      </c>
      <c r="G36" s="449">
        <v>41362</v>
      </c>
      <c r="H36" s="449">
        <v>41026</v>
      </c>
      <c r="I36" s="449"/>
      <c r="J36" s="450">
        <v>0</v>
      </c>
      <c r="K36" s="449">
        <v>41052</v>
      </c>
      <c r="L36" s="449"/>
      <c r="M36" s="450">
        <v>0</v>
      </c>
      <c r="N36" s="451" t="s">
        <v>1371</v>
      </c>
      <c r="O36" s="114" t="s">
        <v>370</v>
      </c>
      <c r="P36" s="452" t="s">
        <v>713</v>
      </c>
      <c r="Q36" s="453"/>
      <c r="R36" s="454" t="s">
        <v>308</v>
      </c>
      <c r="S36" s="454"/>
    </row>
    <row r="37" spans="1:19">
      <c r="A37" s="414" t="s">
        <v>1413</v>
      </c>
      <c r="B37" s="206">
        <v>36140</v>
      </c>
      <c r="C37" s="445">
        <v>2</v>
      </c>
      <c r="D37" s="446" t="s">
        <v>245</v>
      </c>
      <c r="E37" s="447" t="s">
        <v>249</v>
      </c>
      <c r="F37" s="448" t="s">
        <v>308</v>
      </c>
      <c r="G37" s="449">
        <v>41366</v>
      </c>
      <c r="H37" s="449">
        <v>41026</v>
      </c>
      <c r="I37" s="449"/>
      <c r="J37" s="450">
        <v>0</v>
      </c>
      <c r="K37" s="449">
        <v>41052</v>
      </c>
      <c r="L37" s="449"/>
      <c r="M37" s="450">
        <v>0</v>
      </c>
      <c r="N37" s="451">
        <v>500.49</v>
      </c>
      <c r="O37" s="114" t="s">
        <v>370</v>
      </c>
      <c r="P37" s="452" t="s">
        <v>1414</v>
      </c>
      <c r="Q37" s="453"/>
      <c r="R37" s="454" t="s">
        <v>308</v>
      </c>
      <c r="S37" s="454"/>
    </row>
    <row r="38" spans="1:19">
      <c r="A38" s="414" t="s">
        <v>1418</v>
      </c>
      <c r="B38" s="206">
        <v>36171</v>
      </c>
      <c r="C38" s="445">
        <v>2</v>
      </c>
      <c r="D38" s="446" t="s">
        <v>245</v>
      </c>
      <c r="E38" s="447" t="s">
        <v>249</v>
      </c>
      <c r="F38" s="448" t="s">
        <v>308</v>
      </c>
      <c r="G38" s="449">
        <v>41368</v>
      </c>
      <c r="H38" s="449">
        <v>41026</v>
      </c>
      <c r="I38" s="449"/>
      <c r="J38" s="450">
        <v>0</v>
      </c>
      <c r="K38" s="449">
        <v>41052</v>
      </c>
      <c r="L38" s="449"/>
      <c r="M38" s="450">
        <v>0</v>
      </c>
      <c r="N38" s="451" t="s">
        <v>1419</v>
      </c>
      <c r="O38" s="114" t="s">
        <v>370</v>
      </c>
      <c r="P38" s="452" t="s">
        <v>713</v>
      </c>
      <c r="Q38" s="453"/>
      <c r="R38" s="454" t="s">
        <v>308</v>
      </c>
      <c r="S38" s="454"/>
    </row>
    <row r="39" spans="1:19">
      <c r="A39" s="414" t="s">
        <v>1422</v>
      </c>
      <c r="B39" s="206">
        <v>36190</v>
      </c>
      <c r="C39" s="445">
        <v>1</v>
      </c>
      <c r="D39" s="446" t="s">
        <v>245</v>
      </c>
      <c r="E39" s="447" t="s">
        <v>249</v>
      </c>
      <c r="F39" s="448" t="s">
        <v>308</v>
      </c>
      <c r="G39" s="449">
        <v>41372</v>
      </c>
      <c r="H39" s="449">
        <v>41026</v>
      </c>
      <c r="I39" s="449"/>
      <c r="J39" s="450">
        <v>0</v>
      </c>
      <c r="K39" s="449">
        <v>41052</v>
      </c>
      <c r="L39" s="449"/>
      <c r="M39" s="450">
        <v>0</v>
      </c>
      <c r="N39" s="451">
        <v>600.51</v>
      </c>
      <c r="O39" s="114" t="s">
        <v>370</v>
      </c>
      <c r="P39" s="452" t="s">
        <v>1423</v>
      </c>
      <c r="Q39" s="453"/>
      <c r="R39" s="454" t="s">
        <v>308</v>
      </c>
      <c r="S39" s="454"/>
    </row>
    <row r="40" spans="1:19">
      <c r="A40" s="414" t="s">
        <v>1426</v>
      </c>
      <c r="B40" s="206">
        <v>5479</v>
      </c>
      <c r="C40" s="445">
        <v>2</v>
      </c>
      <c r="D40" s="446" t="s">
        <v>245</v>
      </c>
      <c r="E40" s="447" t="s">
        <v>249</v>
      </c>
      <c r="F40" s="448" t="s">
        <v>308</v>
      </c>
      <c r="G40" s="449">
        <v>41374</v>
      </c>
      <c r="H40" s="449">
        <v>41026</v>
      </c>
      <c r="I40" s="449"/>
      <c r="J40" s="450">
        <v>0</v>
      </c>
      <c r="K40" s="449">
        <v>41052</v>
      </c>
      <c r="L40" s="449"/>
      <c r="M40" s="450">
        <v>0</v>
      </c>
      <c r="N40" s="451" t="s">
        <v>1419</v>
      </c>
      <c r="O40" s="114" t="s">
        <v>370</v>
      </c>
      <c r="P40" s="452" t="s">
        <v>1091</v>
      </c>
      <c r="Q40" s="453"/>
      <c r="R40" s="454" t="s">
        <v>308</v>
      </c>
      <c r="S40" s="454"/>
    </row>
    <row r="41" spans="1:19">
      <c r="A41" s="414" t="s">
        <v>1433</v>
      </c>
      <c r="B41" s="206">
        <v>36257</v>
      </c>
      <c r="C41" s="445">
        <v>2</v>
      </c>
      <c r="D41" s="446" t="s">
        <v>245</v>
      </c>
      <c r="E41" s="447" t="s">
        <v>249</v>
      </c>
      <c r="F41" s="448" t="s">
        <v>308</v>
      </c>
      <c r="G41" s="449">
        <v>41374</v>
      </c>
      <c r="H41" s="449">
        <v>41026</v>
      </c>
      <c r="I41" s="449"/>
      <c r="J41" s="450">
        <v>0</v>
      </c>
      <c r="K41" s="449">
        <v>41052</v>
      </c>
      <c r="L41" s="449"/>
      <c r="M41" s="450">
        <v>0</v>
      </c>
      <c r="N41" s="451" t="s">
        <v>1419</v>
      </c>
      <c r="O41" s="114" t="s">
        <v>370</v>
      </c>
      <c r="P41" s="452" t="s">
        <v>1372</v>
      </c>
      <c r="Q41" s="453"/>
      <c r="R41" s="454" t="s">
        <v>308</v>
      </c>
      <c r="S41" s="454"/>
    </row>
    <row r="42" spans="1:19">
      <c r="A42" s="414" t="s">
        <v>1439</v>
      </c>
      <c r="B42" s="206">
        <v>36298</v>
      </c>
      <c r="C42" s="445">
        <v>3</v>
      </c>
      <c r="D42" s="446" t="s">
        <v>245</v>
      </c>
      <c r="E42" s="447" t="s">
        <v>249</v>
      </c>
      <c r="F42" s="448" t="s">
        <v>308</v>
      </c>
      <c r="G42" s="449">
        <v>41379</v>
      </c>
      <c r="H42" s="449">
        <v>41026</v>
      </c>
      <c r="I42" s="449"/>
      <c r="J42" s="450">
        <v>0</v>
      </c>
      <c r="K42" s="449">
        <v>41052</v>
      </c>
      <c r="L42" s="449"/>
      <c r="M42" s="450">
        <v>0</v>
      </c>
      <c r="N42" s="451" t="s">
        <v>1419</v>
      </c>
      <c r="O42" s="114" t="s">
        <v>370</v>
      </c>
      <c r="P42" s="452" t="s">
        <v>1372</v>
      </c>
      <c r="Q42" s="453"/>
      <c r="R42" s="454" t="s">
        <v>308</v>
      </c>
      <c r="S42" s="454"/>
    </row>
    <row r="43" spans="1:19">
      <c r="A43" s="414" t="s">
        <v>1440</v>
      </c>
      <c r="B43" s="206">
        <v>36315</v>
      </c>
      <c r="C43" s="445">
        <v>3</v>
      </c>
      <c r="D43" s="446" t="s">
        <v>245</v>
      </c>
      <c r="E43" s="447" t="s">
        <v>249</v>
      </c>
      <c r="F43" s="448" t="s">
        <v>308</v>
      </c>
      <c r="G43" s="449">
        <v>41380</v>
      </c>
      <c r="H43" s="449">
        <v>41026</v>
      </c>
      <c r="I43" s="449"/>
      <c r="J43" s="450">
        <v>0</v>
      </c>
      <c r="K43" s="449">
        <v>41052</v>
      </c>
      <c r="L43" s="449"/>
      <c r="M43" s="450">
        <v>0</v>
      </c>
      <c r="N43" s="451" t="s">
        <v>1419</v>
      </c>
      <c r="O43" s="114" t="s">
        <v>370</v>
      </c>
      <c r="P43" s="452" t="s">
        <v>1372</v>
      </c>
      <c r="Q43" s="453"/>
      <c r="R43" s="454" t="s">
        <v>308</v>
      </c>
      <c r="S43" s="454"/>
    </row>
    <row r="44" spans="1:19">
      <c r="A44" s="414" t="s">
        <v>1444</v>
      </c>
      <c r="B44" s="206">
        <v>36317</v>
      </c>
      <c r="C44" s="445">
        <v>3</v>
      </c>
      <c r="D44" s="446" t="s">
        <v>245</v>
      </c>
      <c r="E44" s="447" t="s">
        <v>249</v>
      </c>
      <c r="F44" s="448" t="s">
        <v>308</v>
      </c>
      <c r="G44" s="449">
        <v>41380</v>
      </c>
      <c r="H44" s="449">
        <v>41026</v>
      </c>
      <c r="I44" s="449"/>
      <c r="J44" s="450">
        <v>0</v>
      </c>
      <c r="K44" s="449">
        <v>41052</v>
      </c>
      <c r="L44" s="449"/>
      <c r="M44" s="450">
        <v>0</v>
      </c>
      <c r="N44" s="451" t="s">
        <v>1419</v>
      </c>
      <c r="O44" s="114" t="s">
        <v>370</v>
      </c>
      <c r="P44" s="452" t="s">
        <v>1220</v>
      </c>
      <c r="Q44" s="453"/>
      <c r="R44" s="454" t="s">
        <v>308</v>
      </c>
      <c r="S44" s="454"/>
    </row>
    <row r="45" spans="1:19">
      <c r="A45" s="414" t="s">
        <v>1434</v>
      </c>
      <c r="B45" s="206">
        <v>36290</v>
      </c>
      <c r="C45" s="445">
        <v>1</v>
      </c>
      <c r="D45" s="446" t="s">
        <v>245</v>
      </c>
      <c r="E45" s="447" t="s">
        <v>249</v>
      </c>
      <c r="F45" s="448" t="s">
        <v>308</v>
      </c>
      <c r="G45" s="449">
        <v>41376</v>
      </c>
      <c r="H45" s="449">
        <v>41026</v>
      </c>
      <c r="I45" s="449"/>
      <c r="J45" s="450">
        <v>0</v>
      </c>
      <c r="K45" s="449">
        <v>41052</v>
      </c>
      <c r="L45" s="449"/>
      <c r="M45" s="450">
        <v>0</v>
      </c>
      <c r="N45" s="451" t="s">
        <v>1419</v>
      </c>
      <c r="O45" s="114" t="s">
        <v>370</v>
      </c>
      <c r="P45" s="452" t="s">
        <v>1435</v>
      </c>
      <c r="Q45" s="453"/>
      <c r="R45" s="454" t="s">
        <v>308</v>
      </c>
      <c r="S45" s="454"/>
    </row>
    <row r="46" spans="1:19">
      <c r="A46" s="414" t="s">
        <v>1446</v>
      </c>
      <c r="B46" s="206">
        <v>36319</v>
      </c>
      <c r="C46" s="445">
        <v>3</v>
      </c>
      <c r="D46" s="446" t="s">
        <v>245</v>
      </c>
      <c r="E46" s="447" t="s">
        <v>249</v>
      </c>
      <c r="F46" s="448" t="s">
        <v>308</v>
      </c>
      <c r="G46" s="449">
        <v>41380</v>
      </c>
      <c r="H46" s="449">
        <v>41026</v>
      </c>
      <c r="I46" s="449"/>
      <c r="J46" s="450">
        <v>0</v>
      </c>
      <c r="K46" s="449">
        <v>41052</v>
      </c>
      <c r="L46" s="449"/>
      <c r="M46" s="450">
        <v>0</v>
      </c>
      <c r="N46" s="451" t="s">
        <v>1419</v>
      </c>
      <c r="O46" s="114" t="s">
        <v>370</v>
      </c>
      <c r="P46" s="452" t="s">
        <v>964</v>
      </c>
      <c r="Q46" s="453"/>
      <c r="R46" s="454" t="s">
        <v>308</v>
      </c>
      <c r="S46" s="454"/>
    </row>
    <row r="47" spans="1:19">
      <c r="A47" s="414" t="s">
        <v>1445</v>
      </c>
      <c r="B47" s="206">
        <v>36318</v>
      </c>
      <c r="C47" s="445">
        <v>2</v>
      </c>
      <c r="D47" s="446" t="s">
        <v>245</v>
      </c>
      <c r="E47" s="447" t="s">
        <v>249</v>
      </c>
      <c r="F47" s="448" t="s">
        <v>308</v>
      </c>
      <c r="G47" s="449">
        <v>41380</v>
      </c>
      <c r="H47" s="449">
        <v>41026</v>
      </c>
      <c r="I47" s="449"/>
      <c r="J47" s="450">
        <v>0</v>
      </c>
      <c r="K47" s="449">
        <v>41052</v>
      </c>
      <c r="L47" s="449"/>
      <c r="M47" s="450">
        <v>0</v>
      </c>
      <c r="N47" s="451" t="s">
        <v>1419</v>
      </c>
      <c r="O47" s="114" t="s">
        <v>370</v>
      </c>
      <c r="P47" s="452" t="s">
        <v>903</v>
      </c>
      <c r="Q47" s="453"/>
      <c r="R47" s="454" t="s">
        <v>308</v>
      </c>
      <c r="S47" s="454"/>
    </row>
    <row r="48" spans="1:19">
      <c r="A48" s="414" t="s">
        <v>1443</v>
      </c>
      <c r="B48" s="206">
        <v>36317</v>
      </c>
      <c r="C48" s="445">
        <v>3</v>
      </c>
      <c r="D48" s="446" t="s">
        <v>245</v>
      </c>
      <c r="E48" s="447" t="s">
        <v>249</v>
      </c>
      <c r="F48" s="448" t="s">
        <v>308</v>
      </c>
      <c r="G48" s="449">
        <v>41380</v>
      </c>
      <c r="H48" s="449">
        <v>41026</v>
      </c>
      <c r="I48" s="449"/>
      <c r="J48" s="450">
        <v>0</v>
      </c>
      <c r="K48" s="449">
        <v>41052</v>
      </c>
      <c r="L48" s="449"/>
      <c r="M48" s="450">
        <v>0</v>
      </c>
      <c r="N48" s="451">
        <v>7.1</v>
      </c>
      <c r="O48" s="114" t="s">
        <v>370</v>
      </c>
      <c r="P48" s="452" t="s">
        <v>1208</v>
      </c>
      <c r="Q48" s="453"/>
      <c r="R48" s="454" t="s">
        <v>308</v>
      </c>
      <c r="S48" s="454"/>
    </row>
    <row r="49" spans="1:19">
      <c r="A49" s="414" t="s">
        <v>1441</v>
      </c>
      <c r="B49" s="206">
        <v>36316</v>
      </c>
      <c r="C49" s="445">
        <v>2</v>
      </c>
      <c r="D49" s="446" t="s">
        <v>245</v>
      </c>
      <c r="E49" s="447" t="s">
        <v>249</v>
      </c>
      <c r="F49" s="448" t="s">
        <v>308</v>
      </c>
      <c r="G49" s="449">
        <v>41380</v>
      </c>
      <c r="H49" s="449">
        <v>41026</v>
      </c>
      <c r="I49" s="449"/>
      <c r="J49" s="450">
        <v>0</v>
      </c>
      <c r="K49" s="449">
        <v>41052</v>
      </c>
      <c r="L49" s="449"/>
      <c r="M49" s="450">
        <v>0</v>
      </c>
      <c r="N49" s="451">
        <v>600.51</v>
      </c>
      <c r="O49" s="114" t="s">
        <v>370</v>
      </c>
      <c r="P49" s="452" t="s">
        <v>1442</v>
      </c>
      <c r="Q49" s="453"/>
      <c r="R49" s="454" t="s">
        <v>308</v>
      </c>
      <c r="S49" s="454"/>
    </row>
    <row r="50" spans="1:19">
      <c r="A50" s="414" t="s">
        <v>1465</v>
      </c>
      <c r="B50" s="206">
        <v>36397</v>
      </c>
      <c r="C50" s="445">
        <v>3</v>
      </c>
      <c r="D50" s="446" t="s">
        <v>245</v>
      </c>
      <c r="E50" s="447" t="s">
        <v>249</v>
      </c>
      <c r="F50" s="448" t="s">
        <v>308</v>
      </c>
      <c r="G50" s="449">
        <v>41388</v>
      </c>
      <c r="H50" s="449">
        <v>41026</v>
      </c>
      <c r="I50" s="449"/>
      <c r="J50" s="450">
        <v>0</v>
      </c>
      <c r="K50" s="449">
        <v>41052</v>
      </c>
      <c r="L50" s="449"/>
      <c r="M50" s="450">
        <v>0</v>
      </c>
      <c r="N50" s="451" t="s">
        <v>1454</v>
      </c>
      <c r="O50" s="114" t="s">
        <v>370</v>
      </c>
      <c r="P50" s="452" t="s">
        <v>911</v>
      </c>
      <c r="Q50" s="453"/>
      <c r="R50" s="454" t="s">
        <v>308</v>
      </c>
      <c r="S50" s="454"/>
    </row>
    <row r="51" spans="1:19">
      <c r="A51" s="414" t="s">
        <v>1453</v>
      </c>
      <c r="B51" s="206">
        <v>36337</v>
      </c>
      <c r="C51" s="445">
        <v>2</v>
      </c>
      <c r="D51" s="446" t="s">
        <v>245</v>
      </c>
      <c r="E51" s="447" t="s">
        <v>249</v>
      </c>
      <c r="F51" s="448" t="s">
        <v>308</v>
      </c>
      <c r="G51" s="449">
        <v>41382</v>
      </c>
      <c r="H51" s="449">
        <v>41026</v>
      </c>
      <c r="I51" s="449"/>
      <c r="J51" s="450">
        <v>0</v>
      </c>
      <c r="K51" s="449">
        <v>41052</v>
      </c>
      <c r="L51" s="449"/>
      <c r="M51" s="450">
        <v>0</v>
      </c>
      <c r="N51" s="451" t="s">
        <v>1454</v>
      </c>
      <c r="O51" s="114" t="s">
        <v>370</v>
      </c>
      <c r="P51" s="452" t="s">
        <v>903</v>
      </c>
      <c r="Q51" s="453"/>
      <c r="R51" s="454" t="s">
        <v>308</v>
      </c>
      <c r="S51" s="454"/>
    </row>
    <row r="52" spans="1:19">
      <c r="A52" s="414" t="s">
        <v>1457</v>
      </c>
      <c r="B52" s="206">
        <v>36349</v>
      </c>
      <c r="C52" s="445">
        <v>2</v>
      </c>
      <c r="D52" s="446" t="s">
        <v>245</v>
      </c>
      <c r="E52" s="447" t="s">
        <v>249</v>
      </c>
      <c r="F52" s="448" t="s">
        <v>308</v>
      </c>
      <c r="G52" s="449">
        <v>41382</v>
      </c>
      <c r="H52" s="449">
        <v>41026</v>
      </c>
      <c r="I52" s="449"/>
      <c r="J52" s="450">
        <v>0</v>
      </c>
      <c r="K52" s="449">
        <v>41052</v>
      </c>
      <c r="L52" s="449"/>
      <c r="M52" s="450">
        <v>0</v>
      </c>
      <c r="N52" s="451" t="s">
        <v>1454</v>
      </c>
      <c r="O52" s="114" t="s">
        <v>370</v>
      </c>
      <c r="P52" s="452" t="s">
        <v>710</v>
      </c>
      <c r="Q52" s="453"/>
      <c r="R52" s="454" t="s">
        <v>308</v>
      </c>
      <c r="S52" s="454"/>
    </row>
    <row r="53" spans="1:19">
      <c r="A53" s="414" t="s">
        <v>1455</v>
      </c>
      <c r="B53" s="206">
        <v>36339</v>
      </c>
      <c r="C53" s="445">
        <v>2</v>
      </c>
      <c r="D53" s="446" t="s">
        <v>245</v>
      </c>
      <c r="E53" s="447" t="s">
        <v>249</v>
      </c>
      <c r="F53" s="448" t="s">
        <v>308</v>
      </c>
      <c r="G53" s="449">
        <v>41382</v>
      </c>
      <c r="H53" s="449">
        <v>41026</v>
      </c>
      <c r="I53" s="449"/>
      <c r="J53" s="450">
        <v>0</v>
      </c>
      <c r="K53" s="449">
        <v>41052</v>
      </c>
      <c r="L53" s="449"/>
      <c r="M53" s="450">
        <v>0</v>
      </c>
      <c r="N53" s="451" t="s">
        <v>1454</v>
      </c>
      <c r="O53" s="114" t="s">
        <v>370</v>
      </c>
      <c r="P53" s="452" t="s">
        <v>1456</v>
      </c>
      <c r="Q53" s="453"/>
      <c r="R53" s="454" t="s">
        <v>308</v>
      </c>
      <c r="S53" s="454"/>
    </row>
    <row r="54" spans="1:19">
      <c r="A54" s="414" t="s">
        <v>1458</v>
      </c>
      <c r="B54" s="206">
        <v>36351</v>
      </c>
      <c r="C54" s="445">
        <v>3</v>
      </c>
      <c r="D54" s="446" t="s">
        <v>245</v>
      </c>
      <c r="E54" s="447" t="s">
        <v>249</v>
      </c>
      <c r="F54" s="448" t="s">
        <v>308</v>
      </c>
      <c r="G54" s="449">
        <v>41382</v>
      </c>
      <c r="H54" s="449">
        <v>41026</v>
      </c>
      <c r="I54" s="449"/>
      <c r="J54" s="450">
        <v>0</v>
      </c>
      <c r="K54" s="449">
        <v>41052</v>
      </c>
      <c r="L54" s="449"/>
      <c r="M54" s="450">
        <v>0</v>
      </c>
      <c r="N54" s="451" t="s">
        <v>1419</v>
      </c>
      <c r="O54" s="114" t="s">
        <v>370</v>
      </c>
      <c r="P54" s="452" t="s">
        <v>912</v>
      </c>
      <c r="Q54" s="453"/>
      <c r="R54" s="454" t="s">
        <v>308</v>
      </c>
      <c r="S54" s="454"/>
    </row>
    <row r="55" spans="1:19">
      <c r="A55" s="414" t="s">
        <v>1460</v>
      </c>
      <c r="B55" s="206">
        <v>36355</v>
      </c>
      <c r="C55" s="445">
        <v>2</v>
      </c>
      <c r="D55" s="446" t="s">
        <v>245</v>
      </c>
      <c r="E55" s="447" t="s">
        <v>249</v>
      </c>
      <c r="F55" s="448" t="s">
        <v>308</v>
      </c>
      <c r="G55" s="449">
        <v>41383</v>
      </c>
      <c r="H55" s="449">
        <v>41026</v>
      </c>
      <c r="I55" s="449"/>
      <c r="J55" s="450">
        <v>0</v>
      </c>
      <c r="K55" s="449">
        <v>41052</v>
      </c>
      <c r="L55" s="449"/>
      <c r="M55" s="450">
        <v>0</v>
      </c>
      <c r="N55" s="451">
        <v>500.49</v>
      </c>
      <c r="O55" s="114" t="s">
        <v>370</v>
      </c>
      <c r="P55" s="452" t="s">
        <v>1461</v>
      </c>
      <c r="Q55" s="453"/>
      <c r="R55" s="454" t="s">
        <v>308</v>
      </c>
      <c r="S55" s="454"/>
    </row>
    <row r="56" spans="1:19">
      <c r="A56" s="414" t="s">
        <v>1462</v>
      </c>
      <c r="B56" s="206">
        <v>36356</v>
      </c>
      <c r="C56" s="445">
        <v>2</v>
      </c>
      <c r="D56" s="446" t="s">
        <v>245</v>
      </c>
      <c r="E56" s="447" t="s">
        <v>249</v>
      </c>
      <c r="F56" s="448" t="s">
        <v>308</v>
      </c>
      <c r="G56" s="449">
        <v>41383</v>
      </c>
      <c r="H56" s="449">
        <v>41026</v>
      </c>
      <c r="I56" s="449"/>
      <c r="J56" s="450">
        <v>0</v>
      </c>
      <c r="K56" s="449">
        <v>41052</v>
      </c>
      <c r="L56" s="449"/>
      <c r="M56" s="450">
        <v>0</v>
      </c>
      <c r="N56" s="451" t="s">
        <v>1454</v>
      </c>
      <c r="O56" s="114" t="s">
        <v>370</v>
      </c>
      <c r="P56" s="452" t="s">
        <v>1463</v>
      </c>
      <c r="Q56" s="453"/>
      <c r="R56" s="454" t="s">
        <v>308</v>
      </c>
      <c r="S56" s="454"/>
    </row>
    <row r="57" spans="1:19">
      <c r="A57" s="414" t="s">
        <v>1470</v>
      </c>
      <c r="B57" s="206">
        <v>36431</v>
      </c>
      <c r="C57" s="445">
        <v>2</v>
      </c>
      <c r="D57" s="446" t="s">
        <v>245</v>
      </c>
      <c r="E57" s="447" t="s">
        <v>249</v>
      </c>
      <c r="F57" s="448" t="s">
        <v>308</v>
      </c>
      <c r="G57" s="449">
        <v>41390</v>
      </c>
      <c r="H57" s="449">
        <v>41026</v>
      </c>
      <c r="I57" s="449"/>
      <c r="J57" s="450">
        <v>0</v>
      </c>
      <c r="K57" s="449">
        <v>41052</v>
      </c>
      <c r="L57" s="449"/>
      <c r="M57" s="450">
        <v>0</v>
      </c>
      <c r="N57" s="451">
        <v>600.5</v>
      </c>
      <c r="O57" s="114" t="s">
        <v>370</v>
      </c>
      <c r="P57" s="452" t="s">
        <v>1471</v>
      </c>
      <c r="Q57" s="453"/>
      <c r="R57" s="454" t="s">
        <v>308</v>
      </c>
      <c r="S57" s="454"/>
    </row>
    <row r="58" spans="1:19">
      <c r="A58" s="414" t="s">
        <v>1476</v>
      </c>
      <c r="B58" s="206">
        <v>36453</v>
      </c>
      <c r="C58" s="445">
        <v>1</v>
      </c>
      <c r="D58" s="446" t="s">
        <v>245</v>
      </c>
      <c r="E58" s="447" t="s">
        <v>249</v>
      </c>
      <c r="F58" s="448" t="s">
        <v>308</v>
      </c>
      <c r="G58" s="449">
        <v>41393</v>
      </c>
      <c r="H58" s="449">
        <v>41026</v>
      </c>
      <c r="I58" s="449"/>
      <c r="J58" s="450">
        <v>0</v>
      </c>
      <c r="K58" s="449">
        <v>41052</v>
      </c>
      <c r="L58" s="449"/>
      <c r="M58" s="450">
        <v>0</v>
      </c>
      <c r="N58" s="451">
        <v>500.49</v>
      </c>
      <c r="O58" s="114" t="s">
        <v>370</v>
      </c>
      <c r="P58" s="452" t="s">
        <v>1477</v>
      </c>
      <c r="Q58" s="453"/>
      <c r="R58" s="454" t="s">
        <v>308</v>
      </c>
      <c r="S58" s="454"/>
    </row>
    <row r="59" spans="1:19">
      <c r="A59" s="414" t="s">
        <v>1474</v>
      </c>
      <c r="B59" s="206">
        <v>36443</v>
      </c>
      <c r="C59" s="445">
        <v>2</v>
      </c>
      <c r="D59" s="446" t="s">
        <v>245</v>
      </c>
      <c r="E59" s="447" t="s">
        <v>249</v>
      </c>
      <c r="F59" s="448" t="s">
        <v>308</v>
      </c>
      <c r="G59" s="449">
        <v>41393</v>
      </c>
      <c r="H59" s="449">
        <v>41026</v>
      </c>
      <c r="I59" s="449"/>
      <c r="J59" s="450">
        <v>0</v>
      </c>
      <c r="K59" s="449">
        <v>41052</v>
      </c>
      <c r="L59" s="449"/>
      <c r="M59" s="450">
        <v>0</v>
      </c>
      <c r="N59" s="451" t="s">
        <v>1454</v>
      </c>
      <c r="O59" s="114" t="s">
        <v>370</v>
      </c>
      <c r="P59" s="452" t="s">
        <v>910</v>
      </c>
      <c r="Q59" s="453"/>
      <c r="R59" s="454" t="s">
        <v>308</v>
      </c>
      <c r="S59" s="454"/>
    </row>
    <row r="60" spans="1:19">
      <c r="A60" s="414" t="s">
        <v>1472</v>
      </c>
      <c r="B60" s="206">
        <v>36442</v>
      </c>
      <c r="C60" s="445">
        <v>1</v>
      </c>
      <c r="D60" s="446" t="s">
        <v>245</v>
      </c>
      <c r="E60" s="447" t="s">
        <v>249</v>
      </c>
      <c r="F60" s="448" t="s">
        <v>308</v>
      </c>
      <c r="G60" s="449">
        <v>41393</v>
      </c>
      <c r="H60" s="449">
        <v>41026</v>
      </c>
      <c r="I60" s="449"/>
      <c r="J60" s="450">
        <v>0</v>
      </c>
      <c r="K60" s="449">
        <v>41052</v>
      </c>
      <c r="L60" s="449"/>
      <c r="M60" s="450">
        <v>0</v>
      </c>
      <c r="N60" s="451">
        <v>600.51</v>
      </c>
      <c r="O60" s="114" t="s">
        <v>370</v>
      </c>
      <c r="P60" s="452" t="s">
        <v>1473</v>
      </c>
      <c r="Q60" s="453"/>
      <c r="R60" s="454" t="s">
        <v>308</v>
      </c>
      <c r="S60" s="454"/>
    </row>
    <row r="61" spans="1:19" ht="56.25">
      <c r="A61" s="414" t="s">
        <v>1499</v>
      </c>
      <c r="B61" s="206">
        <v>36582</v>
      </c>
      <c r="C61" s="445">
        <v>2</v>
      </c>
      <c r="D61" s="446" t="s">
        <v>245</v>
      </c>
      <c r="E61" s="447" t="s">
        <v>249</v>
      </c>
      <c r="F61" s="448" t="s">
        <v>308</v>
      </c>
      <c r="G61" s="449">
        <v>41417</v>
      </c>
      <c r="H61" s="449">
        <v>41026</v>
      </c>
      <c r="I61" s="449"/>
      <c r="J61" s="450">
        <v>0</v>
      </c>
      <c r="K61" s="449">
        <v>41052</v>
      </c>
      <c r="L61" s="449"/>
      <c r="M61" s="450">
        <v>0</v>
      </c>
      <c r="N61" s="451"/>
      <c r="O61" s="114" t="s">
        <v>370</v>
      </c>
      <c r="P61" s="452" t="s">
        <v>906</v>
      </c>
      <c r="Q61" s="453" t="s">
        <v>1500</v>
      </c>
      <c r="R61" s="454" t="s">
        <v>308</v>
      </c>
      <c r="S61" s="454"/>
    </row>
    <row r="62" spans="1:19">
      <c r="A62" s="414" t="s">
        <v>1475</v>
      </c>
      <c r="B62" s="206">
        <v>36452</v>
      </c>
      <c r="C62" s="445">
        <v>2</v>
      </c>
      <c r="D62" s="446" t="s">
        <v>245</v>
      </c>
      <c r="E62" s="447" t="s">
        <v>249</v>
      </c>
      <c r="F62" s="448" t="s">
        <v>308</v>
      </c>
      <c r="G62" s="449">
        <v>41393</v>
      </c>
      <c r="H62" s="449">
        <v>41026</v>
      </c>
      <c r="I62" s="449"/>
      <c r="J62" s="450">
        <v>0</v>
      </c>
      <c r="K62" s="449">
        <v>41052</v>
      </c>
      <c r="L62" s="449"/>
      <c r="M62" s="450">
        <v>0</v>
      </c>
      <c r="N62" s="451" t="s">
        <v>1454</v>
      </c>
      <c r="O62" s="114" t="s">
        <v>370</v>
      </c>
      <c r="P62" s="452" t="s">
        <v>909</v>
      </c>
      <c r="Q62" s="453"/>
      <c r="R62" s="454" t="s">
        <v>308</v>
      </c>
      <c r="S62" s="454"/>
    </row>
    <row r="63" spans="1:19">
      <c r="A63" s="414" t="s">
        <v>1537</v>
      </c>
      <c r="B63" s="206">
        <v>36750</v>
      </c>
      <c r="C63" s="445">
        <v>2</v>
      </c>
      <c r="D63" s="446" t="s">
        <v>245</v>
      </c>
      <c r="E63" s="447" t="s">
        <v>249</v>
      </c>
      <c r="F63" s="448" t="s">
        <v>308</v>
      </c>
      <c r="G63" s="449">
        <v>41442</v>
      </c>
      <c r="H63" s="449">
        <v>41026</v>
      </c>
      <c r="I63" s="449"/>
      <c r="J63" s="450">
        <v>0</v>
      </c>
      <c r="K63" s="449">
        <v>41052</v>
      </c>
      <c r="L63" s="449"/>
      <c r="M63" s="450">
        <v>0</v>
      </c>
      <c r="N63" s="451" t="s">
        <v>1454</v>
      </c>
      <c r="O63" s="114" t="s">
        <v>370</v>
      </c>
      <c r="P63" s="452" t="s">
        <v>917</v>
      </c>
      <c r="Q63" s="453"/>
      <c r="R63" s="454" t="s">
        <v>308</v>
      </c>
      <c r="S63" s="454"/>
    </row>
    <row r="64" spans="1:19">
      <c r="A64" s="414" t="s">
        <v>1496</v>
      </c>
      <c r="B64" s="206">
        <v>36560</v>
      </c>
      <c r="C64" s="445">
        <v>3</v>
      </c>
      <c r="D64" s="446" t="s">
        <v>245</v>
      </c>
      <c r="E64" s="447" t="s">
        <v>249</v>
      </c>
      <c r="F64" s="448" t="s">
        <v>308</v>
      </c>
      <c r="G64" s="449">
        <v>41416</v>
      </c>
      <c r="H64" s="449">
        <v>41026</v>
      </c>
      <c r="I64" s="449"/>
      <c r="J64" s="450">
        <v>0</v>
      </c>
      <c r="K64" s="449">
        <v>41052</v>
      </c>
      <c r="L64" s="449"/>
      <c r="M64" s="450">
        <v>0</v>
      </c>
      <c r="N64" s="451" t="s">
        <v>1454</v>
      </c>
      <c r="O64" s="114" t="s">
        <v>370</v>
      </c>
      <c r="P64" s="452" t="s">
        <v>1372</v>
      </c>
      <c r="Q64" s="453"/>
      <c r="R64" s="454" t="s">
        <v>308</v>
      </c>
      <c r="S64" s="454"/>
    </row>
    <row r="65" spans="1:19">
      <c r="A65" s="414" t="s">
        <v>1497</v>
      </c>
      <c r="B65" s="206">
        <v>36571</v>
      </c>
      <c r="C65" s="445">
        <v>3</v>
      </c>
      <c r="D65" s="446" t="s">
        <v>245</v>
      </c>
      <c r="E65" s="447" t="s">
        <v>249</v>
      </c>
      <c r="F65" s="448" t="s">
        <v>308</v>
      </c>
      <c r="G65" s="449">
        <v>41417</v>
      </c>
      <c r="H65" s="449">
        <v>41026</v>
      </c>
      <c r="I65" s="449"/>
      <c r="J65" s="450">
        <v>0</v>
      </c>
      <c r="K65" s="449">
        <v>41052</v>
      </c>
      <c r="L65" s="449"/>
      <c r="M65" s="450">
        <v>0</v>
      </c>
      <c r="N65" s="451" t="s">
        <v>1495</v>
      </c>
      <c r="O65" s="114" t="s">
        <v>370</v>
      </c>
      <c r="P65" s="452" t="s">
        <v>909</v>
      </c>
      <c r="Q65" s="453"/>
      <c r="R65" s="454" t="s">
        <v>308</v>
      </c>
      <c r="S65" s="454"/>
    </row>
    <row r="66" spans="1:19">
      <c r="A66" s="414" t="s">
        <v>1494</v>
      </c>
      <c r="B66" s="206">
        <v>36554</v>
      </c>
      <c r="C66" s="445">
        <v>3</v>
      </c>
      <c r="D66" s="446" t="s">
        <v>245</v>
      </c>
      <c r="E66" s="447" t="s">
        <v>249</v>
      </c>
      <c r="F66" s="448" t="s">
        <v>308</v>
      </c>
      <c r="G66" s="449">
        <v>41416</v>
      </c>
      <c r="H66" s="449">
        <v>41026</v>
      </c>
      <c r="I66" s="449"/>
      <c r="J66" s="450">
        <v>0</v>
      </c>
      <c r="K66" s="449">
        <v>41052</v>
      </c>
      <c r="L66" s="449"/>
      <c r="M66" s="450">
        <v>0</v>
      </c>
      <c r="N66" s="451" t="s">
        <v>1495</v>
      </c>
      <c r="O66" s="114" t="s">
        <v>370</v>
      </c>
      <c r="P66" s="452" t="s">
        <v>906</v>
      </c>
      <c r="Q66" s="453"/>
      <c r="R66" s="454" t="s">
        <v>308</v>
      </c>
      <c r="S66" s="454"/>
    </row>
    <row r="67" spans="1:19">
      <c r="A67" s="414" t="s">
        <v>1492</v>
      </c>
      <c r="B67" s="206">
        <v>36549</v>
      </c>
      <c r="C67" s="445">
        <v>1</v>
      </c>
      <c r="D67" s="446" t="s">
        <v>245</v>
      </c>
      <c r="E67" s="447" t="s">
        <v>249</v>
      </c>
      <c r="F67" s="448" t="s">
        <v>308</v>
      </c>
      <c r="G67" s="449">
        <v>41416</v>
      </c>
      <c r="H67" s="449">
        <v>41026</v>
      </c>
      <c r="I67" s="449"/>
      <c r="J67" s="450">
        <v>0</v>
      </c>
      <c r="K67" s="449">
        <v>41052</v>
      </c>
      <c r="L67" s="449"/>
      <c r="M67" s="450">
        <v>0</v>
      </c>
      <c r="N67" s="451" t="s">
        <v>1493</v>
      </c>
      <c r="O67" s="114" t="s">
        <v>370</v>
      </c>
      <c r="P67" s="452" t="s">
        <v>710</v>
      </c>
      <c r="Q67" s="453"/>
      <c r="R67" s="454" t="s">
        <v>308</v>
      </c>
      <c r="S67" s="454"/>
    </row>
    <row r="68" spans="1:19">
      <c r="A68" s="414" t="s">
        <v>1504</v>
      </c>
      <c r="B68" s="206">
        <v>36591</v>
      </c>
      <c r="C68" s="445">
        <v>2</v>
      </c>
      <c r="D68" s="446" t="s">
        <v>245</v>
      </c>
      <c r="E68" s="447" t="s">
        <v>249</v>
      </c>
      <c r="F68" s="448" t="s">
        <v>308</v>
      </c>
      <c r="G68" s="449">
        <v>41418</v>
      </c>
      <c r="H68" s="449">
        <v>41026</v>
      </c>
      <c r="I68" s="449"/>
      <c r="J68" s="450">
        <v>0</v>
      </c>
      <c r="K68" s="449">
        <v>41052</v>
      </c>
      <c r="L68" s="449"/>
      <c r="M68" s="450">
        <v>0</v>
      </c>
      <c r="N68" s="451" t="s">
        <v>1493</v>
      </c>
      <c r="O68" s="114" t="s">
        <v>370</v>
      </c>
      <c r="P68" s="452" t="s">
        <v>964</v>
      </c>
      <c r="Q68" s="453"/>
      <c r="R68" s="454" t="s">
        <v>308</v>
      </c>
      <c r="S68" s="454"/>
    </row>
    <row r="69" spans="1:19">
      <c r="A69" s="414" t="s">
        <v>1516</v>
      </c>
      <c r="B69" s="206">
        <v>36656</v>
      </c>
      <c r="C69" s="445">
        <v>1</v>
      </c>
      <c r="D69" s="446" t="s">
        <v>245</v>
      </c>
      <c r="E69" s="447" t="s">
        <v>249</v>
      </c>
      <c r="F69" s="448" t="s">
        <v>308</v>
      </c>
      <c r="G69" s="449">
        <v>41428</v>
      </c>
      <c r="H69" s="449">
        <v>41026</v>
      </c>
      <c r="I69" s="449"/>
      <c r="J69" s="450">
        <v>0</v>
      </c>
      <c r="K69" s="449">
        <v>41052</v>
      </c>
      <c r="L69" s="449"/>
      <c r="M69" s="450">
        <v>0</v>
      </c>
      <c r="N69" s="451">
        <v>600.52</v>
      </c>
      <c r="O69" s="114" t="s">
        <v>370</v>
      </c>
      <c r="P69" s="452" t="s">
        <v>888</v>
      </c>
      <c r="Q69" s="453" t="s">
        <v>1517</v>
      </c>
      <c r="R69" s="454" t="s">
        <v>308</v>
      </c>
      <c r="S69" s="454"/>
    </row>
    <row r="70" spans="1:19">
      <c r="A70" s="414" t="s">
        <v>1502</v>
      </c>
      <c r="B70" s="206">
        <v>36586</v>
      </c>
      <c r="C70" s="445">
        <v>1</v>
      </c>
      <c r="D70" s="446" t="s">
        <v>245</v>
      </c>
      <c r="E70" s="447" t="s">
        <v>249</v>
      </c>
      <c r="F70" s="448" t="s">
        <v>308</v>
      </c>
      <c r="G70" s="449">
        <v>41418</v>
      </c>
      <c r="H70" s="449">
        <v>41026</v>
      </c>
      <c r="I70" s="449"/>
      <c r="J70" s="450">
        <v>0</v>
      </c>
      <c r="K70" s="449">
        <v>41052</v>
      </c>
      <c r="L70" s="449"/>
      <c r="M70" s="450">
        <v>0</v>
      </c>
      <c r="N70" s="451" t="s">
        <v>1493</v>
      </c>
      <c r="O70" s="114" t="s">
        <v>370</v>
      </c>
      <c r="P70" s="452" t="s">
        <v>903</v>
      </c>
      <c r="Q70" s="453"/>
      <c r="R70" s="454" t="s">
        <v>308</v>
      </c>
      <c r="S70" s="454"/>
    </row>
    <row r="71" spans="1:19">
      <c r="A71" s="414" t="s">
        <v>1501</v>
      </c>
      <c r="B71" s="206">
        <v>36585</v>
      </c>
      <c r="C71" s="445">
        <v>1</v>
      </c>
      <c r="D71" s="446" t="s">
        <v>245</v>
      </c>
      <c r="E71" s="447" t="s">
        <v>249</v>
      </c>
      <c r="F71" s="448" t="s">
        <v>308</v>
      </c>
      <c r="G71" s="449">
        <v>41418</v>
      </c>
      <c r="H71" s="449">
        <v>41026</v>
      </c>
      <c r="I71" s="449"/>
      <c r="J71" s="450">
        <v>0</v>
      </c>
      <c r="K71" s="449">
        <v>41052</v>
      </c>
      <c r="L71" s="449"/>
      <c r="M71" s="450">
        <v>0</v>
      </c>
      <c r="N71" s="451" t="s">
        <v>1493</v>
      </c>
      <c r="O71" s="114" t="s">
        <v>370</v>
      </c>
      <c r="P71" s="452" t="s">
        <v>903</v>
      </c>
      <c r="Q71" s="453"/>
      <c r="R71" s="454" t="s">
        <v>308</v>
      </c>
      <c r="S71" s="454"/>
    </row>
    <row r="72" spans="1:19">
      <c r="A72" s="414" t="s">
        <v>1503</v>
      </c>
      <c r="B72" s="206">
        <v>36588</v>
      </c>
      <c r="C72" s="445">
        <v>1</v>
      </c>
      <c r="D72" s="446" t="s">
        <v>245</v>
      </c>
      <c r="E72" s="447" t="s">
        <v>249</v>
      </c>
      <c r="F72" s="448" t="s">
        <v>308</v>
      </c>
      <c r="G72" s="449">
        <v>41418</v>
      </c>
      <c r="H72" s="449">
        <v>41026</v>
      </c>
      <c r="I72" s="449"/>
      <c r="J72" s="450">
        <v>0</v>
      </c>
      <c r="K72" s="449">
        <v>41052</v>
      </c>
      <c r="L72" s="449"/>
      <c r="M72" s="450">
        <v>0</v>
      </c>
      <c r="N72" s="451" t="s">
        <v>1493</v>
      </c>
      <c r="O72" s="114" t="s">
        <v>370</v>
      </c>
      <c r="P72" s="452" t="s">
        <v>906</v>
      </c>
      <c r="Q72" s="453"/>
      <c r="R72" s="454" t="s">
        <v>308</v>
      </c>
      <c r="S72" s="454"/>
    </row>
    <row r="73" spans="1:19">
      <c r="A73" s="414" t="s">
        <v>1518</v>
      </c>
      <c r="B73" s="206">
        <v>36675</v>
      </c>
      <c r="C73" s="445">
        <v>2</v>
      </c>
      <c r="D73" s="446" t="s">
        <v>245</v>
      </c>
      <c r="E73" s="447" t="s">
        <v>249</v>
      </c>
      <c r="F73" s="448" t="s">
        <v>308</v>
      </c>
      <c r="G73" s="449">
        <v>41430</v>
      </c>
      <c r="H73" s="449">
        <v>41026</v>
      </c>
      <c r="I73" s="449"/>
      <c r="J73" s="450">
        <v>0</v>
      </c>
      <c r="K73" s="449">
        <v>41052</v>
      </c>
      <c r="L73" s="449"/>
      <c r="M73" s="450">
        <v>0</v>
      </c>
      <c r="N73" s="451" t="s">
        <v>1493</v>
      </c>
      <c r="O73" s="114" t="s">
        <v>370</v>
      </c>
      <c r="P73" s="452" t="s">
        <v>373</v>
      </c>
      <c r="Q73" s="453"/>
      <c r="R73" s="454" t="s">
        <v>308</v>
      </c>
      <c r="S73" s="454"/>
    </row>
    <row r="74" spans="1:19">
      <c r="A74" s="414" t="s">
        <v>1508</v>
      </c>
      <c r="B74" s="206">
        <v>36641</v>
      </c>
      <c r="C74" s="445">
        <v>1</v>
      </c>
      <c r="D74" s="446" t="s">
        <v>245</v>
      </c>
      <c r="E74" s="447" t="s">
        <v>249</v>
      </c>
      <c r="F74" s="448" t="s">
        <v>308</v>
      </c>
      <c r="G74" s="449">
        <v>41424</v>
      </c>
      <c r="H74" s="449">
        <v>41026</v>
      </c>
      <c r="I74" s="449"/>
      <c r="J74" s="450">
        <v>0</v>
      </c>
      <c r="K74" s="449">
        <v>41052</v>
      </c>
      <c r="L74" s="449"/>
      <c r="M74" s="450">
        <v>0</v>
      </c>
      <c r="N74" s="451" t="s">
        <v>1493</v>
      </c>
      <c r="O74" s="114" t="s">
        <v>370</v>
      </c>
      <c r="P74" s="452" t="s">
        <v>1372</v>
      </c>
      <c r="Q74" s="453"/>
      <c r="R74" s="454" t="s">
        <v>308</v>
      </c>
      <c r="S74" s="454"/>
    </row>
    <row r="75" spans="1:19">
      <c r="A75" s="414" t="s">
        <v>1513</v>
      </c>
      <c r="B75" s="206">
        <v>36653</v>
      </c>
      <c r="C75" s="445">
        <v>1</v>
      </c>
      <c r="D75" s="446" t="s">
        <v>245</v>
      </c>
      <c r="E75" s="447" t="s">
        <v>249</v>
      </c>
      <c r="F75" s="448" t="s">
        <v>308</v>
      </c>
      <c r="G75" s="449">
        <v>41425</v>
      </c>
      <c r="H75" s="449">
        <v>41026</v>
      </c>
      <c r="I75" s="449"/>
      <c r="J75" s="450">
        <v>0</v>
      </c>
      <c r="K75" s="449">
        <v>41052</v>
      </c>
      <c r="L75" s="449"/>
      <c r="M75" s="450">
        <v>0</v>
      </c>
      <c r="N75" s="451" t="s">
        <v>1493</v>
      </c>
      <c r="O75" s="114" t="s">
        <v>370</v>
      </c>
      <c r="P75" s="452" t="s">
        <v>960</v>
      </c>
      <c r="Q75" s="453"/>
      <c r="R75" s="454" t="s">
        <v>308</v>
      </c>
      <c r="S75" s="454"/>
    </row>
    <row r="76" spans="1:19">
      <c r="A76" s="414" t="s">
        <v>1514</v>
      </c>
      <c r="B76" s="206">
        <v>36654</v>
      </c>
      <c r="C76" s="445">
        <v>1</v>
      </c>
      <c r="D76" s="446" t="s">
        <v>245</v>
      </c>
      <c r="E76" s="447" t="s">
        <v>249</v>
      </c>
      <c r="F76" s="448" t="s">
        <v>308</v>
      </c>
      <c r="G76" s="449">
        <v>41425</v>
      </c>
      <c r="H76" s="449">
        <v>41026</v>
      </c>
      <c r="I76" s="449"/>
      <c r="J76" s="450">
        <v>0</v>
      </c>
      <c r="K76" s="449">
        <v>41052</v>
      </c>
      <c r="L76" s="449"/>
      <c r="M76" s="450">
        <v>0</v>
      </c>
      <c r="N76" s="451" t="s">
        <v>1493</v>
      </c>
      <c r="O76" s="114" t="s">
        <v>370</v>
      </c>
      <c r="P76" s="452" t="s">
        <v>1267</v>
      </c>
      <c r="Q76" s="453" t="s">
        <v>1515</v>
      </c>
      <c r="R76" s="454" t="s">
        <v>308</v>
      </c>
      <c r="S76" s="454"/>
    </row>
    <row r="77" spans="1:19">
      <c r="A77" s="414" t="s">
        <v>1512</v>
      </c>
      <c r="B77" s="206">
        <v>36650</v>
      </c>
      <c r="C77" s="445">
        <v>1</v>
      </c>
      <c r="D77" s="446" t="s">
        <v>245</v>
      </c>
      <c r="E77" s="447" t="s">
        <v>249</v>
      </c>
      <c r="F77" s="448" t="s">
        <v>308</v>
      </c>
      <c r="G77" s="449">
        <v>41425</v>
      </c>
      <c r="H77" s="449">
        <v>41026</v>
      </c>
      <c r="I77" s="449"/>
      <c r="J77" s="450">
        <v>0</v>
      </c>
      <c r="K77" s="449">
        <v>41052</v>
      </c>
      <c r="L77" s="449"/>
      <c r="M77" s="450">
        <v>0</v>
      </c>
      <c r="N77" s="451" t="s">
        <v>1493</v>
      </c>
      <c r="O77" s="114" t="s">
        <v>370</v>
      </c>
      <c r="P77" s="452" t="s">
        <v>910</v>
      </c>
      <c r="Q77" s="453"/>
      <c r="R77" s="454" t="s">
        <v>308</v>
      </c>
      <c r="S77" s="454"/>
    </row>
    <row r="78" spans="1:19">
      <c r="A78" s="414" t="s">
        <v>1526</v>
      </c>
      <c r="B78" s="206">
        <v>36704</v>
      </c>
      <c r="C78" s="445">
        <v>2</v>
      </c>
      <c r="D78" s="446" t="s">
        <v>245</v>
      </c>
      <c r="E78" s="447" t="s">
        <v>249</v>
      </c>
      <c r="F78" s="448" t="s">
        <v>308</v>
      </c>
      <c r="G78" s="449">
        <v>41435</v>
      </c>
      <c r="H78" s="449">
        <v>41026</v>
      </c>
      <c r="I78" s="449"/>
      <c r="J78" s="450">
        <v>0</v>
      </c>
      <c r="K78" s="449">
        <v>41052</v>
      </c>
      <c r="L78" s="449"/>
      <c r="M78" s="450">
        <v>0</v>
      </c>
      <c r="N78" s="451">
        <v>7.14</v>
      </c>
      <c r="O78" s="114" t="s">
        <v>370</v>
      </c>
      <c r="P78" s="452" t="s">
        <v>906</v>
      </c>
      <c r="Q78" s="453"/>
      <c r="R78" s="454" t="s">
        <v>308</v>
      </c>
      <c r="S78" s="454"/>
    </row>
    <row r="79" spans="1:19">
      <c r="A79" s="414" t="s">
        <v>1524</v>
      </c>
      <c r="B79" s="206">
        <v>36687</v>
      </c>
      <c r="C79" s="445">
        <v>2</v>
      </c>
      <c r="D79" s="446" t="s">
        <v>245</v>
      </c>
      <c r="E79" s="447" t="s">
        <v>249</v>
      </c>
      <c r="F79" s="448" t="s">
        <v>308</v>
      </c>
      <c r="G79" s="449">
        <v>41432</v>
      </c>
      <c r="H79" s="449">
        <v>41026</v>
      </c>
      <c r="I79" s="449"/>
      <c r="J79" s="450">
        <v>0</v>
      </c>
      <c r="K79" s="449">
        <v>41052</v>
      </c>
      <c r="L79" s="449"/>
      <c r="M79" s="450">
        <v>0</v>
      </c>
      <c r="N79" s="451">
        <v>7.14</v>
      </c>
      <c r="O79" s="114" t="s">
        <v>370</v>
      </c>
      <c r="P79" s="452" t="s">
        <v>373</v>
      </c>
      <c r="Q79" s="453"/>
      <c r="R79" s="454" t="s">
        <v>308</v>
      </c>
      <c r="S79" s="454"/>
    </row>
    <row r="80" spans="1:19">
      <c r="A80" s="414" t="s">
        <v>1527</v>
      </c>
      <c r="B80" s="206">
        <v>36705</v>
      </c>
      <c r="C80" s="445">
        <v>1</v>
      </c>
      <c r="D80" s="446" t="s">
        <v>245</v>
      </c>
      <c r="E80" s="447" t="s">
        <v>249</v>
      </c>
      <c r="F80" s="448" t="s">
        <v>308</v>
      </c>
      <c r="G80" s="449">
        <v>41435</v>
      </c>
      <c r="H80" s="449">
        <v>41026</v>
      </c>
      <c r="I80" s="449"/>
      <c r="J80" s="450">
        <v>0</v>
      </c>
      <c r="K80" s="449">
        <v>41052</v>
      </c>
      <c r="L80" s="449"/>
      <c r="M80" s="450">
        <v>0</v>
      </c>
      <c r="N80" s="451">
        <v>500.5</v>
      </c>
      <c r="O80" s="114" t="s">
        <v>370</v>
      </c>
      <c r="P80" s="452" t="s">
        <v>1477</v>
      </c>
      <c r="Q80" s="453"/>
      <c r="R80" s="454" t="s">
        <v>308</v>
      </c>
      <c r="S80" s="454"/>
    </row>
    <row r="81" spans="1:19">
      <c r="A81" s="414" t="s">
        <v>1530</v>
      </c>
      <c r="B81" s="206">
        <v>36712</v>
      </c>
      <c r="C81" s="445">
        <v>2</v>
      </c>
      <c r="D81" s="446" t="s">
        <v>245</v>
      </c>
      <c r="E81" s="447" t="s">
        <v>249</v>
      </c>
      <c r="F81" s="448" t="s">
        <v>308</v>
      </c>
      <c r="G81" s="449">
        <v>41436</v>
      </c>
      <c r="H81" s="449">
        <v>41026</v>
      </c>
      <c r="I81" s="449"/>
      <c r="J81" s="450">
        <v>0</v>
      </c>
      <c r="K81" s="449">
        <v>41052</v>
      </c>
      <c r="L81" s="449"/>
      <c r="M81" s="450">
        <v>0</v>
      </c>
      <c r="N81" s="451" t="s">
        <v>1493</v>
      </c>
      <c r="O81" s="114" t="s">
        <v>370</v>
      </c>
      <c r="P81" s="452" t="s">
        <v>917</v>
      </c>
      <c r="Q81" s="453" t="s">
        <v>1531</v>
      </c>
      <c r="R81" s="454" t="s">
        <v>308</v>
      </c>
      <c r="S81" s="454"/>
    </row>
    <row r="82" spans="1:19">
      <c r="A82" s="414" t="s">
        <v>1528</v>
      </c>
      <c r="B82" s="206">
        <v>36711</v>
      </c>
      <c r="C82" s="445">
        <v>2</v>
      </c>
      <c r="D82" s="446" t="s">
        <v>245</v>
      </c>
      <c r="E82" s="447" t="s">
        <v>249</v>
      </c>
      <c r="F82" s="448" t="s">
        <v>308</v>
      </c>
      <c r="G82" s="449">
        <v>41436</v>
      </c>
      <c r="H82" s="449">
        <v>41026</v>
      </c>
      <c r="I82" s="449"/>
      <c r="J82" s="450">
        <v>0</v>
      </c>
      <c r="K82" s="449">
        <v>41052</v>
      </c>
      <c r="L82" s="449"/>
      <c r="M82" s="450">
        <v>0</v>
      </c>
      <c r="N82" s="451" t="s">
        <v>1493</v>
      </c>
      <c r="O82" s="114" t="s">
        <v>370</v>
      </c>
      <c r="P82" s="452" t="s">
        <v>1529</v>
      </c>
      <c r="Q82" s="453"/>
      <c r="R82" s="454" t="s">
        <v>308</v>
      </c>
      <c r="S82" s="454"/>
    </row>
    <row r="83" spans="1:19">
      <c r="A83" s="414" t="s">
        <v>1545</v>
      </c>
      <c r="B83" s="206">
        <v>36776</v>
      </c>
      <c r="C83" s="445">
        <v>3</v>
      </c>
      <c r="D83" s="446" t="s">
        <v>245</v>
      </c>
      <c r="E83" s="447" t="s">
        <v>249</v>
      </c>
      <c r="F83" s="448" t="s">
        <v>308</v>
      </c>
      <c r="G83" s="449">
        <v>41443</v>
      </c>
      <c r="H83" s="449">
        <v>41026</v>
      </c>
      <c r="I83" s="449"/>
      <c r="J83" s="450">
        <v>0</v>
      </c>
      <c r="K83" s="449">
        <v>41052</v>
      </c>
      <c r="L83" s="449"/>
      <c r="M83" s="450">
        <v>0</v>
      </c>
      <c r="N83" s="451" t="s">
        <v>1536</v>
      </c>
      <c r="O83" s="114" t="s">
        <v>370</v>
      </c>
      <c r="P83" s="452" t="s">
        <v>901</v>
      </c>
      <c r="Q83" s="453"/>
      <c r="R83" s="454" t="s">
        <v>308</v>
      </c>
      <c r="S83" s="454"/>
    </row>
    <row r="84" spans="1:19">
      <c r="A84" s="414" t="s">
        <v>1535</v>
      </c>
      <c r="B84" s="206">
        <v>36728</v>
      </c>
      <c r="C84" s="445">
        <v>2</v>
      </c>
      <c r="D84" s="446" t="s">
        <v>245</v>
      </c>
      <c r="E84" s="447" t="s">
        <v>249</v>
      </c>
      <c r="F84" s="448" t="s">
        <v>308</v>
      </c>
      <c r="G84" s="449">
        <v>41438</v>
      </c>
      <c r="H84" s="449">
        <v>41026</v>
      </c>
      <c r="I84" s="449"/>
      <c r="J84" s="450">
        <v>0</v>
      </c>
      <c r="K84" s="449">
        <v>41052</v>
      </c>
      <c r="L84" s="449"/>
      <c r="M84" s="450">
        <v>0</v>
      </c>
      <c r="N84" s="451" t="s">
        <v>1536</v>
      </c>
      <c r="O84" s="114" t="s">
        <v>370</v>
      </c>
      <c r="P84" s="452" t="s">
        <v>1087</v>
      </c>
      <c r="Q84" s="453"/>
      <c r="R84" s="454" t="s">
        <v>308</v>
      </c>
      <c r="S84" s="454"/>
    </row>
    <row r="85" spans="1:19">
      <c r="A85" s="414" t="s">
        <v>1547</v>
      </c>
      <c r="B85" s="206">
        <v>36780</v>
      </c>
      <c r="C85" s="445">
        <v>1</v>
      </c>
      <c r="D85" s="446" t="s">
        <v>245</v>
      </c>
      <c r="E85" s="447" t="s">
        <v>249</v>
      </c>
      <c r="F85" s="448" t="s">
        <v>308</v>
      </c>
      <c r="G85" s="449">
        <v>41444</v>
      </c>
      <c r="H85" s="449">
        <v>41026</v>
      </c>
      <c r="I85" s="449"/>
      <c r="J85" s="450">
        <v>0</v>
      </c>
      <c r="K85" s="449">
        <v>41052</v>
      </c>
      <c r="L85" s="449"/>
      <c r="M85" s="450">
        <v>0</v>
      </c>
      <c r="N85" s="451">
        <v>7.16</v>
      </c>
      <c r="O85" s="114" t="s">
        <v>370</v>
      </c>
      <c r="P85" s="452" t="s">
        <v>907</v>
      </c>
      <c r="Q85" s="453"/>
      <c r="R85" s="454" t="s">
        <v>308</v>
      </c>
      <c r="S85" s="454"/>
    </row>
    <row r="86" spans="1:19">
      <c r="A86" s="414" t="s">
        <v>1550</v>
      </c>
      <c r="B86" s="206">
        <v>36788</v>
      </c>
      <c r="C86" s="445">
        <v>2</v>
      </c>
      <c r="D86" s="446" t="s">
        <v>245</v>
      </c>
      <c r="E86" s="447" t="s">
        <v>249</v>
      </c>
      <c r="F86" s="448" t="s">
        <v>308</v>
      </c>
      <c r="G86" s="449">
        <v>41445</v>
      </c>
      <c r="H86" s="449">
        <v>41026</v>
      </c>
      <c r="I86" s="449"/>
      <c r="J86" s="450">
        <v>0</v>
      </c>
      <c r="K86" s="449">
        <v>41052</v>
      </c>
      <c r="L86" s="449"/>
      <c r="M86" s="450">
        <v>0</v>
      </c>
      <c r="N86" s="451" t="s">
        <v>1551</v>
      </c>
      <c r="O86" s="114" t="s">
        <v>370</v>
      </c>
      <c r="P86" s="452" t="s">
        <v>907</v>
      </c>
      <c r="Q86" s="453"/>
      <c r="R86" s="454" t="s">
        <v>308</v>
      </c>
      <c r="S86" s="454"/>
    </row>
    <row r="87" spans="1:19">
      <c r="A87" s="414" t="s">
        <v>1552</v>
      </c>
      <c r="B87" s="206">
        <v>36789</v>
      </c>
      <c r="C87" s="445">
        <v>2</v>
      </c>
      <c r="D87" s="446" t="s">
        <v>245</v>
      </c>
      <c r="E87" s="447" t="s">
        <v>249</v>
      </c>
      <c r="F87" s="448" t="s">
        <v>308</v>
      </c>
      <c r="G87" s="449">
        <v>41445</v>
      </c>
      <c r="H87" s="449">
        <v>41026</v>
      </c>
      <c r="I87" s="449"/>
      <c r="J87" s="450">
        <v>0</v>
      </c>
      <c r="K87" s="449">
        <v>41052</v>
      </c>
      <c r="L87" s="449"/>
      <c r="M87" s="450">
        <v>0</v>
      </c>
      <c r="N87" s="451" t="s">
        <v>1553</v>
      </c>
      <c r="O87" s="114" t="s">
        <v>370</v>
      </c>
      <c r="P87" s="452" t="s">
        <v>866</v>
      </c>
      <c r="Q87" s="453"/>
      <c r="R87" s="454" t="s">
        <v>308</v>
      </c>
      <c r="S87" s="454"/>
    </row>
    <row r="88" spans="1:19">
      <c r="A88" s="414" t="s">
        <v>1571</v>
      </c>
      <c r="B88" s="206">
        <v>36910</v>
      </c>
      <c r="C88" s="445">
        <v>2</v>
      </c>
      <c r="D88" s="446" t="s">
        <v>245</v>
      </c>
      <c r="E88" s="447" t="s">
        <v>249</v>
      </c>
      <c r="F88" s="448" t="s">
        <v>308</v>
      </c>
      <c r="G88" s="449">
        <v>41464</v>
      </c>
      <c r="H88" s="449">
        <v>41026</v>
      </c>
      <c r="I88" s="449"/>
      <c r="J88" s="450">
        <v>0</v>
      </c>
      <c r="K88" s="449">
        <v>41052</v>
      </c>
      <c r="L88" s="449"/>
      <c r="M88" s="450">
        <v>0</v>
      </c>
      <c r="N88" s="451" t="s">
        <v>1551</v>
      </c>
      <c r="O88" s="114" t="s">
        <v>370</v>
      </c>
      <c r="P88" s="452" t="s">
        <v>1572</v>
      </c>
      <c r="Q88" s="453"/>
      <c r="R88" s="454" t="s">
        <v>308</v>
      </c>
      <c r="S88" s="454"/>
    </row>
    <row r="89" spans="1:19">
      <c r="A89" s="414" t="s">
        <v>1563</v>
      </c>
      <c r="B89" s="206">
        <v>36864</v>
      </c>
      <c r="C89" s="445">
        <v>2</v>
      </c>
      <c r="D89" s="446" t="s">
        <v>245</v>
      </c>
      <c r="E89" s="447" t="s">
        <v>249</v>
      </c>
      <c r="F89" s="448" t="s">
        <v>308</v>
      </c>
      <c r="G89" s="449">
        <v>41457</v>
      </c>
      <c r="H89" s="449">
        <v>41026</v>
      </c>
      <c r="I89" s="449"/>
      <c r="J89" s="450">
        <v>0</v>
      </c>
      <c r="K89" s="449">
        <v>41052</v>
      </c>
      <c r="L89" s="449"/>
      <c r="M89" s="450">
        <v>0</v>
      </c>
      <c r="N89" s="451" t="s">
        <v>1551</v>
      </c>
      <c r="O89" s="114" t="s">
        <v>370</v>
      </c>
      <c r="P89" s="452" t="s">
        <v>1294</v>
      </c>
      <c r="Q89" s="453"/>
      <c r="R89" s="454" t="s">
        <v>308</v>
      </c>
      <c r="S89" s="454"/>
    </row>
    <row r="90" spans="1:19">
      <c r="A90" s="414" t="s">
        <v>1564</v>
      </c>
      <c r="B90" s="206">
        <v>36877</v>
      </c>
      <c r="C90" s="445">
        <v>2</v>
      </c>
      <c r="D90" s="446" t="s">
        <v>245</v>
      </c>
      <c r="E90" s="447" t="s">
        <v>249</v>
      </c>
      <c r="F90" s="448" t="s">
        <v>308</v>
      </c>
      <c r="G90" s="449">
        <v>41460</v>
      </c>
      <c r="H90" s="449">
        <v>41026</v>
      </c>
      <c r="I90" s="449"/>
      <c r="J90" s="450">
        <v>0</v>
      </c>
      <c r="K90" s="449">
        <v>41052</v>
      </c>
      <c r="L90" s="449"/>
      <c r="M90" s="450">
        <v>0</v>
      </c>
      <c r="N90" s="451" t="s">
        <v>1551</v>
      </c>
      <c r="O90" s="114" t="s">
        <v>370</v>
      </c>
      <c r="P90" s="452" t="s">
        <v>1565</v>
      </c>
      <c r="Q90" s="453"/>
      <c r="R90" s="454" t="s">
        <v>308</v>
      </c>
      <c r="S90" s="454"/>
    </row>
    <row r="91" spans="1:19">
      <c r="A91" s="414" t="s">
        <v>1568</v>
      </c>
      <c r="B91" s="206">
        <v>1</v>
      </c>
      <c r="C91" s="445">
        <v>1</v>
      </c>
      <c r="D91" s="446" t="s">
        <v>245</v>
      </c>
      <c r="E91" s="447" t="s">
        <v>249</v>
      </c>
      <c r="F91" s="448" t="s">
        <v>308</v>
      </c>
      <c r="G91" s="449">
        <v>41463</v>
      </c>
      <c r="H91" s="449">
        <v>41026</v>
      </c>
      <c r="I91" s="449"/>
      <c r="J91" s="450">
        <v>0</v>
      </c>
      <c r="K91" s="449">
        <v>41052</v>
      </c>
      <c r="L91" s="449"/>
      <c r="M91" s="450">
        <v>0</v>
      </c>
      <c r="N91" s="451" t="s">
        <v>1551</v>
      </c>
      <c r="O91" s="114" t="s">
        <v>370</v>
      </c>
      <c r="P91" s="452"/>
      <c r="Q91" s="453"/>
      <c r="R91" s="454" t="s">
        <v>308</v>
      </c>
      <c r="S91" s="454"/>
    </row>
    <row r="92" spans="1:19" ht="140.25">
      <c r="A92" s="414" t="s">
        <v>1568</v>
      </c>
      <c r="B92" s="206">
        <v>36911</v>
      </c>
      <c r="C92" s="445">
        <v>1</v>
      </c>
      <c r="D92" s="446" t="s">
        <v>245</v>
      </c>
      <c r="E92" s="447" t="s">
        <v>249</v>
      </c>
      <c r="F92" s="448" t="s">
        <v>308</v>
      </c>
      <c r="G92" s="449">
        <v>41464</v>
      </c>
      <c r="H92" s="449">
        <v>41026</v>
      </c>
      <c r="I92" s="449"/>
      <c r="J92" s="450">
        <v>0</v>
      </c>
      <c r="K92" s="449">
        <v>41052</v>
      </c>
      <c r="L92" s="449"/>
      <c r="M92" s="450">
        <v>0</v>
      </c>
      <c r="N92" s="451" t="s">
        <v>1551</v>
      </c>
      <c r="O92" s="114" t="s">
        <v>370</v>
      </c>
      <c r="P92" s="473" t="s">
        <v>1573</v>
      </c>
      <c r="Q92" s="453"/>
      <c r="R92" s="454" t="s">
        <v>308</v>
      </c>
      <c r="S92" s="454"/>
    </row>
    <row r="93" spans="1:19">
      <c r="A93" s="414" t="s">
        <v>1569</v>
      </c>
      <c r="B93" s="206">
        <v>36901</v>
      </c>
      <c r="C93" s="445">
        <v>1</v>
      </c>
      <c r="D93" s="446" t="s">
        <v>245</v>
      </c>
      <c r="E93" s="447" t="s">
        <v>249</v>
      </c>
      <c r="F93" s="448" t="s">
        <v>308</v>
      </c>
      <c r="G93" s="449">
        <v>41463</v>
      </c>
      <c r="H93" s="449">
        <v>41026</v>
      </c>
      <c r="I93" s="449"/>
      <c r="J93" s="450">
        <v>0</v>
      </c>
      <c r="K93" s="449">
        <v>41052</v>
      </c>
      <c r="L93" s="449"/>
      <c r="M93" s="450">
        <v>0</v>
      </c>
      <c r="N93" s="451" t="s">
        <v>1551</v>
      </c>
      <c r="O93" s="114" t="s">
        <v>370</v>
      </c>
      <c r="P93" s="452" t="s">
        <v>1570</v>
      </c>
      <c r="Q93" s="453"/>
      <c r="R93" s="454" t="s">
        <v>308</v>
      </c>
      <c r="S93" s="454"/>
    </row>
    <row r="94" spans="1:19">
      <c r="A94" s="414" t="s">
        <v>1566</v>
      </c>
      <c r="B94" s="206">
        <v>36892</v>
      </c>
      <c r="C94" s="445">
        <v>2</v>
      </c>
      <c r="D94" s="446" t="s">
        <v>245</v>
      </c>
      <c r="E94" s="447" t="s">
        <v>249</v>
      </c>
      <c r="F94" s="448" t="s">
        <v>308</v>
      </c>
      <c r="G94" s="449">
        <v>41463</v>
      </c>
      <c r="H94" s="449">
        <v>41026</v>
      </c>
      <c r="I94" s="449"/>
      <c r="J94" s="450">
        <v>0</v>
      </c>
      <c r="K94" s="449">
        <v>41052</v>
      </c>
      <c r="L94" s="449"/>
      <c r="M94" s="450">
        <v>0</v>
      </c>
      <c r="N94" s="451" t="s">
        <v>1567</v>
      </c>
      <c r="O94" s="114" t="s">
        <v>370</v>
      </c>
      <c r="P94" s="452" t="s">
        <v>908</v>
      </c>
      <c r="Q94" s="453"/>
      <c r="R94" s="454" t="s">
        <v>308</v>
      </c>
      <c r="S94" s="454"/>
    </row>
    <row r="95" spans="1:19" ht="140.25">
      <c r="A95" s="414" t="s">
        <v>1584</v>
      </c>
      <c r="B95" s="206">
        <v>36937</v>
      </c>
      <c r="C95" s="445">
        <v>3</v>
      </c>
      <c r="D95" s="446" t="s">
        <v>245</v>
      </c>
      <c r="E95" s="447" t="s">
        <v>249</v>
      </c>
      <c r="F95" s="448" t="s">
        <v>308</v>
      </c>
      <c r="G95" s="449">
        <v>41467</v>
      </c>
      <c r="H95" s="449">
        <v>41026</v>
      </c>
      <c r="I95" s="449"/>
      <c r="J95" s="450">
        <v>0</v>
      </c>
      <c r="K95" s="449">
        <v>41052</v>
      </c>
      <c r="L95" s="449"/>
      <c r="M95" s="450">
        <v>0</v>
      </c>
      <c r="N95" s="451" t="s">
        <v>1551</v>
      </c>
      <c r="O95" s="114" t="s">
        <v>370</v>
      </c>
      <c r="P95" s="473" t="s">
        <v>1585</v>
      </c>
      <c r="Q95" s="453"/>
      <c r="R95" s="454" t="s">
        <v>308</v>
      </c>
      <c r="S95" s="454"/>
    </row>
    <row r="96" spans="1:19">
      <c r="A96" s="414" t="s">
        <v>1391</v>
      </c>
      <c r="B96" s="206">
        <v>1</v>
      </c>
      <c r="C96" s="445">
        <v>3</v>
      </c>
      <c r="D96" s="446" t="s">
        <v>245</v>
      </c>
      <c r="E96" s="447" t="s">
        <v>249</v>
      </c>
      <c r="F96" s="448" t="s">
        <v>308</v>
      </c>
      <c r="G96" s="449">
        <v>41354</v>
      </c>
      <c r="H96" s="449">
        <v>41026</v>
      </c>
      <c r="I96" s="449"/>
      <c r="J96" s="450">
        <v>0</v>
      </c>
      <c r="K96" s="449">
        <v>41052</v>
      </c>
      <c r="L96" s="449"/>
      <c r="M96" s="450">
        <v>0</v>
      </c>
      <c r="N96" s="451" t="s">
        <v>1392</v>
      </c>
      <c r="O96" s="114" t="s">
        <v>370</v>
      </c>
      <c r="P96" s="452" t="s">
        <v>373</v>
      </c>
      <c r="Q96" s="453"/>
      <c r="R96" s="454" t="s">
        <v>308</v>
      </c>
      <c r="S96" s="454"/>
    </row>
    <row r="97" spans="1:19">
      <c r="A97" s="414" t="s">
        <v>1415</v>
      </c>
      <c r="B97" s="206">
        <v>36146</v>
      </c>
      <c r="C97" s="445">
        <v>2</v>
      </c>
      <c r="D97" s="446" t="s">
        <v>245</v>
      </c>
      <c r="E97" s="447" t="s">
        <v>249</v>
      </c>
      <c r="F97" s="448" t="s">
        <v>308</v>
      </c>
      <c r="G97" s="449">
        <v>41367</v>
      </c>
      <c r="H97" s="449">
        <v>41026</v>
      </c>
      <c r="I97" s="449"/>
      <c r="J97" s="450">
        <v>0</v>
      </c>
      <c r="K97" s="449">
        <v>41052</v>
      </c>
      <c r="L97" s="449"/>
      <c r="M97" s="450">
        <v>0</v>
      </c>
      <c r="N97" s="451" t="s">
        <v>1392</v>
      </c>
      <c r="O97" s="114" t="s">
        <v>370</v>
      </c>
      <c r="P97" s="452" t="s">
        <v>1305</v>
      </c>
      <c r="Q97" s="453"/>
      <c r="R97" s="454" t="s">
        <v>308</v>
      </c>
      <c r="S97" s="454"/>
    </row>
    <row r="98" spans="1:19">
      <c r="A98" s="414" t="s">
        <v>1364</v>
      </c>
      <c r="B98" s="206">
        <v>36012</v>
      </c>
      <c r="C98" s="445">
        <v>3</v>
      </c>
      <c r="D98" s="446" t="s">
        <v>245</v>
      </c>
      <c r="E98" s="447" t="s">
        <v>249</v>
      </c>
      <c r="F98" s="448" t="s">
        <v>308</v>
      </c>
      <c r="G98" s="449">
        <v>41344</v>
      </c>
      <c r="H98" s="449">
        <v>41026</v>
      </c>
      <c r="I98" s="449"/>
      <c r="J98" s="450">
        <v>0</v>
      </c>
      <c r="K98" s="449">
        <v>41052</v>
      </c>
      <c r="L98" s="449"/>
      <c r="M98" s="450">
        <v>0</v>
      </c>
      <c r="N98" s="451" t="s">
        <v>1365</v>
      </c>
      <c r="O98" s="114" t="s">
        <v>370</v>
      </c>
      <c r="P98" s="452" t="s">
        <v>1366</v>
      </c>
      <c r="Q98" s="453"/>
      <c r="R98" s="454" t="s">
        <v>308</v>
      </c>
      <c r="S98" s="454"/>
    </row>
    <row r="99" spans="1:19">
      <c r="A99" s="414" t="s">
        <v>1367</v>
      </c>
      <c r="B99" s="206">
        <v>36013</v>
      </c>
      <c r="C99" s="445">
        <v>3</v>
      </c>
      <c r="D99" s="446" t="s">
        <v>245</v>
      </c>
      <c r="E99" s="447" t="s">
        <v>249</v>
      </c>
      <c r="F99" s="448" t="s">
        <v>308</v>
      </c>
      <c r="G99" s="449">
        <v>41344</v>
      </c>
      <c r="H99" s="449">
        <v>41026</v>
      </c>
      <c r="I99" s="449"/>
      <c r="J99" s="450">
        <v>0</v>
      </c>
      <c r="K99" s="449">
        <v>41052</v>
      </c>
      <c r="L99" s="449"/>
      <c r="M99" s="450">
        <v>0</v>
      </c>
      <c r="N99" s="451" t="s">
        <v>1365</v>
      </c>
      <c r="O99" s="114" t="s">
        <v>370</v>
      </c>
      <c r="P99" s="452" t="s">
        <v>1366</v>
      </c>
      <c r="Q99" s="453"/>
      <c r="R99" s="454" t="s">
        <v>308</v>
      </c>
      <c r="S99" s="454"/>
    </row>
    <row r="100" spans="1:19">
      <c r="A100" s="414" t="s">
        <v>1381</v>
      </c>
      <c r="B100" s="206">
        <v>36043</v>
      </c>
      <c r="C100" s="445">
        <v>3</v>
      </c>
      <c r="D100" s="446" t="s">
        <v>245</v>
      </c>
      <c r="E100" s="447" t="s">
        <v>249</v>
      </c>
      <c r="F100" s="448" t="s">
        <v>308</v>
      </c>
      <c r="G100" s="449">
        <v>41351</v>
      </c>
      <c r="H100" s="449">
        <v>41026</v>
      </c>
      <c r="I100" s="449"/>
      <c r="J100" s="450">
        <v>0</v>
      </c>
      <c r="K100" s="449">
        <v>41052</v>
      </c>
      <c r="L100" s="449"/>
      <c r="M100" s="450">
        <v>0</v>
      </c>
      <c r="N100" s="451" t="s">
        <v>1382</v>
      </c>
      <c r="O100" s="114" t="s">
        <v>370</v>
      </c>
      <c r="P100" s="452" t="s">
        <v>906</v>
      </c>
      <c r="Q100" s="453"/>
      <c r="R100" s="454" t="s">
        <v>308</v>
      </c>
      <c r="S100" s="454"/>
    </row>
    <row r="101" spans="1:19">
      <c r="A101" s="414" t="s">
        <v>1383</v>
      </c>
      <c r="B101" s="206">
        <v>36044</v>
      </c>
      <c r="C101" s="445">
        <v>3</v>
      </c>
      <c r="D101" s="446" t="s">
        <v>245</v>
      </c>
      <c r="E101" s="447" t="s">
        <v>249</v>
      </c>
      <c r="F101" s="448" t="s">
        <v>308</v>
      </c>
      <c r="G101" s="449">
        <v>41351</v>
      </c>
      <c r="H101" s="449">
        <v>41026</v>
      </c>
      <c r="I101" s="449"/>
      <c r="J101" s="450">
        <v>0</v>
      </c>
      <c r="K101" s="449">
        <v>41052</v>
      </c>
      <c r="L101" s="449"/>
      <c r="M101" s="450">
        <v>0</v>
      </c>
      <c r="N101" s="451" t="s">
        <v>1382</v>
      </c>
      <c r="O101" s="114" t="s">
        <v>370</v>
      </c>
      <c r="P101" s="452" t="s">
        <v>906</v>
      </c>
      <c r="Q101" s="453"/>
      <c r="R101" s="454" t="s">
        <v>308</v>
      </c>
      <c r="S101" s="454"/>
    </row>
    <row r="102" spans="1:19">
      <c r="A102" s="414" t="s">
        <v>1397</v>
      </c>
      <c r="B102" s="206">
        <v>36087</v>
      </c>
      <c r="C102" s="445">
        <v>3</v>
      </c>
      <c r="D102" s="446" t="s">
        <v>245</v>
      </c>
      <c r="E102" s="447" t="s">
        <v>249</v>
      </c>
      <c r="F102" s="448" t="s">
        <v>308</v>
      </c>
      <c r="G102" s="449">
        <v>41354</v>
      </c>
      <c r="H102" s="449">
        <v>41026</v>
      </c>
      <c r="I102" s="449"/>
      <c r="J102" s="450">
        <v>0</v>
      </c>
      <c r="K102" s="449">
        <v>41052</v>
      </c>
      <c r="L102" s="449"/>
      <c r="M102" s="450">
        <v>0</v>
      </c>
      <c r="N102" s="451" t="s">
        <v>1382</v>
      </c>
      <c r="O102" s="114" t="s">
        <v>370</v>
      </c>
      <c r="P102" s="452" t="s">
        <v>1305</v>
      </c>
      <c r="Q102" s="453"/>
      <c r="R102" s="454" t="s">
        <v>308</v>
      </c>
      <c r="S102" s="454"/>
    </row>
    <row r="103" spans="1:19">
      <c r="A103" s="414" t="s">
        <v>1393</v>
      </c>
      <c r="B103" s="206">
        <v>36065</v>
      </c>
      <c r="C103" s="445">
        <v>3</v>
      </c>
      <c r="D103" s="446" t="s">
        <v>245</v>
      </c>
      <c r="E103" s="447" t="s">
        <v>249</v>
      </c>
      <c r="F103" s="448" t="s">
        <v>308</v>
      </c>
      <c r="G103" s="449">
        <v>41354</v>
      </c>
      <c r="H103" s="449">
        <v>41026</v>
      </c>
      <c r="I103" s="449"/>
      <c r="J103" s="450">
        <v>0</v>
      </c>
      <c r="K103" s="449">
        <v>41052</v>
      </c>
      <c r="L103" s="449"/>
      <c r="M103" s="450">
        <v>0</v>
      </c>
      <c r="N103" s="451" t="s">
        <v>1382</v>
      </c>
      <c r="O103" s="114" t="s">
        <v>370</v>
      </c>
      <c r="P103" s="452" t="s">
        <v>1305</v>
      </c>
      <c r="Q103" s="453"/>
      <c r="R103" s="454" t="s">
        <v>308</v>
      </c>
      <c r="S103" s="454"/>
    </row>
    <row r="104" spans="1:19">
      <c r="A104" s="414" t="s">
        <v>1394</v>
      </c>
      <c r="B104" s="206">
        <v>36080</v>
      </c>
      <c r="C104" s="445">
        <v>3</v>
      </c>
      <c r="D104" s="446" t="s">
        <v>245</v>
      </c>
      <c r="E104" s="447" t="s">
        <v>249</v>
      </c>
      <c r="F104" s="448" t="s">
        <v>308</v>
      </c>
      <c r="G104" s="449">
        <v>41354</v>
      </c>
      <c r="H104" s="449">
        <v>41026</v>
      </c>
      <c r="I104" s="449"/>
      <c r="J104" s="450">
        <v>0</v>
      </c>
      <c r="K104" s="449">
        <v>41052</v>
      </c>
      <c r="L104" s="449"/>
      <c r="M104" s="450">
        <v>0</v>
      </c>
      <c r="N104" s="451" t="s">
        <v>1382</v>
      </c>
      <c r="O104" s="114" t="s">
        <v>370</v>
      </c>
      <c r="P104" s="452" t="s">
        <v>1305</v>
      </c>
      <c r="Q104" s="453"/>
      <c r="R104" s="454" t="s">
        <v>308</v>
      </c>
      <c r="S104" s="454"/>
    </row>
    <row r="105" spans="1:19">
      <c r="A105" s="414" t="s">
        <v>1384</v>
      </c>
      <c r="B105" s="206">
        <v>36045</v>
      </c>
      <c r="C105" s="445">
        <v>3</v>
      </c>
      <c r="D105" s="446" t="s">
        <v>245</v>
      </c>
      <c r="E105" s="447" t="s">
        <v>249</v>
      </c>
      <c r="F105" s="448" t="s">
        <v>308</v>
      </c>
      <c r="G105" s="449">
        <v>41351</v>
      </c>
      <c r="H105" s="449">
        <v>41026</v>
      </c>
      <c r="I105" s="449"/>
      <c r="J105" s="450">
        <v>0</v>
      </c>
      <c r="K105" s="449">
        <v>41052</v>
      </c>
      <c r="L105" s="449"/>
      <c r="M105" s="450">
        <v>0</v>
      </c>
      <c r="N105" s="451" t="s">
        <v>1382</v>
      </c>
      <c r="O105" s="114" t="s">
        <v>370</v>
      </c>
      <c r="P105" s="452" t="s">
        <v>1220</v>
      </c>
      <c r="Q105" s="453"/>
      <c r="R105" s="454" t="s">
        <v>308</v>
      </c>
      <c r="S105" s="454"/>
    </row>
    <row r="106" spans="1:19">
      <c r="A106" s="414" t="s">
        <v>1398</v>
      </c>
      <c r="B106" s="206">
        <v>36088</v>
      </c>
      <c r="C106" s="445">
        <v>3</v>
      </c>
      <c r="D106" s="446" t="s">
        <v>245</v>
      </c>
      <c r="E106" s="447" t="s">
        <v>249</v>
      </c>
      <c r="F106" s="448" t="s">
        <v>308</v>
      </c>
      <c r="G106" s="449">
        <v>41355</v>
      </c>
      <c r="H106" s="449">
        <v>41026</v>
      </c>
      <c r="I106" s="449"/>
      <c r="J106" s="450">
        <v>0</v>
      </c>
      <c r="K106" s="449">
        <v>41052</v>
      </c>
      <c r="L106" s="449"/>
      <c r="M106" s="450">
        <v>0</v>
      </c>
      <c r="N106" s="451" t="s">
        <v>1399</v>
      </c>
      <c r="O106" s="114" t="s">
        <v>370</v>
      </c>
      <c r="P106" s="452" t="s">
        <v>1319</v>
      </c>
      <c r="Q106" s="453"/>
      <c r="R106" s="454" t="s">
        <v>308</v>
      </c>
      <c r="S106" s="454"/>
    </row>
    <row r="107" spans="1:19">
      <c r="A107" s="414" t="s">
        <v>1459</v>
      </c>
      <c r="B107" s="206">
        <v>36352</v>
      </c>
      <c r="C107" s="445">
        <v>2</v>
      </c>
      <c r="D107" s="446" t="s">
        <v>245</v>
      </c>
      <c r="E107" s="447" t="s">
        <v>249</v>
      </c>
      <c r="F107" s="448" t="s">
        <v>308</v>
      </c>
      <c r="G107" s="449">
        <v>41382</v>
      </c>
      <c r="H107" s="449">
        <v>41026</v>
      </c>
      <c r="I107" s="449"/>
      <c r="J107" s="450">
        <v>0</v>
      </c>
      <c r="K107" s="449">
        <v>41052</v>
      </c>
      <c r="L107" s="449"/>
      <c r="M107" s="450">
        <v>0</v>
      </c>
      <c r="N107" s="451" t="s">
        <v>1428</v>
      </c>
      <c r="O107" s="114" t="s">
        <v>370</v>
      </c>
      <c r="P107" s="452" t="s">
        <v>1267</v>
      </c>
      <c r="Q107" s="453"/>
      <c r="R107" s="454" t="s">
        <v>308</v>
      </c>
      <c r="S107" s="454"/>
    </row>
    <row r="108" spans="1:19">
      <c r="A108" s="414" t="s">
        <v>1431</v>
      </c>
      <c r="B108" s="206">
        <v>36256</v>
      </c>
      <c r="C108" s="445">
        <v>2</v>
      </c>
      <c r="D108" s="446" t="s">
        <v>245</v>
      </c>
      <c r="E108" s="447" t="s">
        <v>249</v>
      </c>
      <c r="F108" s="448" t="s">
        <v>308</v>
      </c>
      <c r="G108" s="449">
        <v>41374</v>
      </c>
      <c r="H108" s="449">
        <v>41026</v>
      </c>
      <c r="I108" s="449"/>
      <c r="J108" s="450">
        <v>0</v>
      </c>
      <c r="K108" s="449">
        <v>41052</v>
      </c>
      <c r="L108" s="449"/>
      <c r="M108" s="450">
        <v>0</v>
      </c>
      <c r="N108" s="451" t="s">
        <v>1432</v>
      </c>
      <c r="O108" s="114" t="s">
        <v>370</v>
      </c>
      <c r="P108" s="452" t="s">
        <v>1366</v>
      </c>
      <c r="Q108" s="453"/>
      <c r="R108" s="454" t="s">
        <v>308</v>
      </c>
      <c r="S108" s="454"/>
    </row>
    <row r="109" spans="1:19">
      <c r="A109" s="414" t="s">
        <v>1464</v>
      </c>
      <c r="B109" s="206">
        <v>36376</v>
      </c>
      <c r="C109" s="445">
        <v>2</v>
      </c>
      <c r="D109" s="446" t="s">
        <v>245</v>
      </c>
      <c r="E109" s="447" t="s">
        <v>249</v>
      </c>
      <c r="F109" s="448" t="s">
        <v>308</v>
      </c>
      <c r="G109" s="449">
        <v>41386</v>
      </c>
      <c r="H109" s="449">
        <v>41026</v>
      </c>
      <c r="I109" s="449"/>
      <c r="J109" s="450">
        <v>0</v>
      </c>
      <c r="K109" s="449">
        <v>41052</v>
      </c>
      <c r="L109" s="449"/>
      <c r="M109" s="450">
        <v>0</v>
      </c>
      <c r="N109" s="451" t="s">
        <v>1417</v>
      </c>
      <c r="O109" s="114" t="s">
        <v>370</v>
      </c>
      <c r="P109" s="452" t="s">
        <v>1319</v>
      </c>
      <c r="Q109" s="453"/>
      <c r="R109" s="454" t="s">
        <v>308</v>
      </c>
      <c r="S109" s="454"/>
    </row>
    <row r="110" spans="1:19">
      <c r="A110" s="414" t="s">
        <v>1416</v>
      </c>
      <c r="B110" s="206">
        <v>36160</v>
      </c>
      <c r="C110" s="445">
        <v>3</v>
      </c>
      <c r="D110" s="446" t="s">
        <v>245</v>
      </c>
      <c r="E110" s="447" t="s">
        <v>249</v>
      </c>
      <c r="F110" s="448" t="s">
        <v>308</v>
      </c>
      <c r="G110" s="449">
        <v>41368</v>
      </c>
      <c r="H110" s="449">
        <v>41026</v>
      </c>
      <c r="I110" s="449"/>
      <c r="J110" s="450">
        <v>0</v>
      </c>
      <c r="K110" s="449">
        <v>41052</v>
      </c>
      <c r="L110" s="449"/>
      <c r="M110" s="450">
        <v>0</v>
      </c>
      <c r="N110" s="451" t="s">
        <v>1417</v>
      </c>
      <c r="O110" s="114" t="s">
        <v>370</v>
      </c>
      <c r="P110" s="452" t="s">
        <v>1319</v>
      </c>
      <c r="Q110" s="453"/>
      <c r="R110" s="454" t="s">
        <v>308</v>
      </c>
      <c r="S110" s="454"/>
    </row>
    <row r="111" spans="1:19">
      <c r="A111" s="414" t="s">
        <v>1469</v>
      </c>
      <c r="B111" s="206">
        <v>36419</v>
      </c>
      <c r="C111" s="445">
        <v>3</v>
      </c>
      <c r="D111" s="446" t="s">
        <v>245</v>
      </c>
      <c r="E111" s="447" t="s">
        <v>249</v>
      </c>
      <c r="F111" s="448" t="s">
        <v>308</v>
      </c>
      <c r="G111" s="449">
        <v>41389</v>
      </c>
      <c r="H111" s="449">
        <v>41026</v>
      </c>
      <c r="I111" s="449"/>
      <c r="J111" s="450">
        <v>0</v>
      </c>
      <c r="K111" s="449">
        <v>41052</v>
      </c>
      <c r="L111" s="449"/>
      <c r="M111" s="450">
        <v>0</v>
      </c>
      <c r="N111" s="451" t="s">
        <v>1417</v>
      </c>
      <c r="O111" s="114" t="s">
        <v>370</v>
      </c>
      <c r="P111" s="452" t="s">
        <v>1319</v>
      </c>
      <c r="Q111" s="453"/>
      <c r="R111" s="454" t="s">
        <v>308</v>
      </c>
      <c r="S111" s="454"/>
    </row>
    <row r="112" spans="1:19">
      <c r="A112" s="414" t="s">
        <v>1438</v>
      </c>
      <c r="B112" s="206">
        <v>36293</v>
      </c>
      <c r="C112" s="445">
        <v>2</v>
      </c>
      <c r="D112" s="446" t="s">
        <v>245</v>
      </c>
      <c r="E112" s="447" t="s">
        <v>249</v>
      </c>
      <c r="F112" s="448" t="s">
        <v>308</v>
      </c>
      <c r="G112" s="449">
        <v>41376</v>
      </c>
      <c r="H112" s="449">
        <v>41026</v>
      </c>
      <c r="I112" s="449"/>
      <c r="J112" s="450">
        <v>0</v>
      </c>
      <c r="K112" s="449">
        <v>41052</v>
      </c>
      <c r="L112" s="449"/>
      <c r="M112" s="450">
        <v>0</v>
      </c>
      <c r="N112" s="451" t="s">
        <v>1417</v>
      </c>
      <c r="O112" s="114" t="s">
        <v>370</v>
      </c>
      <c r="P112" s="452" t="s">
        <v>1366</v>
      </c>
      <c r="Q112" s="453"/>
      <c r="R112" s="454" t="s">
        <v>308</v>
      </c>
      <c r="S112" s="454"/>
    </row>
    <row r="113" spans="1:19">
      <c r="A113" s="414" t="s">
        <v>1424</v>
      </c>
      <c r="B113" s="206">
        <v>52</v>
      </c>
      <c r="C113" s="445">
        <v>2</v>
      </c>
      <c r="D113" s="446" t="s">
        <v>245</v>
      </c>
      <c r="E113" s="447" t="s">
        <v>249</v>
      </c>
      <c r="F113" s="448" t="s">
        <v>308</v>
      </c>
      <c r="G113" s="449">
        <v>41373</v>
      </c>
      <c r="H113" s="449">
        <v>41026</v>
      </c>
      <c r="I113" s="449"/>
      <c r="J113" s="450">
        <v>0</v>
      </c>
      <c r="K113" s="449">
        <v>41052</v>
      </c>
      <c r="L113" s="449"/>
      <c r="M113" s="450">
        <v>0</v>
      </c>
      <c r="N113" s="451" t="s">
        <v>1417</v>
      </c>
      <c r="O113" s="114" t="s">
        <v>370</v>
      </c>
      <c r="P113" s="452" t="s">
        <v>1305</v>
      </c>
      <c r="Q113" s="453"/>
      <c r="R113" s="454" t="s">
        <v>308</v>
      </c>
      <c r="S113" s="454"/>
    </row>
    <row r="114" spans="1:19">
      <c r="A114" s="414" t="s">
        <v>1427</v>
      </c>
      <c r="B114" s="206">
        <v>36194</v>
      </c>
      <c r="C114" s="445">
        <v>2</v>
      </c>
      <c r="D114" s="446" t="s">
        <v>245</v>
      </c>
      <c r="E114" s="447" t="s">
        <v>249</v>
      </c>
      <c r="F114" s="448" t="s">
        <v>308</v>
      </c>
      <c r="G114" s="449">
        <v>41374</v>
      </c>
      <c r="H114" s="449">
        <v>41026</v>
      </c>
      <c r="I114" s="449"/>
      <c r="J114" s="450">
        <v>0</v>
      </c>
      <c r="K114" s="449">
        <v>41052</v>
      </c>
      <c r="L114" s="449"/>
      <c r="M114" s="450">
        <v>0</v>
      </c>
      <c r="N114" s="451" t="s">
        <v>1428</v>
      </c>
      <c r="O114" s="114" t="s">
        <v>370</v>
      </c>
      <c r="P114" s="452" t="s">
        <v>1305</v>
      </c>
      <c r="Q114" s="453"/>
      <c r="R114" s="454" t="s">
        <v>308</v>
      </c>
      <c r="S114" s="454"/>
    </row>
    <row r="115" spans="1:19">
      <c r="A115" s="414" t="s">
        <v>1429</v>
      </c>
      <c r="B115" s="206">
        <v>36255</v>
      </c>
      <c r="C115" s="445">
        <v>3</v>
      </c>
      <c r="D115" s="446" t="s">
        <v>245</v>
      </c>
      <c r="E115" s="447" t="s">
        <v>249</v>
      </c>
      <c r="F115" s="448" t="s">
        <v>308</v>
      </c>
      <c r="G115" s="449">
        <v>41374</v>
      </c>
      <c r="H115" s="449">
        <v>41026</v>
      </c>
      <c r="I115" s="449"/>
      <c r="J115" s="450">
        <v>0</v>
      </c>
      <c r="K115" s="449">
        <v>41052</v>
      </c>
      <c r="L115" s="449"/>
      <c r="M115" s="450">
        <v>0</v>
      </c>
      <c r="N115" s="451" t="s">
        <v>1430</v>
      </c>
      <c r="O115" s="114" t="s">
        <v>370</v>
      </c>
      <c r="P115" s="452" t="s">
        <v>1366</v>
      </c>
      <c r="Q115" s="453"/>
      <c r="R115" s="454" t="s">
        <v>308</v>
      </c>
      <c r="S115" s="454"/>
    </row>
    <row r="116" spans="1:19">
      <c r="A116" s="414" t="s">
        <v>1436</v>
      </c>
      <c r="B116" s="206">
        <v>36291</v>
      </c>
      <c r="C116" s="445">
        <v>1</v>
      </c>
      <c r="D116" s="446" t="s">
        <v>245</v>
      </c>
      <c r="E116" s="447" t="s">
        <v>249</v>
      </c>
      <c r="F116" s="448" t="s">
        <v>308</v>
      </c>
      <c r="G116" s="449">
        <v>41376</v>
      </c>
      <c r="H116" s="449">
        <v>41026</v>
      </c>
      <c r="I116" s="449"/>
      <c r="J116" s="450">
        <v>0</v>
      </c>
      <c r="K116" s="449">
        <v>41052</v>
      </c>
      <c r="L116" s="449"/>
      <c r="M116" s="450">
        <v>0</v>
      </c>
      <c r="N116" s="451" t="s">
        <v>1437</v>
      </c>
      <c r="O116" s="114" t="s">
        <v>370</v>
      </c>
      <c r="P116" s="452" t="s">
        <v>1294</v>
      </c>
      <c r="Q116" s="453"/>
      <c r="R116" s="454" t="s">
        <v>308</v>
      </c>
      <c r="S116" s="454"/>
    </row>
    <row r="117" spans="1:19">
      <c r="A117" s="414" t="s">
        <v>1452</v>
      </c>
      <c r="B117" s="206">
        <v>36336</v>
      </c>
      <c r="C117" s="445">
        <v>2</v>
      </c>
      <c r="D117" s="446" t="s">
        <v>245</v>
      </c>
      <c r="E117" s="447" t="s">
        <v>249</v>
      </c>
      <c r="F117" s="448" t="s">
        <v>308</v>
      </c>
      <c r="G117" s="449">
        <v>41382</v>
      </c>
      <c r="H117" s="449">
        <v>41026</v>
      </c>
      <c r="I117" s="449"/>
      <c r="J117" s="450">
        <v>0</v>
      </c>
      <c r="K117" s="449">
        <v>41052</v>
      </c>
      <c r="L117" s="449"/>
      <c r="M117" s="450">
        <v>0</v>
      </c>
      <c r="N117" s="451" t="s">
        <v>1428</v>
      </c>
      <c r="O117" s="114" t="s">
        <v>370</v>
      </c>
      <c r="P117" s="452" t="s">
        <v>1366</v>
      </c>
      <c r="Q117" s="453"/>
      <c r="R117" s="454" t="s">
        <v>308</v>
      </c>
      <c r="S117" s="454"/>
    </row>
    <row r="118" spans="1:19">
      <c r="A118" s="414" t="s">
        <v>1468</v>
      </c>
      <c r="B118" s="206">
        <v>36408</v>
      </c>
      <c r="C118" s="445">
        <v>2</v>
      </c>
      <c r="D118" s="446" t="s">
        <v>245</v>
      </c>
      <c r="E118" s="447" t="s">
        <v>249</v>
      </c>
      <c r="F118" s="448" t="s">
        <v>308</v>
      </c>
      <c r="G118" s="449">
        <v>41388</v>
      </c>
      <c r="H118" s="449">
        <v>41026</v>
      </c>
      <c r="I118" s="449"/>
      <c r="J118" s="450">
        <v>0</v>
      </c>
      <c r="K118" s="449">
        <v>41052</v>
      </c>
      <c r="L118" s="449"/>
      <c r="M118" s="450">
        <v>0</v>
      </c>
      <c r="N118" s="451" t="s">
        <v>1467</v>
      </c>
      <c r="O118" s="114" t="s">
        <v>370</v>
      </c>
      <c r="P118" s="452" t="s">
        <v>907</v>
      </c>
      <c r="Q118" s="453"/>
      <c r="R118" s="454" t="s">
        <v>308</v>
      </c>
      <c r="S118" s="454"/>
    </row>
    <row r="119" spans="1:19">
      <c r="A119" s="414" t="s">
        <v>1466</v>
      </c>
      <c r="B119" s="206">
        <v>36405</v>
      </c>
      <c r="C119" s="445">
        <v>2</v>
      </c>
      <c r="D119" s="446" t="s">
        <v>245</v>
      </c>
      <c r="E119" s="447" t="s">
        <v>249</v>
      </c>
      <c r="F119" s="448" t="s">
        <v>308</v>
      </c>
      <c r="G119" s="449">
        <v>41388</v>
      </c>
      <c r="H119" s="449">
        <v>41026</v>
      </c>
      <c r="I119" s="449"/>
      <c r="J119" s="450">
        <v>0</v>
      </c>
      <c r="K119" s="449">
        <v>41052</v>
      </c>
      <c r="L119" s="449"/>
      <c r="M119" s="450">
        <v>0</v>
      </c>
      <c r="N119" s="451" t="s">
        <v>1467</v>
      </c>
      <c r="O119" s="114" t="s">
        <v>370</v>
      </c>
      <c r="P119" s="452" t="s">
        <v>907</v>
      </c>
      <c r="Q119" s="453"/>
      <c r="R119" s="454" t="s">
        <v>308</v>
      </c>
      <c r="S119" s="454"/>
    </row>
    <row r="120" spans="1:19">
      <c r="A120" s="414" t="s">
        <v>1509</v>
      </c>
      <c r="B120" s="206">
        <v>36643</v>
      </c>
      <c r="C120" s="445">
        <v>2</v>
      </c>
      <c r="D120" s="446" t="s">
        <v>245</v>
      </c>
      <c r="E120" s="447" t="s">
        <v>249</v>
      </c>
      <c r="F120" s="448" t="s">
        <v>308</v>
      </c>
      <c r="G120" s="449">
        <v>41424</v>
      </c>
      <c r="H120" s="449">
        <v>41026</v>
      </c>
      <c r="I120" s="449"/>
      <c r="J120" s="450">
        <v>0</v>
      </c>
      <c r="K120" s="449">
        <v>41052</v>
      </c>
      <c r="L120" s="449"/>
      <c r="M120" s="450">
        <v>0</v>
      </c>
      <c r="N120" s="451" t="s">
        <v>1510</v>
      </c>
      <c r="O120" s="114" t="s">
        <v>370</v>
      </c>
      <c r="P120" s="452" t="s">
        <v>1511</v>
      </c>
      <c r="Q120" s="453"/>
      <c r="R120" s="454" t="s">
        <v>308</v>
      </c>
      <c r="S120" s="454"/>
    </row>
    <row r="121" spans="1:19">
      <c r="A121" s="414" t="s">
        <v>1506</v>
      </c>
      <c r="B121" s="206">
        <v>36612</v>
      </c>
      <c r="C121" s="445">
        <v>3</v>
      </c>
      <c r="D121" s="446" t="s">
        <v>245</v>
      </c>
      <c r="E121" s="447" t="s">
        <v>249</v>
      </c>
      <c r="F121" s="448" t="s">
        <v>308</v>
      </c>
      <c r="G121" s="449">
        <v>41421</v>
      </c>
      <c r="H121" s="449">
        <v>41026</v>
      </c>
      <c r="I121" s="449"/>
      <c r="J121" s="450">
        <v>0</v>
      </c>
      <c r="K121" s="449">
        <v>41052</v>
      </c>
      <c r="L121" s="449"/>
      <c r="M121" s="450">
        <v>0</v>
      </c>
      <c r="N121" s="451" t="s">
        <v>1507</v>
      </c>
      <c r="O121" s="114" t="s">
        <v>370</v>
      </c>
      <c r="P121" s="452" t="s">
        <v>1267</v>
      </c>
      <c r="Q121" s="453"/>
      <c r="R121" s="454" t="s">
        <v>308</v>
      </c>
      <c r="S121" s="454"/>
    </row>
    <row r="122" spans="1:19">
      <c r="A122" s="414" t="s">
        <v>1521</v>
      </c>
      <c r="B122" s="206">
        <v>36684</v>
      </c>
      <c r="C122" s="445">
        <v>3</v>
      </c>
      <c r="D122" s="446" t="s">
        <v>245</v>
      </c>
      <c r="E122" s="447" t="s">
        <v>249</v>
      </c>
      <c r="F122" s="448" t="s">
        <v>308</v>
      </c>
      <c r="G122" s="449">
        <v>41431</v>
      </c>
      <c r="H122" s="449">
        <v>41026</v>
      </c>
      <c r="I122" s="449"/>
      <c r="J122" s="450">
        <v>0</v>
      </c>
      <c r="K122" s="449">
        <v>41052</v>
      </c>
      <c r="L122" s="449"/>
      <c r="M122" s="450">
        <v>0</v>
      </c>
      <c r="N122" s="451" t="s">
        <v>1522</v>
      </c>
      <c r="O122" s="114" t="s">
        <v>370</v>
      </c>
      <c r="P122" s="452" t="s">
        <v>1523</v>
      </c>
      <c r="Q122" s="453"/>
      <c r="R122" s="454" t="s">
        <v>308</v>
      </c>
      <c r="S122" s="454"/>
    </row>
    <row r="123" spans="1:19">
      <c r="A123" s="414" t="s">
        <v>1525</v>
      </c>
      <c r="B123" s="206">
        <v>36695</v>
      </c>
      <c r="C123" s="445">
        <v>3</v>
      </c>
      <c r="D123" s="446" t="s">
        <v>245</v>
      </c>
      <c r="E123" s="447" t="s">
        <v>249</v>
      </c>
      <c r="F123" s="448" t="s">
        <v>308</v>
      </c>
      <c r="G123" s="449">
        <v>41432</v>
      </c>
      <c r="H123" s="449">
        <v>41026</v>
      </c>
      <c r="I123" s="449"/>
      <c r="J123" s="450">
        <v>0</v>
      </c>
      <c r="K123" s="449">
        <v>41052</v>
      </c>
      <c r="L123" s="449"/>
      <c r="M123" s="450">
        <v>0</v>
      </c>
      <c r="N123" s="451" t="s">
        <v>1522</v>
      </c>
      <c r="O123" s="114" t="s">
        <v>370</v>
      </c>
      <c r="P123" s="452" t="s">
        <v>1523</v>
      </c>
      <c r="Q123" s="453"/>
      <c r="R123" s="454" t="s">
        <v>308</v>
      </c>
      <c r="S123" s="454"/>
    </row>
    <row r="124" spans="1:19">
      <c r="A124" s="414" t="s">
        <v>1541</v>
      </c>
      <c r="B124" s="206">
        <v>36753</v>
      </c>
      <c r="C124" s="445">
        <v>3</v>
      </c>
      <c r="D124" s="446" t="s">
        <v>245</v>
      </c>
      <c r="E124" s="447" t="s">
        <v>249</v>
      </c>
      <c r="F124" s="448" t="s">
        <v>308</v>
      </c>
      <c r="G124" s="449">
        <v>41442</v>
      </c>
      <c r="H124" s="449">
        <v>41026</v>
      </c>
      <c r="I124" s="449"/>
      <c r="J124" s="450">
        <v>0</v>
      </c>
      <c r="K124" s="449">
        <v>41052</v>
      </c>
      <c r="L124" s="449"/>
      <c r="M124" s="450">
        <v>0</v>
      </c>
      <c r="N124" s="451" t="s">
        <v>1522</v>
      </c>
      <c r="O124" s="114" t="s">
        <v>370</v>
      </c>
      <c r="P124" s="452" t="s">
        <v>1540</v>
      </c>
      <c r="Q124" s="453"/>
      <c r="R124" s="454" t="s">
        <v>308</v>
      </c>
      <c r="S124" s="454"/>
    </row>
    <row r="125" spans="1:19">
      <c r="A125" s="414" t="s">
        <v>1542</v>
      </c>
      <c r="B125" s="206">
        <v>36754</v>
      </c>
      <c r="C125" s="445">
        <v>3</v>
      </c>
      <c r="D125" s="446" t="s">
        <v>245</v>
      </c>
      <c r="E125" s="447" t="s">
        <v>249</v>
      </c>
      <c r="F125" s="448" t="s">
        <v>308</v>
      </c>
      <c r="G125" s="449">
        <v>41442</v>
      </c>
      <c r="H125" s="449">
        <v>41026</v>
      </c>
      <c r="I125" s="449"/>
      <c r="J125" s="450">
        <v>0</v>
      </c>
      <c r="K125" s="449">
        <v>41052</v>
      </c>
      <c r="L125" s="449"/>
      <c r="M125" s="450">
        <v>0</v>
      </c>
      <c r="N125" s="451" t="s">
        <v>1522</v>
      </c>
      <c r="O125" s="114" t="s">
        <v>370</v>
      </c>
      <c r="P125" s="452" t="s">
        <v>1540</v>
      </c>
      <c r="Q125" s="453"/>
      <c r="R125" s="454" t="s">
        <v>308</v>
      </c>
      <c r="S125" s="454"/>
    </row>
    <row r="126" spans="1:19">
      <c r="A126" s="414" t="s">
        <v>1539</v>
      </c>
      <c r="B126" s="206">
        <v>36752</v>
      </c>
      <c r="C126" s="445">
        <v>3</v>
      </c>
      <c r="D126" s="446" t="s">
        <v>245</v>
      </c>
      <c r="E126" s="447" t="s">
        <v>249</v>
      </c>
      <c r="F126" s="448" t="s">
        <v>308</v>
      </c>
      <c r="G126" s="449">
        <v>41442</v>
      </c>
      <c r="H126" s="449">
        <v>41026</v>
      </c>
      <c r="I126" s="449"/>
      <c r="J126" s="450">
        <v>0</v>
      </c>
      <c r="K126" s="449">
        <v>41052</v>
      </c>
      <c r="L126" s="449"/>
      <c r="M126" s="450">
        <v>0</v>
      </c>
      <c r="N126" s="451" t="s">
        <v>1522</v>
      </c>
      <c r="O126" s="114" t="s">
        <v>370</v>
      </c>
      <c r="P126" s="452" t="s">
        <v>1540</v>
      </c>
      <c r="Q126" s="453"/>
      <c r="R126" s="454" t="s">
        <v>308</v>
      </c>
      <c r="S126" s="454"/>
    </row>
    <row r="127" spans="1:19">
      <c r="A127" s="414" t="s">
        <v>1543</v>
      </c>
      <c r="B127" s="206">
        <v>36755</v>
      </c>
      <c r="C127" s="445">
        <v>3</v>
      </c>
      <c r="D127" s="446" t="s">
        <v>245</v>
      </c>
      <c r="E127" s="447" t="s">
        <v>249</v>
      </c>
      <c r="F127" s="448" t="s">
        <v>308</v>
      </c>
      <c r="G127" s="449">
        <v>41442</v>
      </c>
      <c r="H127" s="449">
        <v>41026</v>
      </c>
      <c r="I127" s="449"/>
      <c r="J127" s="450">
        <v>0</v>
      </c>
      <c r="K127" s="449">
        <v>41052</v>
      </c>
      <c r="L127" s="449"/>
      <c r="M127" s="450">
        <v>0</v>
      </c>
      <c r="N127" s="451" t="s">
        <v>1522</v>
      </c>
      <c r="O127" s="114" t="s">
        <v>370</v>
      </c>
      <c r="P127" s="452" t="s">
        <v>1540</v>
      </c>
      <c r="Q127" s="453"/>
      <c r="R127" s="454" t="s">
        <v>308</v>
      </c>
      <c r="S127" s="454"/>
    </row>
    <row r="128" spans="1:19">
      <c r="A128" s="414" t="s">
        <v>1538</v>
      </c>
      <c r="B128" s="206">
        <v>36751</v>
      </c>
      <c r="C128" s="445">
        <v>2</v>
      </c>
      <c r="D128" s="446" t="s">
        <v>245</v>
      </c>
      <c r="E128" s="447" t="s">
        <v>249</v>
      </c>
      <c r="F128" s="448" t="s">
        <v>308</v>
      </c>
      <c r="G128" s="449">
        <v>41442</v>
      </c>
      <c r="H128" s="449">
        <v>41026</v>
      </c>
      <c r="I128" s="449"/>
      <c r="J128" s="450">
        <v>0</v>
      </c>
      <c r="K128" s="449">
        <v>41052</v>
      </c>
      <c r="L128" s="449"/>
      <c r="M128" s="450">
        <v>0</v>
      </c>
      <c r="N128" s="451" t="s">
        <v>1522</v>
      </c>
      <c r="O128" s="114" t="s">
        <v>370</v>
      </c>
      <c r="P128" s="452" t="s">
        <v>1511</v>
      </c>
      <c r="Q128" s="453"/>
      <c r="R128" s="454" t="s">
        <v>308</v>
      </c>
      <c r="S128" s="454"/>
    </row>
    <row r="129" spans="1:19">
      <c r="A129" s="414" t="s">
        <v>1554</v>
      </c>
      <c r="B129" s="206">
        <v>36790</v>
      </c>
      <c r="C129" s="445">
        <v>3</v>
      </c>
      <c r="D129" s="446" t="s">
        <v>245</v>
      </c>
      <c r="E129" s="447" t="s">
        <v>249</v>
      </c>
      <c r="F129" s="448" t="s">
        <v>308</v>
      </c>
      <c r="G129" s="449">
        <v>41445</v>
      </c>
      <c r="H129" s="449">
        <v>41026</v>
      </c>
      <c r="I129" s="449"/>
      <c r="J129" s="450">
        <v>0</v>
      </c>
      <c r="K129" s="449">
        <v>41052</v>
      </c>
      <c r="L129" s="449"/>
      <c r="M129" s="450">
        <v>0</v>
      </c>
      <c r="N129" s="451" t="s">
        <v>1522</v>
      </c>
      <c r="O129" s="114" t="s">
        <v>370</v>
      </c>
      <c r="P129" s="452" t="s">
        <v>1523</v>
      </c>
      <c r="Q129" s="453"/>
      <c r="R129" s="454" t="s">
        <v>308</v>
      </c>
      <c r="S129" s="454"/>
    </row>
    <row r="130" spans="1:19">
      <c r="A130" s="414" t="s">
        <v>1544</v>
      </c>
      <c r="B130" s="206">
        <v>36774</v>
      </c>
      <c r="C130" s="445">
        <v>2</v>
      </c>
      <c r="D130" s="446" t="s">
        <v>245</v>
      </c>
      <c r="E130" s="447" t="s">
        <v>249</v>
      </c>
      <c r="F130" s="448" t="s">
        <v>308</v>
      </c>
      <c r="G130" s="449">
        <v>41443</v>
      </c>
      <c r="H130" s="449">
        <v>41026</v>
      </c>
      <c r="I130" s="449"/>
      <c r="J130" s="450">
        <v>0</v>
      </c>
      <c r="K130" s="449">
        <v>41052</v>
      </c>
      <c r="L130" s="449"/>
      <c r="M130" s="450">
        <v>0</v>
      </c>
      <c r="N130" s="451" t="s">
        <v>1522</v>
      </c>
      <c r="O130" s="114" t="s">
        <v>370</v>
      </c>
      <c r="P130" s="452" t="s">
        <v>1523</v>
      </c>
      <c r="Q130" s="453"/>
      <c r="R130" s="454" t="s">
        <v>308</v>
      </c>
      <c r="S130" s="454"/>
    </row>
    <row r="131" spans="1:19">
      <c r="A131" s="414" t="s">
        <v>1556</v>
      </c>
      <c r="B131" s="206">
        <v>36808</v>
      </c>
      <c r="C131" s="445">
        <v>2</v>
      </c>
      <c r="D131" s="446" t="s">
        <v>245</v>
      </c>
      <c r="E131" s="447" t="s">
        <v>249</v>
      </c>
      <c r="F131" s="448" t="s">
        <v>308</v>
      </c>
      <c r="G131" s="449">
        <v>41449</v>
      </c>
      <c r="H131" s="449">
        <v>41026</v>
      </c>
      <c r="I131" s="449"/>
      <c r="J131" s="450">
        <v>0</v>
      </c>
      <c r="K131" s="449">
        <v>41052</v>
      </c>
      <c r="L131" s="449"/>
      <c r="M131" s="450">
        <v>0</v>
      </c>
      <c r="N131" s="451" t="s">
        <v>1522</v>
      </c>
      <c r="O131" s="114" t="s">
        <v>370</v>
      </c>
      <c r="P131" s="452" t="s">
        <v>1511</v>
      </c>
      <c r="Q131" s="453"/>
      <c r="R131" s="454" t="s">
        <v>308</v>
      </c>
      <c r="S131" s="454"/>
    </row>
    <row r="132" spans="1:19">
      <c r="A132" s="414" t="s">
        <v>1555</v>
      </c>
      <c r="B132" s="206">
        <v>36805</v>
      </c>
      <c r="C132" s="445">
        <v>3</v>
      </c>
      <c r="D132" s="446" t="s">
        <v>245</v>
      </c>
      <c r="E132" s="447" t="s">
        <v>249</v>
      </c>
      <c r="F132" s="448" t="s">
        <v>308</v>
      </c>
      <c r="G132" s="449">
        <v>41449</v>
      </c>
      <c r="H132" s="449">
        <v>41026</v>
      </c>
      <c r="I132" s="449"/>
      <c r="J132" s="450">
        <v>0</v>
      </c>
      <c r="K132" s="449">
        <v>41052</v>
      </c>
      <c r="L132" s="449"/>
      <c r="M132" s="450">
        <v>0</v>
      </c>
      <c r="N132" s="451" t="s">
        <v>1522</v>
      </c>
      <c r="O132" s="114" t="s">
        <v>370</v>
      </c>
      <c r="P132" s="452" t="s">
        <v>1267</v>
      </c>
      <c r="Q132" s="453"/>
      <c r="R132" s="454" t="s">
        <v>308</v>
      </c>
      <c r="S132" s="454"/>
    </row>
    <row r="133" spans="1:19">
      <c r="A133" s="414" t="s">
        <v>1562</v>
      </c>
      <c r="B133" s="206">
        <v>36863</v>
      </c>
      <c r="C133" s="445">
        <v>2</v>
      </c>
      <c r="D133" s="446" t="s">
        <v>245</v>
      </c>
      <c r="E133" s="447" t="s">
        <v>249</v>
      </c>
      <c r="F133" s="448" t="s">
        <v>308</v>
      </c>
      <c r="G133" s="449">
        <v>41457</v>
      </c>
      <c r="H133" s="449">
        <v>41026</v>
      </c>
      <c r="I133" s="449"/>
      <c r="J133" s="450">
        <v>0</v>
      </c>
      <c r="K133" s="449">
        <v>41052</v>
      </c>
      <c r="L133" s="449"/>
      <c r="M133" s="450">
        <v>0</v>
      </c>
      <c r="N133" s="451" t="s">
        <v>1522</v>
      </c>
      <c r="O133" s="114" t="s">
        <v>370</v>
      </c>
      <c r="P133" s="452"/>
      <c r="Q133" s="453"/>
      <c r="R133" s="454" t="s">
        <v>308</v>
      </c>
      <c r="S133" s="454"/>
    </row>
    <row r="134" spans="1:19">
      <c r="A134" s="414" t="s">
        <v>1561</v>
      </c>
      <c r="B134" s="206">
        <v>36862</v>
      </c>
      <c r="C134" s="445">
        <v>3</v>
      </c>
      <c r="D134" s="446" t="s">
        <v>245</v>
      </c>
      <c r="E134" s="447" t="s">
        <v>249</v>
      </c>
      <c r="F134" s="448" t="s">
        <v>308</v>
      </c>
      <c r="G134" s="449">
        <v>41457</v>
      </c>
      <c r="H134" s="449">
        <v>41026</v>
      </c>
      <c r="I134" s="449"/>
      <c r="J134" s="450">
        <v>0</v>
      </c>
      <c r="K134" s="449">
        <v>41052</v>
      </c>
      <c r="L134" s="449"/>
      <c r="M134" s="450">
        <v>0</v>
      </c>
      <c r="N134" s="451" t="s">
        <v>1522</v>
      </c>
      <c r="O134" s="114" t="s">
        <v>370</v>
      </c>
      <c r="P134" s="452"/>
      <c r="Q134" s="453"/>
      <c r="R134" s="454" t="s">
        <v>308</v>
      </c>
      <c r="S134" s="454"/>
    </row>
    <row r="135" spans="1:19">
      <c r="A135" s="414" t="s">
        <v>1559</v>
      </c>
      <c r="B135" s="206">
        <v>36859</v>
      </c>
      <c r="C135" s="445">
        <v>3</v>
      </c>
      <c r="D135" s="446" t="s">
        <v>245</v>
      </c>
      <c r="E135" s="447" t="s">
        <v>249</v>
      </c>
      <c r="F135" s="448" t="s">
        <v>308</v>
      </c>
      <c r="G135" s="449">
        <v>41457</v>
      </c>
      <c r="H135" s="449">
        <v>41026</v>
      </c>
      <c r="I135" s="449"/>
      <c r="J135" s="450">
        <v>0</v>
      </c>
      <c r="K135" s="449">
        <v>41052</v>
      </c>
      <c r="L135" s="449"/>
      <c r="M135" s="450">
        <v>0</v>
      </c>
      <c r="N135" s="451" t="s">
        <v>1522</v>
      </c>
      <c r="O135" s="114" t="s">
        <v>370</v>
      </c>
      <c r="P135" s="452" t="s">
        <v>1560</v>
      </c>
      <c r="Q135" s="453"/>
      <c r="R135" s="454" t="s">
        <v>308</v>
      </c>
      <c r="S135" s="454"/>
    </row>
    <row r="136" spans="1:19">
      <c r="A136" s="414" t="s">
        <v>1557</v>
      </c>
      <c r="B136" s="206">
        <v>36820</v>
      </c>
      <c r="C136" s="445">
        <v>1</v>
      </c>
      <c r="D136" s="446" t="s">
        <v>245</v>
      </c>
      <c r="E136" s="447" t="s">
        <v>249</v>
      </c>
      <c r="F136" s="448" t="s">
        <v>308</v>
      </c>
      <c r="G136" s="449">
        <v>41449</v>
      </c>
      <c r="H136" s="449">
        <v>41026</v>
      </c>
      <c r="I136" s="449"/>
      <c r="J136" s="450">
        <v>0</v>
      </c>
      <c r="K136" s="449">
        <v>41052</v>
      </c>
      <c r="L136" s="449"/>
      <c r="M136" s="450">
        <v>0</v>
      </c>
      <c r="N136" s="451" t="s">
        <v>1522</v>
      </c>
      <c r="O136" s="114" t="s">
        <v>370</v>
      </c>
      <c r="P136" s="452" t="s">
        <v>1558</v>
      </c>
      <c r="Q136" s="453"/>
      <c r="R136" s="454" t="s">
        <v>308</v>
      </c>
      <c r="S136" s="454"/>
    </row>
    <row r="137" spans="1:19">
      <c r="A137" s="414" t="s">
        <v>1549</v>
      </c>
      <c r="B137" s="206">
        <v>36785</v>
      </c>
      <c r="C137" s="445">
        <v>1</v>
      </c>
      <c r="D137" s="446" t="s">
        <v>245</v>
      </c>
      <c r="E137" s="447" t="s">
        <v>249</v>
      </c>
      <c r="F137" s="448" t="s">
        <v>308</v>
      </c>
      <c r="G137" s="449">
        <v>41445</v>
      </c>
      <c r="H137" s="449">
        <v>41026</v>
      </c>
      <c r="I137" s="449"/>
      <c r="J137" s="450">
        <v>0</v>
      </c>
      <c r="K137" s="449">
        <v>41052</v>
      </c>
      <c r="L137" s="449"/>
      <c r="M137" s="450">
        <v>0</v>
      </c>
      <c r="N137" s="451" t="s">
        <v>1522</v>
      </c>
      <c r="O137" s="114" t="s">
        <v>370</v>
      </c>
      <c r="P137" s="452" t="s">
        <v>1195</v>
      </c>
      <c r="Q137" s="453"/>
      <c r="R137" s="454" t="s">
        <v>308</v>
      </c>
      <c r="S137" s="454"/>
    </row>
    <row r="138" spans="1:19" ht="140.25">
      <c r="A138" s="414" t="s">
        <v>1582</v>
      </c>
      <c r="B138" s="206">
        <v>36933</v>
      </c>
      <c r="C138" s="445">
        <v>3</v>
      </c>
      <c r="D138" s="446" t="s">
        <v>245</v>
      </c>
      <c r="E138" s="447" t="s">
        <v>249</v>
      </c>
      <c r="F138" s="448" t="s">
        <v>308</v>
      </c>
      <c r="G138" s="449">
        <v>41467</v>
      </c>
      <c r="H138" s="449">
        <v>41026</v>
      </c>
      <c r="I138" s="449"/>
      <c r="J138" s="450">
        <v>0</v>
      </c>
      <c r="K138" s="449">
        <v>41052</v>
      </c>
      <c r="L138" s="449"/>
      <c r="M138" s="450">
        <v>0</v>
      </c>
      <c r="N138" s="451" t="s">
        <v>1577</v>
      </c>
      <c r="O138" s="114" t="s">
        <v>370</v>
      </c>
      <c r="P138" s="473" t="s">
        <v>1583</v>
      </c>
      <c r="Q138" s="453"/>
      <c r="R138" s="454" t="s">
        <v>308</v>
      </c>
      <c r="S138" s="454"/>
    </row>
    <row r="139" spans="1:19">
      <c r="A139" s="414" t="s">
        <v>1581</v>
      </c>
      <c r="B139" s="206">
        <v>36932</v>
      </c>
      <c r="C139" s="445">
        <v>3</v>
      </c>
      <c r="D139" s="446" t="s">
        <v>245</v>
      </c>
      <c r="E139" s="447" t="s">
        <v>249</v>
      </c>
      <c r="F139" s="448" t="s">
        <v>308</v>
      </c>
      <c r="G139" s="449">
        <v>41467</v>
      </c>
      <c r="H139" s="449">
        <v>41026</v>
      </c>
      <c r="I139" s="449"/>
      <c r="J139" s="450">
        <v>0</v>
      </c>
      <c r="K139" s="449">
        <v>41052</v>
      </c>
      <c r="L139" s="449"/>
      <c r="M139" s="450">
        <v>0</v>
      </c>
      <c r="N139" s="451" t="s">
        <v>1577</v>
      </c>
      <c r="O139" s="114" t="s">
        <v>370</v>
      </c>
      <c r="P139" s="452" t="s">
        <v>1511</v>
      </c>
      <c r="Q139" s="453"/>
      <c r="R139" s="454" t="s">
        <v>308</v>
      </c>
      <c r="S139" s="454"/>
    </row>
    <row r="140" spans="1:19">
      <c r="A140" s="414" t="s">
        <v>1596</v>
      </c>
      <c r="B140" s="206">
        <v>36957</v>
      </c>
      <c r="C140" s="445">
        <v>3</v>
      </c>
      <c r="D140" s="446" t="s">
        <v>245</v>
      </c>
      <c r="E140" s="447" t="s">
        <v>249</v>
      </c>
      <c r="F140" s="448" t="s">
        <v>308</v>
      </c>
      <c r="G140" s="449">
        <v>41470</v>
      </c>
      <c r="H140" s="449">
        <v>41026</v>
      </c>
      <c r="I140" s="449"/>
      <c r="J140" s="450">
        <v>0</v>
      </c>
      <c r="K140" s="449">
        <v>41052</v>
      </c>
      <c r="L140" s="449"/>
      <c r="M140" s="450">
        <v>0</v>
      </c>
      <c r="N140" s="451" t="s">
        <v>1577</v>
      </c>
      <c r="O140" s="114" t="s">
        <v>370</v>
      </c>
      <c r="P140" s="452"/>
      <c r="Q140" s="453"/>
      <c r="R140" s="454" t="s">
        <v>308</v>
      </c>
      <c r="S140" s="454"/>
    </row>
    <row r="141" spans="1:19">
      <c r="A141" s="414" t="s">
        <v>1576</v>
      </c>
      <c r="B141" s="206">
        <v>888</v>
      </c>
      <c r="C141" s="445">
        <v>3</v>
      </c>
      <c r="D141" s="446" t="s">
        <v>245</v>
      </c>
      <c r="E141" s="447" t="s">
        <v>249</v>
      </c>
      <c r="F141" s="448" t="s">
        <v>308</v>
      </c>
      <c r="G141" s="449">
        <v>41466</v>
      </c>
      <c r="H141" s="449">
        <v>41026</v>
      </c>
      <c r="I141" s="449"/>
      <c r="J141" s="450">
        <v>0</v>
      </c>
      <c r="K141" s="449">
        <v>41052</v>
      </c>
      <c r="L141" s="449"/>
      <c r="M141" s="450">
        <v>0</v>
      </c>
      <c r="N141" s="451" t="s">
        <v>1577</v>
      </c>
      <c r="O141" s="114" t="s">
        <v>370</v>
      </c>
      <c r="P141" s="452" t="s">
        <v>1575</v>
      </c>
      <c r="Q141" s="453"/>
      <c r="R141" s="454" t="s">
        <v>308</v>
      </c>
      <c r="S141" s="454"/>
    </row>
    <row r="142" spans="1:19">
      <c r="A142" s="414" t="s">
        <v>1586</v>
      </c>
      <c r="B142" s="206">
        <v>36944</v>
      </c>
      <c r="C142" s="445">
        <v>2</v>
      </c>
      <c r="D142" s="446" t="s">
        <v>245</v>
      </c>
      <c r="E142" s="447" t="s">
        <v>249</v>
      </c>
      <c r="F142" s="448" t="s">
        <v>308</v>
      </c>
      <c r="G142" s="449">
        <v>41470</v>
      </c>
      <c r="H142" s="449">
        <v>41026</v>
      </c>
      <c r="I142" s="449"/>
      <c r="J142" s="450">
        <v>0</v>
      </c>
      <c r="K142" s="449">
        <v>41052</v>
      </c>
      <c r="L142" s="449"/>
      <c r="M142" s="450">
        <v>0</v>
      </c>
      <c r="N142" s="451" t="s">
        <v>1577</v>
      </c>
      <c r="O142" s="114" t="s">
        <v>370</v>
      </c>
      <c r="P142" s="452"/>
      <c r="Q142" s="453"/>
      <c r="R142" s="454" t="s">
        <v>308</v>
      </c>
      <c r="S142" s="454"/>
    </row>
    <row r="143" spans="1:19">
      <c r="A143" s="414" t="s">
        <v>1592</v>
      </c>
      <c r="B143" s="206">
        <v>36954</v>
      </c>
      <c r="C143" s="445">
        <v>3</v>
      </c>
      <c r="D143" s="446" t="s">
        <v>245</v>
      </c>
      <c r="E143" s="447" t="s">
        <v>249</v>
      </c>
      <c r="F143" s="448" t="s">
        <v>308</v>
      </c>
      <c r="G143" s="449">
        <v>41470</v>
      </c>
      <c r="H143" s="449">
        <v>41026</v>
      </c>
      <c r="I143" s="449"/>
      <c r="J143" s="450">
        <v>0</v>
      </c>
      <c r="K143" s="449">
        <v>41052</v>
      </c>
      <c r="L143" s="449"/>
      <c r="M143" s="450">
        <v>0</v>
      </c>
      <c r="N143" s="451" t="s">
        <v>1577</v>
      </c>
      <c r="O143" s="114" t="s">
        <v>370</v>
      </c>
      <c r="P143" s="452"/>
      <c r="Q143" s="453"/>
      <c r="R143" s="454" t="s">
        <v>308</v>
      </c>
      <c r="S143" s="454"/>
    </row>
    <row r="144" spans="1:19">
      <c r="A144" s="414" t="s">
        <v>1587</v>
      </c>
      <c r="B144" s="206">
        <v>36945</v>
      </c>
      <c r="C144" s="445">
        <v>3</v>
      </c>
      <c r="D144" s="446" t="s">
        <v>245</v>
      </c>
      <c r="E144" s="447" t="s">
        <v>249</v>
      </c>
      <c r="F144" s="448" t="s">
        <v>308</v>
      </c>
      <c r="G144" s="449">
        <v>41470</v>
      </c>
      <c r="H144" s="449">
        <v>41026</v>
      </c>
      <c r="I144" s="449"/>
      <c r="J144" s="450">
        <v>0</v>
      </c>
      <c r="K144" s="449">
        <v>41052</v>
      </c>
      <c r="L144" s="449"/>
      <c r="M144" s="450">
        <v>0</v>
      </c>
      <c r="N144" s="451" t="s">
        <v>1579</v>
      </c>
      <c r="O144" s="114" t="s">
        <v>370</v>
      </c>
      <c r="P144" s="452"/>
      <c r="Q144" s="453"/>
      <c r="R144" s="454" t="s">
        <v>308</v>
      </c>
      <c r="S144" s="454"/>
    </row>
    <row r="145" spans="1:19" ht="140.25">
      <c r="A145" s="414" t="s">
        <v>1578</v>
      </c>
      <c r="B145" s="206">
        <v>36931</v>
      </c>
      <c r="C145" s="445">
        <v>3</v>
      </c>
      <c r="D145" s="446" t="s">
        <v>245</v>
      </c>
      <c r="E145" s="447" t="s">
        <v>249</v>
      </c>
      <c r="F145" s="448" t="s">
        <v>308</v>
      </c>
      <c r="G145" s="449">
        <v>41466</v>
      </c>
      <c r="H145" s="449">
        <v>41026</v>
      </c>
      <c r="I145" s="449"/>
      <c r="J145" s="450">
        <v>0</v>
      </c>
      <c r="K145" s="449">
        <v>41052</v>
      </c>
      <c r="L145" s="449"/>
      <c r="M145" s="450">
        <v>0</v>
      </c>
      <c r="N145" s="451" t="s">
        <v>1579</v>
      </c>
      <c r="O145" s="114" t="s">
        <v>370</v>
      </c>
      <c r="P145" s="473" t="s">
        <v>1580</v>
      </c>
      <c r="Q145" s="453"/>
      <c r="R145" s="454" t="s">
        <v>308</v>
      </c>
      <c r="S145" s="454"/>
    </row>
    <row r="146" spans="1:19">
      <c r="A146" s="414" t="s">
        <v>1588</v>
      </c>
      <c r="B146" s="206">
        <v>36946</v>
      </c>
      <c r="C146" s="445">
        <v>3</v>
      </c>
      <c r="D146" s="446" t="s">
        <v>245</v>
      </c>
      <c r="E146" s="447" t="s">
        <v>249</v>
      </c>
      <c r="F146" s="448" t="s">
        <v>308</v>
      </c>
      <c r="G146" s="449">
        <v>41470</v>
      </c>
      <c r="H146" s="449">
        <v>41026</v>
      </c>
      <c r="I146" s="449"/>
      <c r="J146" s="450">
        <v>0</v>
      </c>
      <c r="K146" s="449">
        <v>41052</v>
      </c>
      <c r="L146" s="449"/>
      <c r="M146" s="450">
        <v>0</v>
      </c>
      <c r="N146" s="451"/>
      <c r="O146" s="114" t="s">
        <v>370</v>
      </c>
      <c r="P146" s="452"/>
      <c r="Q146" s="453"/>
      <c r="R146" s="454" t="s">
        <v>308</v>
      </c>
      <c r="S146" s="454"/>
    </row>
    <row r="147" spans="1:19">
      <c r="A147" s="414" t="s">
        <v>1589</v>
      </c>
      <c r="B147" s="206">
        <v>36949</v>
      </c>
      <c r="C147" s="445">
        <v>3</v>
      </c>
      <c r="D147" s="446" t="s">
        <v>245</v>
      </c>
      <c r="E147" s="447" t="s">
        <v>249</v>
      </c>
      <c r="F147" s="448" t="s">
        <v>308</v>
      </c>
      <c r="G147" s="449">
        <v>41470</v>
      </c>
      <c r="H147" s="449">
        <v>41026</v>
      </c>
      <c r="I147" s="449"/>
      <c r="J147" s="450">
        <v>0</v>
      </c>
      <c r="K147" s="449">
        <v>41052</v>
      </c>
      <c r="L147" s="449"/>
      <c r="M147" s="450">
        <v>0</v>
      </c>
      <c r="N147" s="451" t="s">
        <v>1577</v>
      </c>
      <c r="O147" s="114" t="s">
        <v>370</v>
      </c>
      <c r="P147" s="452"/>
      <c r="Q147" s="453"/>
      <c r="R147" s="454" t="s">
        <v>308</v>
      </c>
      <c r="S147" s="454"/>
    </row>
    <row r="148" spans="1:19">
      <c r="A148" s="414" t="s">
        <v>1595</v>
      </c>
      <c r="B148" s="206">
        <v>36956</v>
      </c>
      <c r="C148" s="445">
        <v>3</v>
      </c>
      <c r="D148" s="446" t="s">
        <v>245</v>
      </c>
      <c r="E148" s="447" t="s">
        <v>249</v>
      </c>
      <c r="F148" s="448" t="s">
        <v>308</v>
      </c>
      <c r="G148" s="449">
        <v>41470</v>
      </c>
      <c r="H148" s="449">
        <v>41026</v>
      </c>
      <c r="I148" s="449"/>
      <c r="J148" s="450">
        <v>0</v>
      </c>
      <c r="K148" s="449">
        <v>41052</v>
      </c>
      <c r="L148" s="449"/>
      <c r="M148" s="450">
        <v>0</v>
      </c>
      <c r="N148" s="451" t="s">
        <v>1577</v>
      </c>
      <c r="O148" s="114" t="s">
        <v>370</v>
      </c>
      <c r="P148" s="452"/>
      <c r="Q148" s="453"/>
      <c r="R148" s="454" t="s">
        <v>308</v>
      </c>
      <c r="S148" s="454"/>
    </row>
    <row r="149" spans="1:19">
      <c r="A149" s="414" t="s">
        <v>1590</v>
      </c>
      <c r="B149" s="206">
        <v>36952</v>
      </c>
      <c r="C149" s="445">
        <v>2</v>
      </c>
      <c r="D149" s="446" t="s">
        <v>245</v>
      </c>
      <c r="E149" s="447" t="s">
        <v>249</v>
      </c>
      <c r="F149" s="448" t="s">
        <v>308</v>
      </c>
      <c r="G149" s="449">
        <v>41470</v>
      </c>
      <c r="H149" s="449">
        <v>41026</v>
      </c>
      <c r="I149" s="449"/>
      <c r="J149" s="450">
        <v>0</v>
      </c>
      <c r="K149" s="449">
        <v>41052</v>
      </c>
      <c r="L149" s="449"/>
      <c r="M149" s="450">
        <v>0</v>
      </c>
      <c r="N149" s="451" t="s">
        <v>1577</v>
      </c>
      <c r="O149" s="114" t="s">
        <v>370</v>
      </c>
      <c r="P149" s="452"/>
      <c r="Q149" s="453"/>
      <c r="R149" s="454" t="s">
        <v>308</v>
      </c>
      <c r="S149" s="454"/>
    </row>
    <row r="150" spans="1:19">
      <c r="A150" s="414" t="s">
        <v>1591</v>
      </c>
      <c r="B150" s="206">
        <v>36953</v>
      </c>
      <c r="C150" s="445">
        <v>2</v>
      </c>
      <c r="D150" s="446" t="s">
        <v>245</v>
      </c>
      <c r="E150" s="447" t="s">
        <v>249</v>
      </c>
      <c r="F150" s="448" t="s">
        <v>308</v>
      </c>
      <c r="G150" s="449">
        <v>41470</v>
      </c>
      <c r="H150" s="449">
        <v>41026</v>
      </c>
      <c r="I150" s="449"/>
      <c r="J150" s="450">
        <v>0</v>
      </c>
      <c r="K150" s="449">
        <v>41052</v>
      </c>
      <c r="L150" s="449"/>
      <c r="M150" s="450">
        <v>0</v>
      </c>
      <c r="N150" s="451" t="s">
        <v>1579</v>
      </c>
      <c r="O150" s="114" t="s">
        <v>370</v>
      </c>
      <c r="P150" s="452"/>
      <c r="Q150" s="453"/>
      <c r="R150" s="454" t="s">
        <v>308</v>
      </c>
      <c r="S150" s="454"/>
    </row>
    <row r="151" spans="1:19">
      <c r="A151" s="414" t="s">
        <v>1593</v>
      </c>
      <c r="B151" s="206">
        <v>36955</v>
      </c>
      <c r="C151" s="445">
        <v>3</v>
      </c>
      <c r="D151" s="446" t="s">
        <v>245</v>
      </c>
      <c r="E151" s="447" t="s">
        <v>249</v>
      </c>
      <c r="F151" s="448" t="s">
        <v>308</v>
      </c>
      <c r="G151" s="449">
        <v>41470</v>
      </c>
      <c r="H151" s="449">
        <v>41026</v>
      </c>
      <c r="I151" s="449"/>
      <c r="J151" s="450">
        <v>0</v>
      </c>
      <c r="K151" s="449">
        <v>41052</v>
      </c>
      <c r="L151" s="449"/>
      <c r="M151" s="450">
        <v>0</v>
      </c>
      <c r="N151" s="451" t="s">
        <v>1594</v>
      </c>
      <c r="O151" s="114" t="s">
        <v>370</v>
      </c>
      <c r="P151" s="452"/>
      <c r="Q151" s="453"/>
      <c r="R151" s="454" t="s">
        <v>308</v>
      </c>
      <c r="S151" s="454"/>
    </row>
    <row r="152" spans="1:19">
      <c r="A152" s="414" t="s">
        <v>1141</v>
      </c>
      <c r="B152" s="206">
        <v>34158</v>
      </c>
      <c r="C152" s="445">
        <v>3</v>
      </c>
      <c r="D152" s="446" t="s">
        <v>245</v>
      </c>
      <c r="E152" s="447" t="s">
        <v>250</v>
      </c>
      <c r="F152" s="448" t="s">
        <v>308</v>
      </c>
      <c r="G152" s="449">
        <v>41054</v>
      </c>
      <c r="H152" s="449">
        <v>41026</v>
      </c>
      <c r="I152" s="449"/>
      <c r="J152" s="450">
        <v>0</v>
      </c>
      <c r="K152" s="449">
        <v>41052</v>
      </c>
      <c r="L152" s="449"/>
      <c r="M152" s="450">
        <v>0</v>
      </c>
      <c r="N152" s="451" t="s">
        <v>1142</v>
      </c>
      <c r="O152" s="114" t="s">
        <v>370</v>
      </c>
      <c r="P152" s="452" t="s">
        <v>1094</v>
      </c>
      <c r="Q152" s="453"/>
      <c r="R152" s="454" t="s">
        <v>308</v>
      </c>
      <c r="S152" s="454"/>
    </row>
    <row r="153" spans="1:19">
      <c r="A153" s="414" t="s">
        <v>1179</v>
      </c>
      <c r="B153" s="206">
        <v>34584</v>
      </c>
      <c r="C153" s="445">
        <v>3</v>
      </c>
      <c r="D153" s="446" t="s">
        <v>245</v>
      </c>
      <c r="E153" s="447" t="s">
        <v>250</v>
      </c>
      <c r="F153" s="448" t="s">
        <v>308</v>
      </c>
      <c r="G153" s="449">
        <v>41115</v>
      </c>
      <c r="H153" s="449">
        <v>41026</v>
      </c>
      <c r="I153" s="449"/>
      <c r="J153" s="450">
        <v>0</v>
      </c>
      <c r="K153" s="449">
        <v>41052</v>
      </c>
      <c r="L153" s="449"/>
      <c r="M153" s="450">
        <v>0</v>
      </c>
      <c r="N153" s="451" t="s">
        <v>1180</v>
      </c>
      <c r="O153" s="114" t="s">
        <v>370</v>
      </c>
      <c r="P153" s="452" t="s">
        <v>1181</v>
      </c>
      <c r="Q153" s="453"/>
      <c r="R153" s="454" t="s">
        <v>308</v>
      </c>
      <c r="S153" s="454"/>
    </row>
    <row r="154" spans="1:19">
      <c r="A154" s="414" t="s">
        <v>1182</v>
      </c>
      <c r="B154" s="206">
        <v>34585</v>
      </c>
      <c r="C154" s="445">
        <v>3</v>
      </c>
      <c r="D154" s="446" t="s">
        <v>245</v>
      </c>
      <c r="E154" s="447" t="s">
        <v>250</v>
      </c>
      <c r="F154" s="448" t="s">
        <v>308</v>
      </c>
      <c r="G154" s="449">
        <v>41115</v>
      </c>
      <c r="H154" s="449">
        <v>41026</v>
      </c>
      <c r="I154" s="449"/>
      <c r="J154" s="450">
        <v>0</v>
      </c>
      <c r="K154" s="449">
        <v>41052</v>
      </c>
      <c r="L154" s="449"/>
      <c r="M154" s="450">
        <v>0</v>
      </c>
      <c r="N154" s="451" t="s">
        <v>1183</v>
      </c>
      <c r="O154" s="114" t="s">
        <v>370</v>
      </c>
      <c r="P154" s="452" t="s">
        <v>1184</v>
      </c>
      <c r="Q154" s="453"/>
      <c r="R154" s="454" t="s">
        <v>308</v>
      </c>
      <c r="S154" s="454"/>
    </row>
    <row r="155" spans="1:19">
      <c r="A155" s="414" t="s">
        <v>1187</v>
      </c>
      <c r="B155" s="206">
        <v>34622</v>
      </c>
      <c r="C155" s="445">
        <v>3</v>
      </c>
      <c r="D155" s="446" t="s">
        <v>245</v>
      </c>
      <c r="E155" s="447" t="s">
        <v>1363</v>
      </c>
      <c r="F155" s="448" t="s">
        <v>308</v>
      </c>
      <c r="G155" s="449">
        <v>41121</v>
      </c>
      <c r="H155" s="449">
        <v>41026</v>
      </c>
      <c r="I155" s="449"/>
      <c r="J155" s="450">
        <v>0</v>
      </c>
      <c r="K155" s="449">
        <v>41052</v>
      </c>
      <c r="L155" s="449"/>
      <c r="M155" s="450">
        <v>0</v>
      </c>
      <c r="N155" s="451" t="s">
        <v>1183</v>
      </c>
      <c r="O155" s="114" t="s">
        <v>370</v>
      </c>
      <c r="P155" s="452" t="s">
        <v>1181</v>
      </c>
      <c r="Q155" s="453"/>
      <c r="R155" s="454" t="s">
        <v>308</v>
      </c>
      <c r="S155" s="454"/>
    </row>
    <row r="156" spans="1:19">
      <c r="A156" s="414" t="s">
        <v>1185</v>
      </c>
      <c r="B156" s="206">
        <v>34586</v>
      </c>
      <c r="C156" s="445">
        <v>2</v>
      </c>
      <c r="D156" s="446" t="s">
        <v>245</v>
      </c>
      <c r="E156" s="447" t="s">
        <v>379</v>
      </c>
      <c r="F156" s="448" t="s">
        <v>308</v>
      </c>
      <c r="G156" s="449">
        <v>41115</v>
      </c>
      <c r="H156" s="449">
        <v>41026</v>
      </c>
      <c r="I156" s="449"/>
      <c r="J156" s="450">
        <v>0</v>
      </c>
      <c r="K156" s="449">
        <v>41052</v>
      </c>
      <c r="L156" s="449"/>
      <c r="M156" s="450">
        <v>0</v>
      </c>
      <c r="N156" s="451" t="s">
        <v>1183</v>
      </c>
      <c r="O156" s="114" t="s">
        <v>370</v>
      </c>
      <c r="P156" s="452" t="s">
        <v>1181</v>
      </c>
      <c r="Q156" s="453"/>
      <c r="R156" s="454" t="s">
        <v>308</v>
      </c>
      <c r="S156" s="454"/>
    </row>
    <row r="157" spans="1:19">
      <c r="A157" s="414" t="s">
        <v>1192</v>
      </c>
      <c r="B157" s="206">
        <v>34801</v>
      </c>
      <c r="C157" s="445">
        <v>2</v>
      </c>
      <c r="D157" s="446" t="s">
        <v>245</v>
      </c>
      <c r="E157" s="447" t="s">
        <v>379</v>
      </c>
      <c r="F157" s="448" t="s">
        <v>308</v>
      </c>
      <c r="G157" s="449">
        <v>41155</v>
      </c>
      <c r="H157" s="449">
        <v>41026</v>
      </c>
      <c r="I157" s="449"/>
      <c r="J157" s="450">
        <v>0</v>
      </c>
      <c r="K157" s="449">
        <v>41052</v>
      </c>
      <c r="L157" s="449"/>
      <c r="M157" s="450">
        <v>0</v>
      </c>
      <c r="N157" s="451" t="s">
        <v>1193</v>
      </c>
      <c r="O157" s="114" t="s">
        <v>370</v>
      </c>
      <c r="P157" s="452" t="s">
        <v>1181</v>
      </c>
      <c r="Q157" s="453"/>
      <c r="R157" s="454" t="s">
        <v>308</v>
      </c>
      <c r="S157" s="454"/>
    </row>
    <row r="158" spans="1:19">
      <c r="A158" s="414" t="s">
        <v>1194</v>
      </c>
      <c r="B158" s="206">
        <v>34802</v>
      </c>
      <c r="C158" s="445">
        <v>2</v>
      </c>
      <c r="D158" s="446" t="s">
        <v>245</v>
      </c>
      <c r="E158" s="447" t="s">
        <v>379</v>
      </c>
      <c r="F158" s="448" t="s">
        <v>308</v>
      </c>
      <c r="G158" s="449">
        <v>41155</v>
      </c>
      <c r="H158" s="449">
        <v>41026</v>
      </c>
      <c r="I158" s="449"/>
      <c r="J158" s="450">
        <v>0</v>
      </c>
      <c r="K158" s="449">
        <v>41052</v>
      </c>
      <c r="L158" s="449"/>
      <c r="M158" s="450">
        <v>0</v>
      </c>
      <c r="N158" s="451" t="s">
        <v>1193</v>
      </c>
      <c r="O158" s="114" t="s">
        <v>370</v>
      </c>
      <c r="P158" s="452" t="s">
        <v>1195</v>
      </c>
      <c r="Q158" s="453"/>
      <c r="R158" s="454" t="s">
        <v>308</v>
      </c>
      <c r="S158" s="454"/>
    </row>
    <row r="159" spans="1:19">
      <c r="A159" s="414" t="s">
        <v>1403</v>
      </c>
      <c r="B159" s="206">
        <v>36092</v>
      </c>
      <c r="C159" s="445">
        <v>2</v>
      </c>
      <c r="D159" s="446" t="s">
        <v>245</v>
      </c>
      <c r="E159" s="447" t="s">
        <v>249</v>
      </c>
      <c r="F159" s="448" t="s">
        <v>308</v>
      </c>
      <c r="G159" s="449">
        <v>41355</v>
      </c>
      <c r="H159" s="449">
        <v>41026</v>
      </c>
      <c r="I159" s="449"/>
      <c r="J159" s="450">
        <v>0</v>
      </c>
      <c r="K159" s="449">
        <v>41052</v>
      </c>
      <c r="L159" s="449"/>
      <c r="M159" s="450">
        <v>0</v>
      </c>
      <c r="N159" s="451" t="s">
        <v>1358</v>
      </c>
      <c r="O159" s="114" t="s">
        <v>370</v>
      </c>
      <c r="P159" s="452" t="s">
        <v>1390</v>
      </c>
      <c r="Q159" s="453"/>
      <c r="R159" s="454" t="s">
        <v>308</v>
      </c>
      <c r="S159" s="454"/>
    </row>
    <row r="160" spans="1:19">
      <c r="A160" s="414" t="s">
        <v>1402</v>
      </c>
      <c r="B160" s="206">
        <v>36089</v>
      </c>
      <c r="C160" s="445">
        <v>2</v>
      </c>
      <c r="D160" s="446" t="s">
        <v>245</v>
      </c>
      <c r="E160" s="447" t="s">
        <v>249</v>
      </c>
      <c r="F160" s="448" t="s">
        <v>308</v>
      </c>
      <c r="G160" s="449">
        <v>41355</v>
      </c>
      <c r="H160" s="449">
        <v>41026</v>
      </c>
      <c r="I160" s="449"/>
      <c r="J160" s="450">
        <v>0</v>
      </c>
      <c r="K160" s="449">
        <v>41052</v>
      </c>
      <c r="L160" s="449"/>
      <c r="M160" s="450">
        <v>0</v>
      </c>
      <c r="N160" s="451"/>
      <c r="O160" s="114" t="s">
        <v>370</v>
      </c>
      <c r="P160" s="452" t="s">
        <v>961</v>
      </c>
      <c r="Q160" s="453"/>
      <c r="R160" s="454" t="s">
        <v>308</v>
      </c>
      <c r="S160" s="454"/>
    </row>
    <row r="161" spans="1:19">
      <c r="A161" s="414" t="s">
        <v>1505</v>
      </c>
      <c r="B161" s="206">
        <v>36604</v>
      </c>
      <c r="C161" s="445">
        <v>1</v>
      </c>
      <c r="D161" s="446" t="s">
        <v>245</v>
      </c>
      <c r="E161" s="447" t="s">
        <v>249</v>
      </c>
      <c r="F161" s="448" t="s">
        <v>308</v>
      </c>
      <c r="G161" s="449">
        <v>41421</v>
      </c>
      <c r="H161" s="449">
        <v>41026</v>
      </c>
      <c r="I161" s="449"/>
      <c r="J161" s="450">
        <v>0</v>
      </c>
      <c r="K161" s="449">
        <v>41052</v>
      </c>
      <c r="L161" s="449"/>
      <c r="M161" s="450">
        <v>0</v>
      </c>
      <c r="N161" s="451" t="s">
        <v>1493</v>
      </c>
      <c r="O161" s="114" t="s">
        <v>370</v>
      </c>
      <c r="P161" s="452" t="s">
        <v>1390</v>
      </c>
      <c r="Q161" s="453"/>
      <c r="R161" s="454" t="s">
        <v>308</v>
      </c>
      <c r="S161" s="454"/>
    </row>
    <row r="162" spans="1:19">
      <c r="A162" s="414" t="s">
        <v>1196</v>
      </c>
      <c r="B162" s="206">
        <v>34803</v>
      </c>
      <c r="C162" s="445">
        <v>3</v>
      </c>
      <c r="D162" s="446" t="s">
        <v>245</v>
      </c>
      <c r="E162" s="447" t="s">
        <v>379</v>
      </c>
      <c r="F162" s="448" t="s">
        <v>308</v>
      </c>
      <c r="G162" s="449">
        <v>41155</v>
      </c>
      <c r="H162" s="449">
        <v>41026</v>
      </c>
      <c r="I162" s="449"/>
      <c r="J162" s="450">
        <v>0</v>
      </c>
      <c r="K162" s="449">
        <v>41052</v>
      </c>
      <c r="L162" s="449"/>
      <c r="M162" s="450">
        <v>0</v>
      </c>
      <c r="N162" s="451" t="s">
        <v>1193</v>
      </c>
      <c r="O162" s="114" t="s">
        <v>370</v>
      </c>
      <c r="P162" s="452" t="s">
        <v>711</v>
      </c>
      <c r="Q162" s="453"/>
      <c r="R162" s="454" t="s">
        <v>308</v>
      </c>
      <c r="S162" s="454"/>
    </row>
    <row r="163" spans="1:19">
      <c r="A163" s="414" t="s">
        <v>1198</v>
      </c>
      <c r="B163" s="206">
        <v>34839</v>
      </c>
      <c r="C163" s="445">
        <v>2</v>
      </c>
      <c r="D163" s="446" t="s">
        <v>245</v>
      </c>
      <c r="E163" s="447" t="s">
        <v>379</v>
      </c>
      <c r="F163" s="448" t="s">
        <v>308</v>
      </c>
      <c r="G163" s="449">
        <v>41157</v>
      </c>
      <c r="H163" s="449">
        <v>41026</v>
      </c>
      <c r="I163" s="449"/>
      <c r="J163" s="450">
        <v>0</v>
      </c>
      <c r="K163" s="449">
        <v>41052</v>
      </c>
      <c r="L163" s="449"/>
      <c r="M163" s="450">
        <v>0</v>
      </c>
      <c r="N163" s="451" t="s">
        <v>1193</v>
      </c>
      <c r="O163" s="114" t="s">
        <v>370</v>
      </c>
      <c r="P163" s="452" t="s">
        <v>1199</v>
      </c>
      <c r="Q163" s="453"/>
      <c r="R163" s="454" t="s">
        <v>308</v>
      </c>
      <c r="S163" s="454"/>
    </row>
    <row r="164" spans="1:19">
      <c r="A164" s="414" t="s">
        <v>1205</v>
      </c>
      <c r="B164" s="206">
        <v>34899</v>
      </c>
      <c r="C164" s="445">
        <v>1</v>
      </c>
      <c r="D164" s="446" t="s">
        <v>245</v>
      </c>
      <c r="E164" s="447" t="s">
        <v>379</v>
      </c>
      <c r="F164" s="448" t="s">
        <v>308</v>
      </c>
      <c r="G164" s="449">
        <v>41163</v>
      </c>
      <c r="H164" s="449">
        <v>41026</v>
      </c>
      <c r="I164" s="449"/>
      <c r="J164" s="450">
        <v>0</v>
      </c>
      <c r="K164" s="449">
        <v>41052</v>
      </c>
      <c r="L164" s="449"/>
      <c r="M164" s="450">
        <v>0</v>
      </c>
      <c r="N164" s="451" t="s">
        <v>1202</v>
      </c>
      <c r="O164" s="114" t="s">
        <v>370</v>
      </c>
      <c r="P164" s="452" t="s">
        <v>1190</v>
      </c>
      <c r="Q164" s="453"/>
      <c r="R164" s="454" t="s">
        <v>308</v>
      </c>
      <c r="S164" s="454"/>
    </row>
  </sheetData>
  <autoFilter ref="A8:S164"/>
  <sortState ref="A9:S162">
    <sortCondition ref="A9"/>
  </sortState>
  <mergeCells count="8">
    <mergeCell ref="P4:Q4"/>
    <mergeCell ref="P5:Q5"/>
    <mergeCell ref="E3:F6"/>
    <mergeCell ref="I4:K4"/>
    <mergeCell ref="I5:K5"/>
    <mergeCell ref="I3:K3"/>
    <mergeCell ref="G3:H5"/>
    <mergeCell ref="G6:H6"/>
  </mergeCells>
  <phoneticPr fontId="104" type="noConversion"/>
  <conditionalFormatting sqref="M165:M63988 J165:J63988 M9:M129 J9:J129">
    <cfRule type="cellIs" dxfId="156" priority="1758" stopIfTrue="1" operator="greaterThanOrEqual">
      <formula>1</formula>
    </cfRule>
  </conditionalFormatting>
  <conditionalFormatting sqref="L4">
    <cfRule type="colorScale" priority="1750">
      <colorScale>
        <cfvo type="num" val="-20"/>
        <cfvo type="num" val="0"/>
        <cfvo type="num" val="20"/>
        <color rgb="FF00FF00"/>
        <color theme="0"/>
        <color rgb="FFFF0000"/>
      </colorScale>
    </cfRule>
  </conditionalFormatting>
  <conditionalFormatting sqref="E165:E63988 E9:E129">
    <cfRule type="cellIs" dxfId="155" priority="1749" stopIfTrue="1" operator="equal">
      <formula>"Rejetée"</formula>
    </cfRule>
    <cfRule type="cellIs" dxfId="154" priority="1756" stopIfTrue="1" operator="equal">
      <formula>Etats_possibles_Corr</formula>
    </cfRule>
    <cfRule type="cellIs" dxfId="153" priority="1757" stopIfTrue="1" operator="equal">
      <formula>"DNR"</formula>
    </cfRule>
  </conditionalFormatting>
  <conditionalFormatting sqref="M161 J161">
    <cfRule type="cellIs" dxfId="152" priority="649" stopIfTrue="1" operator="greaterThanOrEqual">
      <formula>1</formula>
    </cfRule>
  </conditionalFormatting>
  <conditionalFormatting sqref="M162 J162">
    <cfRule type="cellIs" dxfId="151" priority="645" stopIfTrue="1" operator="greaterThanOrEqual">
      <formula>1</formula>
    </cfRule>
  </conditionalFormatting>
  <conditionalFormatting sqref="M163 J163">
    <cfRule type="cellIs" dxfId="150" priority="641" stopIfTrue="1" operator="greaterThanOrEqual">
      <formula>1</formula>
    </cfRule>
  </conditionalFormatting>
  <conditionalFormatting sqref="M164 J164">
    <cfRule type="cellIs" dxfId="149" priority="637" stopIfTrue="1" operator="greaterThanOrEqual">
      <formula>1</formula>
    </cfRule>
  </conditionalFormatting>
  <conditionalFormatting sqref="E162">
    <cfRule type="cellIs" dxfId="148" priority="599" stopIfTrue="1" operator="equal">
      <formula>"Rejetée"</formula>
    </cfRule>
    <cfRule type="cellIs" dxfId="147" priority="600" stopIfTrue="1" operator="equal">
      <formula>Etats_possibles_Corr</formula>
    </cfRule>
    <cfRule type="cellIs" dxfId="146" priority="601" stopIfTrue="1" operator="equal">
      <formula>"DNR"</formula>
    </cfRule>
  </conditionalFormatting>
  <conditionalFormatting sqref="E161">
    <cfRule type="cellIs" dxfId="145" priority="602" stopIfTrue="1" operator="equal">
      <formula>"Rejetée"</formula>
    </cfRule>
    <cfRule type="cellIs" dxfId="144" priority="603" stopIfTrue="1" operator="equal">
      <formula>Etats_possibles_Corr</formula>
    </cfRule>
    <cfRule type="cellIs" dxfId="143" priority="604" stopIfTrue="1" operator="equal">
      <formula>"DNR"</formula>
    </cfRule>
  </conditionalFormatting>
  <conditionalFormatting sqref="E163">
    <cfRule type="cellIs" dxfId="142" priority="596" stopIfTrue="1" operator="equal">
      <formula>"Rejetée"</formula>
    </cfRule>
    <cfRule type="cellIs" dxfId="141" priority="597" stopIfTrue="1" operator="equal">
      <formula>Etats_possibles_Corr</formula>
    </cfRule>
    <cfRule type="cellIs" dxfId="140" priority="598" stopIfTrue="1" operator="equal">
      <formula>"DNR"</formula>
    </cfRule>
  </conditionalFormatting>
  <conditionalFormatting sqref="E164">
    <cfRule type="cellIs" dxfId="139" priority="593" stopIfTrue="1" operator="equal">
      <formula>"Rejetée"</formula>
    </cfRule>
    <cfRule type="cellIs" dxfId="138" priority="594" stopIfTrue="1" operator="equal">
      <formula>Etats_possibles_Corr</formula>
    </cfRule>
    <cfRule type="cellIs" dxfId="137" priority="595" stopIfTrue="1" operator="equal">
      <formula>"DNR"</formula>
    </cfRule>
  </conditionalFormatting>
  <conditionalFormatting sqref="M130 J130">
    <cfRule type="cellIs" dxfId="136" priority="124" stopIfTrue="1" operator="greaterThanOrEqual">
      <formula>1</formula>
    </cfRule>
  </conditionalFormatting>
  <conditionalFormatting sqref="E130">
    <cfRule type="cellIs" dxfId="135" priority="121" stopIfTrue="1" operator="equal">
      <formula>"Rejetée"</formula>
    </cfRule>
    <cfRule type="cellIs" dxfId="134" priority="122" stopIfTrue="1" operator="equal">
      <formula>Etats_possibles_Corr</formula>
    </cfRule>
    <cfRule type="cellIs" dxfId="133" priority="123" stopIfTrue="1" operator="equal">
      <formula>"DNR"</formula>
    </cfRule>
  </conditionalFormatting>
  <conditionalFormatting sqref="M131 J131">
    <cfRule type="cellIs" dxfId="132" priority="120" stopIfTrue="1" operator="greaterThanOrEqual">
      <formula>1</formula>
    </cfRule>
  </conditionalFormatting>
  <conditionalFormatting sqref="E131">
    <cfRule type="cellIs" dxfId="131" priority="117" stopIfTrue="1" operator="equal">
      <formula>"Rejetée"</formula>
    </cfRule>
    <cfRule type="cellIs" dxfId="130" priority="118" stopIfTrue="1" operator="equal">
      <formula>Etats_possibles_Corr</formula>
    </cfRule>
    <cfRule type="cellIs" dxfId="129" priority="119" stopIfTrue="1" operator="equal">
      <formula>"DNR"</formula>
    </cfRule>
  </conditionalFormatting>
  <conditionalFormatting sqref="M132 J132">
    <cfRule type="cellIs" dxfId="128" priority="116" stopIfTrue="1" operator="greaterThanOrEqual">
      <formula>1</formula>
    </cfRule>
  </conditionalFormatting>
  <conditionalFormatting sqref="E132">
    <cfRule type="cellIs" dxfId="127" priority="113" stopIfTrue="1" operator="equal">
      <formula>"Rejetée"</formula>
    </cfRule>
    <cfRule type="cellIs" dxfId="126" priority="114" stopIfTrue="1" operator="equal">
      <formula>Etats_possibles_Corr</formula>
    </cfRule>
    <cfRule type="cellIs" dxfId="125" priority="115" stopIfTrue="1" operator="equal">
      <formula>"DNR"</formula>
    </cfRule>
  </conditionalFormatting>
  <conditionalFormatting sqref="M133 J133">
    <cfRule type="cellIs" dxfId="124" priority="112" stopIfTrue="1" operator="greaterThanOrEqual">
      <formula>1</formula>
    </cfRule>
  </conditionalFormatting>
  <conditionalFormatting sqref="E133">
    <cfRule type="cellIs" dxfId="123" priority="109" stopIfTrue="1" operator="equal">
      <formula>"Rejetée"</formula>
    </cfRule>
    <cfRule type="cellIs" dxfId="122" priority="110" stopIfTrue="1" operator="equal">
      <formula>Etats_possibles_Corr</formula>
    </cfRule>
    <cfRule type="cellIs" dxfId="121" priority="111" stopIfTrue="1" operator="equal">
      <formula>"DNR"</formula>
    </cfRule>
  </conditionalFormatting>
  <conditionalFormatting sqref="M134 J134">
    <cfRule type="cellIs" dxfId="120" priority="108" stopIfTrue="1" operator="greaterThanOrEqual">
      <formula>1</formula>
    </cfRule>
  </conditionalFormatting>
  <conditionalFormatting sqref="E134">
    <cfRule type="cellIs" dxfId="119" priority="105" stopIfTrue="1" operator="equal">
      <formula>"Rejetée"</formula>
    </cfRule>
    <cfRule type="cellIs" dxfId="118" priority="106" stopIfTrue="1" operator="equal">
      <formula>Etats_possibles_Corr</formula>
    </cfRule>
    <cfRule type="cellIs" dxfId="117" priority="107" stopIfTrue="1" operator="equal">
      <formula>"DNR"</formula>
    </cfRule>
  </conditionalFormatting>
  <conditionalFormatting sqref="M135 J135">
    <cfRule type="cellIs" dxfId="116" priority="104" stopIfTrue="1" operator="greaterThanOrEqual">
      <formula>1</formula>
    </cfRule>
  </conditionalFormatting>
  <conditionalFormatting sqref="E135">
    <cfRule type="cellIs" dxfId="115" priority="101" stopIfTrue="1" operator="equal">
      <formula>"Rejetée"</formula>
    </cfRule>
    <cfRule type="cellIs" dxfId="114" priority="102" stopIfTrue="1" operator="equal">
      <formula>Etats_possibles_Corr</formula>
    </cfRule>
    <cfRule type="cellIs" dxfId="113" priority="103" stopIfTrue="1" operator="equal">
      <formula>"DNR"</formula>
    </cfRule>
  </conditionalFormatting>
  <conditionalFormatting sqref="M136 J136">
    <cfRule type="cellIs" dxfId="112" priority="100" stopIfTrue="1" operator="greaterThanOrEqual">
      <formula>1</formula>
    </cfRule>
  </conditionalFormatting>
  <conditionalFormatting sqref="E136">
    <cfRule type="cellIs" dxfId="111" priority="97" stopIfTrue="1" operator="equal">
      <formula>"Rejetée"</formula>
    </cfRule>
    <cfRule type="cellIs" dxfId="110" priority="98" stopIfTrue="1" operator="equal">
      <formula>Etats_possibles_Corr</formula>
    </cfRule>
    <cfRule type="cellIs" dxfId="109" priority="99" stopIfTrue="1" operator="equal">
      <formula>"DNR"</formula>
    </cfRule>
  </conditionalFormatting>
  <conditionalFormatting sqref="M137 J137">
    <cfRule type="cellIs" dxfId="108" priority="96" stopIfTrue="1" operator="greaterThanOrEqual">
      <formula>1</formula>
    </cfRule>
  </conditionalFormatting>
  <conditionalFormatting sqref="E137">
    <cfRule type="cellIs" dxfId="107" priority="93" stopIfTrue="1" operator="equal">
      <formula>"Rejetée"</formula>
    </cfRule>
    <cfRule type="cellIs" dxfId="106" priority="94" stopIfTrue="1" operator="equal">
      <formula>Etats_possibles_Corr</formula>
    </cfRule>
    <cfRule type="cellIs" dxfId="105" priority="95" stopIfTrue="1" operator="equal">
      <formula>"DNR"</formula>
    </cfRule>
  </conditionalFormatting>
  <conditionalFormatting sqref="M138 J138">
    <cfRule type="cellIs" dxfId="104" priority="92" stopIfTrue="1" operator="greaterThanOrEqual">
      <formula>1</formula>
    </cfRule>
  </conditionalFormatting>
  <conditionalFormatting sqref="E138">
    <cfRule type="cellIs" dxfId="103" priority="89" stopIfTrue="1" operator="equal">
      <formula>"Rejetée"</formula>
    </cfRule>
    <cfRule type="cellIs" dxfId="102" priority="90" stopIfTrue="1" operator="equal">
      <formula>Etats_possibles_Corr</formula>
    </cfRule>
    <cfRule type="cellIs" dxfId="101" priority="91" stopIfTrue="1" operator="equal">
      <formula>"DNR"</formula>
    </cfRule>
  </conditionalFormatting>
  <conditionalFormatting sqref="M139 J139">
    <cfRule type="cellIs" dxfId="100" priority="88" stopIfTrue="1" operator="greaterThanOrEqual">
      <formula>1</formula>
    </cfRule>
  </conditionalFormatting>
  <conditionalFormatting sqref="E139">
    <cfRule type="cellIs" dxfId="99" priority="85" stopIfTrue="1" operator="equal">
      <formula>"Rejetée"</formula>
    </cfRule>
    <cfRule type="cellIs" dxfId="98" priority="86" stopIfTrue="1" operator="equal">
      <formula>Etats_possibles_Corr</formula>
    </cfRule>
    <cfRule type="cellIs" dxfId="97" priority="87" stopIfTrue="1" operator="equal">
      <formula>"DNR"</formula>
    </cfRule>
  </conditionalFormatting>
  <conditionalFormatting sqref="M140 J140">
    <cfRule type="cellIs" dxfId="96" priority="84" stopIfTrue="1" operator="greaterThanOrEqual">
      <formula>1</formula>
    </cfRule>
  </conditionalFormatting>
  <conditionalFormatting sqref="E140">
    <cfRule type="cellIs" dxfId="95" priority="81" stopIfTrue="1" operator="equal">
      <formula>"Rejetée"</formula>
    </cfRule>
    <cfRule type="cellIs" dxfId="94" priority="82" stopIfTrue="1" operator="equal">
      <formula>Etats_possibles_Corr</formula>
    </cfRule>
    <cfRule type="cellIs" dxfId="93" priority="83" stopIfTrue="1" operator="equal">
      <formula>"DNR"</formula>
    </cfRule>
  </conditionalFormatting>
  <conditionalFormatting sqref="M141 J141">
    <cfRule type="cellIs" dxfId="92" priority="80" stopIfTrue="1" operator="greaterThanOrEqual">
      <formula>1</formula>
    </cfRule>
  </conditionalFormatting>
  <conditionalFormatting sqref="E141">
    <cfRule type="cellIs" dxfId="91" priority="77" stopIfTrue="1" operator="equal">
      <formula>"Rejetée"</formula>
    </cfRule>
    <cfRule type="cellIs" dxfId="90" priority="78" stopIfTrue="1" operator="equal">
      <formula>Etats_possibles_Corr</formula>
    </cfRule>
    <cfRule type="cellIs" dxfId="89" priority="79" stopIfTrue="1" operator="equal">
      <formula>"DNR"</formula>
    </cfRule>
  </conditionalFormatting>
  <conditionalFormatting sqref="M142 J142">
    <cfRule type="cellIs" dxfId="88" priority="76" stopIfTrue="1" operator="greaterThanOrEqual">
      <formula>1</formula>
    </cfRule>
  </conditionalFormatting>
  <conditionalFormatting sqref="E142">
    <cfRule type="cellIs" dxfId="87" priority="73" stopIfTrue="1" operator="equal">
      <formula>"Rejetée"</formula>
    </cfRule>
    <cfRule type="cellIs" dxfId="86" priority="74" stopIfTrue="1" operator="equal">
      <formula>Etats_possibles_Corr</formula>
    </cfRule>
    <cfRule type="cellIs" dxfId="85" priority="75" stopIfTrue="1" operator="equal">
      <formula>"DNR"</formula>
    </cfRule>
  </conditionalFormatting>
  <conditionalFormatting sqref="M143 J143">
    <cfRule type="cellIs" dxfId="84" priority="72" stopIfTrue="1" operator="greaterThanOrEqual">
      <formula>1</formula>
    </cfRule>
  </conditionalFormatting>
  <conditionalFormatting sqref="E143">
    <cfRule type="cellIs" dxfId="83" priority="69" stopIfTrue="1" operator="equal">
      <formula>"Rejetée"</formula>
    </cfRule>
    <cfRule type="cellIs" dxfId="82" priority="70" stopIfTrue="1" operator="equal">
      <formula>Etats_possibles_Corr</formula>
    </cfRule>
    <cfRule type="cellIs" dxfId="81" priority="71" stopIfTrue="1" operator="equal">
      <formula>"DNR"</formula>
    </cfRule>
  </conditionalFormatting>
  <conditionalFormatting sqref="M144 J144">
    <cfRule type="cellIs" dxfId="80" priority="68" stopIfTrue="1" operator="greaterThanOrEqual">
      <formula>1</formula>
    </cfRule>
  </conditionalFormatting>
  <conditionalFormatting sqref="E144">
    <cfRule type="cellIs" dxfId="79" priority="65" stopIfTrue="1" operator="equal">
      <formula>"Rejetée"</formula>
    </cfRule>
    <cfRule type="cellIs" dxfId="78" priority="66" stopIfTrue="1" operator="equal">
      <formula>Etats_possibles_Corr</formula>
    </cfRule>
    <cfRule type="cellIs" dxfId="77" priority="67" stopIfTrue="1" operator="equal">
      <formula>"DNR"</formula>
    </cfRule>
  </conditionalFormatting>
  <conditionalFormatting sqref="M145 J145">
    <cfRule type="cellIs" dxfId="76" priority="64" stopIfTrue="1" operator="greaterThanOrEqual">
      <formula>1</formula>
    </cfRule>
  </conditionalFormatting>
  <conditionalFormatting sqref="E145">
    <cfRule type="cellIs" dxfId="75" priority="61" stopIfTrue="1" operator="equal">
      <formula>"Rejetée"</formula>
    </cfRule>
    <cfRule type="cellIs" dxfId="74" priority="62" stopIfTrue="1" operator="equal">
      <formula>Etats_possibles_Corr</formula>
    </cfRule>
    <cfRule type="cellIs" dxfId="73" priority="63" stopIfTrue="1" operator="equal">
      <formula>"DNR"</formula>
    </cfRule>
  </conditionalFormatting>
  <conditionalFormatting sqref="M146 J146">
    <cfRule type="cellIs" dxfId="72" priority="60" stopIfTrue="1" operator="greaterThanOrEqual">
      <formula>1</formula>
    </cfRule>
  </conditionalFormatting>
  <conditionalFormatting sqref="E146">
    <cfRule type="cellIs" dxfId="71" priority="57" stopIfTrue="1" operator="equal">
      <formula>"Rejetée"</formula>
    </cfRule>
    <cfRule type="cellIs" dxfId="70" priority="58" stopIfTrue="1" operator="equal">
      <formula>Etats_possibles_Corr</formula>
    </cfRule>
    <cfRule type="cellIs" dxfId="69" priority="59" stopIfTrue="1" operator="equal">
      <formula>"DNR"</formula>
    </cfRule>
  </conditionalFormatting>
  <conditionalFormatting sqref="M147 J147">
    <cfRule type="cellIs" dxfId="68" priority="56" stopIfTrue="1" operator="greaterThanOrEqual">
      <formula>1</formula>
    </cfRule>
  </conditionalFormatting>
  <conditionalFormatting sqref="E147">
    <cfRule type="cellIs" dxfId="67" priority="53" stopIfTrue="1" operator="equal">
      <formula>"Rejetée"</formula>
    </cfRule>
    <cfRule type="cellIs" dxfId="66" priority="54" stopIfTrue="1" operator="equal">
      <formula>Etats_possibles_Corr</formula>
    </cfRule>
    <cfRule type="cellIs" dxfId="65" priority="55" stopIfTrue="1" operator="equal">
      <formula>"DNR"</formula>
    </cfRule>
  </conditionalFormatting>
  <conditionalFormatting sqref="M148 J148">
    <cfRule type="cellIs" dxfId="64" priority="52" stopIfTrue="1" operator="greaterThanOrEqual">
      <formula>1</formula>
    </cfRule>
  </conditionalFormatting>
  <conditionalFormatting sqref="E148">
    <cfRule type="cellIs" dxfId="63" priority="49" stopIfTrue="1" operator="equal">
      <formula>"Rejetée"</formula>
    </cfRule>
    <cfRule type="cellIs" dxfId="62" priority="50" stopIfTrue="1" operator="equal">
      <formula>Etats_possibles_Corr</formula>
    </cfRule>
    <cfRule type="cellIs" dxfId="61" priority="51" stopIfTrue="1" operator="equal">
      <formula>"DNR"</formula>
    </cfRule>
  </conditionalFormatting>
  <conditionalFormatting sqref="M149 J149">
    <cfRule type="cellIs" dxfId="60" priority="48" stopIfTrue="1" operator="greaterThanOrEqual">
      <formula>1</formula>
    </cfRule>
  </conditionalFormatting>
  <conditionalFormatting sqref="E149">
    <cfRule type="cellIs" dxfId="59" priority="45" stopIfTrue="1" operator="equal">
      <formula>"Rejetée"</formula>
    </cfRule>
    <cfRule type="cellIs" dxfId="58" priority="46" stopIfTrue="1" operator="equal">
      <formula>Etats_possibles_Corr</formula>
    </cfRule>
    <cfRule type="cellIs" dxfId="57" priority="47" stopIfTrue="1" operator="equal">
      <formula>"DNR"</formula>
    </cfRule>
  </conditionalFormatting>
  <conditionalFormatting sqref="M150 J150">
    <cfRule type="cellIs" dxfId="56" priority="44" stopIfTrue="1" operator="greaterThanOrEqual">
      <formula>1</formula>
    </cfRule>
  </conditionalFormatting>
  <conditionalFormatting sqref="E150">
    <cfRule type="cellIs" dxfId="55" priority="41" stopIfTrue="1" operator="equal">
      <formula>"Rejetée"</formula>
    </cfRule>
    <cfRule type="cellIs" dxfId="54" priority="42" stopIfTrue="1" operator="equal">
      <formula>Etats_possibles_Corr</formula>
    </cfRule>
    <cfRule type="cellIs" dxfId="53" priority="43" stopIfTrue="1" operator="equal">
      <formula>"DNR"</formula>
    </cfRule>
  </conditionalFormatting>
  <conditionalFormatting sqref="M151 J151">
    <cfRule type="cellIs" dxfId="52" priority="40" stopIfTrue="1" operator="greaterThanOrEqual">
      <formula>1</formula>
    </cfRule>
  </conditionalFormatting>
  <conditionalFormatting sqref="E151">
    <cfRule type="cellIs" dxfId="51" priority="37" stopIfTrue="1" operator="equal">
      <formula>"Rejetée"</formula>
    </cfRule>
    <cfRule type="cellIs" dxfId="50" priority="38" stopIfTrue="1" operator="equal">
      <formula>Etats_possibles_Corr</formula>
    </cfRule>
    <cfRule type="cellIs" dxfId="49" priority="39" stopIfTrue="1" operator="equal">
      <formula>"DNR"</formula>
    </cfRule>
  </conditionalFormatting>
  <conditionalFormatting sqref="M152 J152">
    <cfRule type="cellIs" dxfId="48" priority="36" stopIfTrue="1" operator="greaterThanOrEqual">
      <formula>1</formula>
    </cfRule>
  </conditionalFormatting>
  <conditionalFormatting sqref="E152">
    <cfRule type="cellIs" dxfId="47" priority="33" stopIfTrue="1" operator="equal">
      <formula>"Rejetée"</formula>
    </cfRule>
    <cfRule type="cellIs" dxfId="46" priority="34" stopIfTrue="1" operator="equal">
      <formula>Etats_possibles_Corr</formula>
    </cfRule>
    <cfRule type="cellIs" dxfId="45" priority="35" stopIfTrue="1" operator="equal">
      <formula>"DNR"</formula>
    </cfRule>
  </conditionalFormatting>
  <conditionalFormatting sqref="M153 J153">
    <cfRule type="cellIs" dxfId="44" priority="32" stopIfTrue="1" operator="greaterThanOrEqual">
      <formula>1</formula>
    </cfRule>
  </conditionalFormatting>
  <conditionalFormatting sqref="E153">
    <cfRule type="cellIs" dxfId="43" priority="29" stopIfTrue="1" operator="equal">
      <formula>"Rejetée"</formula>
    </cfRule>
    <cfRule type="cellIs" dxfId="42" priority="30" stopIfTrue="1" operator="equal">
      <formula>Etats_possibles_Corr</formula>
    </cfRule>
    <cfRule type="cellIs" dxfId="41" priority="31" stopIfTrue="1" operator="equal">
      <formula>"DNR"</formula>
    </cfRule>
  </conditionalFormatting>
  <conditionalFormatting sqref="M154 J154">
    <cfRule type="cellIs" dxfId="40" priority="28" stopIfTrue="1" operator="greaterThanOrEqual">
      <formula>1</formula>
    </cfRule>
  </conditionalFormatting>
  <conditionalFormatting sqref="E154">
    <cfRule type="cellIs" dxfId="39" priority="25" stopIfTrue="1" operator="equal">
      <formula>"Rejetée"</formula>
    </cfRule>
    <cfRule type="cellIs" dxfId="38" priority="26" stopIfTrue="1" operator="equal">
      <formula>Etats_possibles_Corr</formula>
    </cfRule>
    <cfRule type="cellIs" dxfId="37" priority="27" stopIfTrue="1" operator="equal">
      <formula>"DNR"</formula>
    </cfRule>
  </conditionalFormatting>
  <conditionalFormatting sqref="M155 J155">
    <cfRule type="cellIs" dxfId="36" priority="24" stopIfTrue="1" operator="greaterThanOrEqual">
      <formula>1</formula>
    </cfRule>
  </conditionalFormatting>
  <conditionalFormatting sqref="E155">
    <cfRule type="cellIs" dxfId="35" priority="21" stopIfTrue="1" operator="equal">
      <formula>"Rejetée"</formula>
    </cfRule>
    <cfRule type="cellIs" dxfId="34" priority="22" stopIfTrue="1" operator="equal">
      <formula>Etats_possibles_Corr</formula>
    </cfRule>
    <cfRule type="cellIs" dxfId="33" priority="23" stopIfTrue="1" operator="equal">
      <formula>"DNR"</formula>
    </cfRule>
  </conditionalFormatting>
  <conditionalFormatting sqref="M156:M160 J156:J160">
    <cfRule type="cellIs" dxfId="32" priority="20" stopIfTrue="1" operator="greaterThanOrEqual">
      <formula>1</formula>
    </cfRule>
  </conditionalFormatting>
  <conditionalFormatting sqref="E156:E160">
    <cfRule type="cellIs" dxfId="31" priority="17" stopIfTrue="1" operator="equal">
      <formula>"Rejetée"</formula>
    </cfRule>
    <cfRule type="cellIs" dxfId="30" priority="18" stopIfTrue="1" operator="equal">
      <formula>Etats_possibles_Corr</formula>
    </cfRule>
    <cfRule type="cellIs" dxfId="29" priority="19" stopIfTrue="1" operator="equal">
      <formula>"DNR"</formula>
    </cfRule>
  </conditionalFormatting>
  <conditionalFormatting sqref="M157:M160 J157:J160">
    <cfRule type="cellIs" dxfId="28" priority="16" stopIfTrue="1" operator="greaterThanOrEqual">
      <formula>1</formula>
    </cfRule>
  </conditionalFormatting>
  <conditionalFormatting sqref="E157:E160">
    <cfRule type="cellIs" dxfId="27" priority="13" stopIfTrue="1" operator="equal">
      <formula>"Rejetée"</formula>
    </cfRule>
    <cfRule type="cellIs" dxfId="26" priority="14" stopIfTrue="1" operator="equal">
      <formula>Etats_possibles_Corr</formula>
    </cfRule>
    <cfRule type="cellIs" dxfId="25" priority="15" stopIfTrue="1" operator="equal">
      <formula>"DNR"</formula>
    </cfRule>
  </conditionalFormatting>
  <conditionalFormatting sqref="M158:M160 J158:J160">
    <cfRule type="cellIs" dxfId="24" priority="12" stopIfTrue="1" operator="greaterThanOrEqual">
      <formula>1</formula>
    </cfRule>
  </conditionalFormatting>
  <conditionalFormatting sqref="E158:E160">
    <cfRule type="cellIs" dxfId="23" priority="9" stopIfTrue="1" operator="equal">
      <formula>"Rejetée"</formula>
    </cfRule>
    <cfRule type="cellIs" dxfId="22" priority="10" stopIfTrue="1" operator="equal">
      <formula>Etats_possibles_Corr</formula>
    </cfRule>
    <cfRule type="cellIs" dxfId="21" priority="11" stopIfTrue="1" operator="equal">
      <formula>"DNR"</formula>
    </cfRule>
  </conditionalFormatting>
  <conditionalFormatting sqref="M159:M160 J159:J160">
    <cfRule type="cellIs" dxfId="20" priority="8" stopIfTrue="1" operator="greaterThanOrEqual">
      <formula>1</formula>
    </cfRule>
  </conditionalFormatting>
  <conditionalFormatting sqref="E159:E160">
    <cfRule type="cellIs" dxfId="19" priority="5" stopIfTrue="1" operator="equal">
      <formula>"Rejetée"</formula>
    </cfRule>
    <cfRule type="cellIs" dxfId="18" priority="6" stopIfTrue="1" operator="equal">
      <formula>Etats_possibles_Corr</formula>
    </cfRule>
    <cfRule type="cellIs" dxfId="17" priority="7" stopIfTrue="1" operator="equal">
      <formula>"DNR"</formula>
    </cfRule>
  </conditionalFormatting>
  <conditionalFormatting sqref="M160 J160">
    <cfRule type="cellIs" dxfId="16" priority="4" stopIfTrue="1" operator="greaterThanOrEqual">
      <formula>1</formula>
    </cfRule>
  </conditionalFormatting>
  <conditionalFormatting sqref="E160">
    <cfRule type="cellIs" dxfId="15" priority="1" stopIfTrue="1" operator="equal">
      <formula>"Rejetée"</formula>
    </cfRule>
    <cfRule type="cellIs" dxfId="14" priority="2" stopIfTrue="1" operator="equal">
      <formula>Etats_possibles_Corr</formula>
    </cfRule>
    <cfRule type="cellIs" dxfId="13" priority="3" stopIfTrue="1" operator="equal">
      <formula>"DNR"</formula>
    </cfRule>
  </conditionalFormatting>
  <dataValidations count="1">
    <dataValidation type="list" allowBlank="1" showInputMessage="1" showErrorMessage="1" sqref="E165:E63988">
      <formula1>Etats_possibles</formula1>
    </dataValidation>
  </dataValidations>
  <hyperlinks>
    <hyperlink ref="B152" r:id="rId1" display="../../bugzilla-applicative/show_bug.cgi?id=34158"/>
    <hyperlink ref="A152" r:id="rId2" display="https://jira-projets.mpsa.com/TRANSV/browse/DEVCOMREPA-678"/>
    <hyperlink ref="B153" r:id="rId3" display="https://budiag4.actia.fr/bugzilla-applicative/show_bug.cgi?id=34584"/>
    <hyperlink ref="A153" r:id="rId4" display="https://jira-projets.mpsa.com/TRANSV/browse/DEVCOMREPA-896"/>
    <hyperlink ref="B154" r:id="rId5" display="https://budiag4.actia.fr/bugzilla-applicative/show_bug.cgi?id=34585"/>
    <hyperlink ref="A154" r:id="rId6" display="https://jira-projets.mpsa.com/TRANSV/browse/DEVCOMREPA-904"/>
    <hyperlink ref="B156" r:id="rId7" display="https://budiag4.actia.fr/bugzilla-applicative/show_bug.cgi?id=34586"/>
    <hyperlink ref="A156" r:id="rId8" display="https://jira-projets.mpsa.com/TRANSV/browse/DEVCOMREPA-906"/>
    <hyperlink ref="B155" r:id="rId9" display="https://budiag4.actia.fr/bugzilla-applicative/show_bug.cgi?id=34622"/>
    <hyperlink ref="A155" r:id="rId10" display="https://jira-projets.mpsa.com/TRANSV/browse/DEVCOMREPA-905"/>
    <hyperlink ref="B157" r:id="rId11" display="https://budiag4.actia.fr/bugzilla-applicative/show_bug.cgi?id=34801"/>
    <hyperlink ref="A157" r:id="rId12" display="https://jira-projets.mpsa.com/TRANSV/browse/DEVCOMREPA-974"/>
    <hyperlink ref="B15" r:id="rId13" display="https://budiag4.actia.fr/bugzilla-applicative/show_bug.cgi?id=35627"/>
    <hyperlink ref="A15" r:id="rId14" display="https://jira-projets.mpsa.com/TRANSV/browse/COMREPA-2973"/>
    <hyperlink ref="B162" r:id="rId15" display="https://budiag4.actia.fr/bugzilla-applicative/show_bug.cgi?id=34803"/>
    <hyperlink ref="A162" r:id="rId16" display="https://jira-projets.mpsa.com/TRANSV/browse/DEVCOMREPA-977"/>
    <hyperlink ref="B163" r:id="rId17" display="https://budiag4.actia.fr/bugzilla-applicative/show_bug.cgi?id=34839"/>
    <hyperlink ref="A163" r:id="rId18" display="https://jira-projets.mpsa.com/TRANSV/browse/DEVCOMREPA-987"/>
    <hyperlink ref="B164" r:id="rId19" display="https://budiag4.actia.fr/bugzilla-applicative/show_bug.cgi?id=34899"/>
    <hyperlink ref="A164" r:id="rId20" display="https://jira-projets.mpsa.com/TRANSV/browse/DEVPVN-8"/>
    <hyperlink ref="B16" r:id="rId21" display="https://budiag4.actia.fr/bugzilla-applicative/show_bug.cgi?id=35989"/>
    <hyperlink ref="A16" r:id="rId22" display="https://jira-projets.mpsa.com/TRANSV/browse/COMREPA-2993"/>
    <hyperlink ref="B13" r:id="rId23" display="https://budiag4.actia.fr/bugzilla-applicative/show_bug.cgi?id=34423"/>
    <hyperlink ref="A13" r:id="rId24" display="https://jira-projets.mpsa.com/TRANSV/browse/COMREPA-2905"/>
    <hyperlink ref="B98" r:id="rId25" display="https://budiag4.actia.fr/bugzilla-applicative/show_bug.cgi?id=36012"/>
    <hyperlink ref="A98" r:id="rId26" display="https://jira-projets.mpsa.com/TRANSV/browse/DEVCOMREPA-1656"/>
    <hyperlink ref="B99" r:id="rId27" display="https://budiag4.actia.fr/bugzilla-applicative/show_bug.cgi?id=36013"/>
    <hyperlink ref="A99" r:id="rId28" display="https://jira-projets.mpsa.com/TRANSV/browse/DEVCOMREPA-1660"/>
    <hyperlink ref="B17" r:id="rId29" display="https://budiag4.actia.fr/bugzilla-applicative/show_bug.cgi?id=36018"/>
    <hyperlink ref="A17" r:id="rId30" display="https://jira-projets.mpsa.com/TRANSV/browse/COMREPA-2996"/>
    <hyperlink ref="B18" r:id="rId31" display="https://budiag4.actia.fr/bugzilla-applicative/show_bug.cgi?id=36024"/>
    <hyperlink ref="A18" r:id="rId32" display="https://jira-projets.mpsa.com/TRANSV/browse/COMREPA-2998"/>
    <hyperlink ref="B19" r:id="rId33" display="https://budiag4.actia.fr/bugzilla-applicative/show_bug.cgi?id=36025"/>
    <hyperlink ref="A19" r:id="rId34" display="https://jira-projets.mpsa.com/TRANSV/browse/COMREPA-2999"/>
    <hyperlink ref="B20" r:id="rId35" display="https://budiag4.actia.fr/bugzilla-applicative/show_bug.cgi?id=36028"/>
    <hyperlink ref="A20" r:id="rId36" display="https://jira-projets.mpsa.com/TRANSV/browse/COMREPA-3000"/>
    <hyperlink ref="B22" r:id="rId37" display="https://budiag4.actia.fr/bugzilla-applicative/show_bug.cgi?id=36029"/>
    <hyperlink ref="A22" r:id="rId38" display="https://jira-projets.mpsa.com/TRANSV/browse/COMREPA-3002"/>
    <hyperlink ref="B21" r:id="rId39" display="https://budiag4.actia.fr/bugzilla-applicative/show_bug.cgi?id=55478"/>
    <hyperlink ref="A21" r:id="rId40" display="https://jira-projets.mpsa.com/TRANSV/browse/COMREPA-3001"/>
    <hyperlink ref="B24" r:id="rId41" display="https://budiag4.actia.fr/bugzilla-applicative/show_bug.cgi?id=36031"/>
    <hyperlink ref="A24" r:id="rId42" display="https://jira-projets.mpsa.com/TRANSV/browse/COMREPA-3004"/>
    <hyperlink ref="B25" r:id="rId43" display="https://budiag4.actia.fr/bugzilla-applicative/show_bug.cgi?id=36038"/>
    <hyperlink ref="A25" r:id="rId44" display="https://jira-projets.mpsa.com/TRANSV/browse/COMREPA-3006"/>
    <hyperlink ref="B27" r:id="rId45" display="https://budiag4.actia.fr/bugzilla-applicative/show_bug.cgi?id=36040"/>
    <hyperlink ref="A27" r:id="rId46" display="https://jira-projets.mpsa.com/TRANSV/browse/COMREPA-3008"/>
    <hyperlink ref="B23" r:id="rId47" display="https://budiag4.actia.fr/bugzilla-applicative/show_bug.cgi?id=36042"/>
    <hyperlink ref="A23" r:id="rId48" display="https://jira-projets.mpsa.com/TRANSV/browse/COMREPA-3003"/>
    <hyperlink ref="B100" r:id="rId49" display="https://budiag4.actia.fr/bugzilla-applicative/show_bug.cgi?id=36043"/>
    <hyperlink ref="A100" r:id="rId50" display="https://jira-projets.mpsa.com/TRANSV/browse/DEVCOMREPA-1670"/>
    <hyperlink ref="B101" r:id="rId51" display="https://budiag4.actia.fr/bugzilla-applicative/show_bug.cgi?id=36044"/>
    <hyperlink ref="A101" r:id="rId52" display="https://jira-projets.mpsa.com/TRANSV/browse/DEVCOMREPA-1671"/>
    <hyperlink ref="B105" r:id="rId53" display="https://budiag4.actia.fr/bugzilla-applicative/show_bug.cgi?id=36045"/>
    <hyperlink ref="A105" r:id="rId54" display="https://jira-projets.mpsa.com/TRANSV/browse/DEVCOMREPA-1688"/>
    <hyperlink ref="B26" r:id="rId55" display="https://budiag4.actia.fr/bugzilla-applicative/show_bug.cgi?id=36047"/>
    <hyperlink ref="A26" r:id="rId56" display="https://jira-projets.mpsa.com/TRANSV/browse/COMREPA-3007"/>
    <hyperlink ref="B28" r:id="rId57" display="https://budiag4.actia.fr/bugzilla-applicative/show_bug.cgi?id=36055"/>
    <hyperlink ref="A28" r:id="rId58" display="https://jira-projets.mpsa.com/TRANSV/browse/COMREPA-3011"/>
    <hyperlink ref="B29" r:id="rId59" display="https://budiag4.actia.fr/bugzilla-applicative/show_bug.cgi?id=1"/>
    <hyperlink ref="A29" r:id="rId60" display="https://jira-projets.mpsa.com/TRANSV/browse/COMREPA-3012"/>
    <hyperlink ref="B31" r:id="rId61" display="https://budiag4.actia.fr/bugzilla-applicative/show_bug.cgi?id=1"/>
    <hyperlink ref="A31" r:id="rId62" display="https://jira-projets.mpsa.com/TRANSV/browse/COMREPA-3013"/>
    <hyperlink ref="B96" r:id="rId63" display="https://budiag4.actia.fr/bugzilla-applicative/show_bug.cgi?id=1"/>
    <hyperlink ref="A96" r:id="rId64" display="https://jira-projets.mpsa.com/TRANSV/browse/DEVCOMREPA-1601"/>
    <hyperlink ref="B103" r:id="rId65" display="https://budiag4.actia.fr/bugzilla-applicative/show_bug.cgi?id=36065"/>
    <hyperlink ref="A103" r:id="rId66" display="https://jira-projets.mpsa.com/TRANSV/browse/DEVCOMREPA-1686"/>
    <hyperlink ref="B104" r:id="rId67" display="https://budiag4.actia.fr/bugzilla-applicative/show_bug.cgi?id=36080"/>
    <hyperlink ref="A104" r:id="rId68" display="https://jira-projets.mpsa.com/TRANSV/browse/DEVCOMREPA-1687"/>
    <hyperlink ref="B30" r:id="rId69" display="https://budiag4.actia.fr/bugzilla-applicative/show_bug.cgi?id=36081"/>
    <hyperlink ref="A30" r:id="rId70" display="https://jira-projets.mpsa.com/TRANSV/browse/COMREPA-3012"/>
    <hyperlink ref="B32" r:id="rId71" display="https://budiag4.actia.fr/bugzilla-applicative/show_bug.cgi?id=36082"/>
    <hyperlink ref="A32" r:id="rId72" display="https://jira-projets.mpsa.com/TRANSV/browse/COMREPA-3013"/>
    <hyperlink ref="B33" r:id="rId73" display="https://budiag4.actia.fr/bugzilla-applicative/show_bug.cgi?id=36085"/>
    <hyperlink ref="A33" r:id="rId74" display="https://jira-projets.mpsa.com/TRANSV/browse/COMREPA-3015"/>
    <hyperlink ref="B102" r:id="rId75" display="https://budiag4.actia.fr/bugzilla-applicative/show_bug.cgi?id=36087"/>
    <hyperlink ref="A102" r:id="rId76" display="https://jira-projets.mpsa.com/TRANSV/browse/DEVCOMREPA-1685"/>
    <hyperlink ref="B106" r:id="rId77" display="https://budiag4.actia.fr/bugzilla-applicative/show_bug.cgi?id=36088"/>
    <hyperlink ref="A106" r:id="rId78" display="https://jira-projets.mpsa.com/TRANSV/browse/DEVCOMREPA-1698"/>
    <hyperlink ref="B10" r:id="rId79" display="https://budiag4.actia.fr/bugzilla-applicative/show_bug.cgi?id=36089"/>
    <hyperlink ref="A10" r:id="rId80" display="https://jira-projets.mpsa.com/TRANSV/browse/COMREPA-1334"/>
    <hyperlink ref="B159" r:id="rId81" display="https://budiag4.actia.fr/bugzilla-applicative/show_bug.cgi?id=36092"/>
    <hyperlink ref="A159" r:id="rId82" display="https://jira-projets.mpsa.com/TRANSV/browse/PVN-30"/>
    <hyperlink ref="B158" r:id="rId83" display="https://budiag4.actia.fr/bugzilla-applicative/show_bug.cgi?id=34802"/>
    <hyperlink ref="A158" r:id="rId84" display="https://jira-projets.mpsa.com/TRANSV/browse/DEVCOMREPA-975"/>
    <hyperlink ref="B12" r:id="rId85" display="https://budiag4.actia.fr/bugzilla-applicative/show_bug.cgi?id=36094"/>
    <hyperlink ref="A12" r:id="rId86" display="https://jira-projets.mpsa.com/TRANSV/browse/COMREPA-2893"/>
    <hyperlink ref="B34" r:id="rId87" display="https://budiag4.actia.fr/bugzilla-applicative/show_bug.cgi?id=36113"/>
    <hyperlink ref="A34" r:id="rId88" display="https://jira-projets.mpsa.com/TRANSV/browse/COMREPA-3029"/>
    <hyperlink ref="B36" r:id="rId89" display="https://budiag4.actia.fr/bugzilla-applicative/show_bug.cgi?id=36136"/>
    <hyperlink ref="A36" r:id="rId90" display="https://jira-projets.mpsa.com/TRANSV/browse/COMREPA-3034"/>
    <hyperlink ref="B37" r:id="rId91" display="https://budiag4.actia.fr/bugzilla-applicative/show_bug.cgi?id=36140"/>
    <hyperlink ref="A37" r:id="rId92" display="https://jira-projets.mpsa.com/TRANSV/browse/COMREPA-3035"/>
    <hyperlink ref="B97" r:id="rId93" display="https://budiag4.actia.fr/bugzilla-applicative/show_bug.cgi?id=36146"/>
    <hyperlink ref="A97" r:id="rId94" display="https://jira-projets.mpsa.com/TRANSV/browse/DEVCOMREPA-1617"/>
    <hyperlink ref="B110" r:id="rId95" display="https://budiag4.actia.fr/bugzilla-applicative/show_bug.cgi?id=36160"/>
    <hyperlink ref="A110" r:id="rId96" display="https://jira-projets.mpsa.com/TRANSV/browse/DEVCOMREPA-1732"/>
    <hyperlink ref="B38" r:id="rId97" display="https://budiag4.actia.fr/bugzilla-applicative/show_bug.cgi?id=36171"/>
    <hyperlink ref="A38" r:id="rId98" display="https://jira-projets.mpsa.com/TRANSV/browse/COMREPA-3041"/>
    <hyperlink ref="B35" r:id="rId99" display="https://budiag4.actia.fr/bugzilla-applicative/show_bug.cgi?id=36189"/>
    <hyperlink ref="A35" r:id="rId100" display="https://jira-projets.mpsa.com/TRANSV/browse/COMREPA-3032"/>
    <hyperlink ref="B39" r:id="rId101" display="https://budiag4.actia.fr/bugzilla-applicative/show_bug.cgi?id=36190"/>
    <hyperlink ref="A39" r:id="rId102" display="https://jira-projets.mpsa.com/TRANSV/browse/COMREPA-3047"/>
    <hyperlink ref="B113" r:id="rId103" display="https://budiag4.actia.fr/bugzilla-applicative/show_bug.cgi?id=52"/>
    <hyperlink ref="A113" r:id="rId104" display="https://jira-projets.mpsa.com/TRANSV/browse/DEVCOMREPA-1754"/>
    <hyperlink ref="B14" r:id="rId105" display="https://budiag4.actia.fr/bugzilla-applicative/show_bug.cgi?id=5478"/>
    <hyperlink ref="A14" r:id="rId106" display="https://jira-projets.mpsa.com/TRANSV/browse/COMREPA-2969"/>
    <hyperlink ref="B40" r:id="rId107" display="https://budiag4.actia.fr/bugzilla-applicative/show_bug.cgi?id=5479"/>
    <hyperlink ref="A40" r:id="rId108" display="https://jira-projets.mpsa.com/TRANSV/browse/COMREPA-3049"/>
    <hyperlink ref="B114" r:id="rId109" display="https://budiag4.actia.fr/bugzilla-applicative/show_bug.cgi?id=36194"/>
    <hyperlink ref="A114" r:id="rId110" display="https://jira-projets.mpsa.com/TRANSV/browse/DEVCOMREPA-1764"/>
    <hyperlink ref="B115" r:id="rId111" display="https://budiag4.actia.fr/bugzilla-applicative/show_bug.cgi?id=36255"/>
    <hyperlink ref="A115" r:id="rId112" display="https://jira-projets.mpsa.com/TRANSV/browse/DEVCOMREPA-1775"/>
    <hyperlink ref="B108" r:id="rId113" display="https://budiag4.actia.fr/bugzilla-applicative/show_bug.cgi?id=36256"/>
    <hyperlink ref="A108" r:id="rId114" display="https://jira-projets.mpsa.com/TRANSV/browse/DEVCOMREPA-1718"/>
    <hyperlink ref="B41" r:id="rId115" display="https://budiag4.actia.fr/bugzilla-applicative/show_bug.cgi?id=36257"/>
    <hyperlink ref="A41" r:id="rId116" display="https://jira-projets.mpsa.com/TRANSV/browse/COMREPA-3054"/>
    <hyperlink ref="B45" r:id="rId117" display="https://budiag4.actia.fr/bugzilla-applicative/show_bug.cgi?id=36290"/>
    <hyperlink ref="A45" r:id="rId118" display="https://jira-projets.mpsa.com/TRANSV/browse/COMREPA-3061"/>
    <hyperlink ref="B116" r:id="rId119" display="https://budiag4.actia.fr/bugzilla-applicative/show_bug.cgi?id=36291"/>
    <hyperlink ref="A116" r:id="rId120" display="https://jira-projets.mpsa.com/TRANSV/browse/DEVCOMREPA-1796"/>
    <hyperlink ref="B112" r:id="rId121" display="https://budiag4.actia.fr/bugzilla-applicative/show_bug.cgi?id=36293"/>
    <hyperlink ref="A112" r:id="rId122" display="https://jira-projets.mpsa.com/TRANSV/browse/DEVCOMREPA-1738"/>
    <hyperlink ref="B42" r:id="rId123" display="https://budiag4.actia.fr/bugzilla-applicative/show_bug.cgi?id=36298"/>
    <hyperlink ref="A42" r:id="rId124" display="https://jira-projets.mpsa.com/TRANSV/browse/COMREPA-3055"/>
    <hyperlink ref="B43" r:id="rId125" display="https://budiag4.actia.fr/bugzilla-applicative/show_bug.cgi?id=36315"/>
    <hyperlink ref="A43" r:id="rId126" display="https://jira-projets.mpsa.com/TRANSV/browse/COMREPA-3056"/>
    <hyperlink ref="B49" r:id="rId127" display="https://budiag4.actia.fr/bugzilla-applicative/show_bug.cgi?id=36316"/>
    <hyperlink ref="A49" r:id="rId128" display="https://jira-projets.mpsa.com/TRANSV/browse/COMREPA-3115"/>
    <hyperlink ref="B48" r:id="rId129" display="https://budiag4.actia.fr/bugzilla-applicative/show_bug.cgi?id=36317"/>
    <hyperlink ref="A48" r:id="rId130" display="https://jira-projets.mpsa.com/TRANSV/browse/COMREPA-3083"/>
    <hyperlink ref="B44" r:id="rId131" display="https://budiag4.actia.fr/bugzilla-applicative/show_bug.cgi?id=36317"/>
    <hyperlink ref="A44" r:id="rId132" display="https://jira-projets.mpsa.com/TRANSV/browse/COMREPA-3058"/>
    <hyperlink ref="B47" r:id="rId133" display="https://budiag4.actia.fr/bugzilla-applicative/show_bug.cgi?id=36318"/>
    <hyperlink ref="A47" r:id="rId134" display="https://jira-projets.mpsa.com/TRANSV/browse/COMREPA-3065"/>
    <hyperlink ref="B46" r:id="rId135" display="https://budiag4.actia.fr/bugzilla-applicative/show_bug.cgi?id=36319"/>
    <hyperlink ref="A46" r:id="rId136" display="https://jira-projets.mpsa.com/TRANSV/browse/COMREPA-3064"/>
    <hyperlink ref="B117" r:id="rId137" display="https://budiag4.actia.fr/bugzilla-applicative/show_bug.cgi?id=36336"/>
    <hyperlink ref="A117" r:id="rId138" display="https://jira-projets.mpsa.com/TRANSV/browse/DEVCOMREPA-1803"/>
    <hyperlink ref="B51" r:id="rId139" display="https://budiag4.actia.fr/bugzilla-applicative/show_bug.cgi?id=36337"/>
    <hyperlink ref="A51" r:id="rId140" display="https://jira-projets.mpsa.com/TRANSV/browse/COMREPA-3121"/>
    <hyperlink ref="B53" r:id="rId141" display="https://budiag4.actia.fr/bugzilla-applicative/show_bug.cgi?id=36339"/>
    <hyperlink ref="A53" r:id="rId142" display="https://jira-projets.mpsa.com/TRANSV/browse/COMREPA-3126"/>
    <hyperlink ref="B52" r:id="rId143" display="https://budiag4.actia.fr/bugzilla-applicative/show_bug.cgi?id=36349"/>
    <hyperlink ref="A52" r:id="rId144" display="https://jira-projets.mpsa.com/TRANSV/browse/COMREPA-3125"/>
    <hyperlink ref="B54" r:id="rId145" display="https://budiag4.actia.fr/bugzilla-applicative/show_bug.cgi?id=36351"/>
    <hyperlink ref="A54" r:id="rId146" display="https://jira-projets.mpsa.com/TRANSV/browse/COMREPA-3127"/>
    <hyperlink ref="B107" r:id="rId147" display="https://budiag4.actia.fr/bugzilla-applicative/show_bug.cgi?id=36352"/>
    <hyperlink ref="A107" r:id="rId148" display="https://jira-projets.mpsa.com/TRANSV/browse/DEVCOMREPA-1709"/>
    <hyperlink ref="B55" r:id="rId149" display="https://budiag4.actia.fr/bugzilla-applicative/show_bug.cgi?id=36355"/>
    <hyperlink ref="A55" r:id="rId150" display="https://jira-projets.mpsa.com/TRANSV/browse/COMREPA-3129"/>
    <hyperlink ref="B56" r:id="rId151" display="https://budiag4.actia.fr/bugzilla-applicative/show_bug.cgi?id=36356"/>
    <hyperlink ref="A56" r:id="rId152" display="https://jira-projets.mpsa.com/TRANSV/browse/COMREPA-3130"/>
    <hyperlink ref="B109" r:id="rId153" display="https://budiag4.actia.fr/bugzilla-applicative/show_bug.cgi?id=36376"/>
    <hyperlink ref="A109" r:id="rId154" display="https://jira-projets.mpsa.com/TRANSV/browse/DEVCOMREPA-1727"/>
    <hyperlink ref="B50" r:id="rId155" display="https://budiag4.actia.fr/bugzilla-applicative/show_bug.cgi?id=36397"/>
    <hyperlink ref="A50" r:id="rId156" display="https://jira-projets.mpsa.com/TRANSV/browse/COMREPA-3119"/>
    <hyperlink ref="B119" r:id="rId157" display="https://budiag4.actia.fr/bugzilla-applicative/show_bug.cgi?id=36405"/>
    <hyperlink ref="A119" r:id="rId158" display="https://jira-projets.mpsa.com/TRANSV/browse/DEVCOMREPA-1814"/>
    <hyperlink ref="B118" r:id="rId159" display="https://budiag4.actia.fr/bugzilla-applicative/show_bug.cgi?id=36408"/>
    <hyperlink ref="A118" r:id="rId160" display="https://jira-projets.mpsa.com/TRANSV/browse/DEVCOMREPA-1813"/>
    <hyperlink ref="B111" r:id="rId161" display="https://budiag4.actia.fr/bugzilla-applicative/show_bug.cgi?id=36419"/>
    <hyperlink ref="A111" r:id="rId162" display="https://jira-projets.mpsa.com/TRANSV/browse/DEVCOMREPA-1737"/>
    <hyperlink ref="B57" r:id="rId163" display="https://budiag4.actia.fr/bugzilla-applicative/show_bug.cgi?id=36431"/>
    <hyperlink ref="A57" r:id="rId164" display="https://jira-projets.mpsa.com/TRANSV/browse/COMREPA-3137"/>
    <hyperlink ref="B60" r:id="rId165" display="https://budiag4.actia.fr/bugzilla-applicative/show_bug.cgi?id=36442"/>
    <hyperlink ref="A60" r:id="rId166" display="https://jira-projets.mpsa.com/TRANSV/browse/COMREPA-3147"/>
    <hyperlink ref="B59" r:id="rId167" display="https://budiag4.actia.fr/bugzilla-applicative/show_bug.cgi?id=36443"/>
    <hyperlink ref="A59" r:id="rId168" display="https://jira-projets.mpsa.com/TRANSV/browse/COMREPA-3146"/>
    <hyperlink ref="B62" r:id="rId169" display="https://budiag4.actia.fr/bugzilla-applicative/show_bug.cgi?id=36452"/>
    <hyperlink ref="A62" r:id="rId170" display="https://jira-projets.mpsa.com/TRANSV/browse/COMREPA-3150"/>
    <hyperlink ref="B58" r:id="rId171" display="https://budiag4.actia.fr/bugzilla-applicative/show_bug.cgi?id=36453"/>
    <hyperlink ref="A58" r:id="rId172" display="https://jira-projets.mpsa.com/TRANSV/browse/COMREPA-3142"/>
    <hyperlink ref="B67" r:id="rId173" display="https://budiag4.actia.fr/bugzilla-applicative/show_bug.cgi?id=36549"/>
    <hyperlink ref="A67" r:id="rId174" display="https://jira-projets.mpsa.com/TRANSV/browse/COMREPA-3231"/>
    <hyperlink ref="B66" r:id="rId175" display="https://budiag4.actia.fr/bugzilla-applicative/show_bug.cgi?id=36554"/>
    <hyperlink ref="A66" r:id="rId176" display="https://jira-projets.mpsa.com/TRANSV/browse/COMREPA-3226"/>
    <hyperlink ref="B64" r:id="rId177" display="https://budiag4.actia.fr/bugzilla-applicative/show_bug.cgi?id=36560"/>
    <hyperlink ref="A64" r:id="rId178" display="https://jira-projets.mpsa.com/TRANSV/browse/COMREPA-3162"/>
    <hyperlink ref="B65" r:id="rId179" display="https://budiag4.actia.fr/bugzilla-applicative/show_bug.cgi?id=36571"/>
    <hyperlink ref="A65" r:id="rId180" display="https://jira-projets.mpsa.com/TRANSV/browse/COMREPA-3225"/>
    <hyperlink ref="B11" r:id="rId181" display="https://budiag4.actia.fr/bugzilla-applicative/show_bug.cgi?id=36579"/>
    <hyperlink ref="A11" r:id="rId182" display="https://jira-projets.mpsa.com/TRANSV/browse/COMREPA-2589"/>
    <hyperlink ref="B61" r:id="rId183" display="https://budiag4.actia.fr/bugzilla-applicative/show_bug.cgi?id=36582"/>
    <hyperlink ref="A61" r:id="rId184" display="https://jira-projets.mpsa.com/TRANSV/browse/COMREPA-3148"/>
    <hyperlink ref="B71" r:id="rId185" display="https://budiag4.actia.fr/bugzilla-applicative/show_bug.cgi?id=36585"/>
    <hyperlink ref="A71" r:id="rId186" display="https://jira-projets.mpsa.com/TRANSV/browse/COMREPA-3237"/>
    <hyperlink ref="B70" r:id="rId187" display="https://budiag4.actia.fr/bugzilla-applicative/show_bug.cgi?id=36586"/>
    <hyperlink ref="A70" r:id="rId188" display="https://jira-projets.mpsa.com/TRANSV/browse/COMREPA-3236"/>
    <hyperlink ref="B72" r:id="rId189" display="https://budiag4.actia.fr/bugzilla-applicative/show_bug.cgi?id=36588"/>
    <hyperlink ref="A72" r:id="rId190" display="https://jira-projets.mpsa.com/TRANSV/browse/COMREPA-3238"/>
    <hyperlink ref="B68" r:id="rId191" display="https://budiag4.actia.fr/bugzilla-applicative/show_bug.cgi?id=36591"/>
    <hyperlink ref="A68" r:id="rId192" display="https://jira-projets.mpsa.com/TRANSV/browse/COMREPA-3234"/>
    <hyperlink ref="B121" r:id="rId193" display="https://budiag4.actia.fr/bugzilla-applicative/show_bug.cgi?id=36612"/>
    <hyperlink ref="A121" r:id="rId194" display="https://jira-projets.mpsa.com/TRANSV/browse/DEVCOMREPA-1918"/>
    <hyperlink ref="B160" r:id="rId195" display="https://budiag4.actia.fr/bugzilla-applicative/show_bug.cgi?id=36089"/>
    <hyperlink ref="A160" r:id="rId196" display="https://jira-projets.mpsa.com/TRANSV/browse/PVN-31"/>
    <hyperlink ref="B74" r:id="rId197" display="https://budiag4.actia.fr/bugzilla-applicative/show_bug.cgi?id=36641"/>
    <hyperlink ref="A74" r:id="rId198" display="https://jira-projets.mpsa.com/TRANSV/browse/COMREPA-3244"/>
    <hyperlink ref="B120" r:id="rId199" display="https://budiag4.actia.fr/bugzilla-applicative/show_bug.cgi?id=36643"/>
    <hyperlink ref="A120" r:id="rId200" display="https://jira-projets.mpsa.com/TRANSV/browse/DEVCOMREPA-1872"/>
    <hyperlink ref="B77" r:id="rId201" display="https://budiag4.actia.fr/bugzilla-applicative/show_bug.cgi?id=36650"/>
    <hyperlink ref="A77" r:id="rId202" display="https://jira-projets.mpsa.com/TRANSV/browse/COMREPA-3254"/>
    <hyperlink ref="B75" r:id="rId203" display="https://budiag4.actia.fr/bugzilla-applicative/show_bug.cgi?id=36653"/>
    <hyperlink ref="A75" r:id="rId204" display="https://jira-projets.mpsa.com/TRANSV/browse/COMREPA-3252"/>
    <hyperlink ref="B76" r:id="rId205" display="https://budiag4.actia.fr/bugzilla-applicative/show_bug.cgi?id=36654"/>
    <hyperlink ref="A76" r:id="rId206" display="https://jira-projets.mpsa.com/TRANSV/browse/COMREPA-3253"/>
    <hyperlink ref="B69" r:id="rId207" display="https://budiag4.actia.fr/bugzilla-applicative/show_bug.cgi?id=36656"/>
    <hyperlink ref="A69" r:id="rId208" display="https://jira-projets.mpsa.com/TRANSV/browse/COMREPA-3235"/>
    <hyperlink ref="B73" r:id="rId209" display="https://budiag4.actia.fr/bugzilla-applicative/show_bug.cgi?id=36675"/>
    <hyperlink ref="A73" r:id="rId210" display="https://jira-projets.mpsa.com/TRANSV/browse/COMREPA-3241"/>
    <hyperlink ref="B122" r:id="rId211" display="https://budiag4.actia.fr/bugzilla-applicative/show_bug.cgi?id=36684"/>
    <hyperlink ref="A122" r:id="rId212" display="https://jira-projets.mpsa.com/TRANSV/browse/DEVCOMREPA-1950"/>
    <hyperlink ref="B79" r:id="rId213" display="https://budiag4.actia.fr/bugzilla-applicative/show_bug.cgi?id=36687"/>
    <hyperlink ref="A79" r:id="rId214" display="https://jira-projets.mpsa.com/TRANSV/browse/COMREPA-3264"/>
    <hyperlink ref="B123" r:id="rId215" display="https://budiag4.actia.fr/bugzilla-applicative/show_bug.cgi?id=36695"/>
    <hyperlink ref="A123" r:id="rId216" display="https://jira-projets.mpsa.com/TRANSV/browse/DEVCOMREPA-1958"/>
    <hyperlink ref="B78" r:id="rId217" display="https://budiag4.actia.fr/bugzilla-applicative/show_bug.cgi?id=36704"/>
    <hyperlink ref="A78" r:id="rId218" display="https://jira-projets.mpsa.com/TRANSV/browse/COMREPA-3259"/>
    <hyperlink ref="B80" r:id="rId219" display="https://budiag4.actia.fr/bugzilla-applicative/show_bug.cgi?id=36705"/>
    <hyperlink ref="A80" r:id="rId220" display="https://jira-projets.mpsa.com/TRANSV/browse/COMREPA-3267"/>
    <hyperlink ref="B82" r:id="rId221" display="https://budiag4.actia.fr/bugzilla-applicative/show_bug.cgi?id=36711"/>
    <hyperlink ref="A82" r:id="rId222" display="https://jira-projets.mpsa.com/TRANSV/browse/COMREPA-3271"/>
    <hyperlink ref="B81" r:id="rId223" display="https://budiag4.actia.fr/bugzilla-applicative/show_bug.cgi?id=36712"/>
    <hyperlink ref="A81" r:id="rId224" display="https://jira-projets.mpsa.com/TRANSV/browse/COMREPA-3270"/>
    <hyperlink ref="B84" r:id="rId225" display="https://budiag4.actia.fr/bugzilla-applicative/show_bug.cgi?id=36728"/>
    <hyperlink ref="A84" r:id="rId226" display="https://jira-projets.mpsa.com/TRANSV/browse/COMREPA-3274"/>
    <hyperlink ref="B63" r:id="rId227" display="https://budiag4.actia.fr/bugzilla-applicative/show_bug.cgi?id=36750"/>
    <hyperlink ref="A63" r:id="rId228" display="https://jira-projets.mpsa.com/TRANSV/browse/COMREPA-3151"/>
    <hyperlink ref="B128" r:id="rId229" display="https://budiag4.actia.fr/bugzilla-applicative/show_bug.cgi?id=36751"/>
    <hyperlink ref="A128" r:id="rId230" display="https://jira-projets.mpsa.com/TRANSV/browse/DEVCOMREPA-1989"/>
    <hyperlink ref="B126" r:id="rId231" display="https://budiag4.actia.fr/bugzilla-applicative/show_bug.cgi?id=36752"/>
    <hyperlink ref="A126" r:id="rId232" display="https://jira-projets.mpsa.com/TRANSV/browse/DEVCOMREPA-1978"/>
    <hyperlink ref="B124" r:id="rId233" display="https://budiag4.actia.fr/bugzilla-applicative/show_bug.cgi?id=36753"/>
    <hyperlink ref="A124" r:id="rId234" display="https://jira-projets.mpsa.com/TRANSV/browse/DEVCOMREPA-1967"/>
    <hyperlink ref="B125" r:id="rId235" display="https://budiag4.actia.fr/bugzilla-applicative/show_bug.cgi?id=36754"/>
    <hyperlink ref="A125" r:id="rId236" display="https://jira-projets.mpsa.com/TRANSV/browse/DEVCOMREPA-1973"/>
    <hyperlink ref="B127" r:id="rId237" display="https://budiag4.actia.fr/bugzilla-applicative/show_bug.cgi?id=36755"/>
    <hyperlink ref="A127" r:id="rId238" display="https://jira-projets.mpsa.com/TRANSV/browse/DEVCOMREPA-1986"/>
    <hyperlink ref="B130" r:id="rId239" display="https://budiag4.actia.fr/bugzilla-applicative/show_bug.cgi?id=36774"/>
    <hyperlink ref="A130" r:id="rId240" display="https://jira-projets.mpsa.com/TRANSV/browse/DEVCOMREPA-2001"/>
    <hyperlink ref="B83" r:id="rId241" display="https://budiag4.actia.fr/bugzilla-applicative/show_bug.cgi?id=36776"/>
    <hyperlink ref="A83" r:id="rId242" display="https://jira-projets.mpsa.com/TRANSV/browse/COMREPA-3273"/>
    <hyperlink ref="B85" r:id="rId243" display="https://budiag4.actia.fr/bugzilla-applicative/show_bug.cgi?id=36780"/>
    <hyperlink ref="A85" r:id="rId244" display="https://jira-projets.mpsa.com/TRANSV/browse/COMREPA-3276"/>
    <hyperlink ref="B137" r:id="rId245" display="https://budiag4.actia.fr/bugzilla-applicative/show_bug.cgi?id=36785"/>
    <hyperlink ref="A137" r:id="rId246" display="https://jira-projets.mpsa.com/TRANSV/browse/DEVCOMREPA-2033"/>
    <hyperlink ref="B86" r:id="rId247" display="https://budiag4.actia.fr/bugzilla-applicative/show_bug.cgi?id=36788"/>
    <hyperlink ref="A86" r:id="rId248" display="https://jira-projets.mpsa.com/TRANSV/browse/COMREPA-3281"/>
    <hyperlink ref="B87" r:id="rId249" display="https://budiag4.actia.fr/bugzilla-applicative/show_bug.cgi?id=36789"/>
    <hyperlink ref="A87" r:id="rId250" display="https://jira-projets.mpsa.com/TRANSV/browse/COMREPA-3288"/>
    <hyperlink ref="B129" r:id="rId251" display="https://budiag4.actia.fr/bugzilla-applicative/show_bug.cgi?id=36790"/>
    <hyperlink ref="A129" r:id="rId252" display="https://jira-projets.mpsa.com/TRANSV/browse/DEVCOMREPA-1997"/>
    <hyperlink ref="B132" r:id="rId253" display="https://budiag4.actia.fr/bugzilla-applicative/show_bug.cgi?id=36805"/>
    <hyperlink ref="A132" r:id="rId254" display="https://jira-projets.mpsa.com/TRANSV/browse/DEVCOMREPA-2024"/>
    <hyperlink ref="B131" r:id="rId255" display="https://budiag4.actia.fr/bugzilla-applicative/show_bug.cgi?id=36808"/>
    <hyperlink ref="A131" r:id="rId256" display="https://jira-projets.mpsa.com/TRANSV/browse/DEVCOMREPA-2012"/>
    <hyperlink ref="B136" r:id="rId257" display="https://budiag4.actia.fr/bugzilla-applicative/show_bug.cgi?id=36820"/>
    <hyperlink ref="A136" r:id="rId258" display="https://jira-projets.mpsa.com/TRANSV/browse/DEVCOMREPA-2030"/>
    <hyperlink ref="B135" r:id="rId259" display="https://budiag4.actia.fr/bugzilla-applicative/show_bug.cgi?id=36859"/>
    <hyperlink ref="A135" r:id="rId260" display="https://jira-projets.mpsa.com/TRANSV/browse/DEVCOMREPA-2029"/>
    <hyperlink ref="B134" r:id="rId261" display="https://budiag4.actia.fr/bugzilla-applicative/show_bug.cgi?id=36862"/>
    <hyperlink ref="A134" r:id="rId262" display="https://jira-projets.mpsa.com/TRANSV/browse/DEVCOMREPA-2028"/>
    <hyperlink ref="B133" r:id="rId263" display="https://budiag4.actia.fr/bugzilla-applicative/show_bug.cgi?id=36863"/>
    <hyperlink ref="A133" r:id="rId264" display="https://jira-projets.mpsa.com/TRANSV/browse/DEVCOMREPA-2027"/>
    <hyperlink ref="B89" r:id="rId265" display="https://budiag4.actia.fr/bugzilla-applicative/show_bug.cgi?id=36864"/>
    <hyperlink ref="A89" r:id="rId266" display="https://jira-projets.mpsa.com/TRANSV/browse/COMREPA-3356"/>
    <hyperlink ref="B90" r:id="rId267" display="https://budiag4.actia.fr/bugzilla-applicative/show_bug.cgi?id=36877"/>
    <hyperlink ref="A90" r:id="rId268" display="https://jira-projets.mpsa.com/TRANSV/browse/COMREPA-3364"/>
    <hyperlink ref="B94" r:id="rId269" display="https://budiag4.actia.fr/bugzilla-applicative/show_bug.cgi?id=36892"/>
    <hyperlink ref="A94" r:id="rId270" display="https://jira-projets.mpsa.com/TRANSV/browse/COMREPA-3380"/>
    <hyperlink ref="B91" r:id="rId271" display="https://budiag4.actia.fr/bugzilla-applicative/show_bug.cgi?id=1"/>
    <hyperlink ref="A91" r:id="rId272" display="https://jira-projets.mpsa.com/TRANSV/browse/COMREPA-3373"/>
    <hyperlink ref="B93" r:id="rId273" display="https://budiag4.actia.fr/bugzilla-applicative/show_bug.cgi?id=36901"/>
    <hyperlink ref="A93" r:id="rId274" display="https://jira-projets.mpsa.com/TRANSV/browse/COMREPA-3379"/>
    <hyperlink ref="B88" r:id="rId275" display="https://budiag4.actia.fr/bugzilla-applicative/show_bug.cgi?id=36910"/>
    <hyperlink ref="A88" r:id="rId276" display="https://jira-projets.mpsa.com/TRANSV/browse/COMREPA-3351"/>
    <hyperlink ref="B92" r:id="rId277" display="https://budiag4.actia.fr/bugzilla-applicative/show_bug.cgi?id=36911"/>
    <hyperlink ref="A92" r:id="rId278" display="https://jira-projets.mpsa.com/TRANSV/browse/COMREPA-3373"/>
    <hyperlink ref="B9" r:id="rId279" display="https://budiag4.actia.fr/bugzilla-applicative/show_bug.cgi?id=36911"/>
    <hyperlink ref="A9" r:id="rId280" display="https://jira-projets.mpsa.com/TRANSV/browse/PVN-32"/>
    <hyperlink ref="B141" r:id="rId281" display="https://budiag4.actia.fr/bugzilla-applicative/show_bug.cgi?id=888"/>
    <hyperlink ref="A141" r:id="rId282" display="https://jira-projets.mpsa.com/TRANSV/browse/DEVCOMREPA-2113"/>
    <hyperlink ref="B145" r:id="rId283" display="https://budiag4.actia.fr/bugzilla-applicative/show_bug.cgi?id=36931"/>
    <hyperlink ref="A145" r:id="rId284" display="https://jira-projets.mpsa.com/TRANSV/browse/DEVCOMREPA-2125"/>
    <hyperlink ref="B139" r:id="rId285" display="https://budiag4.actia.fr/bugzilla-applicative/show_bug.cgi?id=36932"/>
    <hyperlink ref="A139" r:id="rId286" display="https://jira-projets.mpsa.com/TRANSV/browse/DEVCOMREPA-2082"/>
    <hyperlink ref="B138" r:id="rId287" display="https://budiag4.actia.fr/bugzilla-applicative/show_bug.cgi?id=36933"/>
    <hyperlink ref="A138" r:id="rId288" display="https://jira-projets.mpsa.com/TRANSV/browse/DEVCOMREPA-2081"/>
    <hyperlink ref="B95" r:id="rId289" display="https://budiag4.actia.fr/bugzilla-applicative/show_bug.cgi?id=36937"/>
    <hyperlink ref="A95" r:id="rId290" display="https://jira-projets.mpsa.com/TRANSV/browse/COMREPA-3392"/>
    <hyperlink ref="B142" r:id="rId291" display="https://budiag4.actia.fr/bugzilla-applicative/show_bug.cgi?id=36944"/>
    <hyperlink ref="A142" r:id="rId292" display="https://jira-projets.mpsa.com/TRANSV/browse/DEVCOMREPA-2114"/>
    <hyperlink ref="B144" r:id="rId293" display="https://budiag4.actia.fr/bugzilla-applicative/show_bug.cgi?id=36945"/>
    <hyperlink ref="A144" r:id="rId294" display="https://jira-projets.mpsa.com/TRANSV/browse/DEVCOMREPA-2124"/>
    <hyperlink ref="B146" r:id="rId295" display="https://budiag4.actia.fr/bugzilla-applicative/show_bug.cgi?id=36946"/>
    <hyperlink ref="A146" r:id="rId296" display="https://jira-projets.mpsa.com/TRANSV/browse/DEVCOMREPA-2126"/>
    <hyperlink ref="B147" r:id="rId297" display="https://budiag4.actia.fr/bugzilla-applicative/show_bug.cgi?id=36949"/>
    <hyperlink ref="A147" r:id="rId298" display="https://jira-projets.mpsa.com/TRANSV/browse/DEVCOMREPA-2127"/>
    <hyperlink ref="B149" r:id="rId299" display="https://budiag4.actia.fr/bugzilla-applicative/show_bug.cgi?id=36952"/>
    <hyperlink ref="A149" r:id="rId300" display="https://jira-projets.mpsa.com/TRANSV/browse/DEVCOMREPA-2136"/>
    <hyperlink ref="B150" r:id="rId301" display="https://budiag4.actia.fr/bugzilla-applicative/show_bug.cgi?id=36953"/>
    <hyperlink ref="A150" r:id="rId302" display="https://jira-projets.mpsa.com/TRANSV/browse/DEVCOMREPA-2137"/>
    <hyperlink ref="B143" r:id="rId303" display="https://budiag4.actia.fr/bugzilla-applicative/show_bug.cgi?id=36954"/>
    <hyperlink ref="A143" r:id="rId304" display="https://jira-projets.mpsa.com/TRANSV/browse/DEVCOMREPA-2122"/>
    <hyperlink ref="B151" r:id="rId305" display="https://budiag4.actia.fr/bugzilla-applicative/show_bug.cgi?id=36955"/>
    <hyperlink ref="A151" r:id="rId306" display="https://jira-projets.mpsa.com/TRANSV/browse/DEVCOMREPA-2138"/>
    <hyperlink ref="B148" r:id="rId307" display="https://budiag4.actia.fr/bugzilla-applicative/show_bug.cgi?id=36956"/>
    <hyperlink ref="A148" r:id="rId308" display="https://jira-projets.mpsa.com/TRANSV/browse/DEVCOMREPA-2133"/>
    <hyperlink ref="B140" r:id="rId309" display="https://budiag4.actia.fr/bugzilla-applicative/show_bug.cgi?id=36957"/>
    <hyperlink ref="A140" r:id="rId310" display="https://jira-projets.mpsa.com/TRANSV/browse/DEVCOMREPA-2109"/>
    <hyperlink ref="B161" r:id="rId311" display="https://budiag4.actia.fr/bugzilla-applicative/show_bug.cgi?id=36604"/>
    <hyperlink ref="A161" r:id="rId312" display="https://jira-projets.mpsa.com/TRANSV/browse/PVN-32"/>
  </hyperlinks>
  <pageMargins left="0.24" right="0.78740157499999996" top="0.19" bottom="0.18" header="0.18" footer="0.16"/>
  <pageSetup paperSize="9" scale="10" orientation="landscape" verticalDpi="0" r:id="rId313"/>
  <headerFooter alignWithMargins="0"/>
  <legacyDrawing r:id="rId314"/>
  <controls>
    <control shapeId="23317" r:id="rId315" name="Cmd_importer_JIRA"/>
    <control shapeId="23315" r:id="rId316" name="CmdFormuleCadrage"/>
    <control shapeId="23314" r:id="rId317" name="CmdTailleTMAJ"/>
    <control shapeId="23313" r:id="rId318" name="CmdVIN"/>
    <control shapeId="22586" r:id="rId319" name="Cmd_FI_Ouvertes"/>
    <control shapeId="22610" r:id="rId320" name="Cmd_new_FI"/>
    <control shapeId="22668" r:id="rId321" name="Cmd_importer_FI"/>
    <control shapeId="23312" r:id="rId322" name="CmdFind"/>
  </controls>
</worksheet>
</file>

<file path=xl/worksheets/sheet3.xml><?xml version="1.0" encoding="utf-8"?>
<worksheet xmlns="http://schemas.openxmlformats.org/spreadsheetml/2006/main" xmlns:r="http://schemas.openxmlformats.org/officeDocument/2006/relationships">
  <sheetPr codeName="Feuil3"/>
  <dimension ref="A1:Q341"/>
  <sheetViews>
    <sheetView workbookViewId="0">
      <selection activeCell="L16" sqref="L16"/>
    </sheetView>
  </sheetViews>
  <sheetFormatPr baseColWidth="10" defaultRowHeight="12.75"/>
  <cols>
    <col min="1" max="1" width="13.5703125" customWidth="1"/>
    <col min="7" max="7" width="18" customWidth="1"/>
    <col min="8" max="8" width="11.42578125" style="245"/>
    <col min="10" max="10" width="20.42578125" customWidth="1"/>
    <col min="11" max="11" width="14.7109375" style="360" bestFit="1" customWidth="1"/>
    <col min="12" max="12" width="13.85546875" style="360" bestFit="1" customWidth="1"/>
  </cols>
  <sheetData>
    <row r="1" spans="1:17" s="12" customFormat="1">
      <c r="A1" s="12" t="s">
        <v>265</v>
      </c>
      <c r="B1" s="12" t="s">
        <v>266</v>
      </c>
      <c r="E1" s="12" t="s">
        <v>272</v>
      </c>
      <c r="G1" s="12" t="s">
        <v>28</v>
      </c>
      <c r="H1" s="250"/>
      <c r="K1" s="455"/>
      <c r="L1" s="455"/>
    </row>
    <row r="2" spans="1:17" ht="25.5">
      <c r="A2" s="9">
        <v>39814</v>
      </c>
      <c r="B2" s="9" t="s">
        <v>267</v>
      </c>
      <c r="C2" t="s">
        <v>248</v>
      </c>
      <c r="D2" t="s">
        <v>268</v>
      </c>
      <c r="E2" s="1" t="s">
        <v>253</v>
      </c>
      <c r="G2" s="255" t="s">
        <v>289</v>
      </c>
      <c r="H2" s="256" t="s">
        <v>290</v>
      </c>
      <c r="I2" s="255" t="s">
        <v>291</v>
      </c>
      <c r="J2" s="255" t="s">
        <v>291</v>
      </c>
      <c r="K2" s="456" t="s">
        <v>182</v>
      </c>
      <c r="L2" s="456" t="s">
        <v>179</v>
      </c>
    </row>
    <row r="3" spans="1:17">
      <c r="A3" s="9">
        <v>39815</v>
      </c>
      <c r="B3">
        <v>1</v>
      </c>
      <c r="C3">
        <v>6</v>
      </c>
      <c r="D3">
        <v>11</v>
      </c>
      <c r="E3" s="1" t="s">
        <v>249</v>
      </c>
      <c r="G3" s="243" t="s">
        <v>35</v>
      </c>
      <c r="H3" s="245" t="s">
        <v>209</v>
      </c>
      <c r="I3" s="243" t="s">
        <v>42</v>
      </c>
      <c r="J3" t="s">
        <v>33</v>
      </c>
      <c r="K3" s="360" t="s">
        <v>292</v>
      </c>
      <c r="L3" s="360" t="s">
        <v>295</v>
      </c>
      <c r="O3" s="243"/>
      <c r="P3" s="245"/>
      <c r="Q3" s="243"/>
    </row>
    <row r="4" spans="1:17">
      <c r="A4" s="9">
        <v>39916</v>
      </c>
      <c r="B4">
        <v>2</v>
      </c>
      <c r="C4">
        <v>11</v>
      </c>
      <c r="D4">
        <v>21</v>
      </c>
      <c r="E4" s="1" t="s">
        <v>271</v>
      </c>
      <c r="G4" s="243" t="s">
        <v>36</v>
      </c>
      <c r="H4" s="245" t="s">
        <v>209</v>
      </c>
      <c r="I4" s="243" t="s">
        <v>43</v>
      </c>
      <c r="J4" t="s">
        <v>32</v>
      </c>
      <c r="K4" s="360" t="s">
        <v>292</v>
      </c>
      <c r="L4" s="360" t="s">
        <v>295</v>
      </c>
    </row>
    <row r="5" spans="1:17">
      <c r="A5" s="9">
        <v>39934</v>
      </c>
      <c r="B5">
        <v>3</v>
      </c>
      <c r="C5">
        <v>16</v>
      </c>
      <c r="D5">
        <v>31</v>
      </c>
      <c r="E5" s="14" t="s">
        <v>299</v>
      </c>
      <c r="G5" s="243" t="s">
        <v>37</v>
      </c>
      <c r="H5" s="245" t="s">
        <v>210</v>
      </c>
      <c r="I5" s="243" t="s">
        <v>44</v>
      </c>
      <c r="J5" t="s">
        <v>31</v>
      </c>
      <c r="K5" s="360" t="s">
        <v>293</v>
      </c>
      <c r="L5" s="360" t="s">
        <v>294</v>
      </c>
    </row>
    <row r="6" spans="1:17">
      <c r="A6" s="9">
        <v>39941</v>
      </c>
      <c r="E6" s="2" t="s">
        <v>379</v>
      </c>
      <c r="G6" s="243" t="s">
        <v>38</v>
      </c>
      <c r="H6" s="245" t="s">
        <v>210</v>
      </c>
      <c r="I6" s="243" t="s">
        <v>45</v>
      </c>
      <c r="J6" t="s">
        <v>30</v>
      </c>
      <c r="K6" s="360" t="s">
        <v>293</v>
      </c>
      <c r="L6" s="360" t="s">
        <v>294</v>
      </c>
    </row>
    <row r="7" spans="1:17">
      <c r="A7" s="9">
        <v>39954</v>
      </c>
      <c r="E7" s="2" t="s">
        <v>250</v>
      </c>
      <c r="G7" s="243" t="s">
        <v>39</v>
      </c>
      <c r="H7" s="245" t="s">
        <v>210</v>
      </c>
      <c r="I7" s="243" t="s">
        <v>45</v>
      </c>
      <c r="J7" t="s">
        <v>30</v>
      </c>
      <c r="K7" s="360" t="s">
        <v>293</v>
      </c>
      <c r="L7" s="360" t="s">
        <v>294</v>
      </c>
    </row>
    <row r="8" spans="1:17">
      <c r="A8" s="9">
        <v>39955</v>
      </c>
      <c r="E8" s="3" t="s">
        <v>251</v>
      </c>
      <c r="G8" s="243" t="s">
        <v>40</v>
      </c>
      <c r="H8" s="245" t="s">
        <v>210</v>
      </c>
      <c r="I8" s="243" t="s">
        <v>46</v>
      </c>
      <c r="J8" t="s">
        <v>29</v>
      </c>
      <c r="K8" s="360" t="s">
        <v>293</v>
      </c>
      <c r="L8" s="360" t="s">
        <v>294</v>
      </c>
    </row>
    <row r="9" spans="1:17">
      <c r="A9" s="9">
        <v>40007</v>
      </c>
      <c r="E9" s="3" t="s">
        <v>298</v>
      </c>
      <c r="G9" s="243" t="s">
        <v>53</v>
      </c>
      <c r="H9" s="245" t="s">
        <v>210</v>
      </c>
      <c r="I9" s="243" t="s">
        <v>46</v>
      </c>
      <c r="J9" t="s">
        <v>29</v>
      </c>
      <c r="K9" s="360" t="s">
        <v>293</v>
      </c>
      <c r="L9" s="360" t="s">
        <v>294</v>
      </c>
    </row>
    <row r="10" spans="1:17">
      <c r="A10" s="9">
        <v>40008</v>
      </c>
      <c r="E10" s="3" t="s">
        <v>247</v>
      </c>
      <c r="G10" s="243" t="s">
        <v>41</v>
      </c>
      <c r="H10" s="245" t="s">
        <v>210</v>
      </c>
      <c r="I10" s="243" t="s">
        <v>47</v>
      </c>
      <c r="J10" t="s">
        <v>34</v>
      </c>
      <c r="K10" s="360" t="s">
        <v>293</v>
      </c>
      <c r="L10" s="360" t="s">
        <v>294</v>
      </c>
    </row>
    <row r="11" spans="1:17">
      <c r="A11" s="9">
        <v>40040</v>
      </c>
      <c r="G11" t="s">
        <v>51</v>
      </c>
      <c r="H11" s="245" t="s">
        <v>51</v>
      </c>
      <c r="I11" s="243" t="s">
        <v>52</v>
      </c>
      <c r="J11" t="s">
        <v>26</v>
      </c>
      <c r="K11" s="360" t="s">
        <v>293</v>
      </c>
      <c r="L11" s="360" t="s">
        <v>294</v>
      </c>
    </row>
    <row r="12" spans="1:17">
      <c r="A12" s="9">
        <v>40128</v>
      </c>
      <c r="G12" t="s">
        <v>59</v>
      </c>
      <c r="H12" s="245" t="s">
        <v>51</v>
      </c>
      <c r="I12" t="s">
        <v>60</v>
      </c>
      <c r="J12" t="s">
        <v>50</v>
      </c>
      <c r="K12" s="360" t="s">
        <v>293</v>
      </c>
      <c r="L12" s="360" t="s">
        <v>294</v>
      </c>
    </row>
    <row r="13" spans="1:17">
      <c r="A13" s="9">
        <v>40172</v>
      </c>
      <c r="G13" t="s">
        <v>48</v>
      </c>
      <c r="H13" s="245" t="s">
        <v>48</v>
      </c>
      <c r="I13" t="s">
        <v>49</v>
      </c>
      <c r="J13" t="s">
        <v>50</v>
      </c>
      <c r="K13" s="360" t="s">
        <v>293</v>
      </c>
      <c r="L13" s="360" t="s">
        <v>294</v>
      </c>
    </row>
    <row r="14" spans="1:17">
      <c r="A14" s="9">
        <v>40175</v>
      </c>
      <c r="G14" t="s">
        <v>55</v>
      </c>
      <c r="H14" s="245" t="s">
        <v>51</v>
      </c>
      <c r="I14" t="s">
        <v>57</v>
      </c>
      <c r="J14" t="s">
        <v>58</v>
      </c>
      <c r="K14" s="360" t="s">
        <v>293</v>
      </c>
      <c r="L14" s="360" t="s">
        <v>294</v>
      </c>
    </row>
    <row r="15" spans="1:17">
      <c r="A15" s="9">
        <v>40176</v>
      </c>
      <c r="G15" t="s">
        <v>56</v>
      </c>
      <c r="H15" s="245" t="s">
        <v>48</v>
      </c>
      <c r="I15" t="s">
        <v>49</v>
      </c>
      <c r="J15" t="s">
        <v>50</v>
      </c>
      <c r="K15" s="360" t="s">
        <v>296</v>
      </c>
      <c r="L15" s="360" t="s">
        <v>297</v>
      </c>
    </row>
    <row r="16" spans="1:17">
      <c r="A16" s="9">
        <v>40177</v>
      </c>
      <c r="G16" t="s">
        <v>61</v>
      </c>
      <c r="H16" s="245" t="s">
        <v>48</v>
      </c>
      <c r="I16" t="s">
        <v>49</v>
      </c>
      <c r="J16" t="s">
        <v>50</v>
      </c>
      <c r="K16" s="360" t="s">
        <v>288</v>
      </c>
      <c r="L16" s="360" t="s">
        <v>287</v>
      </c>
    </row>
    <row r="17" spans="1:12">
      <c r="A17" s="9">
        <v>40178</v>
      </c>
      <c r="G17" t="s">
        <v>63</v>
      </c>
      <c r="H17" s="245" t="s">
        <v>48</v>
      </c>
      <c r="I17" t="s">
        <v>64</v>
      </c>
      <c r="J17" t="s">
        <v>54</v>
      </c>
      <c r="K17" s="360" t="s">
        <v>296</v>
      </c>
      <c r="L17" s="360" t="s">
        <v>297</v>
      </c>
    </row>
    <row r="18" spans="1:12">
      <c r="A18" s="9">
        <v>40035</v>
      </c>
      <c r="G18" t="s">
        <v>66</v>
      </c>
      <c r="H18" s="245" t="s">
        <v>48</v>
      </c>
      <c r="I18" t="s">
        <v>67</v>
      </c>
      <c r="J18" t="s">
        <v>71</v>
      </c>
      <c r="K18" s="360" t="s">
        <v>288</v>
      </c>
      <c r="L18" s="360" t="s">
        <v>287</v>
      </c>
    </row>
    <row r="19" spans="1:12">
      <c r="A19" s="9">
        <v>40036</v>
      </c>
      <c r="G19" t="s">
        <v>62</v>
      </c>
      <c r="H19" s="245" t="s">
        <v>211</v>
      </c>
      <c r="I19" t="s">
        <v>65</v>
      </c>
      <c r="K19" s="360" t="s">
        <v>288</v>
      </c>
      <c r="L19" s="360" t="s">
        <v>287</v>
      </c>
    </row>
    <row r="20" spans="1:12">
      <c r="A20" s="10">
        <v>40037</v>
      </c>
      <c r="G20" t="s">
        <v>68</v>
      </c>
      <c r="H20" s="245" t="s">
        <v>211</v>
      </c>
      <c r="I20" t="s">
        <v>65</v>
      </c>
      <c r="K20" s="360" t="s">
        <v>288</v>
      </c>
      <c r="L20" s="360" t="s">
        <v>287</v>
      </c>
    </row>
    <row r="21" spans="1:12">
      <c r="A21" s="9">
        <v>40038</v>
      </c>
      <c r="G21" t="s">
        <v>69</v>
      </c>
      <c r="H21" s="245" t="s">
        <v>69</v>
      </c>
      <c r="I21" t="s">
        <v>70</v>
      </c>
      <c r="J21" t="s">
        <v>71</v>
      </c>
      <c r="K21" s="360" t="s">
        <v>288</v>
      </c>
      <c r="L21" s="360" t="s">
        <v>287</v>
      </c>
    </row>
    <row r="22" spans="1:12">
      <c r="A22" s="9">
        <v>40039</v>
      </c>
      <c r="G22" t="s">
        <v>72</v>
      </c>
      <c r="H22" s="245" t="s">
        <v>69</v>
      </c>
      <c r="I22" t="s">
        <v>87</v>
      </c>
      <c r="J22" t="s">
        <v>89</v>
      </c>
      <c r="K22" s="360" t="s">
        <v>288</v>
      </c>
      <c r="L22" s="360" t="s">
        <v>287</v>
      </c>
    </row>
    <row r="23" spans="1:12">
      <c r="A23" s="9">
        <v>40179</v>
      </c>
      <c r="G23" t="s">
        <v>86</v>
      </c>
      <c r="H23" s="245" t="s">
        <v>69</v>
      </c>
      <c r="I23" t="s">
        <v>88</v>
      </c>
      <c r="J23" t="s">
        <v>81</v>
      </c>
      <c r="K23" s="360" t="s">
        <v>288</v>
      </c>
      <c r="L23" s="360" t="s">
        <v>287</v>
      </c>
    </row>
    <row r="24" spans="1:12">
      <c r="A24" s="145">
        <v>40273</v>
      </c>
      <c r="G24" t="s">
        <v>85</v>
      </c>
      <c r="H24" s="245" t="s">
        <v>69</v>
      </c>
      <c r="I24" t="s">
        <v>301</v>
      </c>
      <c r="J24" t="s">
        <v>301</v>
      </c>
      <c r="K24" s="360" t="s">
        <v>288</v>
      </c>
      <c r="L24" s="360" t="s">
        <v>287</v>
      </c>
    </row>
    <row r="25" spans="1:12">
      <c r="A25" s="145">
        <v>40311</v>
      </c>
      <c r="G25" t="s">
        <v>77</v>
      </c>
      <c r="H25" s="245" t="s">
        <v>91</v>
      </c>
      <c r="I25" t="s">
        <v>79</v>
      </c>
      <c r="J25" t="s">
        <v>81</v>
      </c>
      <c r="K25" s="360" t="s">
        <v>288</v>
      </c>
      <c r="L25" s="360" t="s">
        <v>287</v>
      </c>
    </row>
    <row r="26" spans="1:12">
      <c r="A26" s="145">
        <v>40312</v>
      </c>
      <c r="G26" t="s">
        <v>78</v>
      </c>
      <c r="H26" s="245" t="s">
        <v>95</v>
      </c>
      <c r="I26" t="s">
        <v>80</v>
      </c>
      <c r="J26" t="s">
        <v>82</v>
      </c>
      <c r="K26" s="360" t="s">
        <v>286</v>
      </c>
      <c r="L26" s="360" t="s">
        <v>287</v>
      </c>
    </row>
    <row r="27" spans="1:12">
      <c r="A27" s="145">
        <v>40373</v>
      </c>
      <c r="G27" t="s">
        <v>91</v>
      </c>
      <c r="H27" s="245" t="s">
        <v>98</v>
      </c>
      <c r="I27" t="s">
        <v>92</v>
      </c>
      <c r="J27" t="s">
        <v>93</v>
      </c>
      <c r="K27" s="360" t="s">
        <v>286</v>
      </c>
      <c r="L27" s="360" t="s">
        <v>287</v>
      </c>
    </row>
    <row r="28" spans="1:12">
      <c r="A28" s="145">
        <v>40399</v>
      </c>
      <c r="G28" t="s">
        <v>95</v>
      </c>
      <c r="H28" s="245" t="s">
        <v>98</v>
      </c>
      <c r="I28" t="s">
        <v>96</v>
      </c>
      <c r="J28" t="s">
        <v>94</v>
      </c>
      <c r="K28" s="360" t="s">
        <v>286</v>
      </c>
      <c r="L28" s="360" t="s">
        <v>287</v>
      </c>
    </row>
    <row r="29" spans="1:12">
      <c r="A29" s="145">
        <v>40400</v>
      </c>
      <c r="G29" t="s">
        <v>101</v>
      </c>
      <c r="H29" s="245" t="s">
        <v>98</v>
      </c>
      <c r="I29" t="s">
        <v>96</v>
      </c>
      <c r="J29" t="s">
        <v>94</v>
      </c>
      <c r="K29" s="360" t="s">
        <v>286</v>
      </c>
      <c r="L29" s="360" t="s">
        <v>287</v>
      </c>
    </row>
    <row r="30" spans="1:12">
      <c r="A30" s="145">
        <v>40401</v>
      </c>
      <c r="G30" t="s">
        <v>98</v>
      </c>
      <c r="H30" s="245" t="s">
        <v>98</v>
      </c>
      <c r="I30" t="s">
        <v>99</v>
      </c>
      <c r="J30" t="s">
        <v>100</v>
      </c>
      <c r="K30" s="360" t="s">
        <v>286</v>
      </c>
      <c r="L30" s="360" t="s">
        <v>287</v>
      </c>
    </row>
    <row r="31" spans="1:12">
      <c r="A31" s="145">
        <v>40402</v>
      </c>
      <c r="G31" t="s">
        <v>106</v>
      </c>
      <c r="H31" s="245" t="s">
        <v>98</v>
      </c>
      <c r="I31" t="s">
        <v>107</v>
      </c>
      <c r="J31" t="s">
        <v>112</v>
      </c>
      <c r="K31" s="360" t="s">
        <v>286</v>
      </c>
      <c r="L31" s="360" t="s">
        <v>287</v>
      </c>
    </row>
    <row r="32" spans="1:12">
      <c r="A32" s="145">
        <v>40403</v>
      </c>
      <c r="G32" t="s">
        <v>108</v>
      </c>
      <c r="H32" s="245" t="s">
        <v>98</v>
      </c>
      <c r="I32" t="s">
        <v>107</v>
      </c>
      <c r="J32" t="s">
        <v>112</v>
      </c>
      <c r="K32" s="360" t="s">
        <v>281</v>
      </c>
      <c r="L32" s="360" t="s">
        <v>282</v>
      </c>
    </row>
    <row r="33" spans="1:12">
      <c r="A33" s="145">
        <v>40540</v>
      </c>
      <c r="G33" t="s">
        <v>118</v>
      </c>
      <c r="H33" s="245" t="s">
        <v>98</v>
      </c>
      <c r="I33" t="s">
        <v>107</v>
      </c>
      <c r="J33" t="s">
        <v>112</v>
      </c>
      <c r="K33" s="360" t="s">
        <v>281</v>
      </c>
      <c r="L33" s="360" t="s">
        <v>282</v>
      </c>
    </row>
    <row r="34" spans="1:12">
      <c r="A34" s="145">
        <v>40539</v>
      </c>
      <c r="G34" t="s">
        <v>109</v>
      </c>
      <c r="H34" s="245" t="s">
        <v>109</v>
      </c>
      <c r="I34" t="s">
        <v>99</v>
      </c>
      <c r="J34" t="s">
        <v>100</v>
      </c>
      <c r="K34" s="360" t="s">
        <v>286</v>
      </c>
      <c r="L34" s="360" t="s">
        <v>287</v>
      </c>
    </row>
    <row r="35" spans="1:12">
      <c r="A35" s="145">
        <v>40541</v>
      </c>
      <c r="G35" t="s">
        <v>110</v>
      </c>
      <c r="H35" s="245" t="s">
        <v>110</v>
      </c>
      <c r="I35" t="s">
        <v>111</v>
      </c>
      <c r="J35" t="s">
        <v>103</v>
      </c>
      <c r="K35" s="360" t="s">
        <v>281</v>
      </c>
      <c r="L35" s="360" t="s">
        <v>282</v>
      </c>
    </row>
    <row r="36" spans="1:12">
      <c r="A36" s="145">
        <v>40542</v>
      </c>
      <c r="G36" t="s">
        <v>116</v>
      </c>
      <c r="H36" s="245" t="s">
        <v>116</v>
      </c>
      <c r="I36" t="s">
        <v>117</v>
      </c>
      <c r="J36" t="s">
        <v>105</v>
      </c>
      <c r="K36" s="360" t="s">
        <v>281</v>
      </c>
      <c r="L36" s="360" t="s">
        <v>282</v>
      </c>
    </row>
    <row r="37" spans="1:12">
      <c r="A37" s="145">
        <v>40543</v>
      </c>
      <c r="G37" t="s">
        <v>119</v>
      </c>
      <c r="H37" s="245" t="s">
        <v>116</v>
      </c>
      <c r="I37" t="s">
        <v>121</v>
      </c>
      <c r="J37" t="s">
        <v>120</v>
      </c>
      <c r="K37" s="360" t="s">
        <v>281</v>
      </c>
      <c r="L37" s="360" t="s">
        <v>282</v>
      </c>
    </row>
    <row r="38" spans="1:12">
      <c r="A38" s="145">
        <v>40494</v>
      </c>
      <c r="G38" t="s">
        <v>122</v>
      </c>
      <c r="H38" s="245" t="s">
        <v>122</v>
      </c>
      <c r="I38" t="s">
        <v>123</v>
      </c>
      <c r="J38" t="s">
        <v>128</v>
      </c>
      <c r="K38" s="360" t="s">
        <v>281</v>
      </c>
      <c r="L38" s="360" t="s">
        <v>282</v>
      </c>
    </row>
    <row r="39" spans="1:12">
      <c r="A39" s="145">
        <v>40493</v>
      </c>
      <c r="G39" t="s">
        <v>124</v>
      </c>
      <c r="H39" s="245" t="s">
        <v>122</v>
      </c>
      <c r="I39" t="s">
        <v>125</v>
      </c>
      <c r="J39" t="s">
        <v>115</v>
      </c>
      <c r="K39" s="360" t="s">
        <v>281</v>
      </c>
      <c r="L39" s="360" t="s">
        <v>282</v>
      </c>
    </row>
    <row r="40" spans="1:12">
      <c r="A40" s="145">
        <v>41008</v>
      </c>
      <c r="G40" t="s">
        <v>126</v>
      </c>
      <c r="H40" s="245" t="s">
        <v>124</v>
      </c>
      <c r="I40" t="s">
        <v>127</v>
      </c>
      <c r="J40" t="s">
        <v>128</v>
      </c>
      <c r="K40" s="360" t="s">
        <v>281</v>
      </c>
      <c r="L40" s="360" t="s">
        <v>282</v>
      </c>
    </row>
    <row r="41" spans="1:12">
      <c r="A41" s="145">
        <v>41030</v>
      </c>
      <c r="G41" t="s">
        <v>129</v>
      </c>
      <c r="H41" s="245" t="s">
        <v>124</v>
      </c>
      <c r="I41" t="s">
        <v>130</v>
      </c>
      <c r="J41" t="s">
        <v>115</v>
      </c>
      <c r="K41" s="360" t="s">
        <v>281</v>
      </c>
      <c r="L41" s="360" t="s">
        <v>282</v>
      </c>
    </row>
    <row r="42" spans="1:12">
      <c r="A42" s="145">
        <v>41037</v>
      </c>
      <c r="G42" t="s">
        <v>131</v>
      </c>
      <c r="H42" s="245" t="s">
        <v>126</v>
      </c>
      <c r="I42" t="s">
        <v>130</v>
      </c>
      <c r="J42" t="s">
        <v>115</v>
      </c>
      <c r="K42" s="360" t="s">
        <v>281</v>
      </c>
      <c r="L42" s="360" t="s">
        <v>282</v>
      </c>
    </row>
    <row r="43" spans="1:12">
      <c r="A43" s="145">
        <v>41046</v>
      </c>
      <c r="G43" t="s">
        <v>132</v>
      </c>
      <c r="H43" s="245" t="s">
        <v>129</v>
      </c>
      <c r="I43" t="s">
        <v>133</v>
      </c>
      <c r="J43" t="s">
        <v>115</v>
      </c>
      <c r="K43" s="360" t="s">
        <v>281</v>
      </c>
      <c r="L43" s="360" t="s">
        <v>282</v>
      </c>
    </row>
    <row r="44" spans="1:12">
      <c r="A44" s="145">
        <v>41134</v>
      </c>
      <c r="G44" t="s">
        <v>135</v>
      </c>
      <c r="H44" s="245" t="s">
        <v>131</v>
      </c>
      <c r="I44" t="s">
        <v>133</v>
      </c>
      <c r="J44" t="s">
        <v>115</v>
      </c>
      <c r="K44" s="360" t="s">
        <v>281</v>
      </c>
      <c r="L44" s="360" t="s">
        <v>282</v>
      </c>
    </row>
    <row r="45" spans="1:12">
      <c r="A45" s="145">
        <v>41135</v>
      </c>
      <c r="G45" t="s">
        <v>136</v>
      </c>
      <c r="H45" s="245" t="s">
        <v>131</v>
      </c>
      <c r="I45" t="s">
        <v>138</v>
      </c>
      <c r="J45" t="s">
        <v>115</v>
      </c>
      <c r="K45" s="360" t="s">
        <v>273</v>
      </c>
      <c r="L45" s="360" t="s">
        <v>280</v>
      </c>
    </row>
    <row r="46" spans="1:12">
      <c r="A46" s="145">
        <v>41136</v>
      </c>
      <c r="G46" t="s">
        <v>137</v>
      </c>
      <c r="H46" s="245" t="s">
        <v>131</v>
      </c>
      <c r="I46" t="s">
        <v>138</v>
      </c>
      <c r="J46" t="s">
        <v>115</v>
      </c>
      <c r="K46" s="360" t="s">
        <v>273</v>
      </c>
      <c r="L46" s="360" t="s">
        <v>280</v>
      </c>
    </row>
    <row r="47" spans="1:12">
      <c r="A47" s="145">
        <v>41137</v>
      </c>
      <c r="G47" t="s">
        <v>139</v>
      </c>
      <c r="H47" s="245" t="s">
        <v>135</v>
      </c>
      <c r="I47" t="s">
        <v>140</v>
      </c>
      <c r="J47" t="s">
        <v>115</v>
      </c>
      <c r="K47" s="360" t="s">
        <v>273</v>
      </c>
      <c r="L47" s="360" t="s">
        <v>280</v>
      </c>
    </row>
    <row r="48" spans="1:12">
      <c r="A48" s="145">
        <v>41138</v>
      </c>
      <c r="G48" t="s">
        <v>142</v>
      </c>
      <c r="H48" s="245" t="s">
        <v>135</v>
      </c>
      <c r="I48" t="s">
        <v>143</v>
      </c>
      <c r="J48" t="s">
        <v>115</v>
      </c>
      <c r="K48" s="360" t="s">
        <v>274</v>
      </c>
      <c r="L48" s="360" t="s">
        <v>277</v>
      </c>
    </row>
    <row r="49" spans="1:12">
      <c r="A49" s="145">
        <v>41214</v>
      </c>
      <c r="G49" t="s">
        <v>145</v>
      </c>
      <c r="H49" s="245" t="s">
        <v>135</v>
      </c>
      <c r="I49" t="s">
        <v>143</v>
      </c>
      <c r="J49" t="s">
        <v>115</v>
      </c>
      <c r="K49" s="360" t="s">
        <v>274</v>
      </c>
      <c r="L49" s="360" t="s">
        <v>277</v>
      </c>
    </row>
    <row r="50" spans="1:12">
      <c r="A50" s="145">
        <v>41268</v>
      </c>
      <c r="G50" t="s">
        <v>141</v>
      </c>
      <c r="H50" s="245" t="s">
        <v>135</v>
      </c>
      <c r="I50" t="s">
        <v>144</v>
      </c>
      <c r="J50" t="s">
        <v>134</v>
      </c>
      <c r="K50" s="360" t="s">
        <v>274</v>
      </c>
      <c r="L50" s="360" t="s">
        <v>277</v>
      </c>
    </row>
    <row r="51" spans="1:12">
      <c r="A51" s="145">
        <v>41269</v>
      </c>
      <c r="G51" t="s">
        <v>176</v>
      </c>
      <c r="H51" s="245" t="s">
        <v>135</v>
      </c>
      <c r="I51" t="s">
        <v>177</v>
      </c>
      <c r="J51" t="s">
        <v>115</v>
      </c>
      <c r="K51" s="360" t="s">
        <v>274</v>
      </c>
      <c r="L51" s="360" t="s">
        <v>277</v>
      </c>
    </row>
    <row r="52" spans="1:12">
      <c r="A52" s="145">
        <v>41270</v>
      </c>
      <c r="G52" t="s">
        <v>200</v>
      </c>
      <c r="H52" s="245" t="s">
        <v>135</v>
      </c>
      <c r="I52" t="s">
        <v>177</v>
      </c>
      <c r="J52" t="s">
        <v>115</v>
      </c>
      <c r="K52" s="360" t="s">
        <v>275</v>
      </c>
      <c r="L52" s="360" t="s">
        <v>278</v>
      </c>
    </row>
    <row r="53" spans="1:12">
      <c r="A53" s="145">
        <v>41271</v>
      </c>
      <c r="G53" t="s">
        <v>201</v>
      </c>
      <c r="H53" s="245" t="s">
        <v>135</v>
      </c>
      <c r="I53" t="s">
        <v>185</v>
      </c>
      <c r="J53" t="s">
        <v>134</v>
      </c>
      <c r="K53" s="360" t="s">
        <v>275</v>
      </c>
      <c r="L53" s="360" t="s">
        <v>278</v>
      </c>
    </row>
    <row r="54" spans="1:12">
      <c r="A54" s="145">
        <v>41272</v>
      </c>
      <c r="G54" t="s">
        <v>218</v>
      </c>
      <c r="H54" s="245" t="s">
        <v>145</v>
      </c>
      <c r="I54" t="s">
        <v>185</v>
      </c>
      <c r="J54" t="s">
        <v>134</v>
      </c>
      <c r="K54" s="360" t="s">
        <v>275</v>
      </c>
      <c r="L54" s="360" t="s">
        <v>278</v>
      </c>
    </row>
    <row r="55" spans="1:12">
      <c r="A55" s="145">
        <v>41273</v>
      </c>
      <c r="G55" t="s">
        <v>174</v>
      </c>
      <c r="H55" s="245" t="s">
        <v>135</v>
      </c>
      <c r="I55" t="s">
        <v>175</v>
      </c>
      <c r="J55" t="s">
        <v>134</v>
      </c>
      <c r="K55" s="360" t="s">
        <v>274</v>
      </c>
      <c r="L55" s="360" t="s">
        <v>277</v>
      </c>
    </row>
    <row r="56" spans="1:12">
      <c r="A56" s="145">
        <v>41274</v>
      </c>
      <c r="G56" t="s">
        <v>178</v>
      </c>
      <c r="H56" s="245" t="s">
        <v>139</v>
      </c>
      <c r="I56" t="s">
        <v>175</v>
      </c>
      <c r="J56" t="s">
        <v>134</v>
      </c>
      <c r="K56" s="360" t="s">
        <v>274</v>
      </c>
      <c r="L56" s="360" t="s">
        <v>277</v>
      </c>
    </row>
    <row r="57" spans="1:12">
      <c r="A57" s="145">
        <v>40483</v>
      </c>
      <c r="G57" t="s">
        <v>180</v>
      </c>
      <c r="H57" s="245" t="s">
        <v>135</v>
      </c>
      <c r="I57" t="s">
        <v>181</v>
      </c>
      <c r="J57" t="s">
        <v>134</v>
      </c>
      <c r="K57" s="360" t="s">
        <v>275</v>
      </c>
      <c r="L57" s="360" t="s">
        <v>278</v>
      </c>
    </row>
    <row r="58" spans="1:12">
      <c r="A58" s="145">
        <v>40658</v>
      </c>
      <c r="G58" s="245" t="s">
        <v>183</v>
      </c>
      <c r="H58" s="245" t="s">
        <v>135</v>
      </c>
      <c r="I58" t="s">
        <v>177</v>
      </c>
      <c r="J58" t="s">
        <v>115</v>
      </c>
      <c r="K58" s="360" t="s">
        <v>273</v>
      </c>
      <c r="L58" s="360" t="s">
        <v>280</v>
      </c>
    </row>
    <row r="59" spans="1:12">
      <c r="A59" s="145">
        <v>40696</v>
      </c>
      <c r="G59" t="s">
        <v>184</v>
      </c>
      <c r="H59" s="245" t="s">
        <v>135</v>
      </c>
      <c r="I59" t="s">
        <v>185</v>
      </c>
      <c r="J59" t="s">
        <v>134</v>
      </c>
      <c r="K59" s="360" t="s">
        <v>275</v>
      </c>
      <c r="L59" s="360" t="s">
        <v>278</v>
      </c>
    </row>
    <row r="60" spans="1:12">
      <c r="A60" s="145">
        <v>40697</v>
      </c>
      <c r="G60" t="s">
        <v>186</v>
      </c>
      <c r="H60" s="245" t="s">
        <v>135</v>
      </c>
      <c r="I60" t="s">
        <v>187</v>
      </c>
      <c r="J60" t="s">
        <v>191</v>
      </c>
      <c r="K60" s="360" t="s">
        <v>275</v>
      </c>
      <c r="L60" s="360" t="s">
        <v>278</v>
      </c>
    </row>
    <row r="61" spans="1:12">
      <c r="A61" s="145">
        <v>40738</v>
      </c>
      <c r="G61" s="245" t="s">
        <v>190</v>
      </c>
      <c r="H61" s="245" t="s">
        <v>135</v>
      </c>
      <c r="I61" t="s">
        <v>177</v>
      </c>
      <c r="J61" t="s">
        <v>115</v>
      </c>
      <c r="K61" s="360" t="s">
        <v>273</v>
      </c>
      <c r="L61" s="360" t="s">
        <v>280</v>
      </c>
    </row>
    <row r="62" spans="1:12">
      <c r="A62" s="145">
        <v>40739</v>
      </c>
      <c r="G62" s="316" t="s">
        <v>509</v>
      </c>
      <c r="H62" s="245" t="s">
        <v>135</v>
      </c>
      <c r="I62" t="s">
        <v>177</v>
      </c>
      <c r="J62" t="s">
        <v>115</v>
      </c>
      <c r="K62" s="360" t="s">
        <v>273</v>
      </c>
      <c r="L62" s="360" t="s">
        <v>280</v>
      </c>
    </row>
    <row r="63" spans="1:12">
      <c r="A63" s="145">
        <v>40767</v>
      </c>
      <c r="G63" s="316" t="s">
        <v>510</v>
      </c>
      <c r="H63" s="245" t="s">
        <v>135</v>
      </c>
      <c r="I63" t="s">
        <v>177</v>
      </c>
      <c r="J63" t="s">
        <v>115</v>
      </c>
      <c r="K63" s="360" t="s">
        <v>273</v>
      </c>
      <c r="L63" s="360" t="s">
        <v>280</v>
      </c>
    </row>
    <row r="64" spans="1:12">
      <c r="A64" s="145">
        <v>40770</v>
      </c>
      <c r="G64" s="316" t="s">
        <v>511</v>
      </c>
      <c r="H64" s="245" t="s">
        <v>135</v>
      </c>
      <c r="I64" t="s">
        <v>185</v>
      </c>
      <c r="J64" t="s">
        <v>134</v>
      </c>
      <c r="K64" s="360" t="s">
        <v>273</v>
      </c>
      <c r="L64" s="360" t="s">
        <v>280</v>
      </c>
    </row>
    <row r="65" spans="1:12">
      <c r="A65" s="145">
        <v>40771</v>
      </c>
      <c r="G65" t="s">
        <v>193</v>
      </c>
      <c r="H65" s="245" t="s">
        <v>145</v>
      </c>
      <c r="I65" t="s">
        <v>185</v>
      </c>
      <c r="J65" t="s">
        <v>134</v>
      </c>
      <c r="K65" s="360" t="s">
        <v>275</v>
      </c>
      <c r="L65" s="360" t="s">
        <v>278</v>
      </c>
    </row>
    <row r="66" spans="1:12">
      <c r="A66" s="145">
        <v>40772</v>
      </c>
      <c r="G66" t="s">
        <v>195</v>
      </c>
      <c r="H66" s="245" t="s">
        <v>135</v>
      </c>
      <c r="I66" t="s">
        <v>196</v>
      </c>
      <c r="J66" t="s">
        <v>191</v>
      </c>
      <c r="K66" s="360" t="s">
        <v>275</v>
      </c>
      <c r="L66" s="360" t="s">
        <v>278</v>
      </c>
    </row>
    <row r="67" spans="1:12">
      <c r="A67" s="145">
        <v>40773</v>
      </c>
      <c r="G67" t="s">
        <v>197</v>
      </c>
      <c r="H67" s="245" t="s">
        <v>208</v>
      </c>
      <c r="I67" t="s">
        <v>185</v>
      </c>
      <c r="J67" t="s">
        <v>134</v>
      </c>
      <c r="K67" s="360" t="s">
        <v>275</v>
      </c>
      <c r="L67" s="360" t="s">
        <v>278</v>
      </c>
    </row>
    <row r="68" spans="1:12">
      <c r="A68" s="145">
        <v>40774</v>
      </c>
      <c r="G68" t="s">
        <v>206</v>
      </c>
      <c r="H68" s="245" t="s">
        <v>135</v>
      </c>
      <c r="I68" t="s">
        <v>207</v>
      </c>
      <c r="J68" t="s">
        <v>191</v>
      </c>
      <c r="K68" s="360" t="s">
        <v>275</v>
      </c>
      <c r="L68" s="360" t="s">
        <v>278</v>
      </c>
    </row>
    <row r="69" spans="1:12">
      <c r="A69" s="145">
        <v>40847</v>
      </c>
      <c r="G69" t="s">
        <v>214</v>
      </c>
      <c r="H69" s="245" t="s">
        <v>145</v>
      </c>
      <c r="I69" t="s">
        <v>185</v>
      </c>
      <c r="J69" t="s">
        <v>134</v>
      </c>
      <c r="K69" s="360" t="s">
        <v>275</v>
      </c>
      <c r="L69" s="360" t="s">
        <v>278</v>
      </c>
    </row>
    <row r="70" spans="1:12">
      <c r="A70" s="145">
        <v>40848</v>
      </c>
      <c r="G70" t="s">
        <v>212</v>
      </c>
      <c r="H70" s="245" t="s">
        <v>200</v>
      </c>
      <c r="I70" t="s">
        <v>185</v>
      </c>
      <c r="J70" t="s">
        <v>134</v>
      </c>
      <c r="K70" s="360" t="s">
        <v>275</v>
      </c>
      <c r="L70" s="360" t="s">
        <v>278</v>
      </c>
    </row>
    <row r="71" spans="1:12">
      <c r="A71" s="145">
        <v>40858</v>
      </c>
      <c r="G71" t="s">
        <v>213</v>
      </c>
      <c r="H71" s="245" t="s">
        <v>145</v>
      </c>
      <c r="I71" t="s">
        <v>215</v>
      </c>
      <c r="J71" t="s">
        <v>191</v>
      </c>
      <c r="K71" s="360" t="s">
        <v>276</v>
      </c>
      <c r="L71" s="360" t="s">
        <v>279</v>
      </c>
    </row>
    <row r="72" spans="1:12">
      <c r="A72" s="145">
        <v>40903</v>
      </c>
      <c r="G72" t="s">
        <v>216</v>
      </c>
      <c r="H72" s="245" t="s">
        <v>145</v>
      </c>
      <c r="I72" t="s">
        <v>217</v>
      </c>
      <c r="J72" t="s">
        <v>191</v>
      </c>
      <c r="K72" s="360" t="s">
        <v>276</v>
      </c>
      <c r="L72" s="360" t="s">
        <v>279</v>
      </c>
    </row>
    <row r="73" spans="1:12">
      <c r="A73" s="145">
        <v>40904</v>
      </c>
      <c r="G73" t="s">
        <v>226</v>
      </c>
      <c r="H73" s="245" t="s">
        <v>200</v>
      </c>
      <c r="I73" t="s">
        <v>227</v>
      </c>
      <c r="J73" t="s">
        <v>219</v>
      </c>
      <c r="K73" s="360" t="s">
        <v>276</v>
      </c>
      <c r="L73" s="360" t="s">
        <v>279</v>
      </c>
    </row>
    <row r="74" spans="1:12">
      <c r="A74" s="145">
        <v>40905</v>
      </c>
      <c r="G74" t="s">
        <v>228</v>
      </c>
      <c r="H74" s="245" t="s">
        <v>208</v>
      </c>
      <c r="I74" t="s">
        <v>217</v>
      </c>
      <c r="J74" t="s">
        <v>191</v>
      </c>
      <c r="K74" s="360" t="s">
        <v>276</v>
      </c>
      <c r="L74" s="360" t="s">
        <v>279</v>
      </c>
    </row>
    <row r="75" spans="1:12">
      <c r="A75" s="145">
        <v>40906</v>
      </c>
      <c r="G75" t="s">
        <v>208</v>
      </c>
      <c r="H75" s="245" t="s">
        <v>135</v>
      </c>
      <c r="I75" t="s">
        <v>177</v>
      </c>
      <c r="J75" t="s">
        <v>115</v>
      </c>
      <c r="K75" s="360" t="s">
        <v>274</v>
      </c>
      <c r="L75" s="360" t="s">
        <v>277</v>
      </c>
    </row>
    <row r="76" spans="1:12">
      <c r="A76" s="145">
        <v>40907</v>
      </c>
      <c r="G76" t="s">
        <v>230</v>
      </c>
      <c r="H76" s="245" t="s">
        <v>135</v>
      </c>
      <c r="I76" t="s">
        <v>177</v>
      </c>
      <c r="J76" t="s">
        <v>115</v>
      </c>
      <c r="K76" s="360" t="s">
        <v>274</v>
      </c>
      <c r="L76" s="360" t="s">
        <v>277</v>
      </c>
    </row>
    <row r="77" spans="1:12">
      <c r="A77" s="145">
        <v>40909</v>
      </c>
      <c r="G77" t="s">
        <v>231</v>
      </c>
      <c r="H77" s="245" t="s">
        <v>135</v>
      </c>
      <c r="I77" t="s">
        <v>177</v>
      </c>
      <c r="J77" t="s">
        <v>115</v>
      </c>
      <c r="K77" s="360" t="s">
        <v>275</v>
      </c>
      <c r="L77" s="360" t="s">
        <v>278</v>
      </c>
    </row>
    <row r="78" spans="1:12">
      <c r="A78" s="145">
        <v>40915</v>
      </c>
      <c r="G78" t="s">
        <v>232</v>
      </c>
      <c r="H78" s="245" t="s">
        <v>135</v>
      </c>
      <c r="I78" t="s">
        <v>185</v>
      </c>
      <c r="J78" t="s">
        <v>134</v>
      </c>
      <c r="K78" s="360" t="s">
        <v>275</v>
      </c>
      <c r="L78" s="360" t="s">
        <v>278</v>
      </c>
    </row>
    <row r="79" spans="1:12">
      <c r="A79" s="145">
        <v>40916</v>
      </c>
      <c r="G79" t="s">
        <v>229</v>
      </c>
      <c r="H79" s="245" t="s">
        <v>145</v>
      </c>
      <c r="I79" t="s">
        <v>185</v>
      </c>
      <c r="J79" t="s">
        <v>134</v>
      </c>
      <c r="K79" s="360" t="s">
        <v>275</v>
      </c>
      <c r="L79" s="360" t="s">
        <v>278</v>
      </c>
    </row>
    <row r="80" spans="1:12">
      <c r="A80" s="145">
        <v>40922</v>
      </c>
      <c r="G80" t="s">
        <v>238</v>
      </c>
      <c r="H80" s="245" t="s">
        <v>145</v>
      </c>
      <c r="I80" t="s">
        <v>185</v>
      </c>
      <c r="J80" t="s">
        <v>134</v>
      </c>
      <c r="K80" s="360" t="s">
        <v>276</v>
      </c>
      <c r="L80" s="360" t="s">
        <v>279</v>
      </c>
    </row>
    <row r="81" spans="1:12">
      <c r="A81" s="145">
        <v>40923</v>
      </c>
      <c r="G81" t="s">
        <v>239</v>
      </c>
      <c r="H81" s="245" t="s">
        <v>145</v>
      </c>
      <c r="I81" t="s">
        <v>217</v>
      </c>
      <c r="J81" t="s">
        <v>191</v>
      </c>
      <c r="K81" s="360" t="s">
        <v>276</v>
      </c>
      <c r="L81" s="360" t="s">
        <v>279</v>
      </c>
    </row>
    <row r="82" spans="1:12">
      <c r="A82" s="145">
        <v>40930</v>
      </c>
      <c r="G82" t="s">
        <v>223</v>
      </c>
      <c r="H82" s="245" t="s">
        <v>200</v>
      </c>
      <c r="I82" t="s">
        <v>217</v>
      </c>
      <c r="J82" t="s">
        <v>191</v>
      </c>
      <c r="K82" s="360" t="s">
        <v>276</v>
      </c>
      <c r="L82" s="360" t="s">
        <v>279</v>
      </c>
    </row>
    <row r="83" spans="1:12">
      <c r="A83" s="145">
        <v>40936</v>
      </c>
      <c r="G83" t="s">
        <v>224</v>
      </c>
      <c r="H83" s="245" t="s">
        <v>200</v>
      </c>
      <c r="I83" t="s">
        <v>217</v>
      </c>
      <c r="J83" t="s">
        <v>191</v>
      </c>
      <c r="K83" s="360" t="s">
        <v>283</v>
      </c>
      <c r="L83" s="360" t="s">
        <v>285</v>
      </c>
    </row>
    <row r="84" spans="1:12">
      <c r="A84" s="145">
        <v>40937</v>
      </c>
      <c r="G84" t="s">
        <v>225</v>
      </c>
      <c r="H84" s="245" t="s">
        <v>200</v>
      </c>
      <c r="I84" t="s">
        <v>217</v>
      </c>
      <c r="J84" t="s">
        <v>191</v>
      </c>
      <c r="K84" s="360" t="s">
        <v>284</v>
      </c>
      <c r="L84" s="360" t="s">
        <v>279</v>
      </c>
    </row>
    <row r="85" spans="1:12">
      <c r="A85" s="145">
        <v>40943</v>
      </c>
      <c r="G85" t="s">
        <v>269</v>
      </c>
      <c r="H85" s="245" t="s">
        <v>200</v>
      </c>
      <c r="I85" t="s">
        <v>76</v>
      </c>
      <c r="J85" t="s">
        <v>219</v>
      </c>
      <c r="K85" s="360" t="s">
        <v>284</v>
      </c>
      <c r="L85" s="360" t="s">
        <v>285</v>
      </c>
    </row>
    <row r="86" spans="1:12">
      <c r="A86" s="145">
        <v>40944</v>
      </c>
      <c r="G86" t="s">
        <v>102</v>
      </c>
      <c r="H86" s="245" t="s">
        <v>200</v>
      </c>
      <c r="I86" t="s">
        <v>76</v>
      </c>
      <c r="J86" t="s">
        <v>219</v>
      </c>
      <c r="K86" s="360" t="s">
        <v>284</v>
      </c>
      <c r="L86" s="360" t="s">
        <v>285</v>
      </c>
    </row>
    <row r="87" spans="1:12">
      <c r="A87" s="145">
        <v>40950</v>
      </c>
      <c r="G87" t="s">
        <v>222</v>
      </c>
      <c r="H87" s="245" t="s">
        <v>205</v>
      </c>
      <c r="I87" t="s">
        <v>84</v>
      </c>
      <c r="J87" t="s">
        <v>194</v>
      </c>
      <c r="K87" s="360" t="s">
        <v>433</v>
      </c>
      <c r="L87" s="360" t="s">
        <v>434</v>
      </c>
    </row>
    <row r="88" spans="1:12">
      <c r="A88" s="145">
        <v>40951</v>
      </c>
      <c r="G88" t="s">
        <v>221</v>
      </c>
      <c r="H88" s="245" t="s">
        <v>200</v>
      </c>
      <c r="I88" t="s">
        <v>220</v>
      </c>
      <c r="J88" t="s">
        <v>219</v>
      </c>
      <c r="K88" s="360" t="s">
        <v>276</v>
      </c>
      <c r="L88" s="360" t="s">
        <v>279</v>
      </c>
    </row>
    <row r="89" spans="1:12">
      <c r="A89" s="145">
        <v>40957</v>
      </c>
      <c r="G89" t="s">
        <v>6</v>
      </c>
      <c r="H89" s="245" t="s">
        <v>201</v>
      </c>
      <c r="I89" t="s">
        <v>217</v>
      </c>
      <c r="J89" t="s">
        <v>191</v>
      </c>
      <c r="K89" s="360" t="s">
        <v>276</v>
      </c>
      <c r="L89" s="360" t="s">
        <v>279</v>
      </c>
    </row>
    <row r="90" spans="1:12">
      <c r="A90" s="145">
        <v>40958</v>
      </c>
      <c r="G90" t="s">
        <v>323</v>
      </c>
      <c r="H90" s="245" t="s">
        <v>201</v>
      </c>
      <c r="I90" t="s">
        <v>217</v>
      </c>
      <c r="J90" t="s">
        <v>191</v>
      </c>
      <c r="K90" s="360" t="s">
        <v>276</v>
      </c>
      <c r="L90" s="360" t="s">
        <v>279</v>
      </c>
    </row>
    <row r="91" spans="1:12">
      <c r="A91" s="145">
        <v>40964</v>
      </c>
      <c r="G91" t="s">
        <v>198</v>
      </c>
      <c r="H91" s="245" t="s">
        <v>200</v>
      </c>
      <c r="I91" t="s">
        <v>199</v>
      </c>
      <c r="J91" t="s">
        <v>219</v>
      </c>
      <c r="K91" s="360" t="s">
        <v>276</v>
      </c>
      <c r="L91" s="360" t="s">
        <v>279</v>
      </c>
    </row>
    <row r="92" spans="1:12">
      <c r="A92" s="145">
        <v>40965</v>
      </c>
      <c r="G92" t="s">
        <v>104</v>
      </c>
      <c r="H92" s="245" t="s">
        <v>116</v>
      </c>
      <c r="I92" t="s">
        <v>121</v>
      </c>
      <c r="J92" t="s">
        <v>120</v>
      </c>
      <c r="K92" s="360" t="s">
        <v>281</v>
      </c>
      <c r="L92" s="360" t="s">
        <v>282</v>
      </c>
    </row>
    <row r="93" spans="1:12">
      <c r="A93" s="145">
        <v>40971</v>
      </c>
      <c r="G93" t="s">
        <v>1</v>
      </c>
      <c r="H93" s="245" t="s">
        <v>200</v>
      </c>
      <c r="I93" t="s">
        <v>2</v>
      </c>
      <c r="J93" t="s">
        <v>194</v>
      </c>
      <c r="K93" s="360" t="s">
        <v>276</v>
      </c>
      <c r="L93" s="360" t="s">
        <v>279</v>
      </c>
    </row>
    <row r="94" spans="1:12">
      <c r="A94" s="145">
        <v>40972</v>
      </c>
      <c r="G94" t="s">
        <v>204</v>
      </c>
      <c r="H94" s="245" t="s">
        <v>205</v>
      </c>
      <c r="I94" t="s">
        <v>199</v>
      </c>
      <c r="J94" t="s">
        <v>219</v>
      </c>
      <c r="K94" s="360" t="s">
        <v>276</v>
      </c>
      <c r="L94" s="360" t="s">
        <v>279</v>
      </c>
    </row>
    <row r="95" spans="1:12">
      <c r="A95" s="145">
        <v>40978</v>
      </c>
      <c r="G95" t="s">
        <v>73</v>
      </c>
      <c r="H95" s="245" t="s">
        <v>205</v>
      </c>
      <c r="I95" t="s">
        <v>75</v>
      </c>
      <c r="J95" t="s">
        <v>194</v>
      </c>
      <c r="K95" s="360" t="s">
        <v>283</v>
      </c>
      <c r="L95" s="360" t="s">
        <v>285</v>
      </c>
    </row>
    <row r="96" spans="1:12">
      <c r="A96" s="145">
        <v>40979</v>
      </c>
      <c r="G96" t="s">
        <v>74</v>
      </c>
      <c r="H96" s="245" t="s">
        <v>205</v>
      </c>
      <c r="I96" t="s">
        <v>76</v>
      </c>
      <c r="J96" t="s">
        <v>219</v>
      </c>
      <c r="K96" s="360" t="s">
        <v>276</v>
      </c>
      <c r="L96" s="360" t="s">
        <v>279</v>
      </c>
    </row>
    <row r="97" spans="1:12">
      <c r="A97" s="145">
        <v>40985</v>
      </c>
      <c r="G97" t="s">
        <v>411</v>
      </c>
      <c r="H97" s="245" t="s">
        <v>205</v>
      </c>
      <c r="I97" t="s">
        <v>412</v>
      </c>
      <c r="J97" t="s">
        <v>194</v>
      </c>
      <c r="K97" s="360" t="s">
        <v>283</v>
      </c>
      <c r="L97" s="360" t="s">
        <v>285</v>
      </c>
    </row>
    <row r="98" spans="1:12">
      <c r="A98" s="145">
        <v>40986</v>
      </c>
      <c r="G98" t="s">
        <v>83</v>
      </c>
      <c r="H98" s="245" t="s">
        <v>208</v>
      </c>
      <c r="I98" t="s">
        <v>84</v>
      </c>
      <c r="J98" t="s">
        <v>194</v>
      </c>
      <c r="K98" s="360" t="s">
        <v>283</v>
      </c>
      <c r="L98" s="360" t="s">
        <v>285</v>
      </c>
    </row>
    <row r="99" spans="1:12">
      <c r="A99" s="145">
        <v>40992</v>
      </c>
      <c r="G99" t="s">
        <v>20</v>
      </c>
      <c r="H99" s="245" t="s">
        <v>205</v>
      </c>
      <c r="I99" t="s">
        <v>21</v>
      </c>
      <c r="J99" t="s">
        <v>194</v>
      </c>
      <c r="K99" s="360" t="s">
        <v>283</v>
      </c>
      <c r="L99" s="360" t="s">
        <v>285</v>
      </c>
    </row>
    <row r="100" spans="1:12">
      <c r="A100" s="145">
        <v>40993</v>
      </c>
      <c r="G100" t="s">
        <v>431</v>
      </c>
      <c r="H100" s="245" t="s">
        <v>205</v>
      </c>
      <c r="I100" t="s">
        <v>432</v>
      </c>
      <c r="J100" t="s">
        <v>27</v>
      </c>
      <c r="K100" s="360" t="s">
        <v>433</v>
      </c>
      <c r="L100" s="360" t="s">
        <v>434</v>
      </c>
    </row>
    <row r="101" spans="1:12">
      <c r="A101" s="145">
        <v>40999</v>
      </c>
      <c r="G101" t="s">
        <v>240</v>
      </c>
      <c r="H101" s="245" t="s">
        <v>205</v>
      </c>
      <c r="I101" t="s">
        <v>241</v>
      </c>
      <c r="J101" t="s">
        <v>27</v>
      </c>
      <c r="K101" s="360" t="s">
        <v>433</v>
      </c>
      <c r="L101" s="360" t="s">
        <v>434</v>
      </c>
    </row>
    <row r="102" spans="1:12">
      <c r="A102" s="145">
        <v>41000</v>
      </c>
      <c r="G102" t="s">
        <v>192</v>
      </c>
      <c r="H102" s="245" t="s">
        <v>205</v>
      </c>
      <c r="I102" t="s">
        <v>241</v>
      </c>
      <c r="J102" t="s">
        <v>27</v>
      </c>
      <c r="K102" s="360" t="s">
        <v>433</v>
      </c>
      <c r="L102" s="360" t="s">
        <v>434</v>
      </c>
    </row>
    <row r="103" spans="1:12">
      <c r="A103" s="145">
        <v>41006</v>
      </c>
      <c r="G103" t="s">
        <v>10</v>
      </c>
      <c r="H103" s="245" t="s">
        <v>208</v>
      </c>
      <c r="I103" t="s">
        <v>241</v>
      </c>
      <c r="J103" t="s">
        <v>27</v>
      </c>
      <c r="K103" s="360" t="s">
        <v>97</v>
      </c>
      <c r="L103" s="360" t="s">
        <v>9</v>
      </c>
    </row>
    <row r="104" spans="1:12">
      <c r="A104" s="145">
        <v>41007</v>
      </c>
      <c r="G104" t="s">
        <v>202</v>
      </c>
      <c r="H104" s="245" t="s">
        <v>208</v>
      </c>
      <c r="I104" t="s">
        <v>203</v>
      </c>
      <c r="J104" t="s">
        <v>27</v>
      </c>
      <c r="K104" s="360" t="s">
        <v>97</v>
      </c>
      <c r="L104" s="360" t="s">
        <v>9</v>
      </c>
    </row>
    <row r="105" spans="1:12">
      <c r="A105" s="145">
        <v>41008</v>
      </c>
      <c r="G105" s="262" t="s">
        <v>444</v>
      </c>
      <c r="H105" s="263" t="s">
        <v>230</v>
      </c>
      <c r="I105" t="s">
        <v>203</v>
      </c>
      <c r="J105" t="s">
        <v>27</v>
      </c>
      <c r="K105" s="360" t="s">
        <v>97</v>
      </c>
      <c r="L105" s="360" t="s">
        <v>9</v>
      </c>
    </row>
    <row r="106" spans="1:12">
      <c r="A106" s="145">
        <v>41013</v>
      </c>
      <c r="G106" s="264" t="s">
        <v>445</v>
      </c>
      <c r="H106" s="245" t="s">
        <v>208</v>
      </c>
      <c r="I106" s="264" t="s">
        <v>446</v>
      </c>
      <c r="J106" t="s">
        <v>27</v>
      </c>
      <c r="K106" s="360" t="s">
        <v>97</v>
      </c>
      <c r="L106" s="360" t="s">
        <v>9</v>
      </c>
    </row>
    <row r="107" spans="1:12">
      <c r="A107" s="145">
        <v>41014</v>
      </c>
      <c r="G107" s="265" t="s">
        <v>447</v>
      </c>
      <c r="H107" s="245" t="s">
        <v>208</v>
      </c>
      <c r="I107" s="265" t="s">
        <v>448</v>
      </c>
      <c r="J107" t="s">
        <v>27</v>
      </c>
      <c r="K107" s="360" t="s">
        <v>97</v>
      </c>
      <c r="L107" s="360" t="s">
        <v>9</v>
      </c>
    </row>
    <row r="108" spans="1:12">
      <c r="A108" s="145">
        <v>41020</v>
      </c>
      <c r="G108" s="266" t="s">
        <v>449</v>
      </c>
      <c r="H108" s="267" t="s">
        <v>451</v>
      </c>
      <c r="I108" s="266" t="s">
        <v>84</v>
      </c>
      <c r="J108" t="s">
        <v>194</v>
      </c>
      <c r="K108" s="360" t="s">
        <v>97</v>
      </c>
      <c r="L108" s="360" t="s">
        <v>9</v>
      </c>
    </row>
    <row r="109" spans="1:12">
      <c r="A109" s="145">
        <v>41021</v>
      </c>
      <c r="G109" s="266" t="s">
        <v>450</v>
      </c>
      <c r="H109" s="267" t="s">
        <v>451</v>
      </c>
      <c r="I109" t="s">
        <v>84</v>
      </c>
      <c r="J109" t="s">
        <v>194</v>
      </c>
      <c r="K109" s="360" t="s">
        <v>433</v>
      </c>
      <c r="L109" s="360" t="s">
        <v>434</v>
      </c>
    </row>
    <row r="110" spans="1:12">
      <c r="A110" s="145">
        <v>41027</v>
      </c>
      <c r="G110" s="270" t="s">
        <v>454</v>
      </c>
      <c r="H110" s="263" t="s">
        <v>230</v>
      </c>
      <c r="I110" s="270" t="s">
        <v>455</v>
      </c>
      <c r="J110" s="270" t="s">
        <v>413</v>
      </c>
      <c r="K110" s="360" t="s">
        <v>97</v>
      </c>
      <c r="L110" s="360" t="s">
        <v>9</v>
      </c>
    </row>
    <row r="111" spans="1:12">
      <c r="A111" s="145">
        <v>41028</v>
      </c>
      <c r="G111" s="271" t="s">
        <v>456</v>
      </c>
      <c r="H111" s="267" t="s">
        <v>451</v>
      </c>
      <c r="I111" s="271" t="s">
        <v>448</v>
      </c>
      <c r="J111" s="271" t="s">
        <v>27</v>
      </c>
      <c r="K111" s="360" t="s">
        <v>97</v>
      </c>
      <c r="L111" s="360" t="s">
        <v>9</v>
      </c>
    </row>
    <row r="112" spans="1:12">
      <c r="A112" s="145">
        <v>41030</v>
      </c>
      <c r="G112" s="272" t="s">
        <v>457</v>
      </c>
      <c r="H112" s="263" t="s">
        <v>230</v>
      </c>
      <c r="I112" s="270" t="s">
        <v>455</v>
      </c>
      <c r="J112" s="270" t="s">
        <v>413</v>
      </c>
      <c r="K112" s="457" t="s">
        <v>453</v>
      </c>
      <c r="L112" s="457" t="s">
        <v>452</v>
      </c>
    </row>
    <row r="113" spans="1:12">
      <c r="A113" s="145">
        <v>41034</v>
      </c>
      <c r="G113" s="273" t="s">
        <v>458</v>
      </c>
      <c r="H113" s="274" t="s">
        <v>200</v>
      </c>
      <c r="I113" s="273" t="s">
        <v>76</v>
      </c>
      <c r="J113" t="s">
        <v>219</v>
      </c>
    </row>
    <row r="114" spans="1:12">
      <c r="A114" s="145">
        <v>41035</v>
      </c>
      <c r="G114" s="275" t="s">
        <v>460</v>
      </c>
      <c r="H114" s="263" t="s">
        <v>230</v>
      </c>
      <c r="I114" s="275" t="s">
        <v>461</v>
      </c>
      <c r="J114" s="270" t="s">
        <v>413</v>
      </c>
      <c r="K114" s="360" t="s">
        <v>97</v>
      </c>
      <c r="L114" s="360" t="s">
        <v>9</v>
      </c>
    </row>
    <row r="115" spans="1:12">
      <c r="A115" s="145">
        <v>41037</v>
      </c>
      <c r="G115" s="276" t="s">
        <v>462</v>
      </c>
      <c r="H115" s="245" t="s">
        <v>208</v>
      </c>
      <c r="I115" t="s">
        <v>463</v>
      </c>
      <c r="J115" t="s">
        <v>27</v>
      </c>
      <c r="K115" s="360" t="s">
        <v>97</v>
      </c>
      <c r="L115" s="360" t="s">
        <v>9</v>
      </c>
    </row>
    <row r="116" spans="1:12">
      <c r="A116" s="145">
        <v>41041</v>
      </c>
      <c r="G116" s="277" t="s">
        <v>464</v>
      </c>
      <c r="H116" s="263" t="s">
        <v>230</v>
      </c>
      <c r="I116" s="277" t="s">
        <v>465</v>
      </c>
      <c r="J116" s="270" t="s">
        <v>413</v>
      </c>
      <c r="K116" s="457" t="s">
        <v>453</v>
      </c>
      <c r="L116" s="457" t="s">
        <v>452</v>
      </c>
    </row>
    <row r="117" spans="1:12">
      <c r="A117" s="145">
        <v>41042</v>
      </c>
      <c r="G117" s="292" t="s">
        <v>467</v>
      </c>
      <c r="H117" s="291" t="s">
        <v>231</v>
      </c>
      <c r="I117" s="277" t="s">
        <v>465</v>
      </c>
      <c r="J117" s="270" t="s">
        <v>413</v>
      </c>
      <c r="K117" s="458" t="s">
        <v>468</v>
      </c>
      <c r="L117" s="457" t="s">
        <v>452</v>
      </c>
    </row>
    <row r="118" spans="1:12">
      <c r="A118" s="145">
        <v>41046</v>
      </c>
      <c r="G118" s="293" t="s">
        <v>469</v>
      </c>
      <c r="H118" s="294" t="s">
        <v>230</v>
      </c>
      <c r="I118" s="293" t="s">
        <v>470</v>
      </c>
      <c r="J118" s="270" t="s">
        <v>413</v>
      </c>
      <c r="K118" s="458" t="s">
        <v>468</v>
      </c>
      <c r="L118" s="457" t="s">
        <v>452</v>
      </c>
    </row>
    <row r="119" spans="1:12">
      <c r="A119" s="145">
        <v>41048</v>
      </c>
      <c r="G119" s="295" t="s">
        <v>471</v>
      </c>
      <c r="H119" s="245" t="s">
        <v>208</v>
      </c>
      <c r="I119" t="s">
        <v>463</v>
      </c>
      <c r="J119" t="s">
        <v>27</v>
      </c>
      <c r="K119" s="459" t="s">
        <v>453</v>
      </c>
      <c r="L119" s="360" t="s">
        <v>452</v>
      </c>
    </row>
    <row r="120" spans="1:12">
      <c r="A120" s="145">
        <v>41049</v>
      </c>
      <c r="G120" s="296" t="s">
        <v>473</v>
      </c>
      <c r="H120" s="294" t="s">
        <v>230</v>
      </c>
      <c r="I120" s="296" t="s">
        <v>472</v>
      </c>
      <c r="J120" s="297" t="s">
        <v>459</v>
      </c>
      <c r="K120" s="458" t="s">
        <v>468</v>
      </c>
      <c r="L120" s="457" t="s">
        <v>452</v>
      </c>
    </row>
    <row r="121" spans="1:12">
      <c r="A121" s="145">
        <v>41055</v>
      </c>
      <c r="G121" s="298" t="s">
        <v>474</v>
      </c>
      <c r="H121" s="245" t="s">
        <v>208</v>
      </c>
      <c r="I121" t="s">
        <v>463</v>
      </c>
      <c r="J121" t="s">
        <v>27</v>
      </c>
      <c r="K121" s="458" t="s">
        <v>468</v>
      </c>
      <c r="L121" s="360" t="s">
        <v>452</v>
      </c>
    </row>
    <row r="122" spans="1:12">
      <c r="A122" s="145">
        <v>41056</v>
      </c>
      <c r="G122" s="298" t="s">
        <v>475</v>
      </c>
      <c r="H122" s="300" t="s">
        <v>230</v>
      </c>
      <c r="I122" s="299" t="s">
        <v>479</v>
      </c>
      <c r="J122" s="302" t="s">
        <v>413</v>
      </c>
      <c r="K122" s="458" t="s">
        <v>468</v>
      </c>
      <c r="L122" s="360" t="s">
        <v>452</v>
      </c>
    </row>
    <row r="123" spans="1:12">
      <c r="A123" s="145">
        <v>41057</v>
      </c>
      <c r="G123" s="299" t="s">
        <v>476</v>
      </c>
      <c r="H123" s="294" t="s">
        <v>230</v>
      </c>
      <c r="I123" s="299" t="s">
        <v>477</v>
      </c>
      <c r="J123" s="297" t="s">
        <v>459</v>
      </c>
      <c r="K123" s="458" t="s">
        <v>468</v>
      </c>
      <c r="L123" s="460" t="s">
        <v>478</v>
      </c>
    </row>
    <row r="124" spans="1:12">
      <c r="A124" s="145">
        <v>41062</v>
      </c>
      <c r="G124" s="302" t="s">
        <v>480</v>
      </c>
      <c r="H124" s="303" t="s">
        <v>231</v>
      </c>
      <c r="I124" s="299" t="s">
        <v>477</v>
      </c>
      <c r="J124" s="297" t="s">
        <v>459</v>
      </c>
      <c r="K124" s="458" t="s">
        <v>468</v>
      </c>
      <c r="L124" s="460" t="s">
        <v>478</v>
      </c>
    </row>
    <row r="125" spans="1:12">
      <c r="A125" s="145">
        <v>41063</v>
      </c>
      <c r="G125" s="302" t="s">
        <v>481</v>
      </c>
      <c r="H125" s="303" t="s">
        <v>231</v>
      </c>
      <c r="I125" s="302" t="s">
        <v>482</v>
      </c>
      <c r="J125" s="297" t="s">
        <v>459</v>
      </c>
      <c r="K125" s="458" t="s">
        <v>468</v>
      </c>
      <c r="L125" s="460" t="s">
        <v>478</v>
      </c>
    </row>
    <row r="126" spans="1:12">
      <c r="A126" s="145">
        <v>41069</v>
      </c>
      <c r="G126" s="309" t="s">
        <v>496</v>
      </c>
      <c r="H126" s="310" t="s">
        <v>232</v>
      </c>
      <c r="I126" s="309" t="s">
        <v>477</v>
      </c>
      <c r="J126" s="297" t="s">
        <v>459</v>
      </c>
      <c r="K126" s="458" t="s">
        <v>468</v>
      </c>
      <c r="L126" s="460" t="s">
        <v>478</v>
      </c>
    </row>
    <row r="127" spans="1:12">
      <c r="A127" s="145">
        <v>41070</v>
      </c>
      <c r="G127" s="311" t="s">
        <v>497</v>
      </c>
      <c r="H127" s="303" t="s">
        <v>231</v>
      </c>
      <c r="I127" s="311" t="s">
        <v>498</v>
      </c>
      <c r="J127" s="297" t="s">
        <v>459</v>
      </c>
      <c r="K127" s="458" t="s">
        <v>468</v>
      </c>
      <c r="L127" s="460" t="s">
        <v>478</v>
      </c>
    </row>
    <row r="128" spans="1:12">
      <c r="A128" s="145">
        <v>41076</v>
      </c>
      <c r="G128" s="312" t="s">
        <v>500</v>
      </c>
      <c r="H128" s="300" t="s">
        <v>230</v>
      </c>
      <c r="I128" s="299" t="s">
        <v>479</v>
      </c>
      <c r="J128" s="302" t="s">
        <v>413</v>
      </c>
      <c r="K128" s="461" t="s">
        <v>499</v>
      </c>
      <c r="L128" s="460" t="s">
        <v>478</v>
      </c>
    </row>
    <row r="129" spans="1:12">
      <c r="A129" s="145">
        <v>41077</v>
      </c>
      <c r="G129" s="314" t="s">
        <v>505</v>
      </c>
      <c r="H129" s="313" t="s">
        <v>231</v>
      </c>
      <c r="I129" s="314" t="s">
        <v>502</v>
      </c>
      <c r="J129" s="314" t="s">
        <v>459</v>
      </c>
      <c r="K129" s="461" t="s">
        <v>499</v>
      </c>
      <c r="L129" s="460" t="s">
        <v>478</v>
      </c>
    </row>
    <row r="130" spans="1:12">
      <c r="A130" s="145">
        <v>41083</v>
      </c>
      <c r="G130" s="314" t="s">
        <v>503</v>
      </c>
      <c r="H130" s="245" t="s">
        <v>200</v>
      </c>
      <c r="I130" s="314" t="s">
        <v>76</v>
      </c>
      <c r="J130" s="314" t="s">
        <v>219</v>
      </c>
      <c r="K130" s="360" t="s">
        <v>284</v>
      </c>
      <c r="L130" s="360" t="s">
        <v>285</v>
      </c>
    </row>
    <row r="131" spans="1:12">
      <c r="A131" s="145">
        <v>41084</v>
      </c>
      <c r="G131" s="314" t="s">
        <v>504</v>
      </c>
      <c r="H131" s="267" t="s">
        <v>451</v>
      </c>
      <c r="I131" s="266" t="s">
        <v>84</v>
      </c>
      <c r="J131" t="s">
        <v>194</v>
      </c>
      <c r="K131" s="360" t="s">
        <v>97</v>
      </c>
      <c r="L131" s="360" t="s">
        <v>9</v>
      </c>
    </row>
    <row r="132" spans="1:12">
      <c r="A132" s="145">
        <v>41090</v>
      </c>
      <c r="G132" s="314" t="s">
        <v>506</v>
      </c>
      <c r="H132" s="245" t="s">
        <v>208</v>
      </c>
      <c r="I132" s="271" t="s">
        <v>448</v>
      </c>
      <c r="J132" s="271" t="s">
        <v>27</v>
      </c>
      <c r="K132" s="360" t="s">
        <v>97</v>
      </c>
      <c r="L132" s="360" t="s">
        <v>9</v>
      </c>
    </row>
    <row r="133" spans="1:12">
      <c r="A133" s="145">
        <v>41091</v>
      </c>
      <c r="G133" s="315" t="s">
        <v>507</v>
      </c>
      <c r="H133" s="274" t="s">
        <v>200</v>
      </c>
      <c r="I133" s="273" t="s">
        <v>76</v>
      </c>
      <c r="J133" t="s">
        <v>219</v>
      </c>
    </row>
    <row r="134" spans="1:12">
      <c r="A134" s="145">
        <v>41097</v>
      </c>
      <c r="G134" s="315" t="s">
        <v>508</v>
      </c>
      <c r="H134" s="274" t="s">
        <v>200</v>
      </c>
      <c r="I134" s="273" t="s">
        <v>76</v>
      </c>
      <c r="J134" t="s">
        <v>219</v>
      </c>
    </row>
    <row r="135" spans="1:12">
      <c r="A135" s="145">
        <v>41098</v>
      </c>
      <c r="G135" s="317" t="s">
        <v>512</v>
      </c>
      <c r="H135" s="303" t="s">
        <v>231</v>
      </c>
      <c r="I135" s="317" t="s">
        <v>513</v>
      </c>
      <c r="J135" s="317" t="s">
        <v>483</v>
      </c>
      <c r="K135" s="461" t="s">
        <v>499</v>
      </c>
      <c r="L135" s="460" t="s">
        <v>478</v>
      </c>
    </row>
    <row r="136" spans="1:12">
      <c r="A136" s="145">
        <v>41104</v>
      </c>
      <c r="G136" s="318" t="s">
        <v>514</v>
      </c>
      <c r="H136" s="303" t="s">
        <v>231</v>
      </c>
      <c r="I136" s="318" t="s">
        <v>515</v>
      </c>
      <c r="J136" s="317" t="s">
        <v>483</v>
      </c>
      <c r="K136" s="461" t="s">
        <v>499</v>
      </c>
      <c r="L136" s="462" t="s">
        <v>516</v>
      </c>
    </row>
    <row r="137" spans="1:12">
      <c r="A137" s="145">
        <v>41105</v>
      </c>
      <c r="G137" s="322" t="s">
        <v>611</v>
      </c>
      <c r="H137" s="303" t="s">
        <v>231</v>
      </c>
      <c r="I137" s="322" t="s">
        <v>612</v>
      </c>
      <c r="J137" s="317" t="s">
        <v>483</v>
      </c>
      <c r="K137" s="461" t="s">
        <v>499</v>
      </c>
      <c r="L137" s="462" t="s">
        <v>516</v>
      </c>
    </row>
    <row r="138" spans="1:12">
      <c r="A138" s="145">
        <v>41111</v>
      </c>
      <c r="G138" s="323" t="s">
        <v>613</v>
      </c>
      <c r="H138" s="324" t="s">
        <v>232</v>
      </c>
      <c r="I138" s="322" t="s">
        <v>612</v>
      </c>
      <c r="J138" s="317" t="s">
        <v>483</v>
      </c>
      <c r="K138" s="461" t="s">
        <v>499</v>
      </c>
      <c r="L138" s="462" t="s">
        <v>516</v>
      </c>
    </row>
    <row r="139" spans="1:12">
      <c r="A139" s="145">
        <v>41112</v>
      </c>
      <c r="G139" s="364" t="s">
        <v>726</v>
      </c>
      <c r="H139" s="303" t="s">
        <v>231</v>
      </c>
      <c r="I139" s="325" t="s">
        <v>617</v>
      </c>
      <c r="J139" s="314" t="s">
        <v>459</v>
      </c>
      <c r="K139" s="461" t="s">
        <v>499</v>
      </c>
      <c r="L139" s="462" t="s">
        <v>516</v>
      </c>
    </row>
    <row r="140" spans="1:12">
      <c r="A140" s="145">
        <v>41118</v>
      </c>
      <c r="G140" s="325" t="s">
        <v>614</v>
      </c>
      <c r="H140" s="303" t="s">
        <v>231</v>
      </c>
      <c r="I140" s="325" t="s">
        <v>617</v>
      </c>
      <c r="J140" s="314" t="s">
        <v>459</v>
      </c>
      <c r="K140" s="461" t="s">
        <v>499</v>
      </c>
      <c r="L140" s="462" t="s">
        <v>516</v>
      </c>
    </row>
    <row r="141" spans="1:12">
      <c r="A141" s="145">
        <v>41119</v>
      </c>
      <c r="G141" s="325" t="s">
        <v>615</v>
      </c>
      <c r="H141" s="324" t="s">
        <v>232</v>
      </c>
      <c r="I141" s="325" t="s">
        <v>616</v>
      </c>
      <c r="J141" s="317" t="s">
        <v>483</v>
      </c>
      <c r="K141" s="463" t="s">
        <v>618</v>
      </c>
      <c r="L141" s="462" t="s">
        <v>516</v>
      </c>
    </row>
    <row r="142" spans="1:12">
      <c r="A142" s="145">
        <v>41125</v>
      </c>
      <c r="G142" s="331" t="s">
        <v>654</v>
      </c>
      <c r="H142" s="332" t="s">
        <v>229</v>
      </c>
      <c r="I142" s="331" t="s">
        <v>515</v>
      </c>
      <c r="J142" s="317" t="s">
        <v>483</v>
      </c>
      <c r="K142" s="463" t="s">
        <v>618</v>
      </c>
      <c r="L142" s="462" t="s">
        <v>516</v>
      </c>
    </row>
    <row r="143" spans="1:12">
      <c r="A143" s="145">
        <v>41126</v>
      </c>
      <c r="G143" s="334" t="s">
        <v>656</v>
      </c>
      <c r="H143" s="324" t="s">
        <v>232</v>
      </c>
      <c r="I143" s="334" t="s">
        <v>657</v>
      </c>
      <c r="J143" s="334" t="s">
        <v>610</v>
      </c>
      <c r="K143" s="463" t="s">
        <v>618</v>
      </c>
      <c r="L143" s="462" t="s">
        <v>516</v>
      </c>
    </row>
    <row r="144" spans="1:12">
      <c r="A144" s="145">
        <v>41132</v>
      </c>
      <c r="G144" s="335" t="s">
        <v>658</v>
      </c>
      <c r="H144" s="303" t="s">
        <v>231</v>
      </c>
      <c r="I144" s="325" t="s">
        <v>617</v>
      </c>
      <c r="J144" s="314" t="s">
        <v>459</v>
      </c>
      <c r="K144" s="463" t="s">
        <v>618</v>
      </c>
      <c r="L144" s="462" t="s">
        <v>516</v>
      </c>
    </row>
    <row r="145" spans="1:12">
      <c r="A145" s="145">
        <v>41133</v>
      </c>
      <c r="G145" s="336" t="s">
        <v>659</v>
      </c>
      <c r="H145" s="324" t="s">
        <v>232</v>
      </c>
      <c r="I145" s="336" t="s">
        <v>660</v>
      </c>
      <c r="J145" s="317" t="s">
        <v>483</v>
      </c>
      <c r="K145" s="463" t="s">
        <v>618</v>
      </c>
      <c r="L145" s="462" t="s">
        <v>516</v>
      </c>
    </row>
    <row r="146" spans="1:12">
      <c r="A146" s="145">
        <v>41136</v>
      </c>
      <c r="G146" s="340" t="s">
        <v>666</v>
      </c>
      <c r="H146" s="324" t="s">
        <v>232</v>
      </c>
      <c r="I146" s="337" t="s">
        <v>661</v>
      </c>
      <c r="J146" s="334" t="s">
        <v>610</v>
      </c>
      <c r="K146" s="463" t="s">
        <v>618</v>
      </c>
      <c r="L146" s="462" t="s">
        <v>516</v>
      </c>
    </row>
    <row r="147" spans="1:12">
      <c r="A147" s="145">
        <v>41139</v>
      </c>
      <c r="G147" s="339" t="s">
        <v>663</v>
      </c>
      <c r="H147" s="342" t="s">
        <v>232</v>
      </c>
      <c r="I147" s="339" t="s">
        <v>665</v>
      </c>
      <c r="J147" s="339" t="s">
        <v>483</v>
      </c>
      <c r="K147" s="463" t="s">
        <v>618</v>
      </c>
      <c r="L147" s="462" t="s">
        <v>516</v>
      </c>
    </row>
    <row r="148" spans="1:12">
      <c r="A148" s="145">
        <v>41140</v>
      </c>
      <c r="G148" s="339" t="s">
        <v>664</v>
      </c>
      <c r="H148" s="324" t="s">
        <v>232</v>
      </c>
      <c r="I148" s="339" t="s">
        <v>665</v>
      </c>
      <c r="J148" s="339" t="s">
        <v>483</v>
      </c>
      <c r="K148" s="463" t="s">
        <v>618</v>
      </c>
      <c r="L148" s="462" t="s">
        <v>516</v>
      </c>
    </row>
    <row r="149" spans="1:12">
      <c r="A149" s="145">
        <v>41146</v>
      </c>
      <c r="G149" s="341" t="s">
        <v>667</v>
      </c>
      <c r="H149" s="324" t="s">
        <v>232</v>
      </c>
      <c r="I149" s="341" t="s">
        <v>668</v>
      </c>
      <c r="J149" s="334" t="s">
        <v>610</v>
      </c>
      <c r="K149" s="464" t="s">
        <v>669</v>
      </c>
      <c r="L149" s="464" t="s">
        <v>670</v>
      </c>
    </row>
    <row r="150" spans="1:12">
      <c r="A150" s="145">
        <v>41147</v>
      </c>
      <c r="G150" s="344" t="s">
        <v>678</v>
      </c>
      <c r="H150" s="345" t="s">
        <v>229</v>
      </c>
      <c r="I150" s="341" t="s">
        <v>668</v>
      </c>
      <c r="J150" s="334" t="s">
        <v>610</v>
      </c>
      <c r="K150" s="464" t="s">
        <v>669</v>
      </c>
      <c r="L150" s="464" t="s">
        <v>670</v>
      </c>
    </row>
    <row r="151" spans="1:12">
      <c r="A151" s="145">
        <v>41153</v>
      </c>
      <c r="G151" s="344" t="s">
        <v>680</v>
      </c>
      <c r="H151" s="324" t="s">
        <v>232</v>
      </c>
      <c r="I151" s="344" t="s">
        <v>681</v>
      </c>
      <c r="J151" s="334" t="s">
        <v>610</v>
      </c>
      <c r="K151" s="464" t="s">
        <v>669</v>
      </c>
      <c r="L151" s="464" t="s">
        <v>670</v>
      </c>
    </row>
    <row r="152" spans="1:12">
      <c r="A152" s="145">
        <v>41154</v>
      </c>
      <c r="G152" s="344" t="s">
        <v>679</v>
      </c>
      <c r="H152" s="345" t="s">
        <v>229</v>
      </c>
      <c r="I152" s="344" t="s">
        <v>682</v>
      </c>
      <c r="J152" s="344" t="s">
        <v>662</v>
      </c>
      <c r="K152" s="464" t="s">
        <v>669</v>
      </c>
      <c r="L152" s="464" t="s">
        <v>670</v>
      </c>
    </row>
    <row r="153" spans="1:12">
      <c r="A153" s="145">
        <v>41160</v>
      </c>
      <c r="G153" s="346" t="s">
        <v>683</v>
      </c>
      <c r="H153" s="324" t="s">
        <v>232</v>
      </c>
      <c r="I153" s="339" t="s">
        <v>665</v>
      </c>
      <c r="J153" s="339" t="s">
        <v>483</v>
      </c>
      <c r="K153" s="464" t="s">
        <v>669</v>
      </c>
      <c r="L153" s="464" t="s">
        <v>670</v>
      </c>
    </row>
    <row r="154" spans="1:12">
      <c r="A154" s="145">
        <v>41161</v>
      </c>
      <c r="G154" s="346" t="s">
        <v>684</v>
      </c>
      <c r="H154" s="324" t="s">
        <v>232</v>
      </c>
      <c r="I154" s="339" t="s">
        <v>665</v>
      </c>
      <c r="J154" s="339" t="s">
        <v>483</v>
      </c>
      <c r="K154" s="464" t="s">
        <v>669</v>
      </c>
      <c r="L154" s="464" t="s">
        <v>670</v>
      </c>
    </row>
    <row r="155" spans="1:12">
      <c r="A155" s="145">
        <v>41167</v>
      </c>
      <c r="G155" s="346" t="s">
        <v>685</v>
      </c>
      <c r="H155" s="345" t="s">
        <v>229</v>
      </c>
      <c r="I155" s="346" t="s">
        <v>686</v>
      </c>
      <c r="J155" s="344" t="s">
        <v>662</v>
      </c>
      <c r="K155" s="464" t="s">
        <v>669</v>
      </c>
      <c r="L155" s="464" t="s">
        <v>670</v>
      </c>
    </row>
    <row r="156" spans="1:12">
      <c r="A156" s="145">
        <v>41168</v>
      </c>
      <c r="G156" s="347" t="s">
        <v>687</v>
      </c>
      <c r="H156" s="345" t="s">
        <v>229</v>
      </c>
      <c r="I156" s="347" t="s">
        <v>688</v>
      </c>
      <c r="J156" s="344" t="s">
        <v>662</v>
      </c>
      <c r="K156" s="464" t="s">
        <v>669</v>
      </c>
      <c r="L156" s="464" t="s">
        <v>670</v>
      </c>
    </row>
    <row r="157" spans="1:12">
      <c r="A157" s="145">
        <v>41174</v>
      </c>
      <c r="G157" s="348" t="s">
        <v>690</v>
      </c>
      <c r="H157" s="349" t="s">
        <v>238</v>
      </c>
      <c r="I157" s="348" t="s">
        <v>691</v>
      </c>
      <c r="J157" s="348" t="s">
        <v>692</v>
      </c>
      <c r="K157" s="464" t="s">
        <v>669</v>
      </c>
      <c r="L157" s="464" t="s">
        <v>670</v>
      </c>
    </row>
    <row r="158" spans="1:12">
      <c r="A158" s="145">
        <v>41175</v>
      </c>
      <c r="G158" s="348" t="s">
        <v>693</v>
      </c>
      <c r="H158" s="324" t="s">
        <v>232</v>
      </c>
      <c r="I158" s="348" t="s">
        <v>696</v>
      </c>
      <c r="J158" s="348" t="s">
        <v>610</v>
      </c>
      <c r="K158" s="464" t="s">
        <v>669</v>
      </c>
      <c r="L158" s="464" t="s">
        <v>670</v>
      </c>
    </row>
    <row r="159" spans="1:12">
      <c r="A159" s="145">
        <v>41181</v>
      </c>
      <c r="G159" s="348" t="s">
        <v>694</v>
      </c>
      <c r="H159" s="324" t="s">
        <v>232</v>
      </c>
      <c r="I159" s="348" t="s">
        <v>696</v>
      </c>
      <c r="J159" s="348" t="s">
        <v>610</v>
      </c>
      <c r="K159" s="464" t="s">
        <v>669</v>
      </c>
      <c r="L159" s="464" t="s">
        <v>670</v>
      </c>
    </row>
    <row r="160" spans="1:12">
      <c r="A160" s="145">
        <v>41182</v>
      </c>
      <c r="G160" s="348" t="s">
        <v>695</v>
      </c>
      <c r="H160" s="324" t="s">
        <v>232</v>
      </c>
      <c r="I160" s="348" t="s">
        <v>697</v>
      </c>
      <c r="J160" s="348" t="s">
        <v>610</v>
      </c>
      <c r="K160" s="464" t="s">
        <v>669</v>
      </c>
      <c r="L160" s="464" t="s">
        <v>670</v>
      </c>
    </row>
    <row r="161" spans="1:12">
      <c r="A161" s="145">
        <v>41188</v>
      </c>
      <c r="G161" s="350" t="s">
        <v>698</v>
      </c>
      <c r="H161" s="351" t="s">
        <v>229</v>
      </c>
      <c r="I161" s="350" t="s">
        <v>699</v>
      </c>
      <c r="J161" s="344" t="s">
        <v>662</v>
      </c>
      <c r="K161" s="465" t="s">
        <v>701</v>
      </c>
      <c r="L161" s="465" t="s">
        <v>700</v>
      </c>
    </row>
    <row r="162" spans="1:12">
      <c r="A162" s="145">
        <v>41189</v>
      </c>
      <c r="G162" s="352" t="s">
        <v>703</v>
      </c>
      <c r="H162" s="324" t="s">
        <v>232</v>
      </c>
      <c r="I162" s="348" t="s">
        <v>697</v>
      </c>
      <c r="J162" s="348" t="s">
        <v>610</v>
      </c>
      <c r="K162" s="465" t="s">
        <v>701</v>
      </c>
      <c r="L162" s="465" t="s">
        <v>700</v>
      </c>
    </row>
    <row r="163" spans="1:12">
      <c r="A163" s="145">
        <v>41195</v>
      </c>
      <c r="G163" s="353" t="s">
        <v>704</v>
      </c>
      <c r="H163" s="351" t="s">
        <v>229</v>
      </c>
      <c r="I163" s="353" t="s">
        <v>705</v>
      </c>
      <c r="J163" s="344" t="s">
        <v>662</v>
      </c>
      <c r="K163" s="465" t="s">
        <v>701</v>
      </c>
      <c r="L163" s="465" t="s">
        <v>700</v>
      </c>
    </row>
    <row r="164" spans="1:12">
      <c r="A164" s="145">
        <v>41196</v>
      </c>
      <c r="G164" s="354" t="s">
        <v>706</v>
      </c>
      <c r="H164" s="351" t="s">
        <v>229</v>
      </c>
      <c r="I164" s="354" t="s">
        <v>707</v>
      </c>
      <c r="J164" s="354" t="s">
        <v>708</v>
      </c>
      <c r="K164" s="465" t="s">
        <v>701</v>
      </c>
      <c r="L164" s="465" t="s">
        <v>700</v>
      </c>
    </row>
    <row r="165" spans="1:12">
      <c r="A165" s="145">
        <v>41202</v>
      </c>
      <c r="G165" s="357" t="s">
        <v>718</v>
      </c>
      <c r="H165" s="324" t="s">
        <v>232</v>
      </c>
      <c r="I165" s="348" t="s">
        <v>697</v>
      </c>
      <c r="J165" s="348" t="s">
        <v>610</v>
      </c>
      <c r="K165" s="466" t="s">
        <v>720</v>
      </c>
      <c r="L165" s="466" t="s">
        <v>721</v>
      </c>
    </row>
    <row r="166" spans="1:12">
      <c r="A166" s="145">
        <v>41203</v>
      </c>
      <c r="G166" s="357" t="s">
        <v>719</v>
      </c>
      <c r="H166" s="358" t="s">
        <v>229</v>
      </c>
      <c r="I166" s="357" t="s">
        <v>705</v>
      </c>
      <c r="J166" s="357" t="s">
        <v>662</v>
      </c>
      <c r="K166" s="466" t="s">
        <v>720</v>
      </c>
      <c r="L166" s="466" t="s">
        <v>721</v>
      </c>
    </row>
    <row r="167" spans="1:12">
      <c r="A167" s="145">
        <v>41209</v>
      </c>
      <c r="G167" s="359" t="s">
        <v>722</v>
      </c>
      <c r="H167" s="351" t="s">
        <v>229</v>
      </c>
      <c r="I167" s="359" t="s">
        <v>691</v>
      </c>
      <c r="J167" s="359" t="s">
        <v>692</v>
      </c>
      <c r="K167" s="465" t="s">
        <v>701</v>
      </c>
      <c r="L167" s="465" t="s">
        <v>700</v>
      </c>
    </row>
    <row r="168" spans="1:12">
      <c r="A168" s="145">
        <v>41210</v>
      </c>
      <c r="G168" s="361" t="s">
        <v>723</v>
      </c>
      <c r="H168" s="362" t="s">
        <v>238</v>
      </c>
      <c r="I168" s="359" t="s">
        <v>691</v>
      </c>
      <c r="J168" s="359" t="s">
        <v>692</v>
      </c>
      <c r="K168" s="465" t="s">
        <v>701</v>
      </c>
      <c r="L168" s="465" t="s">
        <v>700</v>
      </c>
    </row>
    <row r="169" spans="1:12">
      <c r="A169" s="145">
        <v>41214</v>
      </c>
      <c r="G169" s="363" t="s">
        <v>724</v>
      </c>
      <c r="H169" s="362" t="s">
        <v>238</v>
      </c>
      <c r="I169" s="363" t="s">
        <v>725</v>
      </c>
      <c r="J169" s="354" t="s">
        <v>708</v>
      </c>
      <c r="K169" s="465" t="s">
        <v>701</v>
      </c>
      <c r="L169" s="465" t="s">
        <v>700</v>
      </c>
    </row>
    <row r="170" spans="1:12">
      <c r="A170" s="145">
        <v>41216</v>
      </c>
      <c r="G170" s="365" t="s">
        <v>728</v>
      </c>
      <c r="H170" s="358" t="s">
        <v>229</v>
      </c>
      <c r="I170" s="365" t="s">
        <v>727</v>
      </c>
      <c r="J170" s="365" t="s">
        <v>692</v>
      </c>
      <c r="K170" s="465" t="s">
        <v>701</v>
      </c>
      <c r="L170" s="465" t="s">
        <v>700</v>
      </c>
    </row>
    <row r="171" spans="1:12">
      <c r="A171" s="145">
        <v>41217</v>
      </c>
      <c r="G171" s="374" t="s">
        <v>729</v>
      </c>
      <c r="H171" s="362" t="s">
        <v>238</v>
      </c>
      <c r="I171" s="374" t="s">
        <v>730</v>
      </c>
      <c r="J171" s="354" t="s">
        <v>708</v>
      </c>
      <c r="K171" s="465" t="s">
        <v>701</v>
      </c>
      <c r="L171" s="465" t="s">
        <v>700</v>
      </c>
    </row>
    <row r="172" spans="1:12">
      <c r="A172" s="145">
        <v>41223</v>
      </c>
      <c r="G172" s="386" t="s">
        <v>827</v>
      </c>
      <c r="H172" s="362" t="s">
        <v>238</v>
      </c>
      <c r="I172" s="386" t="s">
        <v>826</v>
      </c>
      <c r="J172" s="354" t="s">
        <v>708</v>
      </c>
      <c r="K172" s="467" t="s">
        <v>828</v>
      </c>
      <c r="L172" s="467" t="s">
        <v>829</v>
      </c>
    </row>
    <row r="173" spans="1:12">
      <c r="A173" s="145">
        <v>41224</v>
      </c>
      <c r="G173" s="387" t="s">
        <v>831</v>
      </c>
      <c r="H173" s="362" t="s">
        <v>238</v>
      </c>
      <c r="I173" s="387" t="s">
        <v>832</v>
      </c>
      <c r="J173" s="354" t="s">
        <v>708</v>
      </c>
      <c r="K173" s="467" t="s">
        <v>828</v>
      </c>
      <c r="L173" s="467" t="s">
        <v>829</v>
      </c>
    </row>
    <row r="174" spans="1:12">
      <c r="A174" s="145">
        <v>41230</v>
      </c>
      <c r="G174" s="388" t="s">
        <v>833</v>
      </c>
      <c r="H174" s="358" t="s">
        <v>229</v>
      </c>
      <c r="I174" s="388" t="s">
        <v>727</v>
      </c>
      <c r="J174" s="365" t="s">
        <v>692</v>
      </c>
      <c r="K174" s="468" t="s">
        <v>836</v>
      </c>
      <c r="L174" s="468" t="s">
        <v>837</v>
      </c>
    </row>
    <row r="175" spans="1:12">
      <c r="A175" s="145">
        <v>41231</v>
      </c>
      <c r="G175" s="388" t="s">
        <v>834</v>
      </c>
      <c r="H175" s="358" t="s">
        <v>229</v>
      </c>
      <c r="I175" s="388" t="s">
        <v>835</v>
      </c>
      <c r="J175" s="365" t="s">
        <v>692</v>
      </c>
      <c r="K175" s="468" t="s">
        <v>836</v>
      </c>
      <c r="L175" s="468" t="s">
        <v>837</v>
      </c>
    </row>
    <row r="176" spans="1:12">
      <c r="A176" s="145">
        <v>41237</v>
      </c>
      <c r="G176" s="389" t="s">
        <v>838</v>
      </c>
      <c r="H176" s="362" t="s">
        <v>238</v>
      </c>
      <c r="I176" s="389" t="s">
        <v>841</v>
      </c>
      <c r="J176" s="354" t="s">
        <v>708</v>
      </c>
      <c r="K176" s="467" t="s">
        <v>828</v>
      </c>
      <c r="L176" s="467" t="s">
        <v>829</v>
      </c>
    </row>
    <row r="177" spans="1:12">
      <c r="A177" s="145">
        <v>41238</v>
      </c>
      <c r="G177" s="389" t="s">
        <v>839</v>
      </c>
      <c r="H177" s="362" t="s">
        <v>238</v>
      </c>
      <c r="I177" s="389" t="s">
        <v>842</v>
      </c>
      <c r="J177" s="389" t="s">
        <v>830</v>
      </c>
      <c r="K177" s="467" t="s">
        <v>828</v>
      </c>
      <c r="L177" s="467" t="s">
        <v>829</v>
      </c>
    </row>
    <row r="178" spans="1:12">
      <c r="G178" s="389" t="s">
        <v>840</v>
      </c>
      <c r="H178" s="362" t="s">
        <v>238</v>
      </c>
      <c r="I178" s="389" t="s">
        <v>843</v>
      </c>
      <c r="J178" s="389" t="s">
        <v>830</v>
      </c>
      <c r="K178" s="467" t="s">
        <v>828</v>
      </c>
      <c r="L178" s="467" t="s">
        <v>829</v>
      </c>
    </row>
    <row r="179" spans="1:12">
      <c r="G179" s="389" t="s">
        <v>844</v>
      </c>
      <c r="H179" s="362" t="s">
        <v>238</v>
      </c>
      <c r="I179" s="389" t="s">
        <v>845</v>
      </c>
      <c r="J179" s="389" t="s">
        <v>830</v>
      </c>
      <c r="K179" s="467" t="s">
        <v>828</v>
      </c>
      <c r="L179" s="467" t="s">
        <v>829</v>
      </c>
    </row>
    <row r="180" spans="1:12">
      <c r="G180" s="391" t="s">
        <v>846</v>
      </c>
      <c r="H180" s="393" t="s">
        <v>238</v>
      </c>
      <c r="I180" s="389" t="s">
        <v>841</v>
      </c>
      <c r="J180" s="354" t="s">
        <v>708</v>
      </c>
      <c r="K180" s="465" t="s">
        <v>701</v>
      </c>
      <c r="L180" s="465" t="s">
        <v>700</v>
      </c>
    </row>
    <row r="181" spans="1:12">
      <c r="G181" s="409" t="s">
        <v>876</v>
      </c>
      <c r="H181" s="410" t="s">
        <v>232</v>
      </c>
      <c r="I181" s="409" t="s">
        <v>697</v>
      </c>
      <c r="J181" s="409" t="s">
        <v>610</v>
      </c>
      <c r="K181" s="464" t="s">
        <v>669</v>
      </c>
      <c r="L181" s="464" t="s">
        <v>670</v>
      </c>
    </row>
    <row r="182" spans="1:12">
      <c r="G182" s="392" t="s">
        <v>848</v>
      </c>
      <c r="H182" s="393" t="s">
        <v>238</v>
      </c>
      <c r="I182" s="389" t="s">
        <v>841</v>
      </c>
      <c r="J182" s="354" t="s">
        <v>708</v>
      </c>
      <c r="K182" s="465" t="s">
        <v>701</v>
      </c>
      <c r="L182" s="465" t="s">
        <v>700</v>
      </c>
    </row>
    <row r="183" spans="1:12">
      <c r="G183" s="394" t="s">
        <v>849</v>
      </c>
      <c r="H183" s="395" t="s">
        <v>239</v>
      </c>
      <c r="I183" s="389" t="s">
        <v>845</v>
      </c>
      <c r="J183" s="389" t="s">
        <v>830</v>
      </c>
      <c r="K183" s="469" t="s">
        <v>850</v>
      </c>
      <c r="L183" s="469" t="s">
        <v>851</v>
      </c>
    </row>
    <row r="184" spans="1:12">
      <c r="G184" s="396" t="s">
        <v>852</v>
      </c>
      <c r="H184" s="397" t="s">
        <v>238</v>
      </c>
      <c r="I184" s="396" t="s">
        <v>853</v>
      </c>
      <c r="J184" s="389" t="s">
        <v>830</v>
      </c>
      <c r="K184" s="469" t="s">
        <v>850</v>
      </c>
      <c r="L184" s="469" t="s">
        <v>851</v>
      </c>
    </row>
    <row r="185" spans="1:12">
      <c r="G185" s="398" t="s">
        <v>854</v>
      </c>
      <c r="H185" s="397" t="s">
        <v>238</v>
      </c>
      <c r="I185" s="396" t="s">
        <v>853</v>
      </c>
      <c r="J185" s="389" t="s">
        <v>830</v>
      </c>
      <c r="K185" s="469" t="s">
        <v>850</v>
      </c>
      <c r="L185" s="469" t="s">
        <v>851</v>
      </c>
    </row>
    <row r="186" spans="1:12">
      <c r="G186" s="399" t="s">
        <v>855</v>
      </c>
      <c r="H186" s="400" t="s">
        <v>239</v>
      </c>
      <c r="I186" s="399" t="s">
        <v>856</v>
      </c>
      <c r="J186" s="399" t="s">
        <v>847</v>
      </c>
      <c r="K186" s="469" t="s">
        <v>850</v>
      </c>
      <c r="L186" s="469" t="s">
        <v>851</v>
      </c>
    </row>
    <row r="187" spans="1:12">
      <c r="G187" s="402" t="s">
        <v>858</v>
      </c>
      <c r="H187" s="393" t="s">
        <v>238</v>
      </c>
      <c r="I187" s="389" t="s">
        <v>841</v>
      </c>
      <c r="J187" s="354" t="s">
        <v>708</v>
      </c>
      <c r="K187" s="469" t="s">
        <v>850</v>
      </c>
      <c r="L187" s="469" t="s">
        <v>851</v>
      </c>
    </row>
    <row r="188" spans="1:12">
      <c r="G188" s="402" t="s">
        <v>859</v>
      </c>
      <c r="H188" s="393" t="s">
        <v>238</v>
      </c>
      <c r="I188" s="402" t="s">
        <v>857</v>
      </c>
      <c r="J188" s="402" t="s">
        <v>830</v>
      </c>
      <c r="K188" s="469" t="s">
        <v>850</v>
      </c>
      <c r="L188" s="469" t="s">
        <v>851</v>
      </c>
    </row>
    <row r="189" spans="1:12">
      <c r="G189" s="402" t="s">
        <v>861</v>
      </c>
      <c r="H189" s="393" t="s">
        <v>238</v>
      </c>
      <c r="I189" s="389" t="s">
        <v>841</v>
      </c>
      <c r="J189" s="354" t="s">
        <v>708</v>
      </c>
      <c r="K189" s="469" t="s">
        <v>850</v>
      </c>
      <c r="L189" s="469" t="s">
        <v>851</v>
      </c>
    </row>
    <row r="190" spans="1:12">
      <c r="G190" s="402" t="s">
        <v>862</v>
      </c>
      <c r="H190" s="393" t="s">
        <v>238</v>
      </c>
      <c r="I190" s="402" t="s">
        <v>857</v>
      </c>
      <c r="J190" s="402" t="s">
        <v>830</v>
      </c>
      <c r="K190" s="469" t="s">
        <v>850</v>
      </c>
      <c r="L190" s="469" t="s">
        <v>851</v>
      </c>
    </row>
    <row r="191" spans="1:12">
      <c r="G191" s="403" t="s">
        <v>864</v>
      </c>
      <c r="H191" s="404" t="s">
        <v>223</v>
      </c>
      <c r="I191" s="403" t="s">
        <v>865</v>
      </c>
      <c r="J191" s="399" t="s">
        <v>847</v>
      </c>
      <c r="K191" s="469" t="s">
        <v>850</v>
      </c>
      <c r="L191" s="469" t="s">
        <v>851</v>
      </c>
    </row>
    <row r="192" spans="1:12">
      <c r="G192" s="403" t="s">
        <v>863</v>
      </c>
      <c r="H192" s="404" t="s">
        <v>223</v>
      </c>
      <c r="I192" s="403" t="s">
        <v>865</v>
      </c>
      <c r="J192" s="399" t="s">
        <v>847</v>
      </c>
      <c r="K192" s="469" t="s">
        <v>850</v>
      </c>
      <c r="L192" s="469" t="s">
        <v>851</v>
      </c>
    </row>
    <row r="193" spans="7:12">
      <c r="G193" s="405" t="s">
        <v>867</v>
      </c>
      <c r="H193" s="406" t="s">
        <v>224</v>
      </c>
      <c r="I193" s="403" t="s">
        <v>865</v>
      </c>
      <c r="J193" s="399" t="s">
        <v>847</v>
      </c>
      <c r="K193" s="469" t="s">
        <v>850</v>
      </c>
      <c r="L193" s="469" t="s">
        <v>851</v>
      </c>
    </row>
    <row r="194" spans="7:12">
      <c r="G194" s="407" t="s">
        <v>869</v>
      </c>
      <c r="H194" s="393" t="s">
        <v>238</v>
      </c>
      <c r="I194" s="402" t="s">
        <v>857</v>
      </c>
      <c r="J194" s="402" t="s">
        <v>830</v>
      </c>
      <c r="K194" s="470" t="s">
        <v>870</v>
      </c>
      <c r="L194" s="470" t="s">
        <v>871</v>
      </c>
    </row>
    <row r="195" spans="7:12">
      <c r="G195" s="407" t="s">
        <v>873</v>
      </c>
      <c r="H195" s="408" t="s">
        <v>223</v>
      </c>
      <c r="I195" s="407" t="s">
        <v>874</v>
      </c>
      <c r="J195" s="399" t="s">
        <v>847</v>
      </c>
      <c r="K195" s="469" t="s">
        <v>850</v>
      </c>
      <c r="L195" s="469" t="s">
        <v>851</v>
      </c>
    </row>
    <row r="196" spans="7:12">
      <c r="G196" s="402" t="s">
        <v>859</v>
      </c>
      <c r="H196" s="393" t="s">
        <v>238</v>
      </c>
      <c r="I196" s="402" t="s">
        <v>857</v>
      </c>
      <c r="J196" s="402" t="s">
        <v>830</v>
      </c>
      <c r="K196" s="469" t="s">
        <v>850</v>
      </c>
      <c r="L196" s="469" t="s">
        <v>851</v>
      </c>
    </row>
    <row r="197" spans="7:12">
      <c r="G197" s="409" t="s">
        <v>875</v>
      </c>
      <c r="H197" s="393" t="s">
        <v>238</v>
      </c>
      <c r="I197" s="402" t="s">
        <v>857</v>
      </c>
      <c r="J197" s="402" t="s">
        <v>830</v>
      </c>
      <c r="K197" s="470" t="s">
        <v>870</v>
      </c>
      <c r="L197" s="470" t="s">
        <v>871</v>
      </c>
    </row>
    <row r="198" spans="7:12">
      <c r="G198" s="415" t="s">
        <v>877</v>
      </c>
      <c r="H198" s="408" t="s">
        <v>223</v>
      </c>
      <c r="I198" s="415" t="s">
        <v>878</v>
      </c>
      <c r="J198" s="399" t="s">
        <v>847</v>
      </c>
      <c r="K198" s="470" t="s">
        <v>870</v>
      </c>
      <c r="L198" s="470" t="s">
        <v>871</v>
      </c>
    </row>
    <row r="199" spans="7:12">
      <c r="G199" s="418" t="s">
        <v>879</v>
      </c>
      <c r="H199" s="408" t="s">
        <v>223</v>
      </c>
      <c r="I199" s="418" t="s">
        <v>880</v>
      </c>
      <c r="J199" s="399" t="s">
        <v>847</v>
      </c>
      <c r="K199" s="470" t="s">
        <v>870</v>
      </c>
      <c r="L199" s="470" t="s">
        <v>871</v>
      </c>
    </row>
    <row r="200" spans="7:12">
      <c r="G200" s="419" t="s">
        <v>881</v>
      </c>
      <c r="H200" s="420" t="s">
        <v>224</v>
      </c>
      <c r="I200" s="418" t="s">
        <v>880</v>
      </c>
      <c r="J200" s="399" t="s">
        <v>847</v>
      </c>
      <c r="K200" s="470" t="s">
        <v>870</v>
      </c>
      <c r="L200" s="470" t="s">
        <v>871</v>
      </c>
    </row>
    <row r="201" spans="7:12">
      <c r="G201" s="422" t="s">
        <v>882</v>
      </c>
      <c r="H201" s="408" t="s">
        <v>223</v>
      </c>
      <c r="I201" s="422" t="s">
        <v>883</v>
      </c>
      <c r="J201" s="422" t="s">
        <v>884</v>
      </c>
      <c r="K201" s="470" t="s">
        <v>870</v>
      </c>
      <c r="L201" s="470" t="s">
        <v>871</v>
      </c>
    </row>
    <row r="202" spans="7:12">
      <c r="G202" s="423" t="s">
        <v>885</v>
      </c>
      <c r="H202" s="408" t="s">
        <v>223</v>
      </c>
      <c r="I202" s="423" t="s">
        <v>886</v>
      </c>
      <c r="J202" s="423" t="s">
        <v>872</v>
      </c>
      <c r="K202" s="470" t="s">
        <v>870</v>
      </c>
      <c r="L202" s="470" t="s">
        <v>871</v>
      </c>
    </row>
    <row r="203" spans="7:12">
      <c r="G203" s="424" t="s">
        <v>891</v>
      </c>
      <c r="H203" s="425" t="s">
        <v>224</v>
      </c>
      <c r="I203" s="423" t="s">
        <v>886</v>
      </c>
      <c r="J203" s="423" t="s">
        <v>872</v>
      </c>
      <c r="K203" s="470" t="s">
        <v>870</v>
      </c>
      <c r="L203" s="470" t="s">
        <v>871</v>
      </c>
    </row>
    <row r="204" spans="7:12">
      <c r="G204" s="424" t="s">
        <v>892</v>
      </c>
      <c r="H204" s="408" t="s">
        <v>223</v>
      </c>
      <c r="I204" s="424" t="s">
        <v>893</v>
      </c>
      <c r="J204" s="423" t="s">
        <v>872</v>
      </c>
      <c r="K204" s="470" t="s">
        <v>870</v>
      </c>
      <c r="L204" s="470" t="s">
        <v>871</v>
      </c>
    </row>
    <row r="205" spans="7:12">
      <c r="G205" s="426" t="s">
        <v>894</v>
      </c>
      <c r="H205" s="427" t="s">
        <v>223</v>
      </c>
      <c r="I205" s="426" t="s">
        <v>880</v>
      </c>
      <c r="J205" s="430" t="s">
        <v>847</v>
      </c>
      <c r="K205" s="470" t="s">
        <v>870</v>
      </c>
      <c r="L205" s="470" t="s">
        <v>871</v>
      </c>
    </row>
    <row r="206" spans="7:12">
      <c r="G206" s="428" t="s">
        <v>895</v>
      </c>
      <c r="H206" s="408" t="s">
        <v>223</v>
      </c>
      <c r="I206" s="428" t="s">
        <v>896</v>
      </c>
      <c r="J206" s="423" t="s">
        <v>872</v>
      </c>
      <c r="K206" s="470" t="s">
        <v>870</v>
      </c>
      <c r="L206" s="470" t="s">
        <v>871</v>
      </c>
    </row>
    <row r="207" spans="7:12">
      <c r="G207" s="432" t="s">
        <v>900</v>
      </c>
      <c r="H207" s="427" t="s">
        <v>223</v>
      </c>
      <c r="I207" s="426" t="s">
        <v>880</v>
      </c>
      <c r="J207" s="402" t="s">
        <v>830</v>
      </c>
      <c r="K207" s="470" t="s">
        <v>870</v>
      </c>
      <c r="L207" s="470" t="s">
        <v>871</v>
      </c>
    </row>
    <row r="208" spans="7:12">
      <c r="G208" s="431" t="s">
        <v>898</v>
      </c>
      <c r="H208" s="408" t="s">
        <v>223</v>
      </c>
      <c r="I208" s="429" t="s">
        <v>897</v>
      </c>
      <c r="J208" s="422" t="s">
        <v>884</v>
      </c>
      <c r="K208" s="470" t="s">
        <v>870</v>
      </c>
      <c r="L208" s="470" t="s">
        <v>871</v>
      </c>
    </row>
    <row r="209" spans="7:12">
      <c r="G209" s="434" t="s">
        <v>947</v>
      </c>
      <c r="H209" s="408" t="s">
        <v>223</v>
      </c>
      <c r="I209" s="434" t="s">
        <v>948</v>
      </c>
      <c r="J209" s="422" t="s">
        <v>884</v>
      </c>
      <c r="K209" s="470" t="s">
        <v>870</v>
      </c>
      <c r="L209" s="470" t="s">
        <v>871</v>
      </c>
    </row>
    <row r="210" spans="7:12">
      <c r="G210" s="434" t="s">
        <v>949</v>
      </c>
      <c r="H210" s="408" t="s">
        <v>223</v>
      </c>
      <c r="I210" s="434" t="s">
        <v>950</v>
      </c>
      <c r="J210" s="422" t="s">
        <v>884</v>
      </c>
      <c r="K210" s="470" t="s">
        <v>870</v>
      </c>
      <c r="L210" s="470" t="s">
        <v>871</v>
      </c>
    </row>
    <row r="211" spans="7:12">
      <c r="G211" s="434" t="s">
        <v>951</v>
      </c>
      <c r="H211" s="408" t="s">
        <v>223</v>
      </c>
      <c r="I211" s="434" t="s">
        <v>952</v>
      </c>
      <c r="J211" s="422" t="s">
        <v>884</v>
      </c>
      <c r="K211" s="470" t="s">
        <v>870</v>
      </c>
      <c r="L211" s="470" t="s">
        <v>871</v>
      </c>
    </row>
    <row r="212" spans="7:12">
      <c r="G212" s="434" t="s">
        <v>953</v>
      </c>
      <c r="H212" s="435" t="s">
        <v>225</v>
      </c>
      <c r="I212" s="434" t="s">
        <v>952</v>
      </c>
      <c r="J212" s="422" t="s">
        <v>884</v>
      </c>
      <c r="K212" s="470" t="s">
        <v>870</v>
      </c>
      <c r="L212" s="470" t="s">
        <v>871</v>
      </c>
    </row>
    <row r="213" spans="7:12">
      <c r="G213" s="434" t="s">
        <v>895</v>
      </c>
      <c r="H213" s="408" t="s">
        <v>223</v>
      </c>
      <c r="I213" s="434" t="s">
        <v>896</v>
      </c>
      <c r="J213" s="423" t="s">
        <v>872</v>
      </c>
      <c r="K213" s="470" t="s">
        <v>870</v>
      </c>
      <c r="L213" s="470" t="s">
        <v>871</v>
      </c>
    </row>
    <row r="214" spans="7:12">
      <c r="G214" s="434" t="s">
        <v>954</v>
      </c>
      <c r="H214" s="408" t="s">
        <v>223</v>
      </c>
      <c r="I214" s="434" t="s">
        <v>896</v>
      </c>
      <c r="J214" s="423" t="s">
        <v>872</v>
      </c>
      <c r="K214" s="470" t="s">
        <v>870</v>
      </c>
      <c r="L214" s="470" t="s">
        <v>871</v>
      </c>
    </row>
    <row r="215" spans="7:12">
      <c r="G215" s="434" t="s">
        <v>970</v>
      </c>
      <c r="H215" s="408" t="s">
        <v>223</v>
      </c>
      <c r="I215" s="434" t="s">
        <v>952</v>
      </c>
      <c r="J215" s="422" t="s">
        <v>884</v>
      </c>
      <c r="K215" s="470" t="s">
        <v>870</v>
      </c>
      <c r="L215" s="470" t="s">
        <v>871</v>
      </c>
    </row>
    <row r="216" spans="7:12">
      <c r="G216" s="434" t="s">
        <v>981</v>
      </c>
      <c r="H216" s="408" t="s">
        <v>223</v>
      </c>
      <c r="I216" s="434" t="s">
        <v>952</v>
      </c>
      <c r="J216" s="422" t="s">
        <v>884</v>
      </c>
      <c r="K216" s="470" t="s">
        <v>870</v>
      </c>
      <c r="L216" s="470" t="s">
        <v>871</v>
      </c>
    </row>
    <row r="217" spans="7:12">
      <c r="G217" s="434" t="s">
        <v>982</v>
      </c>
      <c r="H217" s="408" t="s">
        <v>223</v>
      </c>
      <c r="I217" s="434" t="s">
        <v>952</v>
      </c>
      <c r="J217" s="422" t="s">
        <v>884</v>
      </c>
      <c r="K217" s="470" t="s">
        <v>870</v>
      </c>
      <c r="L217" s="470" t="s">
        <v>871</v>
      </c>
    </row>
    <row r="218" spans="7:12">
      <c r="G218" s="434" t="s">
        <v>983</v>
      </c>
      <c r="H218" s="408" t="s">
        <v>223</v>
      </c>
      <c r="I218" s="434" t="s">
        <v>952</v>
      </c>
      <c r="J218" s="422" t="s">
        <v>884</v>
      </c>
      <c r="K218" s="471" t="s">
        <v>987</v>
      </c>
      <c r="L218" s="471" t="s">
        <v>988</v>
      </c>
    </row>
    <row r="219" spans="7:12">
      <c r="G219" s="434" t="s">
        <v>984</v>
      </c>
      <c r="H219" s="245" t="s">
        <v>223</v>
      </c>
      <c r="I219" s="434" t="s">
        <v>985</v>
      </c>
      <c r="J219" s="434" t="s">
        <v>986</v>
      </c>
      <c r="K219" s="471" t="s">
        <v>987</v>
      </c>
      <c r="L219" s="471" t="s">
        <v>988</v>
      </c>
    </row>
    <row r="220" spans="7:12">
      <c r="G220" s="434" t="s">
        <v>989</v>
      </c>
      <c r="H220" s="245" t="s">
        <v>225</v>
      </c>
      <c r="I220" s="434" t="s">
        <v>985</v>
      </c>
      <c r="J220" s="434" t="s">
        <v>986</v>
      </c>
      <c r="K220" s="471" t="s">
        <v>987</v>
      </c>
      <c r="L220" s="471" t="s">
        <v>988</v>
      </c>
    </row>
    <row r="221" spans="7:12">
      <c r="G221" s="434" t="s">
        <v>990</v>
      </c>
      <c r="H221" s="245" t="s">
        <v>223</v>
      </c>
      <c r="I221" s="434" t="s">
        <v>991</v>
      </c>
      <c r="J221" s="434" t="s">
        <v>992</v>
      </c>
      <c r="K221" s="471" t="s">
        <v>987</v>
      </c>
      <c r="L221" s="471" t="s">
        <v>988</v>
      </c>
    </row>
    <row r="222" spans="7:12">
      <c r="G222" s="434" t="s">
        <v>993</v>
      </c>
      <c r="H222" s="245" t="s">
        <v>225</v>
      </c>
      <c r="I222" s="434" t="s">
        <v>994</v>
      </c>
      <c r="J222" s="434" t="s">
        <v>986</v>
      </c>
      <c r="K222" s="471" t="s">
        <v>987</v>
      </c>
      <c r="L222" s="471" t="s">
        <v>988</v>
      </c>
    </row>
    <row r="223" spans="7:12">
      <c r="G223" s="434" t="s">
        <v>1010</v>
      </c>
      <c r="H223" s="245" t="s">
        <v>225</v>
      </c>
      <c r="I223" s="434" t="s">
        <v>1011</v>
      </c>
      <c r="J223" s="434" t="s">
        <v>992</v>
      </c>
      <c r="K223" s="471" t="s">
        <v>987</v>
      </c>
      <c r="L223" s="471" t="s">
        <v>988</v>
      </c>
    </row>
    <row r="224" spans="7:12">
      <c r="G224" s="434" t="s">
        <v>1013</v>
      </c>
      <c r="H224" s="245" t="s">
        <v>223</v>
      </c>
      <c r="I224" s="434" t="s">
        <v>985</v>
      </c>
      <c r="J224" s="434" t="s">
        <v>986</v>
      </c>
      <c r="K224" s="471" t="s">
        <v>987</v>
      </c>
      <c r="L224" s="471" t="s">
        <v>988</v>
      </c>
    </row>
    <row r="225" spans="7:12">
      <c r="G225" s="434" t="s">
        <v>1014</v>
      </c>
      <c r="H225" s="245" t="s">
        <v>225</v>
      </c>
      <c r="I225" s="434" t="s">
        <v>985</v>
      </c>
      <c r="J225" s="434" t="s">
        <v>986</v>
      </c>
      <c r="K225" s="471" t="s">
        <v>987</v>
      </c>
      <c r="L225" s="471" t="s">
        <v>988</v>
      </c>
    </row>
    <row r="226" spans="7:12">
      <c r="G226" s="434" t="s">
        <v>1008</v>
      </c>
      <c r="H226" s="245" t="s">
        <v>223</v>
      </c>
      <c r="I226" s="434" t="s">
        <v>991</v>
      </c>
      <c r="J226" s="434" t="s">
        <v>992</v>
      </c>
      <c r="K226" s="471" t="s">
        <v>987</v>
      </c>
      <c r="L226" s="471" t="s">
        <v>988</v>
      </c>
    </row>
    <row r="227" spans="7:12">
      <c r="G227" s="434" t="s">
        <v>1015</v>
      </c>
      <c r="H227" s="245" t="s">
        <v>225</v>
      </c>
      <c r="I227" s="434" t="s">
        <v>994</v>
      </c>
      <c r="J227" s="434" t="s">
        <v>986</v>
      </c>
      <c r="K227" s="471" t="s">
        <v>987</v>
      </c>
      <c r="L227" s="471" t="s">
        <v>988</v>
      </c>
    </row>
    <row r="228" spans="7:12">
      <c r="G228" s="434" t="s">
        <v>1025</v>
      </c>
      <c r="H228" s="245" t="s">
        <v>225</v>
      </c>
      <c r="I228" s="434" t="s">
        <v>1011</v>
      </c>
      <c r="J228" s="434" t="s">
        <v>992</v>
      </c>
      <c r="K228" s="471" t="s">
        <v>987</v>
      </c>
      <c r="L228" s="471" t="s">
        <v>988</v>
      </c>
    </row>
    <row r="229" spans="7:12">
      <c r="G229" s="434" t="s">
        <v>1036</v>
      </c>
      <c r="H229" s="245" t="s">
        <v>225</v>
      </c>
      <c r="I229" s="434" t="s">
        <v>1026</v>
      </c>
      <c r="J229" s="434" t="s">
        <v>992</v>
      </c>
      <c r="K229" s="471" t="s">
        <v>987</v>
      </c>
      <c r="L229" s="471" t="s">
        <v>988</v>
      </c>
    </row>
    <row r="230" spans="7:12">
      <c r="G230" s="434" t="s">
        <v>1027</v>
      </c>
      <c r="H230" s="245" t="s">
        <v>225</v>
      </c>
      <c r="I230" s="434" t="s">
        <v>1028</v>
      </c>
      <c r="J230" s="434" t="s">
        <v>986</v>
      </c>
      <c r="K230" s="471" t="s">
        <v>987</v>
      </c>
      <c r="L230" s="471" t="s">
        <v>988</v>
      </c>
    </row>
    <row r="231" spans="7:12">
      <c r="G231" s="434" t="s">
        <v>1024</v>
      </c>
      <c r="H231" s="245" t="s">
        <v>225</v>
      </c>
      <c r="I231" s="434" t="s">
        <v>1029</v>
      </c>
      <c r="J231" s="434" t="s">
        <v>992</v>
      </c>
      <c r="K231" s="471" t="s">
        <v>987</v>
      </c>
      <c r="L231" s="471" t="s">
        <v>988</v>
      </c>
    </row>
    <row r="232" spans="7:12">
      <c r="G232" s="434" t="s">
        <v>1030</v>
      </c>
      <c r="H232" s="245" t="s">
        <v>225</v>
      </c>
      <c r="I232" s="434" t="s">
        <v>1026</v>
      </c>
      <c r="J232" s="434" t="s">
        <v>992</v>
      </c>
      <c r="K232" s="471" t="s">
        <v>987</v>
      </c>
      <c r="L232" s="471" t="s">
        <v>988</v>
      </c>
    </row>
    <row r="233" spans="7:12">
      <c r="G233" s="434" t="s">
        <v>1031</v>
      </c>
      <c r="H233" s="245" t="s">
        <v>225</v>
      </c>
      <c r="I233" s="434" t="s">
        <v>1028</v>
      </c>
      <c r="J233" s="434" t="s">
        <v>986</v>
      </c>
      <c r="K233" s="471" t="s">
        <v>987</v>
      </c>
      <c r="L233" s="471" t="s">
        <v>988</v>
      </c>
    </row>
    <row r="234" spans="7:12">
      <c r="G234" s="434" t="s">
        <v>1032</v>
      </c>
      <c r="H234" s="245" t="s">
        <v>225</v>
      </c>
      <c r="I234" s="434" t="s">
        <v>1029</v>
      </c>
      <c r="J234" s="434" t="s">
        <v>992</v>
      </c>
      <c r="K234" s="471" t="s">
        <v>987</v>
      </c>
      <c r="L234" s="471" t="s">
        <v>988</v>
      </c>
    </row>
    <row r="235" spans="7:12">
      <c r="G235" s="434" t="s">
        <v>1033</v>
      </c>
      <c r="H235" s="245" t="s">
        <v>225</v>
      </c>
      <c r="I235" s="434" t="s">
        <v>1028</v>
      </c>
      <c r="J235" s="434" t="s">
        <v>986</v>
      </c>
      <c r="K235" s="471" t="s">
        <v>987</v>
      </c>
      <c r="L235" s="471" t="s">
        <v>988</v>
      </c>
    </row>
    <row r="236" spans="7:12">
      <c r="G236" s="434" t="s">
        <v>1054</v>
      </c>
      <c r="H236" s="245" t="s">
        <v>225</v>
      </c>
      <c r="I236" s="434" t="s">
        <v>1029</v>
      </c>
      <c r="J236" s="434" t="s">
        <v>992</v>
      </c>
      <c r="K236" s="471" t="s">
        <v>987</v>
      </c>
      <c r="L236" s="471" t="s">
        <v>988</v>
      </c>
    </row>
    <row r="237" spans="7:12">
      <c r="G237" s="434" t="s">
        <v>1055</v>
      </c>
      <c r="H237" s="245" t="s">
        <v>503</v>
      </c>
      <c r="I237" s="434" t="s">
        <v>1029</v>
      </c>
      <c r="J237" s="434" t="s">
        <v>992</v>
      </c>
      <c r="K237" s="471" t="s">
        <v>987</v>
      </c>
      <c r="L237" s="471" t="s">
        <v>988</v>
      </c>
    </row>
    <row r="238" spans="7:12">
      <c r="G238" s="434" t="s">
        <v>1056</v>
      </c>
      <c r="H238" s="245" t="s">
        <v>225</v>
      </c>
      <c r="I238" s="434" t="s">
        <v>1057</v>
      </c>
      <c r="J238" s="434" t="s">
        <v>992</v>
      </c>
      <c r="K238" s="471" t="s">
        <v>987</v>
      </c>
      <c r="L238" s="471" t="s">
        <v>988</v>
      </c>
    </row>
    <row r="239" spans="7:12">
      <c r="G239" s="434" t="s">
        <v>1058</v>
      </c>
      <c r="H239" s="245" t="s">
        <v>503</v>
      </c>
      <c r="I239" s="434" t="s">
        <v>1057</v>
      </c>
      <c r="J239" s="434" t="s">
        <v>992</v>
      </c>
      <c r="K239" s="471" t="s">
        <v>987</v>
      </c>
      <c r="L239" s="471" t="s">
        <v>988</v>
      </c>
    </row>
    <row r="240" spans="7:12">
      <c r="G240" s="434" t="s">
        <v>1059</v>
      </c>
      <c r="H240" s="245" t="s">
        <v>225</v>
      </c>
      <c r="I240" s="434" t="s">
        <v>1060</v>
      </c>
      <c r="J240" s="434" t="s">
        <v>992</v>
      </c>
      <c r="K240" s="471" t="s">
        <v>987</v>
      </c>
      <c r="L240" s="471" t="s">
        <v>988</v>
      </c>
    </row>
    <row r="241" spans="7:12">
      <c r="G241" s="434" t="s">
        <v>1061</v>
      </c>
      <c r="H241" s="245" t="s">
        <v>225</v>
      </c>
      <c r="I241" s="434" t="s">
        <v>1029</v>
      </c>
      <c r="J241" s="434" t="s">
        <v>992</v>
      </c>
      <c r="K241" s="471" t="s">
        <v>987</v>
      </c>
      <c r="L241" s="471" t="s">
        <v>988</v>
      </c>
    </row>
    <row r="242" spans="7:12">
      <c r="G242" s="434" t="s">
        <v>1062</v>
      </c>
      <c r="H242" s="245" t="s">
        <v>503</v>
      </c>
      <c r="I242" s="434" t="s">
        <v>1029</v>
      </c>
      <c r="J242" s="434" t="s">
        <v>992</v>
      </c>
      <c r="K242" s="471" t="s">
        <v>987</v>
      </c>
      <c r="L242" s="471" t="s">
        <v>988</v>
      </c>
    </row>
    <row r="243" spans="7:12">
      <c r="G243" s="434" t="s">
        <v>1053</v>
      </c>
      <c r="H243" s="245" t="s">
        <v>225</v>
      </c>
      <c r="I243" s="434" t="s">
        <v>1057</v>
      </c>
      <c r="J243" s="434" t="s">
        <v>992</v>
      </c>
      <c r="K243" s="471" t="s">
        <v>987</v>
      </c>
      <c r="L243" s="471" t="s">
        <v>988</v>
      </c>
    </row>
    <row r="244" spans="7:12">
      <c r="G244" s="434" t="s">
        <v>1063</v>
      </c>
      <c r="H244" s="245" t="s">
        <v>503</v>
      </c>
      <c r="I244" s="434" t="s">
        <v>1057</v>
      </c>
      <c r="J244" s="434" t="s">
        <v>992</v>
      </c>
      <c r="K244" s="471" t="s">
        <v>987</v>
      </c>
      <c r="L244" s="471" t="s">
        <v>988</v>
      </c>
    </row>
    <row r="245" spans="7:12">
      <c r="G245" s="434" t="s">
        <v>1064</v>
      </c>
      <c r="H245" s="245" t="s">
        <v>225</v>
      </c>
      <c r="I245" s="434" t="s">
        <v>1060</v>
      </c>
      <c r="J245" s="434" t="s">
        <v>992</v>
      </c>
      <c r="K245" s="471" t="s">
        <v>987</v>
      </c>
      <c r="L245" s="471" t="s">
        <v>988</v>
      </c>
    </row>
    <row r="246" spans="7:12">
      <c r="G246" s="434" t="s">
        <v>1067</v>
      </c>
      <c r="H246" s="245" t="s">
        <v>225</v>
      </c>
      <c r="I246" s="434" t="s">
        <v>1068</v>
      </c>
      <c r="J246" s="434" t="s">
        <v>992</v>
      </c>
      <c r="K246" s="471" t="s">
        <v>987</v>
      </c>
      <c r="L246" s="471" t="s">
        <v>988</v>
      </c>
    </row>
    <row r="247" spans="7:12">
      <c r="G247" s="434" t="s">
        <v>1071</v>
      </c>
      <c r="H247" s="245" t="s">
        <v>269</v>
      </c>
      <c r="I247" s="434" t="s">
        <v>1060</v>
      </c>
      <c r="J247" s="434" t="s">
        <v>992</v>
      </c>
      <c r="K247" s="471" t="s">
        <v>987</v>
      </c>
      <c r="L247" s="471" t="s">
        <v>988</v>
      </c>
    </row>
    <row r="248" spans="7:12">
      <c r="G248" s="434" t="s">
        <v>1070</v>
      </c>
      <c r="H248" s="245" t="s">
        <v>269</v>
      </c>
      <c r="I248" s="434" t="s">
        <v>1075</v>
      </c>
      <c r="J248" s="434" t="s">
        <v>1076</v>
      </c>
      <c r="K248" s="471" t="s">
        <v>987</v>
      </c>
      <c r="L248" s="471" t="s">
        <v>988</v>
      </c>
    </row>
    <row r="249" spans="7:12">
      <c r="G249" s="434" t="s">
        <v>1072</v>
      </c>
      <c r="H249" s="245" t="s">
        <v>269</v>
      </c>
      <c r="I249" s="434" t="s">
        <v>1060</v>
      </c>
      <c r="J249" s="434" t="s">
        <v>992</v>
      </c>
      <c r="K249" s="471" t="s">
        <v>987</v>
      </c>
      <c r="L249" s="471" t="s">
        <v>988</v>
      </c>
    </row>
    <row r="250" spans="7:12">
      <c r="G250" s="434" t="s">
        <v>1073</v>
      </c>
      <c r="H250" s="245" t="s">
        <v>269</v>
      </c>
      <c r="I250" s="434" t="s">
        <v>1075</v>
      </c>
      <c r="J250" s="434" t="s">
        <v>1076</v>
      </c>
      <c r="K250" s="471" t="s">
        <v>987</v>
      </c>
      <c r="L250" s="471" t="s">
        <v>988</v>
      </c>
    </row>
    <row r="251" spans="7:12">
      <c r="G251" s="434" t="s">
        <v>1074</v>
      </c>
      <c r="H251" s="245" t="s">
        <v>269</v>
      </c>
      <c r="I251" s="434" t="s">
        <v>1077</v>
      </c>
      <c r="J251" s="434" t="s">
        <v>1078</v>
      </c>
      <c r="K251" s="471" t="s">
        <v>1079</v>
      </c>
      <c r="L251" s="471" t="s">
        <v>1080</v>
      </c>
    </row>
    <row r="252" spans="7:12">
      <c r="G252" s="434" t="s">
        <v>1121</v>
      </c>
      <c r="H252" s="245" t="s">
        <v>225</v>
      </c>
      <c r="I252" s="434" t="s">
        <v>1060</v>
      </c>
      <c r="J252" s="434" t="s">
        <v>992</v>
      </c>
      <c r="K252" s="471" t="s">
        <v>987</v>
      </c>
      <c r="L252" s="471" t="s">
        <v>988</v>
      </c>
    </row>
    <row r="253" spans="7:12">
      <c r="G253" s="434" t="s">
        <v>1104</v>
      </c>
      <c r="H253" s="245" t="s">
        <v>225</v>
      </c>
      <c r="I253" s="434" t="s">
        <v>1068</v>
      </c>
      <c r="J253" s="434" t="s">
        <v>992</v>
      </c>
      <c r="K253" s="471" t="s">
        <v>1105</v>
      </c>
      <c r="L253" s="471" t="s">
        <v>1106</v>
      </c>
    </row>
    <row r="254" spans="7:12">
      <c r="G254" s="434" t="s">
        <v>1107</v>
      </c>
      <c r="H254" s="245" t="s">
        <v>269</v>
      </c>
      <c r="I254" s="434" t="s">
        <v>1110</v>
      </c>
      <c r="J254" s="434" t="s">
        <v>1076</v>
      </c>
      <c r="K254" s="471" t="s">
        <v>1105</v>
      </c>
      <c r="L254" s="471" t="s">
        <v>1106</v>
      </c>
    </row>
    <row r="255" spans="7:12">
      <c r="G255" s="434" t="s">
        <v>1108</v>
      </c>
      <c r="H255" s="245" t="s">
        <v>269</v>
      </c>
      <c r="I255" s="434" t="s">
        <v>1111</v>
      </c>
      <c r="J255" s="434" t="s">
        <v>1078</v>
      </c>
      <c r="K255" s="471" t="s">
        <v>1105</v>
      </c>
      <c r="L255" s="471" t="s">
        <v>1106</v>
      </c>
    </row>
    <row r="256" spans="7:12">
      <c r="G256" s="434" t="s">
        <v>1109</v>
      </c>
      <c r="H256" s="245" t="s">
        <v>269</v>
      </c>
      <c r="I256" s="434" t="s">
        <v>1112</v>
      </c>
      <c r="J256" s="434" t="s">
        <v>1076</v>
      </c>
      <c r="K256" s="471" t="s">
        <v>1105</v>
      </c>
      <c r="L256" s="471" t="s">
        <v>1106</v>
      </c>
    </row>
    <row r="257" spans="7:12">
      <c r="G257" s="434" t="s">
        <v>1115</v>
      </c>
      <c r="H257" s="245" t="s">
        <v>269</v>
      </c>
      <c r="I257" s="434" t="s">
        <v>1077</v>
      </c>
      <c r="J257" s="434" t="s">
        <v>1078</v>
      </c>
      <c r="K257" s="471" t="s">
        <v>1079</v>
      </c>
      <c r="L257" s="471" t="s">
        <v>1080</v>
      </c>
    </row>
    <row r="258" spans="7:12">
      <c r="G258" s="434" t="s">
        <v>1113</v>
      </c>
      <c r="H258" s="245" t="s">
        <v>269</v>
      </c>
      <c r="I258" s="434" t="s">
        <v>1110</v>
      </c>
      <c r="J258" s="434" t="s">
        <v>1076</v>
      </c>
      <c r="K258" s="471" t="s">
        <v>1105</v>
      </c>
      <c r="L258" s="471" t="s">
        <v>1106</v>
      </c>
    </row>
    <row r="259" spans="7:12">
      <c r="G259" s="434" t="s">
        <v>1116</v>
      </c>
      <c r="H259" s="245" t="s">
        <v>269</v>
      </c>
      <c r="I259" s="434" t="s">
        <v>1111</v>
      </c>
      <c r="J259" s="434" t="s">
        <v>1078</v>
      </c>
      <c r="K259" s="471" t="s">
        <v>1105</v>
      </c>
      <c r="L259" s="471" t="s">
        <v>1106</v>
      </c>
    </row>
    <row r="260" spans="7:12">
      <c r="G260" s="434" t="s">
        <v>1114</v>
      </c>
      <c r="H260" s="245" t="s">
        <v>269</v>
      </c>
      <c r="I260" s="434" t="s">
        <v>1112</v>
      </c>
      <c r="J260" s="434" t="s">
        <v>1076</v>
      </c>
      <c r="K260" s="471" t="s">
        <v>1105</v>
      </c>
      <c r="L260" s="471" t="s">
        <v>1106</v>
      </c>
    </row>
    <row r="261" spans="7:12">
      <c r="G261" s="434" t="s">
        <v>1122</v>
      </c>
      <c r="H261" s="245" t="s">
        <v>269</v>
      </c>
      <c r="I261" s="434" t="s">
        <v>1123</v>
      </c>
      <c r="J261" s="434" t="s">
        <v>1078</v>
      </c>
      <c r="K261" s="471" t="s">
        <v>1105</v>
      </c>
      <c r="L261" s="471" t="s">
        <v>1106</v>
      </c>
    </row>
    <row r="262" spans="7:12">
      <c r="G262" s="434" t="s">
        <v>1124</v>
      </c>
      <c r="H262" s="245" t="s">
        <v>269</v>
      </c>
      <c r="I262" s="434" t="s">
        <v>1123</v>
      </c>
      <c r="J262" s="434" t="s">
        <v>1078</v>
      </c>
      <c r="K262" s="471" t="s">
        <v>1105</v>
      </c>
      <c r="L262" s="471" t="s">
        <v>1106</v>
      </c>
    </row>
    <row r="263" spans="7:12">
      <c r="G263" s="434" t="s">
        <v>1125</v>
      </c>
      <c r="H263" s="245" t="s">
        <v>269</v>
      </c>
      <c r="I263" s="434" t="s">
        <v>1112</v>
      </c>
      <c r="J263" s="434" t="s">
        <v>1076</v>
      </c>
      <c r="K263" s="471" t="s">
        <v>1105</v>
      </c>
      <c r="L263" s="471" t="s">
        <v>1106</v>
      </c>
    </row>
    <row r="264" spans="7:12">
      <c r="G264" s="434" t="s">
        <v>1144</v>
      </c>
      <c r="H264" s="245" t="s">
        <v>102</v>
      </c>
      <c r="I264" s="434" t="s">
        <v>1146</v>
      </c>
      <c r="J264" s="434" t="s">
        <v>1078</v>
      </c>
      <c r="K264" s="471" t="s">
        <v>1105</v>
      </c>
      <c r="L264" s="471" t="s">
        <v>1106</v>
      </c>
    </row>
    <row r="265" spans="7:12">
      <c r="G265" s="434" t="s">
        <v>1145</v>
      </c>
      <c r="H265" s="245" t="s">
        <v>102</v>
      </c>
      <c r="I265" s="434" t="s">
        <v>1147</v>
      </c>
      <c r="J265" s="434" t="s">
        <v>1078</v>
      </c>
      <c r="K265" s="471" t="s">
        <v>1105</v>
      </c>
      <c r="L265" s="471" t="s">
        <v>1106</v>
      </c>
    </row>
    <row r="266" spans="7:12">
      <c r="G266" s="434" t="s">
        <v>1142</v>
      </c>
      <c r="H266" s="245" t="s">
        <v>102</v>
      </c>
      <c r="I266" s="434" t="s">
        <v>1146</v>
      </c>
      <c r="J266" s="434" t="s">
        <v>1078</v>
      </c>
      <c r="K266" s="471" t="s">
        <v>1105</v>
      </c>
      <c r="L266" s="471" t="s">
        <v>1106</v>
      </c>
    </row>
    <row r="267" spans="7:12">
      <c r="G267" s="434" t="s">
        <v>1148</v>
      </c>
      <c r="H267" s="245" t="s">
        <v>102</v>
      </c>
      <c r="I267" s="434" t="s">
        <v>1147</v>
      </c>
      <c r="J267" s="434" t="s">
        <v>1078</v>
      </c>
      <c r="K267" s="471" t="s">
        <v>1105</v>
      </c>
      <c r="L267" s="471" t="s">
        <v>1106</v>
      </c>
    </row>
    <row r="268" spans="7:12">
      <c r="G268" s="434" t="s">
        <v>1149</v>
      </c>
      <c r="H268" s="245" t="s">
        <v>222</v>
      </c>
      <c r="I268" s="434" t="s">
        <v>1147</v>
      </c>
      <c r="J268" s="434" t="s">
        <v>1078</v>
      </c>
      <c r="K268" s="471" t="s">
        <v>1105</v>
      </c>
      <c r="L268" s="471" t="s">
        <v>1106</v>
      </c>
    </row>
    <row r="269" spans="7:12">
      <c r="G269" s="434" t="s">
        <v>1150</v>
      </c>
      <c r="H269" s="245" t="s">
        <v>222</v>
      </c>
      <c r="I269" s="434" t="s">
        <v>1147</v>
      </c>
      <c r="J269" s="434" t="s">
        <v>1078</v>
      </c>
      <c r="K269" s="471" t="s">
        <v>1105</v>
      </c>
      <c r="L269" s="471" t="s">
        <v>1106</v>
      </c>
    </row>
    <row r="270" spans="7:12">
      <c r="G270" s="434" t="s">
        <v>1151</v>
      </c>
      <c r="H270" s="245" t="s">
        <v>102</v>
      </c>
      <c r="I270" s="434" t="s">
        <v>1147</v>
      </c>
      <c r="J270" s="434" t="s">
        <v>1078</v>
      </c>
      <c r="K270" s="471" t="s">
        <v>1105</v>
      </c>
      <c r="L270" s="471" t="s">
        <v>1106</v>
      </c>
    </row>
    <row r="271" spans="7:12">
      <c r="G271" s="434" t="s">
        <v>1143</v>
      </c>
      <c r="H271" s="245" t="s">
        <v>222</v>
      </c>
      <c r="I271" s="434" t="s">
        <v>1147</v>
      </c>
      <c r="J271" s="434" t="s">
        <v>1078</v>
      </c>
      <c r="K271" s="471" t="s">
        <v>1105</v>
      </c>
      <c r="L271" s="471" t="s">
        <v>1106</v>
      </c>
    </row>
    <row r="272" spans="7:12">
      <c r="G272" s="434" t="s">
        <v>1154</v>
      </c>
      <c r="H272" s="245" t="s">
        <v>222</v>
      </c>
      <c r="I272" s="434" t="s">
        <v>1155</v>
      </c>
      <c r="J272" s="434" t="s">
        <v>1156</v>
      </c>
      <c r="K272" s="471" t="s">
        <v>1105</v>
      </c>
      <c r="L272" s="471" t="s">
        <v>1106</v>
      </c>
    </row>
    <row r="273" spans="7:12">
      <c r="G273" s="434" t="s">
        <v>1157</v>
      </c>
      <c r="H273" s="245" t="s">
        <v>222</v>
      </c>
      <c r="I273" s="434" t="s">
        <v>1155</v>
      </c>
      <c r="J273" s="434" t="s">
        <v>1156</v>
      </c>
      <c r="K273" s="471" t="s">
        <v>1105</v>
      </c>
      <c r="L273" s="471" t="s">
        <v>1106</v>
      </c>
    </row>
    <row r="274" spans="7:12">
      <c r="G274" s="434" t="s">
        <v>1158</v>
      </c>
      <c r="H274" s="245" t="s">
        <v>222</v>
      </c>
      <c r="I274" s="434" t="s">
        <v>1159</v>
      </c>
      <c r="J274" s="434" t="s">
        <v>1160</v>
      </c>
      <c r="K274" s="471" t="s">
        <v>1161</v>
      </c>
      <c r="L274" s="471" t="s">
        <v>1162</v>
      </c>
    </row>
    <row r="275" spans="7:12">
      <c r="G275" s="434" t="s">
        <v>1163</v>
      </c>
      <c r="H275" s="245" t="s">
        <v>222</v>
      </c>
      <c r="I275" s="434" t="s">
        <v>1159</v>
      </c>
      <c r="J275" s="434" t="s">
        <v>1160</v>
      </c>
      <c r="K275" s="471" t="s">
        <v>1161</v>
      </c>
      <c r="L275" s="471" t="s">
        <v>1162</v>
      </c>
    </row>
    <row r="276" spans="7:12">
      <c r="G276" s="434" t="s">
        <v>1164</v>
      </c>
      <c r="H276" s="245" t="s">
        <v>102</v>
      </c>
      <c r="I276" s="434" t="s">
        <v>1147</v>
      </c>
      <c r="J276" s="434" t="s">
        <v>1078</v>
      </c>
      <c r="K276" s="471" t="s">
        <v>1161</v>
      </c>
      <c r="L276" s="471" t="s">
        <v>1162</v>
      </c>
    </row>
    <row r="277" spans="7:12">
      <c r="G277" s="434" t="s">
        <v>1165</v>
      </c>
      <c r="H277" s="245" t="s">
        <v>222</v>
      </c>
      <c r="I277" s="434" t="s">
        <v>1167</v>
      </c>
      <c r="J277" s="434" t="s">
        <v>1156</v>
      </c>
      <c r="K277" s="471" t="s">
        <v>1161</v>
      </c>
      <c r="L277" s="471" t="s">
        <v>1162</v>
      </c>
    </row>
    <row r="278" spans="7:12">
      <c r="G278" s="434" t="s">
        <v>1166</v>
      </c>
      <c r="H278" s="245" t="s">
        <v>222</v>
      </c>
      <c r="I278" s="434" t="s">
        <v>1168</v>
      </c>
      <c r="J278" s="434" t="s">
        <v>1156</v>
      </c>
      <c r="K278" s="471" t="s">
        <v>1161</v>
      </c>
      <c r="L278" s="471" t="s">
        <v>1162</v>
      </c>
    </row>
    <row r="279" spans="7:12">
      <c r="G279" s="434" t="s">
        <v>1169</v>
      </c>
      <c r="H279" s="245" t="s">
        <v>222</v>
      </c>
      <c r="I279" s="434" t="s">
        <v>1167</v>
      </c>
      <c r="J279" s="434" t="s">
        <v>1156</v>
      </c>
      <c r="K279" s="471" t="s">
        <v>1161</v>
      </c>
      <c r="L279" s="471" t="s">
        <v>1162</v>
      </c>
    </row>
    <row r="280" spans="7:12">
      <c r="G280" s="434" t="s">
        <v>1170</v>
      </c>
      <c r="H280" s="245" t="s">
        <v>222</v>
      </c>
      <c r="I280" s="434" t="s">
        <v>1167</v>
      </c>
      <c r="J280" s="434" t="s">
        <v>1156</v>
      </c>
      <c r="K280" s="471" t="s">
        <v>1161</v>
      </c>
      <c r="L280" s="471" t="s">
        <v>1162</v>
      </c>
    </row>
    <row r="281" spans="7:12">
      <c r="G281" s="434" t="s">
        <v>1171</v>
      </c>
      <c r="H281" s="245" t="s">
        <v>222</v>
      </c>
      <c r="I281" s="434" t="s">
        <v>1172</v>
      </c>
      <c r="J281" s="434" t="s">
        <v>1160</v>
      </c>
      <c r="K281" s="471" t="s">
        <v>1161</v>
      </c>
      <c r="L281" s="471" t="s">
        <v>1162</v>
      </c>
    </row>
    <row r="282" spans="7:12">
      <c r="G282" s="434" t="s">
        <v>1173</v>
      </c>
      <c r="H282" s="245" t="s">
        <v>222</v>
      </c>
      <c r="I282" s="434" t="s">
        <v>1172</v>
      </c>
      <c r="J282" s="434" t="s">
        <v>1160</v>
      </c>
      <c r="K282" s="471" t="s">
        <v>1161</v>
      </c>
      <c r="L282" s="471" t="s">
        <v>1162</v>
      </c>
    </row>
    <row r="283" spans="7:12">
      <c r="G283" s="434" t="s">
        <v>1174</v>
      </c>
      <c r="H283" s="245" t="s">
        <v>504</v>
      </c>
      <c r="I283" s="434" t="s">
        <v>1172</v>
      </c>
      <c r="J283" s="434" t="s">
        <v>1160</v>
      </c>
      <c r="K283" s="471" t="s">
        <v>1161</v>
      </c>
      <c r="L283" s="471" t="s">
        <v>1162</v>
      </c>
    </row>
    <row r="284" spans="7:12">
      <c r="G284" s="434" t="s">
        <v>1175</v>
      </c>
      <c r="H284" s="245" t="s">
        <v>504</v>
      </c>
      <c r="I284" s="434" t="s">
        <v>1172</v>
      </c>
      <c r="J284" s="434" t="s">
        <v>1160</v>
      </c>
      <c r="K284" s="471" t="s">
        <v>1161</v>
      </c>
      <c r="L284" s="471" t="s">
        <v>1162</v>
      </c>
    </row>
    <row r="285" spans="7:12">
      <c r="G285" s="434" t="s">
        <v>1176</v>
      </c>
      <c r="H285" s="245" t="s">
        <v>222</v>
      </c>
      <c r="I285" s="434" t="s">
        <v>1177</v>
      </c>
      <c r="J285" s="434" t="s">
        <v>1160</v>
      </c>
      <c r="K285" s="471" t="s">
        <v>1161</v>
      </c>
      <c r="L285" s="471" t="s">
        <v>1162</v>
      </c>
    </row>
    <row r="286" spans="7:12">
      <c r="G286" s="434" t="s">
        <v>1178</v>
      </c>
      <c r="H286" s="245" t="s">
        <v>222</v>
      </c>
      <c r="I286" s="434" t="s">
        <v>1177</v>
      </c>
      <c r="J286" s="434" t="s">
        <v>1160</v>
      </c>
      <c r="K286" s="471" t="s">
        <v>1161</v>
      </c>
      <c r="L286" s="471" t="s">
        <v>1162</v>
      </c>
    </row>
    <row r="287" spans="7:12">
      <c r="G287" s="434" t="s">
        <v>1274</v>
      </c>
      <c r="H287" s="245" t="s">
        <v>450</v>
      </c>
      <c r="I287" s="434" t="s">
        <v>1322</v>
      </c>
      <c r="J287" s="434" t="s">
        <v>1323</v>
      </c>
      <c r="K287" s="360">
        <v>600.49</v>
      </c>
      <c r="L287" s="360">
        <v>500.46</v>
      </c>
    </row>
    <row r="288" spans="7:12">
      <c r="G288" s="434" t="s">
        <v>1327</v>
      </c>
      <c r="H288" s="245" t="s">
        <v>450</v>
      </c>
      <c r="I288" s="434" t="s">
        <v>1324</v>
      </c>
      <c r="J288" s="434" t="s">
        <v>1323</v>
      </c>
      <c r="K288" s="360">
        <v>600.49</v>
      </c>
      <c r="L288" s="360">
        <v>500.46</v>
      </c>
    </row>
    <row r="289" spans="7:12">
      <c r="G289" s="434" t="s">
        <v>1328</v>
      </c>
      <c r="H289" s="245" t="s">
        <v>450</v>
      </c>
      <c r="I289" s="434" t="s">
        <v>1325</v>
      </c>
      <c r="J289" s="434" t="s">
        <v>1323</v>
      </c>
      <c r="K289" s="360">
        <v>600.49</v>
      </c>
      <c r="L289" s="360">
        <v>500.46</v>
      </c>
    </row>
    <row r="290" spans="7:12">
      <c r="G290" s="434" t="s">
        <v>1330</v>
      </c>
      <c r="H290" s="245" t="s">
        <v>450</v>
      </c>
      <c r="I290" s="434" t="s">
        <v>1325</v>
      </c>
      <c r="J290" s="434" t="s">
        <v>1323</v>
      </c>
      <c r="K290" s="360">
        <v>600.49</v>
      </c>
      <c r="L290" s="360">
        <v>500.46</v>
      </c>
    </row>
    <row r="291" spans="7:12">
      <c r="G291" s="434" t="s">
        <v>1329</v>
      </c>
      <c r="H291" s="245" t="s">
        <v>450</v>
      </c>
      <c r="I291" s="434" t="s">
        <v>1326</v>
      </c>
      <c r="J291" s="434" t="s">
        <v>1323</v>
      </c>
      <c r="K291" s="360">
        <v>600.49</v>
      </c>
      <c r="L291" s="360">
        <v>500.46</v>
      </c>
    </row>
    <row r="292" spans="7:12">
      <c r="G292" s="434" t="s">
        <v>1331</v>
      </c>
      <c r="H292" s="245" t="s">
        <v>450</v>
      </c>
      <c r="I292" s="434" t="s">
        <v>1326</v>
      </c>
      <c r="J292" s="434" t="s">
        <v>1323</v>
      </c>
      <c r="K292" s="360">
        <v>600.5</v>
      </c>
      <c r="L292" s="360">
        <v>500.48</v>
      </c>
    </row>
    <row r="293" spans="7:12">
      <c r="G293" s="434" t="s">
        <v>1343</v>
      </c>
      <c r="H293" s="245" t="s">
        <v>450</v>
      </c>
      <c r="I293" s="434" t="s">
        <v>1326</v>
      </c>
      <c r="J293" s="434" t="s">
        <v>1323</v>
      </c>
      <c r="K293" s="360">
        <v>600.5</v>
      </c>
      <c r="L293" s="360">
        <v>500.48</v>
      </c>
    </row>
    <row r="294" spans="7:12">
      <c r="G294" s="434" t="s">
        <v>1280</v>
      </c>
      <c r="H294" s="245" t="s">
        <v>456</v>
      </c>
      <c r="I294" s="434" t="s">
        <v>1332</v>
      </c>
      <c r="J294" s="434" t="s">
        <v>1333</v>
      </c>
      <c r="K294" s="360">
        <v>600.49</v>
      </c>
      <c r="L294" s="360">
        <v>500.46</v>
      </c>
    </row>
    <row r="295" spans="7:12">
      <c r="G295" s="434" t="s">
        <v>1334</v>
      </c>
      <c r="H295" s="245" t="s">
        <v>456</v>
      </c>
      <c r="I295" s="434" t="s">
        <v>1332</v>
      </c>
      <c r="J295" s="434" t="s">
        <v>1333</v>
      </c>
      <c r="K295" s="360">
        <v>600.49</v>
      </c>
      <c r="L295" s="360">
        <v>500.46</v>
      </c>
    </row>
    <row r="296" spans="7:12">
      <c r="G296" s="434" t="s">
        <v>1271</v>
      </c>
      <c r="H296" s="245" t="s">
        <v>456</v>
      </c>
      <c r="I296" s="434" t="s">
        <v>1332</v>
      </c>
      <c r="J296" s="434" t="s">
        <v>1333</v>
      </c>
      <c r="K296" s="360">
        <v>600.49</v>
      </c>
      <c r="L296" s="360">
        <v>500.46</v>
      </c>
    </row>
    <row r="297" spans="7:12">
      <c r="G297" s="434" t="s">
        <v>1335</v>
      </c>
      <c r="H297" s="245" t="s">
        <v>456</v>
      </c>
      <c r="I297" s="434" t="s">
        <v>1340</v>
      </c>
      <c r="J297" s="434" t="s">
        <v>1333</v>
      </c>
      <c r="K297" s="360">
        <v>600.49</v>
      </c>
      <c r="L297" s="360">
        <v>500.46</v>
      </c>
    </row>
    <row r="298" spans="7:12">
      <c r="G298" s="434" t="s">
        <v>1299</v>
      </c>
      <c r="H298" s="245" t="s">
        <v>456</v>
      </c>
      <c r="I298" s="434" t="s">
        <v>1336</v>
      </c>
      <c r="J298" s="434" t="s">
        <v>1333</v>
      </c>
      <c r="K298" s="360">
        <v>600.49</v>
      </c>
      <c r="L298" s="360">
        <v>500.46</v>
      </c>
    </row>
    <row r="299" spans="7:12">
      <c r="G299" s="434" t="s">
        <v>1291</v>
      </c>
      <c r="H299" s="245" t="s">
        <v>456</v>
      </c>
      <c r="I299" s="434" t="s">
        <v>1337</v>
      </c>
      <c r="J299" s="434" t="s">
        <v>1333</v>
      </c>
      <c r="K299" s="360">
        <v>600.49</v>
      </c>
      <c r="L299" s="360">
        <v>500.46</v>
      </c>
    </row>
    <row r="300" spans="7:12">
      <c r="G300" s="434" t="s">
        <v>1304</v>
      </c>
      <c r="H300" s="245" t="s">
        <v>456</v>
      </c>
      <c r="I300" s="434" t="s">
        <v>1338</v>
      </c>
      <c r="J300" s="434" t="s">
        <v>1333</v>
      </c>
      <c r="K300" s="360">
        <v>600.5</v>
      </c>
      <c r="L300" s="360">
        <v>500.48</v>
      </c>
    </row>
    <row r="301" spans="7:12">
      <c r="G301" s="434" t="s">
        <v>1339</v>
      </c>
      <c r="H301" s="245" t="s">
        <v>456</v>
      </c>
      <c r="I301" s="434" t="s">
        <v>1338</v>
      </c>
      <c r="J301" s="434" t="s">
        <v>1333</v>
      </c>
      <c r="K301" s="360">
        <v>600.5</v>
      </c>
      <c r="L301" s="360">
        <v>500.48</v>
      </c>
    </row>
    <row r="302" spans="7:12">
      <c r="G302" s="434" t="s">
        <v>1341</v>
      </c>
      <c r="H302" s="245" t="s">
        <v>456</v>
      </c>
      <c r="I302" s="434" t="s">
        <v>1338</v>
      </c>
      <c r="J302" s="434" t="s">
        <v>1333</v>
      </c>
      <c r="K302" s="360">
        <v>600.5</v>
      </c>
      <c r="L302" s="360">
        <v>500.48</v>
      </c>
    </row>
    <row r="303" spans="7:12">
      <c r="G303" s="434" t="s">
        <v>1342</v>
      </c>
      <c r="H303" s="245" t="s">
        <v>456</v>
      </c>
      <c r="I303" s="434" t="s">
        <v>1338</v>
      </c>
      <c r="J303" s="434" t="s">
        <v>1333</v>
      </c>
      <c r="K303" s="360">
        <v>600.5</v>
      </c>
      <c r="L303" s="360">
        <v>500.48</v>
      </c>
    </row>
    <row r="304" spans="7:12">
      <c r="G304" s="434" t="s">
        <v>43</v>
      </c>
      <c r="H304" s="245" t="s">
        <v>456</v>
      </c>
      <c r="I304" s="434" t="s">
        <v>1338</v>
      </c>
      <c r="J304" s="434" t="s">
        <v>1333</v>
      </c>
      <c r="K304" s="360">
        <v>600.5</v>
      </c>
      <c r="L304" s="360">
        <v>500.48</v>
      </c>
    </row>
    <row r="305" spans="7:12">
      <c r="G305" s="434" t="s">
        <v>1346</v>
      </c>
      <c r="H305" s="245" t="s">
        <v>456</v>
      </c>
      <c r="I305" s="434" t="s">
        <v>1344</v>
      </c>
      <c r="J305" s="434" t="s">
        <v>1345</v>
      </c>
      <c r="K305" s="360">
        <v>600.5</v>
      </c>
      <c r="L305" s="360">
        <v>500.48</v>
      </c>
    </row>
    <row r="306" spans="7:12">
      <c r="G306" s="434" t="s">
        <v>1347</v>
      </c>
      <c r="H306" s="245" t="s">
        <v>456</v>
      </c>
      <c r="I306" s="434" t="s">
        <v>1348</v>
      </c>
      <c r="J306" s="434" t="s">
        <v>1345</v>
      </c>
      <c r="K306" s="360">
        <v>600.5</v>
      </c>
      <c r="L306" s="360">
        <v>500.48</v>
      </c>
    </row>
    <row r="307" spans="7:12">
      <c r="G307" s="434" t="s">
        <v>1349</v>
      </c>
      <c r="H307" s="245" t="s">
        <v>456</v>
      </c>
      <c r="I307" s="434" t="s">
        <v>1348</v>
      </c>
      <c r="J307" s="434" t="s">
        <v>1345</v>
      </c>
      <c r="K307" s="360">
        <v>600.5</v>
      </c>
      <c r="L307" s="360">
        <v>500.48</v>
      </c>
    </row>
    <row r="308" spans="7:12">
      <c r="G308" s="434" t="s">
        <v>1314</v>
      </c>
      <c r="H308" s="245" t="s">
        <v>456</v>
      </c>
      <c r="I308" s="434" t="s">
        <v>1350</v>
      </c>
      <c r="J308" s="434" t="s">
        <v>1351</v>
      </c>
      <c r="K308" s="360">
        <v>600.5</v>
      </c>
      <c r="L308" s="360">
        <v>500.48</v>
      </c>
    </row>
    <row r="309" spans="7:12">
      <c r="G309" s="434" t="s">
        <v>1317</v>
      </c>
      <c r="H309" s="245" t="s">
        <v>456</v>
      </c>
      <c r="I309" s="434" t="s">
        <v>1354</v>
      </c>
      <c r="J309" s="434" t="s">
        <v>1351</v>
      </c>
      <c r="K309" s="360">
        <v>600.5</v>
      </c>
      <c r="L309" s="360">
        <v>500.48</v>
      </c>
    </row>
    <row r="310" spans="7:12">
      <c r="G310" s="434" t="s">
        <v>1352</v>
      </c>
      <c r="H310" s="245" t="s">
        <v>506</v>
      </c>
      <c r="I310" s="434" t="s">
        <v>1353</v>
      </c>
      <c r="J310" s="434" t="s">
        <v>1351</v>
      </c>
      <c r="K310" s="360">
        <v>600.5</v>
      </c>
      <c r="L310" s="360">
        <v>500.48</v>
      </c>
    </row>
    <row r="311" spans="7:12">
      <c r="G311" s="434" t="s">
        <v>1399</v>
      </c>
      <c r="H311" s="245" t="s">
        <v>506</v>
      </c>
      <c r="I311" s="434" t="s">
        <v>1407</v>
      </c>
      <c r="J311" s="434" t="s">
        <v>1351</v>
      </c>
      <c r="K311" s="360">
        <v>600.5</v>
      </c>
      <c r="L311" s="360">
        <v>500.48</v>
      </c>
    </row>
    <row r="312" spans="7:12">
      <c r="G312" s="434" t="s">
        <v>1408</v>
      </c>
      <c r="H312" s="245" t="s">
        <v>456</v>
      </c>
      <c r="I312" s="434" t="s">
        <v>1348</v>
      </c>
      <c r="J312" s="434" t="s">
        <v>1345</v>
      </c>
      <c r="K312" s="360">
        <v>600.51</v>
      </c>
      <c r="L312" s="360">
        <v>500.49</v>
      </c>
    </row>
    <row r="313" spans="7:12">
      <c r="G313" s="434" t="s">
        <v>1409</v>
      </c>
      <c r="H313" s="245" t="s">
        <v>456</v>
      </c>
      <c r="I313" s="434" t="s">
        <v>1410</v>
      </c>
      <c r="J313" s="434" t="s">
        <v>1345</v>
      </c>
      <c r="K313" s="360">
        <v>600.51</v>
      </c>
      <c r="L313" s="360">
        <v>500.49</v>
      </c>
    </row>
    <row r="314" spans="7:12">
      <c r="G314" s="434" t="s">
        <v>1411</v>
      </c>
      <c r="H314" s="245" t="s">
        <v>456</v>
      </c>
      <c r="I314" s="434" t="s">
        <v>1348</v>
      </c>
      <c r="J314" s="434" t="s">
        <v>1345</v>
      </c>
      <c r="K314" s="360">
        <v>600.51</v>
      </c>
      <c r="L314" s="360">
        <v>500.49</v>
      </c>
    </row>
    <row r="315" spans="7:12">
      <c r="G315" s="472" t="s">
        <v>1451</v>
      </c>
      <c r="H315" s="245" t="s">
        <v>506</v>
      </c>
      <c r="I315" s="434" t="s">
        <v>1447</v>
      </c>
      <c r="J315" s="434" t="s">
        <v>1351</v>
      </c>
      <c r="K315" s="360">
        <v>600.51</v>
      </c>
      <c r="L315" s="360">
        <v>500.49</v>
      </c>
    </row>
    <row r="316" spans="7:12">
      <c r="G316" s="434" t="s">
        <v>1412</v>
      </c>
      <c r="H316" s="245" t="s">
        <v>456</v>
      </c>
      <c r="I316" s="434" t="s">
        <v>1410</v>
      </c>
      <c r="J316" s="434" t="s">
        <v>1345</v>
      </c>
      <c r="K316" s="360">
        <v>600.51</v>
      </c>
      <c r="L316" s="360">
        <v>500.49</v>
      </c>
    </row>
    <row r="317" spans="7:12">
      <c r="G317" s="472" t="s">
        <v>1451</v>
      </c>
      <c r="H317" s="245" t="s">
        <v>506</v>
      </c>
      <c r="I317" s="434" t="s">
        <v>1447</v>
      </c>
      <c r="J317" s="434" t="s">
        <v>1351</v>
      </c>
      <c r="K317" s="360">
        <v>600.51</v>
      </c>
      <c r="L317" s="360">
        <v>500.49</v>
      </c>
    </row>
    <row r="318" spans="7:12">
      <c r="G318" s="434" t="s">
        <v>1448</v>
      </c>
      <c r="H318" s="245" t="s">
        <v>876</v>
      </c>
      <c r="I318" s="434" t="s">
        <v>1450</v>
      </c>
      <c r="J318" s="434" t="s">
        <v>1351</v>
      </c>
      <c r="K318" s="360">
        <v>600.51</v>
      </c>
      <c r="L318" s="360">
        <v>500.48</v>
      </c>
    </row>
    <row r="319" spans="7:12">
      <c r="G319" s="434" t="s">
        <v>1449</v>
      </c>
      <c r="H319" s="245" t="s">
        <v>506</v>
      </c>
      <c r="I319" s="434" t="s">
        <v>1447</v>
      </c>
      <c r="J319" s="434" t="s">
        <v>1351</v>
      </c>
      <c r="K319" s="360">
        <v>600.51</v>
      </c>
      <c r="L319" s="360">
        <v>500.48</v>
      </c>
    </row>
    <row r="320" spans="7:12">
      <c r="G320" s="434" t="s">
        <v>1478</v>
      </c>
      <c r="H320" s="245" t="s">
        <v>506</v>
      </c>
      <c r="I320" s="434" t="s">
        <v>1447</v>
      </c>
      <c r="J320" s="434" t="s">
        <v>1351</v>
      </c>
      <c r="K320" s="360">
        <v>600.51</v>
      </c>
      <c r="L320" s="360">
        <v>500.49</v>
      </c>
    </row>
    <row r="321" spans="7:12">
      <c r="G321" s="434" t="s">
        <v>1479</v>
      </c>
      <c r="H321" s="245" t="s">
        <v>506</v>
      </c>
      <c r="I321" s="434" t="s">
        <v>1480</v>
      </c>
      <c r="J321" s="434" t="s">
        <v>1481</v>
      </c>
      <c r="K321" s="360">
        <v>600.51</v>
      </c>
      <c r="L321" s="360">
        <v>500.49</v>
      </c>
    </row>
    <row r="322" spans="7:12">
      <c r="G322" s="434" t="s">
        <v>1483</v>
      </c>
      <c r="H322" s="245" t="s">
        <v>506</v>
      </c>
      <c r="I322" s="434" t="s">
        <v>1482</v>
      </c>
      <c r="J322" s="434" t="s">
        <v>1481</v>
      </c>
      <c r="K322" s="360">
        <v>600.51</v>
      </c>
      <c r="L322" s="360">
        <v>500.49</v>
      </c>
    </row>
    <row r="323" spans="7:12">
      <c r="G323" s="434" t="s">
        <v>1484</v>
      </c>
      <c r="H323" s="245" t="s">
        <v>876</v>
      </c>
      <c r="I323" s="434" t="s">
        <v>1450</v>
      </c>
      <c r="J323" s="434" t="s">
        <v>1485</v>
      </c>
      <c r="K323" s="360">
        <v>600.51</v>
      </c>
      <c r="L323" s="360">
        <v>500.49</v>
      </c>
    </row>
    <row r="324" spans="7:12">
      <c r="G324" s="434" t="s">
        <v>1486</v>
      </c>
      <c r="H324" s="245" t="s">
        <v>876</v>
      </c>
      <c r="I324" s="434" t="s">
        <v>1487</v>
      </c>
      <c r="J324" s="434" t="s">
        <v>1485</v>
      </c>
      <c r="K324" s="360">
        <v>600.51</v>
      </c>
      <c r="L324" s="360">
        <v>500.49</v>
      </c>
    </row>
    <row r="325" spans="7:12">
      <c r="G325" s="434" t="s">
        <v>1488</v>
      </c>
      <c r="H325" s="245" t="s">
        <v>876</v>
      </c>
      <c r="I325" s="434" t="s">
        <v>1489</v>
      </c>
      <c r="J325" s="434" t="s">
        <v>1485</v>
      </c>
      <c r="K325" s="360">
        <v>600.51</v>
      </c>
      <c r="L325" s="360">
        <v>500.49</v>
      </c>
    </row>
    <row r="326" spans="7:12">
      <c r="G326" s="434" t="s">
        <v>1490</v>
      </c>
      <c r="H326" s="245" t="s">
        <v>876</v>
      </c>
      <c r="I326" s="434" t="s">
        <v>1491</v>
      </c>
      <c r="J326" s="434" t="s">
        <v>1485</v>
      </c>
      <c r="K326" s="360">
        <v>600.51</v>
      </c>
      <c r="L326" s="360">
        <v>500.49</v>
      </c>
    </row>
    <row r="327" spans="7:12">
      <c r="G327" s="434" t="s">
        <v>1519</v>
      </c>
      <c r="H327" s="245" t="s">
        <v>876</v>
      </c>
      <c r="I327" s="434" t="s">
        <v>1520</v>
      </c>
      <c r="J327" s="434" t="s">
        <v>1485</v>
      </c>
      <c r="K327" s="360">
        <v>600.51</v>
      </c>
      <c r="L327" s="360">
        <v>500.49</v>
      </c>
    </row>
    <row r="328" spans="7:12">
      <c r="G328" s="434" t="s">
        <v>1532</v>
      </c>
      <c r="H328" s="245" t="s">
        <v>506</v>
      </c>
      <c r="I328" s="434" t="s">
        <v>1480</v>
      </c>
      <c r="J328" s="434" t="s">
        <v>1481</v>
      </c>
      <c r="K328" s="360">
        <v>600.52</v>
      </c>
      <c r="L328" s="360">
        <v>500.5</v>
      </c>
    </row>
    <row r="329" spans="7:12">
      <c r="G329" s="434" t="s">
        <v>1533</v>
      </c>
      <c r="H329" s="474" t="s">
        <v>1597</v>
      </c>
      <c r="I329" s="434" t="s">
        <v>1534</v>
      </c>
      <c r="J329" s="434" t="s">
        <v>1481</v>
      </c>
      <c r="K329" s="360">
        <v>600.52</v>
      </c>
      <c r="L329" s="360">
        <v>500.5</v>
      </c>
    </row>
    <row r="330" spans="7:12">
      <c r="G330" s="434" t="s">
        <v>1546</v>
      </c>
      <c r="H330" s="474" t="s">
        <v>1598</v>
      </c>
      <c r="I330" s="434" t="s">
        <v>1548</v>
      </c>
      <c r="J330" s="434" t="s">
        <v>1485</v>
      </c>
      <c r="K330" s="360">
        <v>600.52</v>
      </c>
      <c r="L330" s="360">
        <v>500.5</v>
      </c>
    </row>
    <row r="331" spans="7:12">
      <c r="G331" s="475" t="s">
        <v>1599</v>
      </c>
      <c r="H331" s="474" t="s">
        <v>1598</v>
      </c>
      <c r="I331" s="475" t="s">
        <v>1548</v>
      </c>
      <c r="J331" s="475" t="s">
        <v>1485</v>
      </c>
      <c r="K331" s="475">
        <v>600.51</v>
      </c>
      <c r="L331" s="475">
        <v>500.49</v>
      </c>
    </row>
    <row r="332" spans="7:12">
      <c r="G332" s="475" t="s">
        <v>1600</v>
      </c>
      <c r="H332" s="474" t="s">
        <v>1601</v>
      </c>
      <c r="I332" s="475" t="s">
        <v>1602</v>
      </c>
      <c r="J332" s="475" t="s">
        <v>1603</v>
      </c>
      <c r="K332" s="475">
        <v>600.52</v>
      </c>
      <c r="L332" s="475">
        <v>500.5</v>
      </c>
    </row>
    <row r="333" spans="7:12">
      <c r="G333" s="475" t="s">
        <v>1604</v>
      </c>
      <c r="H333" s="474" t="s">
        <v>1601</v>
      </c>
      <c r="I333" s="475" t="s">
        <v>1605</v>
      </c>
      <c r="J333" s="475" t="s">
        <v>1606</v>
      </c>
      <c r="K333" s="475">
        <v>600.52</v>
      </c>
      <c r="L333" s="475">
        <v>500.5</v>
      </c>
    </row>
    <row r="334" spans="7:12">
      <c r="G334" s="475" t="s">
        <v>1607</v>
      </c>
      <c r="H334" s="474" t="s">
        <v>1601</v>
      </c>
      <c r="I334" s="475" t="s">
        <v>1608</v>
      </c>
      <c r="J334" s="475" t="s">
        <v>1606</v>
      </c>
      <c r="K334" s="475">
        <v>600.52</v>
      </c>
      <c r="L334" s="475">
        <v>500.5</v>
      </c>
    </row>
    <row r="335" spans="7:12">
      <c r="G335" s="475" t="s">
        <v>1609</v>
      </c>
      <c r="H335" s="474" t="s">
        <v>1610</v>
      </c>
      <c r="I335" s="475" t="s">
        <v>1608</v>
      </c>
      <c r="J335" s="475" t="s">
        <v>1606</v>
      </c>
      <c r="K335" s="475">
        <v>600.52</v>
      </c>
      <c r="L335" s="475">
        <v>500.5</v>
      </c>
    </row>
    <row r="336" spans="7:12">
      <c r="G336" s="475" t="s">
        <v>1611</v>
      </c>
      <c r="H336" s="474" t="s">
        <v>1612</v>
      </c>
      <c r="I336" s="475" t="s">
        <v>1608</v>
      </c>
      <c r="J336" s="475" t="s">
        <v>1606</v>
      </c>
      <c r="K336" s="475">
        <v>600.52</v>
      </c>
      <c r="L336" s="475">
        <v>500.5</v>
      </c>
    </row>
    <row r="337" spans="7:12">
      <c r="G337" s="475" t="s">
        <v>1613</v>
      </c>
      <c r="H337" s="474" t="s">
        <v>1614</v>
      </c>
      <c r="I337" s="475" t="s">
        <v>1615</v>
      </c>
      <c r="J337" s="475" t="s">
        <v>1606</v>
      </c>
      <c r="K337" s="475">
        <v>600.52</v>
      </c>
      <c r="L337" s="475">
        <v>500.5</v>
      </c>
    </row>
    <row r="338" spans="7:12">
      <c r="G338" s="475" t="s">
        <v>1616</v>
      </c>
      <c r="H338" s="474" t="s">
        <v>1614</v>
      </c>
      <c r="I338" s="475" t="s">
        <v>1617</v>
      </c>
      <c r="J338" s="475" t="s">
        <v>1606</v>
      </c>
      <c r="K338" s="475">
        <v>600.52</v>
      </c>
      <c r="L338" s="475">
        <v>500.5</v>
      </c>
    </row>
    <row r="339" spans="7:12">
      <c r="G339" s="475" t="s">
        <v>1618</v>
      </c>
      <c r="H339" s="474" t="s">
        <v>1601</v>
      </c>
      <c r="I339" s="475" t="s">
        <v>1619</v>
      </c>
      <c r="J339" s="475" t="s">
        <v>1603</v>
      </c>
      <c r="K339" s="475">
        <v>600.51</v>
      </c>
      <c r="L339" s="475">
        <v>500.49</v>
      </c>
    </row>
    <row r="340" spans="7:12">
      <c r="G340" s="475" t="s">
        <v>1620</v>
      </c>
      <c r="H340" s="474" t="s">
        <v>1601</v>
      </c>
      <c r="I340" s="475" t="s">
        <v>1619</v>
      </c>
      <c r="J340" s="475" t="s">
        <v>1603</v>
      </c>
      <c r="K340" s="475">
        <v>600.51</v>
      </c>
      <c r="L340" s="475">
        <v>500.49</v>
      </c>
    </row>
    <row r="341" spans="7:12">
      <c r="G341" s="475" t="s">
        <v>1621</v>
      </c>
      <c r="H341" s="474" t="s">
        <v>1601</v>
      </c>
      <c r="I341" s="475" t="s">
        <v>1619</v>
      </c>
      <c r="J341" s="475" t="s">
        <v>1603</v>
      </c>
      <c r="K341" s="475">
        <v>600.53</v>
      </c>
      <c r="L341" s="475">
        <v>500.51</v>
      </c>
    </row>
  </sheetData>
  <autoFilter ref="G2:L341"/>
  <dataConsolidate/>
  <phoneticPr fontId="104" type="noConversion"/>
  <pageMargins left="0.78740157499999996" right="0.78740157499999996" top="0.984251969" bottom="0.984251969" header="0.4921259845" footer="0.492125984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sheetPr codeName="Feuil2"/>
  <dimension ref="A1:AP527"/>
  <sheetViews>
    <sheetView workbookViewId="0">
      <pane ySplit="2" topLeftCell="A3" activePane="bottomLeft" state="frozen"/>
      <selection pane="bottomLeft" activeCell="Z45" sqref="Z45"/>
    </sheetView>
  </sheetViews>
  <sheetFormatPr baseColWidth="10" defaultRowHeight="12.75"/>
  <cols>
    <col min="1" max="1" width="8.5703125" customWidth="1"/>
    <col min="2" max="7" width="5" customWidth="1"/>
    <col min="8" max="8" width="7" customWidth="1"/>
    <col min="9" max="11" width="5" customWidth="1"/>
    <col min="12" max="12" width="8.85546875" bestFit="1" customWidth="1"/>
    <col min="13" max="13" width="10.7109375" bestFit="1" customWidth="1"/>
    <col min="14" max="14" width="8.85546875" bestFit="1" customWidth="1"/>
    <col min="15" max="15" width="10.28515625" customWidth="1"/>
    <col min="16" max="16" width="8.28515625" bestFit="1" customWidth="1"/>
    <col min="17" max="17" width="7.42578125" bestFit="1" customWidth="1"/>
    <col min="18" max="18" width="6.85546875" bestFit="1" customWidth="1"/>
    <col min="19" max="19" width="4.28515625" customWidth="1"/>
    <col min="20" max="20" width="8.28515625" bestFit="1" customWidth="1"/>
    <col min="21" max="21" width="5.140625" bestFit="1" customWidth="1"/>
    <col min="22" max="23" width="5.140625" customWidth="1"/>
    <col min="24" max="24" width="12.28515625" bestFit="1" customWidth="1"/>
    <col min="25" max="25" width="7.28515625" customWidth="1"/>
    <col min="26" max="26" width="7.5703125" bestFit="1" customWidth="1"/>
    <col min="27" max="27" width="5.140625" bestFit="1" customWidth="1"/>
    <col min="28" max="28" width="4.28515625" bestFit="1" customWidth="1"/>
    <col min="29" max="30" width="5.140625" bestFit="1" customWidth="1"/>
    <col min="31" max="31" width="4.28515625" bestFit="1" customWidth="1"/>
    <col min="32" max="33" width="5.140625" bestFit="1" customWidth="1"/>
    <col min="34" max="34" width="4.28515625" bestFit="1" customWidth="1"/>
    <col min="35" max="36" width="5.140625" bestFit="1" customWidth="1"/>
    <col min="37" max="37" width="4.28515625" bestFit="1" customWidth="1"/>
    <col min="38" max="39" width="5.140625" bestFit="1" customWidth="1"/>
    <col min="40" max="40" width="4.28515625" bestFit="1" customWidth="1"/>
    <col min="41" max="42" width="5.140625" bestFit="1" customWidth="1"/>
    <col min="43" max="43" width="4.28515625" bestFit="1" customWidth="1"/>
    <col min="44" max="45" width="5.140625" bestFit="1" customWidth="1"/>
    <col min="46" max="46" width="3.28515625" bestFit="1" customWidth="1"/>
    <col min="47" max="48" width="5.140625" bestFit="1" customWidth="1"/>
    <col min="49" max="49" width="3.28515625" bestFit="1" customWidth="1"/>
    <col min="50" max="51" width="5.140625" bestFit="1" customWidth="1"/>
    <col min="52" max="52" width="3.28515625" bestFit="1" customWidth="1"/>
    <col min="53" max="54" width="5.140625" bestFit="1" customWidth="1"/>
    <col min="55" max="55" width="3.28515625" bestFit="1" customWidth="1"/>
    <col min="56" max="57" width="5.140625" bestFit="1" customWidth="1"/>
    <col min="58" max="58" width="3.28515625" bestFit="1" customWidth="1"/>
    <col min="59" max="60" width="5.140625" bestFit="1" customWidth="1"/>
    <col min="61" max="61" width="3.28515625" bestFit="1" customWidth="1"/>
    <col min="62" max="63" width="5.140625" bestFit="1" customWidth="1"/>
    <col min="64" max="64" width="4.28515625" bestFit="1" customWidth="1"/>
    <col min="65" max="66" width="5.140625" bestFit="1" customWidth="1"/>
    <col min="67" max="67" width="4.28515625" bestFit="1" customWidth="1"/>
    <col min="68" max="69" width="5.140625" bestFit="1" customWidth="1"/>
    <col min="70" max="70" width="4.28515625" bestFit="1" customWidth="1"/>
    <col min="71" max="72" width="5.140625" bestFit="1" customWidth="1"/>
    <col min="73" max="73" width="4.28515625" bestFit="1" customWidth="1"/>
    <col min="74" max="75" width="5.140625" bestFit="1" customWidth="1"/>
    <col min="76" max="76" width="4.28515625" bestFit="1" customWidth="1"/>
    <col min="77" max="78" width="5.140625" bestFit="1" customWidth="1"/>
    <col min="79" max="79" width="4.28515625" bestFit="1" customWidth="1"/>
    <col min="80" max="81" width="5.140625" bestFit="1" customWidth="1"/>
    <col min="82" max="82" width="4.28515625" bestFit="1" customWidth="1"/>
    <col min="83" max="84" width="5.140625" bestFit="1" customWidth="1"/>
    <col min="85" max="85" width="4.28515625" bestFit="1" customWidth="1"/>
    <col min="86" max="87" width="5.140625" bestFit="1" customWidth="1"/>
    <col min="88" max="88" width="4.28515625" bestFit="1" customWidth="1"/>
    <col min="89" max="90" width="5.140625" bestFit="1" customWidth="1"/>
    <col min="91" max="91" width="4.28515625" bestFit="1" customWidth="1"/>
    <col min="92" max="93" width="5.140625" bestFit="1" customWidth="1"/>
    <col min="94" max="94" width="4.28515625" bestFit="1" customWidth="1"/>
    <col min="95" max="96" width="5.140625" bestFit="1" customWidth="1"/>
    <col min="97" max="97" width="4.28515625" bestFit="1" customWidth="1"/>
    <col min="98" max="99" width="5.140625" bestFit="1" customWidth="1"/>
    <col min="100" max="100" width="4.28515625" bestFit="1" customWidth="1"/>
    <col min="101" max="102" width="5.140625" bestFit="1" customWidth="1"/>
    <col min="103" max="103" width="4.28515625" bestFit="1" customWidth="1"/>
    <col min="104" max="105" width="5.140625" bestFit="1" customWidth="1"/>
    <col min="106" max="106" width="4.28515625" bestFit="1" customWidth="1"/>
    <col min="107" max="108" width="5.140625" bestFit="1" customWidth="1"/>
    <col min="109" max="109" width="4.28515625" bestFit="1" customWidth="1"/>
    <col min="110" max="111" width="5.140625" bestFit="1" customWidth="1"/>
    <col min="112" max="112" width="4.28515625" bestFit="1" customWidth="1"/>
    <col min="113" max="114" width="5.140625" bestFit="1" customWidth="1"/>
    <col min="115" max="115" width="4.28515625" bestFit="1" customWidth="1"/>
    <col min="116" max="116" width="5.140625" bestFit="1" customWidth="1"/>
  </cols>
  <sheetData>
    <row r="1" spans="1:42">
      <c r="A1" s="518" t="s">
        <v>315</v>
      </c>
      <c r="B1" s="521" t="s">
        <v>305</v>
      </c>
      <c r="C1" s="521"/>
      <c r="D1" s="521"/>
      <c r="E1" s="521" t="s">
        <v>306</v>
      </c>
      <c r="F1" s="521"/>
      <c r="G1" s="521"/>
      <c r="H1" s="523" t="s">
        <v>257</v>
      </c>
      <c r="I1" s="518" t="s">
        <v>24</v>
      </c>
      <c r="J1" s="521"/>
      <c r="K1" s="527"/>
      <c r="L1" s="525" t="s">
        <v>254</v>
      </c>
      <c r="M1" s="521" t="s">
        <v>313</v>
      </c>
      <c r="N1" s="521" t="s">
        <v>255</v>
      </c>
      <c r="O1" s="521" t="s">
        <v>314</v>
      </c>
      <c r="P1" s="523" t="s">
        <v>256</v>
      </c>
      <c r="Q1" s="518" t="s">
        <v>376</v>
      </c>
      <c r="R1" s="521" t="s">
        <v>377</v>
      </c>
      <c r="S1" s="516" t="s">
        <v>443</v>
      </c>
      <c r="T1" s="514" t="s">
        <v>19</v>
      </c>
      <c r="X1">
        <v>526</v>
      </c>
      <c r="Y1">
        <v>146</v>
      </c>
    </row>
    <row r="2" spans="1:42" s="205" customFormat="1" ht="30.75" customHeight="1" thickBot="1">
      <c r="A2" s="520"/>
      <c r="B2" s="92">
        <v>1</v>
      </c>
      <c r="C2" s="92">
        <v>2</v>
      </c>
      <c r="D2" s="92">
        <v>3</v>
      </c>
      <c r="E2" s="92">
        <v>1</v>
      </c>
      <c r="F2" s="92">
        <v>2</v>
      </c>
      <c r="G2" s="92">
        <v>3</v>
      </c>
      <c r="H2" s="524"/>
      <c r="I2" s="209">
        <v>1</v>
      </c>
      <c r="J2" s="210">
        <v>2</v>
      </c>
      <c r="K2" s="211">
        <v>3</v>
      </c>
      <c r="L2" s="526"/>
      <c r="M2" s="522"/>
      <c r="N2" s="522"/>
      <c r="O2" s="522"/>
      <c r="P2" s="524"/>
      <c r="Q2" s="519"/>
      <c r="R2" s="528"/>
      <c r="S2" s="517"/>
      <c r="T2" s="515"/>
      <c r="U2" s="343" t="s">
        <v>671</v>
      </c>
      <c r="V2" s="343" t="s">
        <v>672</v>
      </c>
      <c r="W2" s="343" t="s">
        <v>673</v>
      </c>
      <c r="X2" s="343" t="s">
        <v>674</v>
      </c>
      <c r="Y2" s="343" t="s">
        <v>675</v>
      </c>
      <c r="Z2" s="343" t="s">
        <v>676</v>
      </c>
      <c r="AA2" s="343" t="s">
        <v>677</v>
      </c>
    </row>
    <row r="3" spans="1:42" ht="13.5" thickBot="1">
      <c r="A3" s="97"/>
      <c r="B3" s="101"/>
      <c r="C3" s="101"/>
      <c r="D3" s="101"/>
      <c r="E3" s="101"/>
      <c r="F3" s="101"/>
      <c r="G3" s="101"/>
      <c r="H3" s="132" t="e">
        <v>#N/A</v>
      </c>
      <c r="I3" s="133" t="e">
        <v>#N/A</v>
      </c>
      <c r="J3" s="174" t="e">
        <v>#N/A</v>
      </c>
      <c r="K3" s="129" t="e">
        <v>#N/A</v>
      </c>
      <c r="L3" s="178"/>
      <c r="M3" s="98"/>
      <c r="N3" s="98"/>
      <c r="O3" s="98"/>
      <c r="P3" s="126"/>
      <c r="Q3" s="130" t="e">
        <v>#N/A</v>
      </c>
      <c r="R3" s="102" t="e">
        <v>#N/A</v>
      </c>
      <c r="S3" s="109" t="e">
        <v>#N/A</v>
      </c>
      <c r="T3" s="109" t="e">
        <v>#N/A</v>
      </c>
    </row>
    <row r="4" spans="1:42" ht="13.5" thickBot="1">
      <c r="A4" s="96" t="s">
        <v>355</v>
      </c>
      <c r="B4" s="103">
        <v>1</v>
      </c>
      <c r="C4" s="103">
        <v>14</v>
      </c>
      <c r="D4" s="103">
        <v>2</v>
      </c>
      <c r="E4" s="103"/>
      <c r="F4" s="103"/>
      <c r="G4" s="103"/>
      <c r="H4" s="208">
        <f>SUM(B4:G5)</f>
        <v>38</v>
      </c>
      <c r="I4" s="134" t="e">
        <v>#N/A</v>
      </c>
      <c r="J4" s="104" t="e">
        <v>#N/A</v>
      </c>
      <c r="K4" s="135" t="e">
        <v>#N/A</v>
      </c>
      <c r="L4">
        <v>7</v>
      </c>
      <c r="M4">
        <v>7</v>
      </c>
      <c r="N4">
        <v>5</v>
      </c>
      <c r="P4" s="127">
        <v>6</v>
      </c>
      <c r="Q4" s="31">
        <f>L4+M4</f>
        <v>14</v>
      </c>
      <c r="R4" s="115">
        <f>N4+O4+P4</f>
        <v>11</v>
      </c>
      <c r="S4" s="107">
        <f>Q4-R4</f>
        <v>3</v>
      </c>
      <c r="T4" s="109" t="e">
        <v>#N/A</v>
      </c>
      <c r="X4" s="53"/>
      <c r="Y4" s="54" t="s">
        <v>355</v>
      </c>
      <c r="Z4" s="55" t="s">
        <v>354</v>
      </c>
      <c r="AA4" s="55" t="s">
        <v>353</v>
      </c>
      <c r="AB4" s="55" t="s">
        <v>352</v>
      </c>
      <c r="AC4" s="55" t="s">
        <v>351</v>
      </c>
      <c r="AD4" s="55" t="s">
        <v>317</v>
      </c>
      <c r="AE4" s="55" t="s">
        <v>318</v>
      </c>
      <c r="AF4" s="55" t="s">
        <v>319</v>
      </c>
      <c r="AG4" s="55" t="s">
        <v>320</v>
      </c>
      <c r="AH4" s="55" t="s">
        <v>321</v>
      </c>
      <c r="AI4" s="55" t="s">
        <v>322</v>
      </c>
      <c r="AJ4" s="55" t="s">
        <v>324</v>
      </c>
      <c r="AK4" s="55" t="s">
        <v>350</v>
      </c>
      <c r="AL4" s="55" t="s">
        <v>356</v>
      </c>
      <c r="AM4" s="55" t="s">
        <v>357</v>
      </c>
      <c r="AN4" s="55" t="s">
        <v>358</v>
      </c>
      <c r="AO4" s="55" t="s">
        <v>359</v>
      </c>
      <c r="AP4" s="55" t="s">
        <v>360</v>
      </c>
    </row>
    <row r="5" spans="1:42" ht="13.5" thickBot="1">
      <c r="A5" s="99"/>
      <c r="B5" s="105"/>
      <c r="C5" s="105"/>
      <c r="D5" s="105"/>
      <c r="E5" s="105">
        <v>7</v>
      </c>
      <c r="F5" s="105">
        <v>11</v>
      </c>
      <c r="G5" s="105">
        <v>3</v>
      </c>
      <c r="H5" s="128" t="e">
        <v>#N/A</v>
      </c>
      <c r="I5" s="131" t="e">
        <v>#N/A</v>
      </c>
      <c r="J5" s="106" t="e">
        <v>#N/A</v>
      </c>
      <c r="K5" s="108" t="e">
        <v>#N/A</v>
      </c>
      <c r="L5" s="179"/>
      <c r="M5" s="100"/>
      <c r="N5" s="100"/>
      <c r="O5" s="100"/>
      <c r="P5" s="128"/>
      <c r="Q5" s="131" t="e">
        <v>#N/A</v>
      </c>
      <c r="R5" s="106" t="e">
        <v>#N/A</v>
      </c>
      <c r="S5" s="108" t="e">
        <v>#N/A</v>
      </c>
      <c r="T5" s="108" t="e">
        <v>#N/A</v>
      </c>
      <c r="X5" s="56" t="s">
        <v>242</v>
      </c>
      <c r="Y5" s="57">
        <v>38</v>
      </c>
      <c r="Z5" s="58">
        <f t="shared" ref="Z5:AM5" si="0">Z6+Z7</f>
        <v>41</v>
      </c>
      <c r="AA5" s="58">
        <f t="shared" si="0"/>
        <v>36</v>
      </c>
      <c r="AB5" s="58">
        <f t="shared" si="0"/>
        <v>31</v>
      </c>
      <c r="AC5" s="58">
        <f t="shared" si="0"/>
        <v>40</v>
      </c>
      <c r="AD5" s="58">
        <f t="shared" si="0"/>
        <v>34</v>
      </c>
      <c r="AE5" s="58">
        <f t="shared" si="0"/>
        <v>36</v>
      </c>
      <c r="AF5" s="58">
        <f t="shared" si="0"/>
        <v>30</v>
      </c>
      <c r="AG5" s="58">
        <f t="shared" si="0"/>
        <v>33</v>
      </c>
      <c r="AH5" s="58">
        <f t="shared" si="0"/>
        <v>28</v>
      </c>
      <c r="AI5" s="58">
        <f t="shared" si="0"/>
        <v>27</v>
      </c>
      <c r="AJ5" s="58">
        <f t="shared" si="0"/>
        <v>29</v>
      </c>
      <c r="AK5" s="58">
        <f t="shared" si="0"/>
        <v>33</v>
      </c>
      <c r="AL5" s="58">
        <f t="shared" si="0"/>
        <v>33</v>
      </c>
      <c r="AM5" s="58">
        <f t="shared" si="0"/>
        <v>30</v>
      </c>
      <c r="AN5" s="58"/>
      <c r="AO5" s="58"/>
      <c r="AP5" s="58"/>
    </row>
    <row r="6" spans="1:42" ht="13.5" thickBot="1">
      <c r="A6" s="97"/>
      <c r="B6" s="101"/>
      <c r="C6" s="101"/>
      <c r="D6" s="101"/>
      <c r="E6" s="101"/>
      <c r="F6" s="101"/>
      <c r="G6" s="101"/>
      <c r="H6" s="109" t="e">
        <v>#N/A</v>
      </c>
      <c r="I6" s="130" t="e">
        <v>#N/A</v>
      </c>
      <c r="J6" s="102" t="e">
        <v>#N/A</v>
      </c>
      <c r="K6" s="109" t="e">
        <v>#N/A</v>
      </c>
      <c r="L6" s="178"/>
      <c r="M6" s="98"/>
      <c r="N6" s="98"/>
      <c r="O6" s="98"/>
      <c r="P6" s="109"/>
      <c r="Q6" s="130" t="e">
        <v>#N/A</v>
      </c>
      <c r="R6" s="102" t="e">
        <v>#N/A</v>
      </c>
      <c r="S6" s="109" t="e">
        <v>#N/A</v>
      </c>
      <c r="T6" s="109" t="e">
        <v>#N/A</v>
      </c>
      <c r="X6" s="59" t="s">
        <v>305</v>
      </c>
      <c r="Y6" s="60">
        <v>17</v>
      </c>
      <c r="Z6" s="60">
        <f t="shared" ref="Z6:AM6" si="1">Z16</f>
        <v>19</v>
      </c>
      <c r="AA6" s="60">
        <f t="shared" si="1"/>
        <v>16</v>
      </c>
      <c r="AB6" s="60">
        <f t="shared" si="1"/>
        <v>13</v>
      </c>
      <c r="AC6" s="60">
        <f t="shared" si="1"/>
        <v>19</v>
      </c>
      <c r="AD6" s="60">
        <f t="shared" si="1"/>
        <v>17</v>
      </c>
      <c r="AE6" s="60">
        <f t="shared" si="1"/>
        <v>16</v>
      </c>
      <c r="AF6" s="60">
        <f t="shared" si="1"/>
        <v>15</v>
      </c>
      <c r="AG6" s="60">
        <f t="shared" si="1"/>
        <v>14</v>
      </c>
      <c r="AH6" s="60">
        <f t="shared" si="1"/>
        <v>14</v>
      </c>
      <c r="AI6" s="60">
        <f t="shared" si="1"/>
        <v>15</v>
      </c>
      <c r="AJ6" s="60">
        <f t="shared" si="1"/>
        <v>20</v>
      </c>
      <c r="AK6" s="60">
        <f t="shared" si="1"/>
        <v>20</v>
      </c>
      <c r="AL6" s="60">
        <f t="shared" si="1"/>
        <v>16</v>
      </c>
      <c r="AM6" s="60">
        <f t="shared" si="1"/>
        <v>14</v>
      </c>
      <c r="AN6" s="60"/>
      <c r="AO6" s="60"/>
      <c r="AP6" s="60"/>
    </row>
    <row r="7" spans="1:42" ht="13.5" thickBot="1">
      <c r="A7" s="96" t="s">
        <v>354</v>
      </c>
      <c r="B7" s="103">
        <v>3</v>
      </c>
      <c r="C7" s="103">
        <v>14</v>
      </c>
      <c r="D7" s="103">
        <v>2</v>
      </c>
      <c r="E7" s="103"/>
      <c r="F7" s="103"/>
      <c r="G7" s="103"/>
      <c r="H7" s="135">
        <f>SUM(B7:G8)</f>
        <v>41</v>
      </c>
      <c r="I7" s="134" t="e">
        <v>#N/A</v>
      </c>
      <c r="J7" s="104" t="e">
        <v>#N/A</v>
      </c>
      <c r="K7" s="135" t="e">
        <v>#N/A</v>
      </c>
      <c r="L7">
        <v>10</v>
      </c>
      <c r="M7">
        <v>0</v>
      </c>
      <c r="N7">
        <v>7</v>
      </c>
      <c r="P7" s="107">
        <v>8</v>
      </c>
      <c r="Q7" s="31">
        <f>L7+M7</f>
        <v>10</v>
      </c>
      <c r="R7" s="115">
        <f>N7+O7+P7</f>
        <v>15</v>
      </c>
      <c r="S7" s="107">
        <f>Q7-R7</f>
        <v>-5</v>
      </c>
      <c r="T7" s="109" t="e">
        <v>#N/A</v>
      </c>
      <c r="X7" s="61" t="s">
        <v>306</v>
      </c>
      <c r="Y7" s="62">
        <v>21</v>
      </c>
      <c r="Z7" s="62">
        <f t="shared" ref="Z7:AM7" si="2">Z24</f>
        <v>22</v>
      </c>
      <c r="AA7" s="62">
        <f t="shared" si="2"/>
        <v>20</v>
      </c>
      <c r="AB7" s="62">
        <f t="shared" si="2"/>
        <v>18</v>
      </c>
      <c r="AC7" s="62">
        <f t="shared" si="2"/>
        <v>21</v>
      </c>
      <c r="AD7" s="62">
        <f t="shared" si="2"/>
        <v>17</v>
      </c>
      <c r="AE7" s="62">
        <f t="shared" si="2"/>
        <v>20</v>
      </c>
      <c r="AF7" s="62">
        <f t="shared" si="2"/>
        <v>15</v>
      </c>
      <c r="AG7" s="62">
        <f t="shared" si="2"/>
        <v>19</v>
      </c>
      <c r="AH7" s="62">
        <f t="shared" si="2"/>
        <v>14</v>
      </c>
      <c r="AI7" s="62">
        <f t="shared" si="2"/>
        <v>12</v>
      </c>
      <c r="AJ7" s="62">
        <f t="shared" si="2"/>
        <v>9</v>
      </c>
      <c r="AK7" s="62">
        <f t="shared" si="2"/>
        <v>13</v>
      </c>
      <c r="AL7" s="62">
        <f t="shared" si="2"/>
        <v>17</v>
      </c>
      <c r="AM7" s="62">
        <f t="shared" si="2"/>
        <v>16</v>
      </c>
      <c r="AN7" s="62"/>
      <c r="AO7" s="62"/>
      <c r="AP7" s="62"/>
    </row>
    <row r="8" spans="1:42" ht="13.5" thickBot="1">
      <c r="A8" s="99"/>
      <c r="B8" s="105"/>
      <c r="C8" s="105"/>
      <c r="D8" s="105"/>
      <c r="E8" s="105">
        <v>8</v>
      </c>
      <c r="F8" s="105">
        <v>11</v>
      </c>
      <c r="G8" s="105">
        <v>3</v>
      </c>
      <c r="H8" s="108" t="e">
        <v>#N/A</v>
      </c>
      <c r="I8" s="131" t="e">
        <v>#N/A</v>
      </c>
      <c r="J8" s="106" t="e">
        <v>#N/A</v>
      </c>
      <c r="K8" s="108" t="e">
        <v>#N/A</v>
      </c>
      <c r="L8" s="179"/>
      <c r="M8" s="100"/>
      <c r="N8" s="100"/>
      <c r="O8" s="100"/>
      <c r="P8" s="108"/>
      <c r="Q8" s="131" t="e">
        <v>#N/A</v>
      </c>
      <c r="R8" s="106" t="e">
        <v>#N/A</v>
      </c>
      <c r="S8" s="108" t="e">
        <v>#N/A</v>
      </c>
      <c r="T8" s="108" t="e">
        <v>#N/A</v>
      </c>
      <c r="X8" s="63" t="s">
        <v>361</v>
      </c>
      <c r="Y8" s="64">
        <v>8</v>
      </c>
      <c r="Z8" s="64">
        <v>11</v>
      </c>
      <c r="AA8" s="60">
        <v>7</v>
      </c>
      <c r="AB8" s="60">
        <v>6</v>
      </c>
      <c r="AC8" s="60">
        <v>9</v>
      </c>
      <c r="AD8" s="60">
        <v>8</v>
      </c>
      <c r="AE8" s="60">
        <v>5</v>
      </c>
      <c r="AF8" s="60">
        <v>2</v>
      </c>
      <c r="AG8" s="60">
        <v>4</v>
      </c>
      <c r="AH8" s="60">
        <v>4</v>
      </c>
      <c r="AI8" s="60">
        <v>5</v>
      </c>
      <c r="AJ8" s="60">
        <v>6</v>
      </c>
      <c r="AK8" s="60">
        <v>9</v>
      </c>
      <c r="AL8" s="60">
        <v>9</v>
      </c>
      <c r="AM8" s="60"/>
      <c r="AN8" s="60"/>
      <c r="AO8" s="60">
        <v>2</v>
      </c>
      <c r="AP8" s="60">
        <v>4</v>
      </c>
    </row>
    <row r="9" spans="1:42" ht="13.5" thickBot="1">
      <c r="A9" s="97"/>
      <c r="B9" s="101"/>
      <c r="C9" s="101"/>
      <c r="D9" s="101"/>
      <c r="E9" s="101"/>
      <c r="F9" s="101"/>
      <c r="G9" s="101"/>
      <c r="H9" s="109" t="e">
        <v>#N/A</v>
      </c>
      <c r="I9" s="130" t="e">
        <v>#N/A</v>
      </c>
      <c r="J9" s="102" t="e">
        <v>#N/A</v>
      </c>
      <c r="K9" s="109" t="e">
        <v>#N/A</v>
      </c>
      <c r="L9" s="178"/>
      <c r="M9" s="98"/>
      <c r="N9" s="98"/>
      <c r="O9" s="98"/>
      <c r="P9" s="109"/>
      <c r="Q9" s="130" t="e">
        <v>#N/A</v>
      </c>
      <c r="R9" s="102" t="e">
        <v>#N/A</v>
      </c>
      <c r="S9" s="109" t="e">
        <v>#N/A</v>
      </c>
      <c r="T9" s="109" t="e">
        <v>#N/A</v>
      </c>
      <c r="X9" s="65" t="s">
        <v>362</v>
      </c>
      <c r="Y9" s="66">
        <v>25</v>
      </c>
      <c r="Z9" s="66">
        <v>25</v>
      </c>
      <c r="AA9" s="67">
        <v>23</v>
      </c>
      <c r="AB9" s="67">
        <v>20</v>
      </c>
      <c r="AC9" s="67">
        <v>28</v>
      </c>
      <c r="AD9" s="67">
        <v>23</v>
      </c>
      <c r="AE9" s="67">
        <v>28</v>
      </c>
      <c r="AF9" s="67">
        <v>26</v>
      </c>
      <c r="AG9" s="67">
        <v>27</v>
      </c>
      <c r="AH9" s="67">
        <v>23</v>
      </c>
      <c r="AI9" s="67">
        <v>21</v>
      </c>
      <c r="AJ9" s="67">
        <v>21</v>
      </c>
      <c r="AK9" s="67">
        <v>22</v>
      </c>
      <c r="AL9" s="67">
        <v>23</v>
      </c>
      <c r="AM9" s="67"/>
      <c r="AN9" s="67"/>
      <c r="AO9" s="67">
        <v>5</v>
      </c>
      <c r="AP9" s="67">
        <v>15</v>
      </c>
    </row>
    <row r="10" spans="1:42" ht="13.5" thickBot="1">
      <c r="A10" s="96" t="s">
        <v>353</v>
      </c>
      <c r="B10" s="103">
        <v>1</v>
      </c>
      <c r="C10" s="103">
        <v>15</v>
      </c>
      <c r="D10" s="103">
        <v>0</v>
      </c>
      <c r="E10" s="103"/>
      <c r="F10" s="103"/>
      <c r="G10" s="103"/>
      <c r="H10" s="135">
        <f>SUM(B10:G11)</f>
        <v>35</v>
      </c>
      <c r="I10" s="134" t="e">
        <v>#N/A</v>
      </c>
      <c r="J10" s="104" t="e">
        <v>#N/A</v>
      </c>
      <c r="K10" s="135" t="e">
        <v>#N/A</v>
      </c>
      <c r="L10">
        <v>6</v>
      </c>
      <c r="M10">
        <v>3</v>
      </c>
      <c r="N10">
        <v>8</v>
      </c>
      <c r="P10" s="107">
        <v>6</v>
      </c>
      <c r="Q10" s="31">
        <f>L10+M10</f>
        <v>9</v>
      </c>
      <c r="R10" s="115">
        <f>N10+O10+P10</f>
        <v>14</v>
      </c>
      <c r="S10" s="107">
        <f>Q10-R10</f>
        <v>-5</v>
      </c>
      <c r="T10" s="109" t="e">
        <v>#N/A</v>
      </c>
      <c r="X10" s="68" t="s">
        <v>363</v>
      </c>
      <c r="Y10" s="69">
        <v>5</v>
      </c>
      <c r="Z10" s="69">
        <v>5</v>
      </c>
      <c r="AA10" s="70">
        <v>6</v>
      </c>
      <c r="AB10" s="70">
        <v>5</v>
      </c>
      <c r="AC10" s="70">
        <v>3</v>
      </c>
      <c r="AD10" s="70">
        <v>3</v>
      </c>
      <c r="AE10" s="70">
        <v>3</v>
      </c>
      <c r="AF10" s="70">
        <v>2</v>
      </c>
      <c r="AG10" s="70">
        <v>2</v>
      </c>
      <c r="AH10" s="70">
        <v>1</v>
      </c>
      <c r="AI10" s="70">
        <v>1</v>
      </c>
      <c r="AJ10" s="70">
        <v>2</v>
      </c>
      <c r="AK10" s="70">
        <v>2</v>
      </c>
      <c r="AL10" s="70">
        <v>1</v>
      </c>
      <c r="AM10" s="70"/>
      <c r="AN10" s="70"/>
      <c r="AO10" s="70">
        <v>0</v>
      </c>
      <c r="AP10" s="70">
        <v>10</v>
      </c>
    </row>
    <row r="11" spans="1:42" ht="13.5" thickBot="1">
      <c r="A11" s="99"/>
      <c r="B11" s="105"/>
      <c r="C11" s="105"/>
      <c r="D11" s="105"/>
      <c r="E11" s="105">
        <v>6</v>
      </c>
      <c r="F11" s="105">
        <v>10</v>
      </c>
      <c r="G11" s="105">
        <v>3</v>
      </c>
      <c r="H11" s="108" t="e">
        <v>#N/A</v>
      </c>
      <c r="I11" s="131" t="e">
        <v>#N/A</v>
      </c>
      <c r="J11" s="106" t="e">
        <v>#N/A</v>
      </c>
      <c r="K11" s="108" t="e">
        <v>#N/A</v>
      </c>
      <c r="L11" s="179"/>
      <c r="M11" s="100"/>
      <c r="N11" s="100"/>
      <c r="O11" s="100"/>
      <c r="P11" s="108"/>
      <c r="Q11" s="131" t="e">
        <v>#N/A</v>
      </c>
      <c r="R11" s="106" t="e">
        <v>#N/A</v>
      </c>
      <c r="S11" s="108" t="e">
        <v>#N/A</v>
      </c>
      <c r="T11" s="108" t="e">
        <v>#N/A</v>
      </c>
      <c r="X11" s="59" t="s">
        <v>252</v>
      </c>
      <c r="Y11" s="71">
        <v>5</v>
      </c>
      <c r="Z11" s="71">
        <v>8</v>
      </c>
      <c r="AA11" s="71">
        <v>6</v>
      </c>
      <c r="AB11" s="71">
        <v>4</v>
      </c>
      <c r="AC11" s="71">
        <v>7</v>
      </c>
      <c r="AD11" s="71">
        <v>3</v>
      </c>
      <c r="AE11" s="71">
        <v>6</v>
      </c>
      <c r="AF11" s="71">
        <v>3</v>
      </c>
      <c r="AG11" s="71">
        <v>3</v>
      </c>
      <c r="AH11" s="71">
        <v>1</v>
      </c>
      <c r="AI11" s="71">
        <v>0</v>
      </c>
      <c r="AJ11" s="71">
        <v>0</v>
      </c>
      <c r="AK11" s="71">
        <v>0</v>
      </c>
      <c r="AL11" s="71">
        <v>2</v>
      </c>
      <c r="AM11" s="71"/>
      <c r="AN11" s="71"/>
      <c r="AO11" s="71"/>
      <c r="AP11" s="71"/>
    </row>
    <row r="12" spans="1:42" ht="13.5" thickBot="1">
      <c r="A12" s="97"/>
      <c r="B12" s="101"/>
      <c r="C12" s="101"/>
      <c r="D12" s="101"/>
      <c r="E12" s="101"/>
      <c r="F12" s="101"/>
      <c r="G12" s="101"/>
      <c r="H12" s="109" t="e">
        <v>#N/A</v>
      </c>
      <c r="I12" s="130" t="e">
        <v>#N/A</v>
      </c>
      <c r="J12" s="102" t="e">
        <v>#N/A</v>
      </c>
      <c r="K12" s="109" t="e">
        <v>#N/A</v>
      </c>
      <c r="L12" s="178"/>
      <c r="M12" s="98"/>
      <c r="N12" s="98"/>
      <c r="O12" s="98"/>
      <c r="P12" s="109"/>
      <c r="Q12" s="130" t="e">
        <v>#N/A</v>
      </c>
      <c r="R12" s="102" t="e">
        <v>#N/A</v>
      </c>
      <c r="S12" s="109" t="e">
        <v>#N/A</v>
      </c>
      <c r="T12" s="109" t="e">
        <v>#N/A</v>
      </c>
      <c r="X12" s="65" t="s">
        <v>364</v>
      </c>
      <c r="Y12" s="70">
        <v>10</v>
      </c>
      <c r="Z12" s="70">
        <v>12</v>
      </c>
      <c r="AA12" s="70">
        <v>9</v>
      </c>
      <c r="AB12" s="70">
        <v>6</v>
      </c>
      <c r="AC12" s="70">
        <v>8</v>
      </c>
      <c r="AD12" s="70">
        <v>7</v>
      </c>
      <c r="AE12" s="70">
        <v>7</v>
      </c>
      <c r="AF12" s="70">
        <v>7</v>
      </c>
      <c r="AG12" s="70">
        <v>8</v>
      </c>
      <c r="AH12" s="70">
        <v>5</v>
      </c>
      <c r="AI12" s="70">
        <v>5</v>
      </c>
      <c r="AJ12" s="70">
        <v>6</v>
      </c>
      <c r="AK12" s="70">
        <v>10</v>
      </c>
      <c r="AL12" s="70">
        <v>3</v>
      </c>
      <c r="AM12" s="70"/>
      <c r="AN12" s="70"/>
      <c r="AO12" s="70"/>
      <c r="AP12" s="70"/>
    </row>
    <row r="13" spans="1:42">
      <c r="A13" s="96" t="s">
        <v>352</v>
      </c>
      <c r="B13" s="103">
        <v>1</v>
      </c>
      <c r="C13" s="103">
        <v>12</v>
      </c>
      <c r="D13" s="103">
        <v>0</v>
      </c>
      <c r="E13" s="103"/>
      <c r="F13" s="103"/>
      <c r="G13" s="103"/>
      <c r="H13" s="135">
        <f>SUM(B13:G14)</f>
        <v>31</v>
      </c>
      <c r="I13" s="134" t="e">
        <v>#N/A</v>
      </c>
      <c r="J13" s="104" t="e">
        <v>#N/A</v>
      </c>
      <c r="K13" s="135" t="e">
        <v>#N/A</v>
      </c>
      <c r="L13" s="50">
        <v>20</v>
      </c>
      <c r="M13" s="50">
        <v>1</v>
      </c>
      <c r="N13" s="50">
        <v>4</v>
      </c>
      <c r="O13" s="50"/>
      <c r="P13" s="107">
        <v>8</v>
      </c>
      <c r="Q13" s="31">
        <f>L13+M13</f>
        <v>21</v>
      </c>
      <c r="R13" s="115">
        <f>N13+O13+P13</f>
        <v>12</v>
      </c>
      <c r="S13" s="107">
        <f>Q13-R13</f>
        <v>9</v>
      </c>
      <c r="T13" s="109" t="e">
        <v>#N/A</v>
      </c>
      <c r="X13" s="65" t="s">
        <v>365</v>
      </c>
      <c r="Y13" s="67">
        <v>12</v>
      </c>
      <c r="Z13" s="67">
        <v>9</v>
      </c>
      <c r="AA13" s="67">
        <v>10</v>
      </c>
      <c r="AB13" s="67">
        <v>10</v>
      </c>
      <c r="AC13" s="67">
        <v>13</v>
      </c>
      <c r="AD13" s="67">
        <v>13</v>
      </c>
      <c r="AE13" s="67">
        <v>10</v>
      </c>
      <c r="AF13" s="67">
        <v>7</v>
      </c>
      <c r="AG13" s="67">
        <v>10</v>
      </c>
      <c r="AH13" s="67">
        <v>8</v>
      </c>
      <c r="AI13" s="67">
        <v>7</v>
      </c>
      <c r="AJ13" s="67">
        <v>4</v>
      </c>
      <c r="AK13" s="67">
        <v>5</v>
      </c>
      <c r="AL13" s="67">
        <v>11</v>
      </c>
      <c r="AM13" s="67"/>
      <c r="AN13" s="67"/>
      <c r="AO13" s="67"/>
      <c r="AP13" s="67"/>
    </row>
    <row r="14" spans="1:42" ht="13.5" thickBot="1">
      <c r="A14" s="99"/>
      <c r="B14" s="105"/>
      <c r="C14" s="105"/>
      <c r="D14" s="105"/>
      <c r="E14" s="105">
        <v>5</v>
      </c>
      <c r="F14" s="105">
        <v>10</v>
      </c>
      <c r="G14" s="105">
        <v>3</v>
      </c>
      <c r="H14" s="108" t="e">
        <v>#N/A</v>
      </c>
      <c r="I14" s="131" t="e">
        <v>#N/A</v>
      </c>
      <c r="J14" s="106" t="e">
        <v>#N/A</v>
      </c>
      <c r="K14" s="108" t="e">
        <v>#N/A</v>
      </c>
      <c r="L14" s="180"/>
      <c r="M14" s="106"/>
      <c r="N14" s="106"/>
      <c r="O14" s="106"/>
      <c r="P14" s="108"/>
      <c r="Q14" s="131" t="e">
        <v>#N/A</v>
      </c>
      <c r="R14" s="106" t="e">
        <v>#N/A</v>
      </c>
      <c r="S14" s="108" t="e">
        <v>#N/A</v>
      </c>
      <c r="T14" s="108" t="e">
        <v>#N/A</v>
      </c>
      <c r="X14" s="61" t="s">
        <v>366</v>
      </c>
      <c r="Y14" s="57">
        <v>11</v>
      </c>
      <c r="Z14" s="57">
        <v>12</v>
      </c>
      <c r="AA14" s="57">
        <v>11</v>
      </c>
      <c r="AB14" s="57">
        <v>11</v>
      </c>
      <c r="AC14" s="57">
        <v>12</v>
      </c>
      <c r="AD14" s="57">
        <v>11</v>
      </c>
      <c r="AE14" s="57">
        <v>13</v>
      </c>
      <c r="AF14" s="57">
        <v>13</v>
      </c>
      <c r="AG14" s="57">
        <v>12</v>
      </c>
      <c r="AH14" s="57">
        <v>14</v>
      </c>
      <c r="AI14" s="57">
        <v>15</v>
      </c>
      <c r="AJ14" s="57">
        <v>19</v>
      </c>
      <c r="AK14" s="57">
        <v>18</v>
      </c>
      <c r="AL14" s="57">
        <v>17</v>
      </c>
      <c r="AM14" s="57"/>
      <c r="AN14" s="57"/>
      <c r="AO14" s="57"/>
      <c r="AP14" s="57"/>
    </row>
    <row r="15" spans="1:42" ht="13.5" thickBot="1">
      <c r="A15" s="97"/>
      <c r="B15" s="101"/>
      <c r="C15" s="101"/>
      <c r="D15" s="101"/>
      <c r="E15" s="101"/>
      <c r="F15" s="101"/>
      <c r="G15" s="101"/>
      <c r="H15" s="109" t="e">
        <v>#N/A</v>
      </c>
      <c r="I15" s="130" t="e">
        <v>#N/A</v>
      </c>
      <c r="J15" s="102" t="e">
        <v>#N/A</v>
      </c>
      <c r="K15" s="109" t="e">
        <v>#N/A</v>
      </c>
      <c r="L15" s="181"/>
      <c r="M15" s="102"/>
      <c r="N15" s="102"/>
      <c r="O15" s="102"/>
      <c r="P15" s="109"/>
      <c r="Q15" s="130" t="e">
        <v>#N/A</v>
      </c>
      <c r="R15" s="102" t="e">
        <v>#N/A</v>
      </c>
      <c r="S15" s="109" t="e">
        <v>#N/A</v>
      </c>
      <c r="T15" s="109" t="e">
        <v>#N/A</v>
      </c>
      <c r="X15" s="53"/>
      <c r="Y15" s="53"/>
      <c r="Z15" s="53"/>
      <c r="AA15" s="53"/>
      <c r="AB15" s="53"/>
      <c r="AC15" s="53"/>
      <c r="AD15" s="53"/>
      <c r="AE15" s="53"/>
      <c r="AF15" s="53"/>
      <c r="AG15" s="53"/>
      <c r="AH15" s="53"/>
      <c r="AI15" s="53"/>
      <c r="AJ15" s="53"/>
      <c r="AK15" s="53"/>
      <c r="AL15" s="53"/>
      <c r="AM15" s="53"/>
      <c r="AN15" s="53"/>
      <c r="AO15" s="53"/>
      <c r="AP15" s="53"/>
    </row>
    <row r="16" spans="1:42" ht="15.75" thickBot="1">
      <c r="A16" s="96" t="s">
        <v>351</v>
      </c>
      <c r="B16" s="103">
        <v>2</v>
      </c>
      <c r="C16" s="103">
        <v>17</v>
      </c>
      <c r="D16" s="103">
        <v>0</v>
      </c>
      <c r="E16" s="103"/>
      <c r="F16" s="103"/>
      <c r="G16" s="103"/>
      <c r="H16" s="135">
        <f>SUM(B16:G17)</f>
        <v>40</v>
      </c>
      <c r="I16" s="134" t="e">
        <v>#N/A</v>
      </c>
      <c r="J16" s="104" t="e">
        <v>#N/A</v>
      </c>
      <c r="K16" s="135" t="e">
        <v>#N/A</v>
      </c>
      <c r="L16" s="50">
        <v>2</v>
      </c>
      <c r="M16" s="50">
        <v>1</v>
      </c>
      <c r="N16" s="50">
        <v>6</v>
      </c>
      <c r="O16" s="50"/>
      <c r="P16" s="107">
        <v>3</v>
      </c>
      <c r="Q16" s="31">
        <f>L16+M16</f>
        <v>3</v>
      </c>
      <c r="R16" s="115">
        <f>N16+O16+P16</f>
        <v>9</v>
      </c>
      <c r="S16" s="107">
        <f>Q16-R16</f>
        <v>-6</v>
      </c>
      <c r="T16" s="109" t="e">
        <v>#N/A</v>
      </c>
      <c r="X16" s="72" t="s">
        <v>305</v>
      </c>
      <c r="Y16" s="58">
        <f>Y6</f>
        <v>17</v>
      </c>
      <c r="Z16" s="58">
        <f t="shared" ref="Z16:AM16" si="3">Y16+Y22</f>
        <v>19</v>
      </c>
      <c r="AA16" s="58">
        <f t="shared" si="3"/>
        <v>16</v>
      </c>
      <c r="AB16" s="58">
        <f t="shared" si="3"/>
        <v>13</v>
      </c>
      <c r="AC16" s="58">
        <f t="shared" si="3"/>
        <v>19</v>
      </c>
      <c r="AD16" s="58">
        <f t="shared" si="3"/>
        <v>17</v>
      </c>
      <c r="AE16" s="58">
        <f t="shared" si="3"/>
        <v>16</v>
      </c>
      <c r="AF16" s="58">
        <f t="shared" si="3"/>
        <v>15</v>
      </c>
      <c r="AG16" s="58">
        <f t="shared" si="3"/>
        <v>14</v>
      </c>
      <c r="AH16" s="58">
        <f t="shared" si="3"/>
        <v>14</v>
      </c>
      <c r="AI16" s="58">
        <f t="shared" si="3"/>
        <v>15</v>
      </c>
      <c r="AJ16" s="58">
        <f t="shared" si="3"/>
        <v>20</v>
      </c>
      <c r="AK16" s="58">
        <f t="shared" si="3"/>
        <v>20</v>
      </c>
      <c r="AL16" s="58">
        <f t="shared" si="3"/>
        <v>16</v>
      </c>
      <c r="AM16" s="58">
        <f t="shared" si="3"/>
        <v>14</v>
      </c>
      <c r="AN16" s="58"/>
      <c r="AO16" s="58"/>
      <c r="AP16" s="58">
        <v>13</v>
      </c>
    </row>
    <row r="17" spans="1:42" ht="15.75" thickBot="1">
      <c r="A17" s="99"/>
      <c r="B17" s="105"/>
      <c r="C17" s="105"/>
      <c r="D17" s="105"/>
      <c r="E17" s="105">
        <v>6</v>
      </c>
      <c r="F17" s="105">
        <v>12</v>
      </c>
      <c r="G17" s="105">
        <v>3</v>
      </c>
      <c r="H17" s="108" t="e">
        <v>#N/A</v>
      </c>
      <c r="I17" s="131" t="e">
        <v>#N/A</v>
      </c>
      <c r="J17" s="106" t="e">
        <v>#N/A</v>
      </c>
      <c r="K17" s="108" t="e">
        <v>#N/A</v>
      </c>
      <c r="L17" s="180"/>
      <c r="M17" s="106"/>
      <c r="N17" s="106"/>
      <c r="O17" s="106"/>
      <c r="P17" s="108"/>
      <c r="Q17" s="131" t="e">
        <v>#N/A</v>
      </c>
      <c r="R17" s="106" t="e">
        <v>#N/A</v>
      </c>
      <c r="S17" s="108" t="e">
        <v>#N/A</v>
      </c>
      <c r="T17" s="108" t="e">
        <v>#N/A</v>
      </c>
      <c r="X17" s="72" t="s">
        <v>367</v>
      </c>
      <c r="Y17" s="73"/>
      <c r="Z17" s="74"/>
      <c r="AA17" s="73"/>
      <c r="AB17" s="73"/>
      <c r="AC17" s="73"/>
      <c r="AD17" s="73"/>
      <c r="AE17" s="73"/>
      <c r="AF17" s="73"/>
      <c r="AG17" s="73"/>
      <c r="AH17" s="73"/>
      <c r="AI17" s="73"/>
      <c r="AJ17" s="73"/>
      <c r="AK17" s="73"/>
      <c r="AL17" s="73"/>
      <c r="AM17" s="73"/>
      <c r="AN17" s="73"/>
      <c r="AO17" s="73"/>
      <c r="AP17" s="73"/>
    </row>
    <row r="18" spans="1:42" ht="13.5" thickBot="1">
      <c r="A18" s="97"/>
      <c r="B18" s="101"/>
      <c r="C18" s="101"/>
      <c r="D18" s="101"/>
      <c r="E18" s="101"/>
      <c r="F18" s="101"/>
      <c r="G18" s="101"/>
      <c r="H18" s="109" t="e">
        <v>#N/A</v>
      </c>
      <c r="I18" s="130" t="e">
        <v>#N/A</v>
      </c>
      <c r="J18" s="102" t="e">
        <v>#N/A</v>
      </c>
      <c r="K18" s="109" t="e">
        <v>#N/A</v>
      </c>
      <c r="L18" s="181"/>
      <c r="M18" s="102"/>
      <c r="N18" s="102"/>
      <c r="O18" s="102"/>
      <c r="P18" s="109"/>
      <c r="Q18" s="130" t="e">
        <v>#N/A</v>
      </c>
      <c r="R18" s="102" t="e">
        <v>#N/A</v>
      </c>
      <c r="S18" s="109" t="e">
        <v>#N/A</v>
      </c>
      <c r="T18" s="109" t="e">
        <v>#N/A</v>
      </c>
      <c r="X18" s="63" t="s">
        <v>256</v>
      </c>
      <c r="Y18" s="60">
        <v>-2</v>
      </c>
      <c r="Z18" s="60">
        <v>-4</v>
      </c>
      <c r="AA18" s="60">
        <v>0</v>
      </c>
      <c r="AB18" s="60">
        <v>-3</v>
      </c>
      <c r="AC18" s="60">
        <v>-1</v>
      </c>
      <c r="AD18" s="60">
        <v>-4</v>
      </c>
      <c r="AE18" s="60">
        <v>0</v>
      </c>
      <c r="AF18" s="60">
        <v>-2</v>
      </c>
      <c r="AG18" s="60">
        <v>-3</v>
      </c>
      <c r="AH18" s="60">
        <v>-2</v>
      </c>
      <c r="AI18" s="60">
        <v>-2</v>
      </c>
      <c r="AJ18" s="60">
        <v>-4</v>
      </c>
      <c r="AK18" s="60">
        <v>-3</v>
      </c>
      <c r="AL18" s="60">
        <v>-1</v>
      </c>
      <c r="AM18" s="60"/>
      <c r="AN18" s="60"/>
      <c r="AO18" s="60">
        <v>-4</v>
      </c>
      <c r="AP18" s="60">
        <v>-7</v>
      </c>
    </row>
    <row r="19" spans="1:42">
      <c r="A19" s="96" t="s">
        <v>317</v>
      </c>
      <c r="B19" s="103">
        <v>2</v>
      </c>
      <c r="C19" s="103">
        <v>15</v>
      </c>
      <c r="D19" s="103">
        <v>0</v>
      </c>
      <c r="E19" s="103"/>
      <c r="F19" s="103"/>
      <c r="G19" s="103"/>
      <c r="H19" s="135">
        <f>SUM(B19:G20)</f>
        <v>34</v>
      </c>
      <c r="I19" s="134" t="e">
        <v>#N/A</v>
      </c>
      <c r="J19" s="104" t="e">
        <v>#N/A</v>
      </c>
      <c r="K19" s="135" t="e">
        <v>#N/A</v>
      </c>
      <c r="L19" s="50">
        <v>14</v>
      </c>
      <c r="M19" s="50">
        <v>6</v>
      </c>
      <c r="N19" s="50">
        <v>10</v>
      </c>
      <c r="O19" s="50"/>
      <c r="P19" s="107">
        <v>8</v>
      </c>
      <c r="Q19" s="31">
        <f>L19+M19</f>
        <v>20</v>
      </c>
      <c r="R19" s="115">
        <f>N19+O19+P19</f>
        <v>18</v>
      </c>
      <c r="S19" s="107">
        <f>Q19-R19</f>
        <v>2</v>
      </c>
      <c r="T19" s="109" t="e">
        <v>#N/A</v>
      </c>
      <c r="X19" s="65" t="s">
        <v>255</v>
      </c>
      <c r="Y19" s="67">
        <v>-4</v>
      </c>
      <c r="Z19" s="67">
        <v>-5</v>
      </c>
      <c r="AA19" s="67">
        <v>-4</v>
      </c>
      <c r="AB19" s="67">
        <v>-3</v>
      </c>
      <c r="AC19" s="67">
        <v>-2</v>
      </c>
      <c r="AD19" s="67">
        <v>-4</v>
      </c>
      <c r="AE19" s="67">
        <v>-3</v>
      </c>
      <c r="AF19" s="67">
        <v>0</v>
      </c>
      <c r="AG19" s="67">
        <v>0</v>
      </c>
      <c r="AH19" s="67">
        <v>-2</v>
      </c>
      <c r="AI19" s="67">
        <v>-3</v>
      </c>
      <c r="AJ19" s="67">
        <v>-1</v>
      </c>
      <c r="AK19" s="67">
        <v>-6</v>
      </c>
      <c r="AL19" s="67">
        <v>-1</v>
      </c>
      <c r="AM19" s="67"/>
      <c r="AN19" s="67"/>
      <c r="AO19" s="67">
        <v>0</v>
      </c>
      <c r="AP19" s="67">
        <v>-12</v>
      </c>
    </row>
    <row r="20" spans="1:42" ht="13.5" thickBot="1">
      <c r="A20" s="99"/>
      <c r="B20" s="105"/>
      <c r="C20" s="105"/>
      <c r="D20" s="105"/>
      <c r="E20" s="105">
        <v>6</v>
      </c>
      <c r="F20" s="105">
        <v>8</v>
      </c>
      <c r="G20" s="105">
        <v>3</v>
      </c>
      <c r="H20" s="108" t="e">
        <v>#N/A</v>
      </c>
      <c r="I20" s="131" t="e">
        <v>#N/A</v>
      </c>
      <c r="J20" s="106" t="e">
        <v>#N/A</v>
      </c>
      <c r="K20" s="108" t="e">
        <v>#N/A</v>
      </c>
      <c r="L20" s="180"/>
      <c r="M20" s="106"/>
      <c r="N20" s="106"/>
      <c r="O20" s="106"/>
      <c r="P20" s="108"/>
      <c r="Q20" s="131" t="e">
        <v>#N/A</v>
      </c>
      <c r="R20" s="106" t="e">
        <v>#N/A</v>
      </c>
      <c r="S20" s="108" t="e">
        <v>#N/A</v>
      </c>
      <c r="T20" s="108" t="e">
        <v>#N/A</v>
      </c>
      <c r="X20" s="65" t="s">
        <v>368</v>
      </c>
      <c r="Y20" s="66">
        <v>4</v>
      </c>
      <c r="Z20" s="66">
        <v>0</v>
      </c>
      <c r="AA20" s="66">
        <v>1</v>
      </c>
      <c r="AB20" s="66">
        <v>1</v>
      </c>
      <c r="AC20" s="66">
        <v>1</v>
      </c>
      <c r="AD20" s="66">
        <v>5</v>
      </c>
      <c r="AE20" s="66">
        <v>1</v>
      </c>
      <c r="AF20" s="67">
        <v>1</v>
      </c>
      <c r="AG20" s="67">
        <v>0</v>
      </c>
      <c r="AH20" s="67">
        <v>1</v>
      </c>
      <c r="AI20" s="67">
        <v>1</v>
      </c>
      <c r="AJ20" s="67">
        <v>0</v>
      </c>
      <c r="AK20" s="67">
        <v>2</v>
      </c>
      <c r="AL20" s="67"/>
      <c r="AM20" s="67"/>
      <c r="AN20" s="67"/>
      <c r="AO20" s="67"/>
      <c r="AP20" s="67">
        <v>0</v>
      </c>
    </row>
    <row r="21" spans="1:42" ht="13.5" thickBot="1">
      <c r="A21" s="97"/>
      <c r="B21" s="101"/>
      <c r="C21" s="101"/>
      <c r="D21" s="101"/>
      <c r="E21" s="101"/>
      <c r="F21" s="101"/>
      <c r="G21" s="101"/>
      <c r="H21" s="109" t="e">
        <v>#N/A</v>
      </c>
      <c r="I21" s="130" t="e">
        <v>#N/A</v>
      </c>
      <c r="J21" s="102" t="e">
        <v>#N/A</v>
      </c>
      <c r="K21" s="109" t="e">
        <v>#N/A</v>
      </c>
      <c r="L21" s="181"/>
      <c r="M21" s="102"/>
      <c r="N21" s="102"/>
      <c r="O21" s="102"/>
      <c r="P21" s="109"/>
      <c r="Q21" s="130" t="e">
        <v>#N/A</v>
      </c>
      <c r="R21" s="102" t="e">
        <v>#N/A</v>
      </c>
      <c r="S21" s="109" t="e">
        <v>#N/A</v>
      </c>
      <c r="T21" s="109" t="e">
        <v>#N/A</v>
      </c>
      <c r="X21" s="68" t="s">
        <v>254</v>
      </c>
      <c r="Y21" s="69">
        <v>4</v>
      </c>
      <c r="Z21" s="69">
        <v>6</v>
      </c>
      <c r="AA21" s="69">
        <v>0</v>
      </c>
      <c r="AB21" s="69">
        <v>11</v>
      </c>
      <c r="AC21" s="69">
        <v>0</v>
      </c>
      <c r="AD21" s="69">
        <v>2</v>
      </c>
      <c r="AE21" s="69">
        <v>1</v>
      </c>
      <c r="AF21" s="70">
        <v>0</v>
      </c>
      <c r="AG21" s="70">
        <v>3</v>
      </c>
      <c r="AH21" s="70">
        <v>4</v>
      </c>
      <c r="AI21" s="70">
        <v>9</v>
      </c>
      <c r="AJ21" s="70">
        <v>5</v>
      </c>
      <c r="AK21" s="70">
        <v>3</v>
      </c>
      <c r="AL21" s="70"/>
      <c r="AM21" s="70"/>
      <c r="AN21" s="70"/>
      <c r="AO21" s="70">
        <v>4</v>
      </c>
      <c r="AP21" s="70">
        <v>13</v>
      </c>
    </row>
    <row r="22" spans="1:42" ht="13.5" thickBot="1">
      <c r="A22" s="96" t="s">
        <v>318</v>
      </c>
      <c r="B22" s="103">
        <v>0</v>
      </c>
      <c r="C22" s="103">
        <v>16</v>
      </c>
      <c r="D22" s="103">
        <v>0</v>
      </c>
      <c r="E22" s="103"/>
      <c r="F22" s="103"/>
      <c r="G22" s="103"/>
      <c r="H22" s="135">
        <f>SUM(B22:G23)</f>
        <v>36</v>
      </c>
      <c r="I22" s="134" t="e">
        <v>#N/A</v>
      </c>
      <c r="J22" s="104" t="e">
        <v>#N/A</v>
      </c>
      <c r="K22" s="135" t="e">
        <v>#N/A</v>
      </c>
      <c r="L22" s="50">
        <v>7</v>
      </c>
      <c r="M22" s="50">
        <v>3</v>
      </c>
      <c r="N22" s="50">
        <v>8</v>
      </c>
      <c r="O22" s="50"/>
      <c r="P22" s="107">
        <v>8</v>
      </c>
      <c r="Q22" s="31">
        <f>L22+M22</f>
        <v>10</v>
      </c>
      <c r="R22" s="115">
        <f>N22+O22+P22</f>
        <v>16</v>
      </c>
      <c r="S22" s="107">
        <f>Q22-R22</f>
        <v>-6</v>
      </c>
      <c r="T22" s="109" t="e">
        <v>#N/A</v>
      </c>
      <c r="X22" s="54" t="s">
        <v>257</v>
      </c>
      <c r="Y22" s="75">
        <f t="shared" ref="Y22:AL22" si="4">Y21+Y20+Y19+Y18</f>
        <v>2</v>
      </c>
      <c r="Z22" s="75">
        <f t="shared" si="4"/>
        <v>-3</v>
      </c>
      <c r="AA22" s="75">
        <f t="shared" si="4"/>
        <v>-3</v>
      </c>
      <c r="AB22" s="75">
        <f t="shared" si="4"/>
        <v>6</v>
      </c>
      <c r="AC22" s="75">
        <f t="shared" si="4"/>
        <v>-2</v>
      </c>
      <c r="AD22" s="75">
        <f t="shared" si="4"/>
        <v>-1</v>
      </c>
      <c r="AE22" s="75">
        <f t="shared" si="4"/>
        <v>-1</v>
      </c>
      <c r="AF22" s="58">
        <f t="shared" si="4"/>
        <v>-1</v>
      </c>
      <c r="AG22" s="58">
        <f t="shared" si="4"/>
        <v>0</v>
      </c>
      <c r="AH22" s="58">
        <f t="shared" si="4"/>
        <v>1</v>
      </c>
      <c r="AI22" s="58">
        <f t="shared" si="4"/>
        <v>5</v>
      </c>
      <c r="AJ22" s="58">
        <f t="shared" si="4"/>
        <v>0</v>
      </c>
      <c r="AK22" s="58">
        <f t="shared" si="4"/>
        <v>-4</v>
      </c>
      <c r="AL22" s="58">
        <f t="shared" si="4"/>
        <v>-2</v>
      </c>
      <c r="AM22" s="58">
        <v>0</v>
      </c>
      <c r="AN22" s="58">
        <v>0</v>
      </c>
      <c r="AO22" s="58">
        <f>AO21+AO20+AO19+AO18</f>
        <v>0</v>
      </c>
      <c r="AP22" s="58">
        <f>AP21+AP20+AP19+AP18</f>
        <v>-6</v>
      </c>
    </row>
    <row r="23" spans="1:42" ht="13.5" thickBot="1">
      <c r="A23" s="99"/>
      <c r="B23" s="105"/>
      <c r="C23" s="105"/>
      <c r="D23" s="105"/>
      <c r="E23" s="105">
        <v>5</v>
      </c>
      <c r="F23" s="105">
        <v>12</v>
      </c>
      <c r="G23" s="105">
        <v>3</v>
      </c>
      <c r="H23" s="108" t="e">
        <v>#N/A</v>
      </c>
      <c r="I23" s="131" t="e">
        <v>#N/A</v>
      </c>
      <c r="J23" s="106" t="e">
        <v>#N/A</v>
      </c>
      <c r="K23" s="108" t="e">
        <v>#N/A</v>
      </c>
      <c r="L23" s="180"/>
      <c r="M23" s="106"/>
      <c r="N23" s="106"/>
      <c r="O23" s="106"/>
      <c r="P23" s="108"/>
      <c r="Q23" s="131" t="e">
        <v>#N/A</v>
      </c>
      <c r="R23" s="106" t="e">
        <v>#N/A</v>
      </c>
      <c r="S23" s="108" t="e">
        <v>#N/A</v>
      </c>
      <c r="T23" s="108" t="e">
        <v>#N/A</v>
      </c>
      <c r="X23" s="53"/>
      <c r="Y23" s="76"/>
      <c r="Z23" s="76"/>
      <c r="AA23" s="76"/>
      <c r="AB23" s="76"/>
      <c r="AC23" s="76"/>
      <c r="AD23" s="76"/>
      <c r="AE23" s="76"/>
      <c r="AF23" s="53"/>
      <c r="AG23" s="53"/>
      <c r="AH23" s="53"/>
      <c r="AI23" s="53"/>
      <c r="AJ23" s="53"/>
      <c r="AK23" s="53"/>
      <c r="AL23" s="53"/>
      <c r="AM23" s="53"/>
      <c r="AN23" s="53"/>
      <c r="AO23" s="53"/>
      <c r="AP23" s="53"/>
    </row>
    <row r="24" spans="1:42" ht="15.75" thickBot="1">
      <c r="A24" s="97"/>
      <c r="B24" s="101"/>
      <c r="C24" s="101"/>
      <c r="D24" s="101"/>
      <c r="E24" s="101"/>
      <c r="F24" s="101"/>
      <c r="G24" s="101"/>
      <c r="H24" s="109" t="e">
        <v>#N/A</v>
      </c>
      <c r="I24" s="130" t="e">
        <v>#N/A</v>
      </c>
      <c r="J24" s="102" t="e">
        <v>#N/A</v>
      </c>
      <c r="K24" s="109" t="e">
        <v>#N/A</v>
      </c>
      <c r="L24" s="181"/>
      <c r="M24" s="102"/>
      <c r="N24" s="102"/>
      <c r="O24" s="102"/>
      <c r="P24" s="109"/>
      <c r="Q24" s="130" t="e">
        <v>#N/A</v>
      </c>
      <c r="R24" s="102" t="e">
        <v>#N/A</v>
      </c>
      <c r="S24" s="109" t="e">
        <v>#N/A</v>
      </c>
      <c r="T24" s="109" t="e">
        <v>#N/A</v>
      </c>
      <c r="X24" s="77" t="s">
        <v>306</v>
      </c>
      <c r="Y24" s="75">
        <f>Y7</f>
        <v>21</v>
      </c>
      <c r="Z24" s="78">
        <f t="shared" ref="Z24:AO24" si="5">Y24+Y30</f>
        <v>22</v>
      </c>
      <c r="AA24" s="75">
        <f t="shared" si="5"/>
        <v>20</v>
      </c>
      <c r="AB24" s="75">
        <f t="shared" si="5"/>
        <v>18</v>
      </c>
      <c r="AC24" s="75">
        <f t="shared" si="5"/>
        <v>21</v>
      </c>
      <c r="AD24" s="75">
        <f t="shared" si="5"/>
        <v>17</v>
      </c>
      <c r="AE24" s="75">
        <f t="shared" si="5"/>
        <v>20</v>
      </c>
      <c r="AF24" s="75">
        <f t="shared" si="5"/>
        <v>15</v>
      </c>
      <c r="AG24" s="75">
        <f t="shared" si="5"/>
        <v>19</v>
      </c>
      <c r="AH24" s="75">
        <f t="shared" si="5"/>
        <v>14</v>
      </c>
      <c r="AI24" s="75">
        <f t="shared" si="5"/>
        <v>12</v>
      </c>
      <c r="AJ24" s="75">
        <f t="shared" si="5"/>
        <v>9</v>
      </c>
      <c r="AK24" s="75">
        <f t="shared" si="5"/>
        <v>13</v>
      </c>
      <c r="AL24" s="75">
        <f t="shared" si="5"/>
        <v>17</v>
      </c>
      <c r="AM24" s="75">
        <f t="shared" si="5"/>
        <v>16</v>
      </c>
      <c r="AN24" s="75">
        <f t="shared" si="5"/>
        <v>16</v>
      </c>
      <c r="AO24" s="75">
        <f t="shared" si="5"/>
        <v>21</v>
      </c>
      <c r="AP24" s="75"/>
    </row>
    <row r="25" spans="1:42" ht="15.75" thickBot="1">
      <c r="A25" s="96" t="s">
        <v>319</v>
      </c>
      <c r="B25" s="103">
        <v>0</v>
      </c>
      <c r="C25" s="103">
        <v>15</v>
      </c>
      <c r="D25" s="103">
        <v>0</v>
      </c>
      <c r="E25" s="103"/>
      <c r="F25" s="103"/>
      <c r="G25" s="103"/>
      <c r="H25" s="135">
        <f>SUM(B25:G26)</f>
        <v>30</v>
      </c>
      <c r="I25" s="134" t="e">
        <v>#N/A</v>
      </c>
      <c r="J25" s="104" t="e">
        <v>#N/A</v>
      </c>
      <c r="K25" s="135" t="e">
        <v>#N/A</v>
      </c>
      <c r="L25" s="50">
        <v>8</v>
      </c>
      <c r="M25" s="50">
        <v>4</v>
      </c>
      <c r="N25" s="50">
        <v>2</v>
      </c>
      <c r="O25" s="50"/>
      <c r="P25" s="107">
        <v>7</v>
      </c>
      <c r="Q25" s="31">
        <f>L25+M25</f>
        <v>12</v>
      </c>
      <c r="R25" s="115">
        <f>N25+O25+P25</f>
        <v>9</v>
      </c>
      <c r="S25" s="107">
        <f>Q25-R25</f>
        <v>3</v>
      </c>
      <c r="T25" s="109" t="e">
        <v>#N/A</v>
      </c>
      <c r="X25" s="72" t="s">
        <v>367</v>
      </c>
      <c r="Y25" s="73"/>
      <c r="Z25" s="74"/>
      <c r="AA25" s="73"/>
      <c r="AB25" s="73"/>
      <c r="AC25" s="73"/>
      <c r="AD25" s="73"/>
      <c r="AE25" s="73"/>
      <c r="AF25" s="73"/>
      <c r="AG25" s="73"/>
      <c r="AH25" s="73"/>
      <c r="AI25" s="73"/>
      <c r="AJ25" s="73"/>
      <c r="AK25" s="73"/>
      <c r="AL25" s="73"/>
      <c r="AM25" s="73"/>
      <c r="AN25" s="73"/>
      <c r="AO25" s="73"/>
      <c r="AP25" s="73">
        <v>5</v>
      </c>
    </row>
    <row r="26" spans="1:42" ht="13.5" thickBot="1">
      <c r="A26" s="99"/>
      <c r="B26" s="105"/>
      <c r="C26" s="105"/>
      <c r="D26" s="105"/>
      <c r="E26" s="105">
        <v>2</v>
      </c>
      <c r="F26" s="105">
        <v>11</v>
      </c>
      <c r="G26" s="105">
        <v>2</v>
      </c>
      <c r="H26" s="108" t="e">
        <v>#N/A</v>
      </c>
      <c r="I26" s="131" t="e">
        <v>#N/A</v>
      </c>
      <c r="J26" s="106" t="e">
        <v>#N/A</v>
      </c>
      <c r="K26" s="108" t="e">
        <v>#N/A</v>
      </c>
      <c r="L26" s="180"/>
      <c r="M26" s="106"/>
      <c r="N26" s="106"/>
      <c r="O26" s="106"/>
      <c r="P26" s="108"/>
      <c r="Q26" s="131" t="e">
        <v>#N/A</v>
      </c>
      <c r="R26" s="106" t="e">
        <v>#N/A</v>
      </c>
      <c r="S26" s="108" t="e">
        <v>#N/A</v>
      </c>
      <c r="T26" s="108" t="e">
        <v>#N/A</v>
      </c>
      <c r="X26" s="79" t="s">
        <v>256</v>
      </c>
      <c r="Y26" s="60">
        <v>-4</v>
      </c>
      <c r="Z26" s="80">
        <v>-4</v>
      </c>
      <c r="AA26" s="60">
        <v>-6</v>
      </c>
      <c r="AB26" s="60">
        <v>-5</v>
      </c>
      <c r="AC26" s="60">
        <v>-2</v>
      </c>
      <c r="AD26" s="60">
        <v>-4</v>
      </c>
      <c r="AE26" s="60">
        <v>-8</v>
      </c>
      <c r="AF26" s="60">
        <v>-5</v>
      </c>
      <c r="AG26" s="60">
        <v>-6</v>
      </c>
      <c r="AH26" s="60">
        <v>-5</v>
      </c>
      <c r="AI26" s="60">
        <v>-3</v>
      </c>
      <c r="AJ26" s="60">
        <v>0</v>
      </c>
      <c r="AK26" s="60">
        <v>-2</v>
      </c>
      <c r="AL26" s="60">
        <v>-2</v>
      </c>
      <c r="AM26" s="60"/>
      <c r="AN26" s="60">
        <v>-2</v>
      </c>
      <c r="AO26" s="60">
        <v>-6</v>
      </c>
      <c r="AP26" s="60">
        <v>-8</v>
      </c>
    </row>
    <row r="27" spans="1:42" ht="13.5" thickBot="1">
      <c r="A27" s="97"/>
      <c r="B27" s="101"/>
      <c r="C27" s="101"/>
      <c r="D27" s="101"/>
      <c r="E27" s="101"/>
      <c r="F27" s="101"/>
      <c r="G27" s="101"/>
      <c r="H27" s="109" t="e">
        <v>#N/A</v>
      </c>
      <c r="I27" s="130" t="e">
        <v>#N/A</v>
      </c>
      <c r="J27" s="102" t="e">
        <v>#N/A</v>
      </c>
      <c r="K27" s="109" t="e">
        <v>#N/A</v>
      </c>
      <c r="L27" s="181"/>
      <c r="M27" s="102"/>
      <c r="N27" s="102"/>
      <c r="O27" s="102"/>
      <c r="P27" s="109"/>
      <c r="Q27" s="130" t="e">
        <v>#N/A</v>
      </c>
      <c r="R27" s="102" t="e">
        <v>#N/A</v>
      </c>
      <c r="S27" s="109" t="e">
        <v>#N/A</v>
      </c>
      <c r="T27" s="109" t="e">
        <v>#N/A</v>
      </c>
      <c r="X27" s="81" t="s">
        <v>255</v>
      </c>
      <c r="Y27" s="67">
        <v>-1</v>
      </c>
      <c r="Z27" s="82">
        <v>-2</v>
      </c>
      <c r="AA27" s="67">
        <v>-4</v>
      </c>
      <c r="AB27" s="67">
        <v>-1</v>
      </c>
      <c r="AC27" s="67">
        <v>-4</v>
      </c>
      <c r="AD27" s="67">
        <v>-6</v>
      </c>
      <c r="AE27" s="67">
        <v>-5</v>
      </c>
      <c r="AF27" s="67">
        <v>-2</v>
      </c>
      <c r="AG27" s="67">
        <v>-4</v>
      </c>
      <c r="AH27" s="67">
        <v>-2</v>
      </c>
      <c r="AI27" s="67">
        <v>-4</v>
      </c>
      <c r="AJ27" s="67">
        <v>-1</v>
      </c>
      <c r="AK27" s="67">
        <v>-1</v>
      </c>
      <c r="AL27" s="67"/>
      <c r="AM27" s="67"/>
      <c r="AN27" s="67">
        <v>0</v>
      </c>
      <c r="AO27" s="67">
        <v>-5</v>
      </c>
      <c r="AP27" s="67">
        <v>-8</v>
      </c>
    </row>
    <row r="28" spans="1:42">
      <c r="A28" s="96" t="s">
        <v>320</v>
      </c>
      <c r="B28" s="103">
        <v>0</v>
      </c>
      <c r="C28" s="103">
        <v>14</v>
      </c>
      <c r="D28" s="103">
        <v>0</v>
      </c>
      <c r="E28" s="103"/>
      <c r="F28" s="103"/>
      <c r="G28" s="103"/>
      <c r="H28" s="135">
        <f>SUM(B28:G29)</f>
        <v>33</v>
      </c>
      <c r="I28" s="134" t="e">
        <v>#N/A</v>
      </c>
      <c r="J28" s="104" t="e">
        <v>#N/A</v>
      </c>
      <c r="K28" s="135" t="e">
        <v>#N/A</v>
      </c>
      <c r="L28" s="50">
        <v>7</v>
      </c>
      <c r="M28" s="50">
        <v>1</v>
      </c>
      <c r="N28" s="50">
        <v>4</v>
      </c>
      <c r="O28" s="50"/>
      <c r="P28" s="107">
        <v>9</v>
      </c>
      <c r="Q28" s="31">
        <f>L28+M28</f>
        <v>8</v>
      </c>
      <c r="R28" s="115">
        <f>N28+O28+P28</f>
        <v>13</v>
      </c>
      <c r="S28" s="107">
        <f>Q28-R28</f>
        <v>-5</v>
      </c>
      <c r="T28" s="109" t="e">
        <v>#N/A</v>
      </c>
      <c r="X28" s="81" t="s">
        <v>368</v>
      </c>
      <c r="Y28" s="69">
        <v>3</v>
      </c>
      <c r="Z28" s="83">
        <v>0</v>
      </c>
      <c r="AA28" s="66">
        <v>2</v>
      </c>
      <c r="AB28" s="66">
        <v>0</v>
      </c>
      <c r="AC28" s="66">
        <v>0</v>
      </c>
      <c r="AD28" s="66">
        <v>1</v>
      </c>
      <c r="AE28" s="66">
        <v>2</v>
      </c>
      <c r="AF28" s="67">
        <v>3</v>
      </c>
      <c r="AG28" s="67">
        <v>1</v>
      </c>
      <c r="AH28" s="67">
        <v>1</v>
      </c>
      <c r="AI28" s="67">
        <v>2</v>
      </c>
      <c r="AJ28" s="67">
        <v>0</v>
      </c>
      <c r="AK28" s="67">
        <v>1</v>
      </c>
      <c r="AL28" s="67">
        <v>1</v>
      </c>
      <c r="AM28" s="67"/>
      <c r="AN28" s="67">
        <v>0</v>
      </c>
      <c r="AO28" s="67">
        <v>0</v>
      </c>
      <c r="AP28" s="67">
        <v>0</v>
      </c>
    </row>
    <row r="29" spans="1:42" ht="13.5" thickBot="1">
      <c r="A29" s="99"/>
      <c r="B29" s="105"/>
      <c r="C29" s="105"/>
      <c r="D29" s="105"/>
      <c r="E29" s="105">
        <v>4</v>
      </c>
      <c r="F29" s="105">
        <v>13</v>
      </c>
      <c r="G29" s="105">
        <v>2</v>
      </c>
      <c r="H29" s="108" t="e">
        <v>#N/A</v>
      </c>
      <c r="I29" s="131" t="e">
        <v>#N/A</v>
      </c>
      <c r="J29" s="106" t="e">
        <v>#N/A</v>
      </c>
      <c r="K29" s="108" t="e">
        <v>#N/A</v>
      </c>
      <c r="L29" s="180"/>
      <c r="M29" s="106"/>
      <c r="N29" s="106"/>
      <c r="O29" s="106"/>
      <c r="P29" s="108"/>
      <c r="Q29" s="131" t="e">
        <v>#N/A</v>
      </c>
      <c r="R29" s="106" t="e">
        <v>#N/A</v>
      </c>
      <c r="S29" s="108" t="e">
        <v>#N/A</v>
      </c>
      <c r="T29" s="108" t="e">
        <v>#N/A</v>
      </c>
      <c r="X29" s="84" t="s">
        <v>254</v>
      </c>
      <c r="Y29" s="69">
        <v>3</v>
      </c>
      <c r="Z29" s="85">
        <v>4</v>
      </c>
      <c r="AA29" s="69">
        <v>6</v>
      </c>
      <c r="AB29" s="69">
        <v>9</v>
      </c>
      <c r="AC29" s="69">
        <v>2</v>
      </c>
      <c r="AD29" s="69">
        <v>12</v>
      </c>
      <c r="AE29" s="69">
        <v>6</v>
      </c>
      <c r="AF29" s="70">
        <v>8</v>
      </c>
      <c r="AG29" s="70">
        <v>4</v>
      </c>
      <c r="AH29" s="70">
        <v>4</v>
      </c>
      <c r="AI29" s="70">
        <v>2</v>
      </c>
      <c r="AJ29" s="70">
        <v>5</v>
      </c>
      <c r="AK29" s="70">
        <v>6</v>
      </c>
      <c r="AL29" s="70"/>
      <c r="AM29" s="70"/>
      <c r="AN29" s="70">
        <v>7</v>
      </c>
      <c r="AO29" s="70">
        <v>5</v>
      </c>
      <c r="AP29" s="70">
        <v>13</v>
      </c>
    </row>
    <row r="30" spans="1:42" ht="13.5" thickBot="1">
      <c r="A30" s="97"/>
      <c r="B30" s="101"/>
      <c r="C30" s="101"/>
      <c r="D30" s="101"/>
      <c r="E30" s="101"/>
      <c r="F30" s="101"/>
      <c r="G30" s="101"/>
      <c r="H30" s="109" t="e">
        <v>#N/A</v>
      </c>
      <c r="I30" s="130" t="e">
        <v>#N/A</v>
      </c>
      <c r="J30" s="102" t="e">
        <v>#N/A</v>
      </c>
      <c r="K30" s="109" t="e">
        <v>#N/A</v>
      </c>
      <c r="L30" s="181"/>
      <c r="M30" s="102"/>
      <c r="N30" s="102"/>
      <c r="O30" s="102"/>
      <c r="P30" s="109"/>
      <c r="Q30" s="130" t="e">
        <v>#N/A</v>
      </c>
      <c r="R30" s="102" t="e">
        <v>#N/A</v>
      </c>
      <c r="S30" s="109" t="e">
        <v>#N/A</v>
      </c>
      <c r="T30" s="109" t="e">
        <v>#N/A</v>
      </c>
      <c r="X30" s="86" t="s">
        <v>257</v>
      </c>
      <c r="Y30" s="75">
        <f t="shared" ref="Y30:AP30" si="6">Y29+Y28+Y27+Y26</f>
        <v>1</v>
      </c>
      <c r="Z30" s="78">
        <f t="shared" si="6"/>
        <v>-2</v>
      </c>
      <c r="AA30" s="75">
        <f t="shared" si="6"/>
        <v>-2</v>
      </c>
      <c r="AB30" s="75">
        <f t="shared" si="6"/>
        <v>3</v>
      </c>
      <c r="AC30" s="75">
        <f t="shared" si="6"/>
        <v>-4</v>
      </c>
      <c r="AD30" s="75">
        <f t="shared" si="6"/>
        <v>3</v>
      </c>
      <c r="AE30" s="75">
        <f t="shared" si="6"/>
        <v>-5</v>
      </c>
      <c r="AF30" s="58">
        <f t="shared" si="6"/>
        <v>4</v>
      </c>
      <c r="AG30" s="58">
        <f t="shared" si="6"/>
        <v>-5</v>
      </c>
      <c r="AH30" s="58">
        <f t="shared" si="6"/>
        <v>-2</v>
      </c>
      <c r="AI30" s="58">
        <f t="shared" si="6"/>
        <v>-3</v>
      </c>
      <c r="AJ30" s="58">
        <f t="shared" si="6"/>
        <v>4</v>
      </c>
      <c r="AK30" s="58">
        <f t="shared" si="6"/>
        <v>4</v>
      </c>
      <c r="AL30" s="58">
        <f t="shared" si="6"/>
        <v>-1</v>
      </c>
      <c r="AM30" s="58">
        <f t="shared" si="6"/>
        <v>0</v>
      </c>
      <c r="AN30" s="58">
        <f t="shared" si="6"/>
        <v>5</v>
      </c>
      <c r="AO30" s="58">
        <f t="shared" si="6"/>
        <v>-6</v>
      </c>
      <c r="AP30" s="58">
        <f t="shared" si="6"/>
        <v>-3</v>
      </c>
    </row>
    <row r="31" spans="1:42">
      <c r="A31" s="96" t="s">
        <v>321</v>
      </c>
      <c r="B31" s="103">
        <v>1</v>
      </c>
      <c r="C31" s="103">
        <v>13</v>
      </c>
      <c r="D31" s="103">
        <v>0</v>
      </c>
      <c r="E31" s="103"/>
      <c r="F31" s="103"/>
      <c r="G31" s="103"/>
      <c r="H31" s="135">
        <f>SUM(B31:G32)</f>
        <v>28</v>
      </c>
      <c r="I31" s="134" t="e">
        <v>#N/A</v>
      </c>
      <c r="J31" s="104" t="e">
        <v>#N/A</v>
      </c>
      <c r="K31" s="135" t="e">
        <v>#N/A</v>
      </c>
      <c r="L31" s="50">
        <v>8</v>
      </c>
      <c r="M31" s="50">
        <v>2</v>
      </c>
      <c r="N31" s="50">
        <v>4</v>
      </c>
      <c r="O31" s="50"/>
      <c r="P31" s="107">
        <v>7</v>
      </c>
      <c r="Q31" s="31">
        <f>L31+M31</f>
        <v>10</v>
      </c>
      <c r="R31" s="115">
        <f>N31+O31+P31</f>
        <v>11</v>
      </c>
      <c r="S31" s="107">
        <f>Q31-R31</f>
        <v>-1</v>
      </c>
      <c r="T31" s="109" t="e">
        <v>#N/A</v>
      </c>
    </row>
    <row r="32" spans="1:42" ht="13.5" thickBot="1">
      <c r="A32" s="99"/>
      <c r="B32" s="105"/>
      <c r="C32" s="105"/>
      <c r="D32" s="105"/>
      <c r="E32" s="105">
        <v>3</v>
      </c>
      <c r="F32" s="105">
        <v>10</v>
      </c>
      <c r="G32" s="105">
        <v>1</v>
      </c>
      <c r="H32" s="108" t="e">
        <v>#N/A</v>
      </c>
      <c r="I32" s="131" t="e">
        <v>#N/A</v>
      </c>
      <c r="J32" s="106" t="e">
        <v>#N/A</v>
      </c>
      <c r="K32" s="108" t="e">
        <v>#N/A</v>
      </c>
      <c r="L32" s="180"/>
      <c r="M32" s="106"/>
      <c r="N32" s="106"/>
      <c r="O32" s="106"/>
      <c r="P32" s="108"/>
      <c r="Q32" s="131" t="e">
        <v>#N/A</v>
      </c>
      <c r="R32" s="106" t="e">
        <v>#N/A</v>
      </c>
      <c r="S32" s="108" t="e">
        <v>#N/A</v>
      </c>
      <c r="T32" s="108" t="e">
        <v>#N/A</v>
      </c>
    </row>
    <row r="33" spans="1:42" ht="13.5" thickBot="1">
      <c r="A33" s="97"/>
      <c r="B33" s="101"/>
      <c r="C33" s="101"/>
      <c r="D33" s="101"/>
      <c r="E33" s="101"/>
      <c r="F33" s="101"/>
      <c r="G33" s="101"/>
      <c r="H33" s="109" t="e">
        <v>#N/A</v>
      </c>
      <c r="I33" s="130" t="e">
        <v>#N/A</v>
      </c>
      <c r="J33" s="102" t="e">
        <v>#N/A</v>
      </c>
      <c r="K33" s="109" t="e">
        <v>#N/A</v>
      </c>
      <c r="L33" s="181"/>
      <c r="M33" s="102"/>
      <c r="N33" s="102"/>
      <c r="O33" s="102"/>
      <c r="P33" s="109"/>
      <c r="Q33" s="130" t="e">
        <v>#N/A</v>
      </c>
      <c r="R33" s="102" t="e">
        <v>#N/A</v>
      </c>
      <c r="S33" s="109" t="e">
        <v>#N/A</v>
      </c>
      <c r="T33" s="109" t="e">
        <v>#N/A</v>
      </c>
    </row>
    <row r="34" spans="1:42">
      <c r="A34" s="96" t="s">
        <v>322</v>
      </c>
      <c r="B34" s="103">
        <v>1</v>
      </c>
      <c r="C34" s="103">
        <v>12</v>
      </c>
      <c r="D34" s="103">
        <v>0</v>
      </c>
      <c r="E34" s="103"/>
      <c r="F34" s="103"/>
      <c r="G34" s="103"/>
      <c r="H34" s="135">
        <f>SUM(B34:G35)</f>
        <v>24</v>
      </c>
      <c r="I34" s="134" t="e">
        <v>#N/A</v>
      </c>
      <c r="J34" s="104" t="e">
        <v>#N/A</v>
      </c>
      <c r="K34" s="135" t="e">
        <v>#N/A</v>
      </c>
      <c r="L34" s="50">
        <v>11</v>
      </c>
      <c r="M34" s="50">
        <v>3</v>
      </c>
      <c r="N34" s="50">
        <v>7</v>
      </c>
      <c r="O34" s="50"/>
      <c r="P34" s="107">
        <v>5</v>
      </c>
      <c r="Q34" s="31">
        <f>L34+M34</f>
        <v>14</v>
      </c>
      <c r="R34" s="115">
        <f>N34+O34+P34</f>
        <v>12</v>
      </c>
      <c r="S34" s="107">
        <f>Q34-R34</f>
        <v>2</v>
      </c>
      <c r="T34" s="109" t="e">
        <v>#N/A</v>
      </c>
    </row>
    <row r="35" spans="1:42" ht="13.5" thickBot="1">
      <c r="A35" s="99"/>
      <c r="B35" s="105"/>
      <c r="C35" s="105"/>
      <c r="D35" s="105"/>
      <c r="E35" s="105">
        <v>2</v>
      </c>
      <c r="F35" s="105">
        <v>8</v>
      </c>
      <c r="G35" s="105">
        <v>1</v>
      </c>
      <c r="H35" s="108" t="e">
        <v>#N/A</v>
      </c>
      <c r="I35" s="131" t="e">
        <v>#N/A</v>
      </c>
      <c r="J35" s="106" t="e">
        <v>#N/A</v>
      </c>
      <c r="K35" s="108" t="e">
        <v>#N/A</v>
      </c>
      <c r="L35" s="180"/>
      <c r="M35" s="106"/>
      <c r="N35" s="106"/>
      <c r="O35" s="106"/>
      <c r="P35" s="108"/>
      <c r="Q35" s="131" t="e">
        <v>#N/A</v>
      </c>
      <c r="R35" s="106" t="e">
        <v>#N/A</v>
      </c>
      <c r="S35" s="108" t="e">
        <v>#N/A</v>
      </c>
      <c r="T35" s="108" t="e">
        <v>#N/A</v>
      </c>
    </row>
    <row r="36" spans="1:42" ht="13.5" thickBot="1">
      <c r="A36" s="97"/>
      <c r="B36" s="101"/>
      <c r="C36" s="101"/>
      <c r="D36" s="101"/>
      <c r="E36" s="101"/>
      <c r="F36" s="101"/>
      <c r="G36" s="101"/>
      <c r="H36" s="109" t="e">
        <v>#N/A</v>
      </c>
      <c r="I36" s="130" t="e">
        <v>#N/A</v>
      </c>
      <c r="J36" s="102" t="e">
        <v>#N/A</v>
      </c>
      <c r="K36" s="109" t="e">
        <v>#N/A</v>
      </c>
      <c r="L36" s="181"/>
      <c r="M36" s="102"/>
      <c r="N36" s="102"/>
      <c r="O36" s="102"/>
      <c r="P36" s="109"/>
      <c r="Q36" s="130" t="e">
        <v>#N/A</v>
      </c>
      <c r="R36" s="102" t="e">
        <v>#N/A</v>
      </c>
      <c r="S36" s="109" t="e">
        <v>#N/A</v>
      </c>
      <c r="T36" s="109" t="e">
        <v>#N/A</v>
      </c>
      <c r="X36" s="79" t="s">
        <v>256</v>
      </c>
      <c r="Y36">
        <f>Y18+Y26</f>
        <v>-6</v>
      </c>
      <c r="Z36">
        <f t="shared" ref="Z36:AP36" si="7">Z18+Z26</f>
        <v>-8</v>
      </c>
      <c r="AA36">
        <f t="shared" si="7"/>
        <v>-6</v>
      </c>
      <c r="AB36">
        <f t="shared" si="7"/>
        <v>-8</v>
      </c>
      <c r="AC36">
        <f t="shared" si="7"/>
        <v>-3</v>
      </c>
      <c r="AD36">
        <f t="shared" si="7"/>
        <v>-8</v>
      </c>
      <c r="AE36">
        <f t="shared" si="7"/>
        <v>-8</v>
      </c>
      <c r="AF36">
        <f t="shared" si="7"/>
        <v>-7</v>
      </c>
      <c r="AG36">
        <f t="shared" si="7"/>
        <v>-9</v>
      </c>
      <c r="AH36">
        <f t="shared" si="7"/>
        <v>-7</v>
      </c>
      <c r="AI36">
        <f t="shared" si="7"/>
        <v>-5</v>
      </c>
      <c r="AJ36">
        <f t="shared" si="7"/>
        <v>-4</v>
      </c>
      <c r="AK36">
        <f t="shared" si="7"/>
        <v>-5</v>
      </c>
      <c r="AL36">
        <f t="shared" si="7"/>
        <v>-3</v>
      </c>
      <c r="AM36">
        <f t="shared" si="7"/>
        <v>0</v>
      </c>
      <c r="AN36">
        <f t="shared" si="7"/>
        <v>-2</v>
      </c>
      <c r="AO36">
        <f t="shared" si="7"/>
        <v>-10</v>
      </c>
      <c r="AP36">
        <f t="shared" si="7"/>
        <v>-15</v>
      </c>
    </row>
    <row r="37" spans="1:42">
      <c r="A37" s="96" t="s">
        <v>324</v>
      </c>
      <c r="B37" s="103">
        <v>3</v>
      </c>
      <c r="C37" s="103">
        <v>15</v>
      </c>
      <c r="D37" s="103">
        <v>0</v>
      </c>
      <c r="E37" s="103"/>
      <c r="F37" s="103"/>
      <c r="G37" s="103"/>
      <c r="H37" s="135">
        <v>29</v>
      </c>
      <c r="I37" s="134" t="e">
        <v>#N/A</v>
      </c>
      <c r="J37" s="104" t="e">
        <v>#N/A</v>
      </c>
      <c r="K37" s="135" t="e">
        <v>#N/A</v>
      </c>
      <c r="L37" s="50">
        <v>10</v>
      </c>
      <c r="M37" s="50">
        <v>0</v>
      </c>
      <c r="N37" s="50">
        <v>2</v>
      </c>
      <c r="O37" s="50"/>
      <c r="P37" s="107">
        <v>4</v>
      </c>
      <c r="Q37" s="31">
        <f>L37+M37</f>
        <v>10</v>
      </c>
      <c r="R37" s="115">
        <f>N37+O37+P37</f>
        <v>6</v>
      </c>
      <c r="S37" s="107">
        <f>Q37-R37</f>
        <v>4</v>
      </c>
      <c r="T37" s="109" t="e">
        <v>#N/A</v>
      </c>
      <c r="X37" s="81" t="s">
        <v>255</v>
      </c>
      <c r="Y37">
        <f>Y19+Y27</f>
        <v>-5</v>
      </c>
      <c r="Z37">
        <f t="shared" ref="Z37:AP37" si="8">Z19+Z27</f>
        <v>-7</v>
      </c>
      <c r="AA37">
        <f t="shared" si="8"/>
        <v>-8</v>
      </c>
      <c r="AB37">
        <f t="shared" si="8"/>
        <v>-4</v>
      </c>
      <c r="AC37">
        <f t="shared" si="8"/>
        <v>-6</v>
      </c>
      <c r="AD37">
        <f t="shared" si="8"/>
        <v>-10</v>
      </c>
      <c r="AE37">
        <f t="shared" si="8"/>
        <v>-8</v>
      </c>
      <c r="AF37">
        <f t="shared" si="8"/>
        <v>-2</v>
      </c>
      <c r="AG37">
        <f t="shared" si="8"/>
        <v>-4</v>
      </c>
      <c r="AH37">
        <f t="shared" si="8"/>
        <v>-4</v>
      </c>
      <c r="AI37">
        <f t="shared" si="8"/>
        <v>-7</v>
      </c>
      <c r="AJ37">
        <f t="shared" si="8"/>
        <v>-2</v>
      </c>
      <c r="AK37">
        <f t="shared" si="8"/>
        <v>-7</v>
      </c>
      <c r="AL37">
        <f t="shared" si="8"/>
        <v>-1</v>
      </c>
      <c r="AM37">
        <f t="shared" si="8"/>
        <v>0</v>
      </c>
      <c r="AN37">
        <f t="shared" si="8"/>
        <v>0</v>
      </c>
      <c r="AO37">
        <f t="shared" si="8"/>
        <v>-5</v>
      </c>
      <c r="AP37">
        <f t="shared" si="8"/>
        <v>-20</v>
      </c>
    </row>
    <row r="38" spans="1:42" ht="13.5" thickBot="1">
      <c r="A38" s="99"/>
      <c r="B38" s="105"/>
      <c r="C38" s="105"/>
      <c r="D38" s="105"/>
      <c r="E38" s="105"/>
      <c r="F38" s="105"/>
      <c r="G38" s="105"/>
      <c r="H38" s="108" t="e">
        <v>#N/A</v>
      </c>
      <c r="I38" s="131" t="e">
        <v>#N/A</v>
      </c>
      <c r="J38" s="106" t="e">
        <v>#N/A</v>
      </c>
      <c r="K38" s="108" t="e">
        <v>#N/A</v>
      </c>
      <c r="L38" s="180"/>
      <c r="M38" s="106"/>
      <c r="N38" s="106"/>
      <c r="O38" s="106"/>
      <c r="P38" s="108"/>
      <c r="Q38" s="131" t="e">
        <v>#N/A</v>
      </c>
      <c r="R38" s="106" t="e">
        <v>#N/A</v>
      </c>
      <c r="S38" s="108" t="e">
        <v>#N/A</v>
      </c>
      <c r="T38" s="108" t="e">
        <v>#N/A</v>
      </c>
      <c r="X38" s="81" t="s">
        <v>368</v>
      </c>
      <c r="Y38">
        <f>Y20+Y28</f>
        <v>7</v>
      </c>
      <c r="Z38">
        <f t="shared" ref="Z38:AP38" si="9">Z20+Z28</f>
        <v>0</v>
      </c>
      <c r="AA38">
        <f t="shared" si="9"/>
        <v>3</v>
      </c>
      <c r="AB38">
        <f t="shared" si="9"/>
        <v>1</v>
      </c>
      <c r="AC38">
        <f t="shared" si="9"/>
        <v>1</v>
      </c>
      <c r="AD38">
        <f t="shared" si="9"/>
        <v>6</v>
      </c>
      <c r="AE38">
        <f t="shared" si="9"/>
        <v>3</v>
      </c>
      <c r="AF38">
        <f t="shared" si="9"/>
        <v>4</v>
      </c>
      <c r="AG38">
        <f t="shared" si="9"/>
        <v>1</v>
      </c>
      <c r="AH38">
        <f t="shared" si="9"/>
        <v>2</v>
      </c>
      <c r="AI38">
        <f t="shared" si="9"/>
        <v>3</v>
      </c>
      <c r="AJ38">
        <f t="shared" si="9"/>
        <v>0</v>
      </c>
      <c r="AK38">
        <f t="shared" si="9"/>
        <v>3</v>
      </c>
      <c r="AL38">
        <f t="shared" si="9"/>
        <v>1</v>
      </c>
      <c r="AM38">
        <f t="shared" si="9"/>
        <v>0</v>
      </c>
      <c r="AN38">
        <f t="shared" si="9"/>
        <v>0</v>
      </c>
      <c r="AO38">
        <f t="shared" si="9"/>
        <v>0</v>
      </c>
      <c r="AP38">
        <f t="shared" si="9"/>
        <v>0</v>
      </c>
    </row>
    <row r="39" spans="1:42" ht="13.5" thickBot="1">
      <c r="A39" s="97"/>
      <c r="B39" s="101"/>
      <c r="C39" s="101"/>
      <c r="D39" s="101"/>
      <c r="E39" s="101"/>
      <c r="F39" s="101"/>
      <c r="G39" s="101"/>
      <c r="H39" s="109" t="e">
        <v>#N/A</v>
      </c>
      <c r="I39" s="130" t="e">
        <v>#N/A</v>
      </c>
      <c r="J39" s="102" t="e">
        <v>#N/A</v>
      </c>
      <c r="K39" s="109" t="e">
        <v>#N/A</v>
      </c>
      <c r="L39" s="181"/>
      <c r="M39" s="102"/>
      <c r="N39" s="102"/>
      <c r="O39" s="102"/>
      <c r="P39" s="109"/>
      <c r="Q39" s="130" t="e">
        <v>#N/A</v>
      </c>
      <c r="R39" s="102" t="e">
        <v>#N/A</v>
      </c>
      <c r="S39" s="109" t="e">
        <v>#N/A</v>
      </c>
      <c r="T39" s="109" t="e">
        <v>#N/A</v>
      </c>
      <c r="X39" s="84" t="s">
        <v>254</v>
      </c>
      <c r="Y39">
        <f>Y21+Y29</f>
        <v>7</v>
      </c>
      <c r="Z39">
        <f t="shared" ref="Z39:AP39" si="10">Z21+Z29</f>
        <v>10</v>
      </c>
      <c r="AA39">
        <f t="shared" si="10"/>
        <v>6</v>
      </c>
      <c r="AB39">
        <f t="shared" si="10"/>
        <v>20</v>
      </c>
      <c r="AC39">
        <f t="shared" si="10"/>
        <v>2</v>
      </c>
      <c r="AD39">
        <f t="shared" si="10"/>
        <v>14</v>
      </c>
      <c r="AE39">
        <f t="shared" si="10"/>
        <v>7</v>
      </c>
      <c r="AF39">
        <f t="shared" si="10"/>
        <v>8</v>
      </c>
      <c r="AG39">
        <f t="shared" si="10"/>
        <v>7</v>
      </c>
      <c r="AH39">
        <f t="shared" si="10"/>
        <v>8</v>
      </c>
      <c r="AI39">
        <f t="shared" si="10"/>
        <v>11</v>
      </c>
      <c r="AJ39">
        <f t="shared" si="10"/>
        <v>10</v>
      </c>
      <c r="AK39">
        <f t="shared" si="10"/>
        <v>9</v>
      </c>
      <c r="AL39">
        <f t="shared" si="10"/>
        <v>0</v>
      </c>
      <c r="AM39">
        <f t="shared" si="10"/>
        <v>0</v>
      </c>
      <c r="AN39">
        <f t="shared" si="10"/>
        <v>7</v>
      </c>
      <c r="AO39">
        <f t="shared" si="10"/>
        <v>9</v>
      </c>
      <c r="AP39">
        <f t="shared" si="10"/>
        <v>26</v>
      </c>
    </row>
    <row r="40" spans="1:42">
      <c r="A40" s="96" t="s">
        <v>350</v>
      </c>
      <c r="B40" s="103">
        <v>5</v>
      </c>
      <c r="C40" s="103">
        <v>15</v>
      </c>
      <c r="D40" s="103">
        <v>2</v>
      </c>
      <c r="E40" s="103"/>
      <c r="F40" s="103"/>
      <c r="G40" s="103"/>
      <c r="H40" s="135">
        <v>33</v>
      </c>
      <c r="I40" s="134" t="e">
        <v>#N/A</v>
      </c>
      <c r="J40" s="104" t="e">
        <v>#N/A</v>
      </c>
      <c r="K40" s="135" t="e">
        <v>#N/A</v>
      </c>
      <c r="L40" s="50">
        <v>9</v>
      </c>
      <c r="M40" s="50">
        <v>3</v>
      </c>
      <c r="N40" s="50">
        <v>7</v>
      </c>
      <c r="O40" s="50"/>
      <c r="P40" s="107">
        <v>5</v>
      </c>
      <c r="Q40" s="31">
        <f>L40+M40</f>
        <v>12</v>
      </c>
      <c r="R40" s="115">
        <f>N40+O40+P40</f>
        <v>12</v>
      </c>
      <c r="S40" s="107">
        <f>Q40-R40</f>
        <v>0</v>
      </c>
      <c r="T40" s="109" t="e">
        <v>#N/A</v>
      </c>
    </row>
    <row r="41" spans="1:42" ht="13.5" thickBot="1">
      <c r="A41" s="99"/>
      <c r="B41" s="105"/>
      <c r="C41" s="105"/>
      <c r="D41" s="105"/>
      <c r="E41" s="105"/>
      <c r="F41" s="105"/>
      <c r="G41" s="105"/>
      <c r="H41" s="108" t="e">
        <v>#N/A</v>
      </c>
      <c r="I41" s="131" t="e">
        <v>#N/A</v>
      </c>
      <c r="J41" s="106" t="e">
        <v>#N/A</v>
      </c>
      <c r="K41" s="108" t="e">
        <v>#N/A</v>
      </c>
      <c r="L41" s="180"/>
      <c r="M41" s="106"/>
      <c r="N41" s="106"/>
      <c r="O41" s="106"/>
      <c r="P41" s="108"/>
      <c r="Q41" s="131" t="e">
        <v>#N/A</v>
      </c>
      <c r="R41" s="106" t="e">
        <v>#N/A</v>
      </c>
      <c r="S41" s="108" t="e">
        <v>#N/A</v>
      </c>
      <c r="T41" s="108" t="e">
        <v>#N/A</v>
      </c>
    </row>
    <row r="42" spans="1:42" ht="13.5" thickBot="1">
      <c r="A42" s="97"/>
      <c r="B42" s="101"/>
      <c r="C42" s="101"/>
      <c r="D42" s="101"/>
      <c r="E42" s="101"/>
      <c r="F42" s="101"/>
      <c r="G42" s="101"/>
      <c r="H42" s="109" t="e">
        <v>#N/A</v>
      </c>
      <c r="I42" s="130" t="e">
        <v>#N/A</v>
      </c>
      <c r="J42" s="102" t="e">
        <v>#N/A</v>
      </c>
      <c r="K42" s="109" t="e">
        <v>#N/A</v>
      </c>
      <c r="L42" s="181"/>
      <c r="M42" s="102"/>
      <c r="N42" s="102"/>
      <c r="O42" s="102"/>
      <c r="P42" s="109"/>
      <c r="Q42" s="130" t="e">
        <v>#N/A</v>
      </c>
      <c r="R42" s="102" t="e">
        <v>#N/A</v>
      </c>
      <c r="S42" s="109" t="e">
        <v>#N/A</v>
      </c>
      <c r="T42" s="109" t="e">
        <v>#N/A</v>
      </c>
      <c r="X42" s="136">
        <v>2008</v>
      </c>
      <c r="Y42" s="20" t="s">
        <v>305</v>
      </c>
      <c r="Z42" s="137" t="s">
        <v>306</v>
      </c>
    </row>
    <row r="43" spans="1:42">
      <c r="A43" s="96" t="s">
        <v>356</v>
      </c>
      <c r="B43" s="103"/>
      <c r="C43" s="103"/>
      <c r="D43" s="103"/>
      <c r="E43" s="103"/>
      <c r="F43" s="103"/>
      <c r="G43" s="103"/>
      <c r="H43" s="135">
        <v>33</v>
      </c>
      <c r="I43" s="134" t="e">
        <v>#N/A</v>
      </c>
      <c r="J43" s="104" t="e">
        <v>#N/A</v>
      </c>
      <c r="K43" s="135" t="e">
        <v>#N/A</v>
      </c>
      <c r="L43" s="50">
        <v>0</v>
      </c>
      <c r="M43" s="50">
        <v>1</v>
      </c>
      <c r="N43" s="50">
        <v>1</v>
      </c>
      <c r="O43" s="50"/>
      <c r="P43" s="107">
        <v>3</v>
      </c>
      <c r="Q43" s="31">
        <f>L43+M43</f>
        <v>1</v>
      </c>
      <c r="R43" s="115">
        <f>N43+O43+P43</f>
        <v>4</v>
      </c>
      <c r="S43" s="107">
        <f>Q43-R43</f>
        <v>-3</v>
      </c>
      <c r="T43" s="109" t="e">
        <v>#N/A</v>
      </c>
      <c r="X43" s="31" t="s">
        <v>326</v>
      </c>
      <c r="Y43" s="1">
        <v>19</v>
      </c>
      <c r="Z43" s="138"/>
    </row>
    <row r="44" spans="1:42" ht="13.5" thickBot="1">
      <c r="A44" s="99"/>
      <c r="B44" s="105"/>
      <c r="C44" s="105"/>
      <c r="D44" s="105"/>
      <c r="E44" s="105"/>
      <c r="F44" s="105"/>
      <c r="G44" s="105"/>
      <c r="H44" s="108" t="e">
        <v>#N/A</v>
      </c>
      <c r="I44" s="131" t="e">
        <v>#N/A</v>
      </c>
      <c r="J44" s="106" t="e">
        <v>#N/A</v>
      </c>
      <c r="K44" s="108" t="e">
        <v>#N/A</v>
      </c>
      <c r="L44" s="180"/>
      <c r="M44" s="106"/>
      <c r="N44" s="106"/>
      <c r="O44" s="106"/>
      <c r="P44" s="108"/>
      <c r="Q44" s="131" t="e">
        <v>#N/A</v>
      </c>
      <c r="R44" s="106" t="e">
        <v>#N/A</v>
      </c>
      <c r="S44" s="108" t="e">
        <v>#N/A</v>
      </c>
      <c r="T44" s="108" t="e">
        <v>#N/A</v>
      </c>
      <c r="X44" s="31" t="s">
        <v>327</v>
      </c>
      <c r="Y44" s="1">
        <v>18</v>
      </c>
      <c r="Z44" s="138">
        <v>10</v>
      </c>
    </row>
    <row r="45" spans="1:42" ht="13.5" thickBot="1">
      <c r="A45" s="97"/>
      <c r="B45" s="101"/>
      <c r="C45" s="101"/>
      <c r="D45" s="101"/>
      <c r="E45" s="101"/>
      <c r="F45" s="101"/>
      <c r="G45" s="101"/>
      <c r="H45" s="109" t="e">
        <v>#N/A</v>
      </c>
      <c r="I45" s="130" t="e">
        <v>#N/A</v>
      </c>
      <c r="J45" s="102" t="e">
        <v>#N/A</v>
      </c>
      <c r="K45" s="109" t="e">
        <v>#N/A</v>
      </c>
      <c r="L45" s="181"/>
      <c r="M45" s="102"/>
      <c r="N45" s="102"/>
      <c r="O45" s="102"/>
      <c r="P45" s="132"/>
      <c r="Q45" s="130" t="e">
        <v>#N/A</v>
      </c>
      <c r="R45" s="109" t="e">
        <v>#N/A</v>
      </c>
      <c r="S45" s="109" t="e">
        <v>#N/A</v>
      </c>
      <c r="T45" s="109" t="e">
        <v>#N/A</v>
      </c>
      <c r="X45" s="31" t="s">
        <v>331</v>
      </c>
      <c r="Y45" s="1">
        <v>18</v>
      </c>
      <c r="Z45" s="138">
        <v>10</v>
      </c>
    </row>
    <row r="46" spans="1:42">
      <c r="A46" s="96" t="s">
        <v>371</v>
      </c>
      <c r="B46" s="103"/>
      <c r="C46" s="103"/>
      <c r="D46" s="103"/>
      <c r="E46" s="103"/>
      <c r="F46" s="103"/>
      <c r="G46" s="103"/>
      <c r="H46" s="135">
        <v>30</v>
      </c>
      <c r="I46" s="134" t="e">
        <v>#N/A</v>
      </c>
      <c r="J46" s="104" t="e">
        <v>#N/A</v>
      </c>
      <c r="K46" s="135" t="e">
        <v>#N/A</v>
      </c>
      <c r="L46" s="50" t="e">
        <v>#N/A</v>
      </c>
      <c r="M46" s="50" t="e">
        <v>#N/A</v>
      </c>
      <c r="N46" s="50" t="e">
        <v>#N/A</v>
      </c>
      <c r="O46" s="50"/>
      <c r="P46" s="127" t="e">
        <v>#N/A</v>
      </c>
      <c r="Q46" s="134" t="e">
        <v>#N/A</v>
      </c>
      <c r="R46" s="135" t="e">
        <v>#N/A</v>
      </c>
      <c r="S46" s="135" t="e">
        <v>#N/A</v>
      </c>
      <c r="T46" s="109" t="e">
        <v>#N/A</v>
      </c>
      <c r="X46" s="31" t="s">
        <v>332</v>
      </c>
      <c r="Y46" s="1">
        <v>19</v>
      </c>
      <c r="Z46" s="138"/>
    </row>
    <row r="47" spans="1:42" ht="13.5" thickBot="1">
      <c r="A47" s="99"/>
      <c r="B47" s="105"/>
      <c r="C47" s="105"/>
      <c r="D47" s="105"/>
      <c r="E47" s="105"/>
      <c r="F47" s="105"/>
      <c r="G47" s="105"/>
      <c r="H47" s="188" t="e">
        <v>#N/A</v>
      </c>
      <c r="I47" s="131" t="e">
        <v>#N/A</v>
      </c>
      <c r="J47" s="106" t="e">
        <v>#N/A</v>
      </c>
      <c r="K47" s="108" t="e">
        <v>#N/A</v>
      </c>
      <c r="L47" s="180"/>
      <c r="M47" s="106"/>
      <c r="N47" s="106"/>
      <c r="O47" s="106"/>
      <c r="P47" s="128"/>
      <c r="Q47" s="131" t="e">
        <v>#N/A</v>
      </c>
      <c r="R47" s="108" t="e">
        <v>#N/A</v>
      </c>
      <c r="S47" s="108" t="e">
        <v>#N/A</v>
      </c>
      <c r="T47" s="108" t="e">
        <v>#N/A</v>
      </c>
      <c r="X47" s="31" t="s">
        <v>333</v>
      </c>
      <c r="Y47" s="1">
        <v>16</v>
      </c>
      <c r="Z47" s="138">
        <v>13</v>
      </c>
    </row>
    <row r="48" spans="1:42" ht="13.5" thickBot="1">
      <c r="A48" s="97"/>
      <c r="B48" s="101"/>
      <c r="C48" s="101"/>
      <c r="D48" s="101"/>
      <c r="E48" s="101"/>
      <c r="F48" s="101"/>
      <c r="G48" s="101"/>
      <c r="H48" s="109" t="e">
        <v>#N/A</v>
      </c>
      <c r="I48" s="130" t="e">
        <v>#N/A</v>
      </c>
      <c r="J48" s="102" t="e">
        <v>#N/A</v>
      </c>
      <c r="K48" s="109" t="e">
        <v>#N/A</v>
      </c>
      <c r="L48" s="181"/>
      <c r="M48" s="102"/>
      <c r="N48" s="102"/>
      <c r="O48" s="102"/>
      <c r="P48" s="109"/>
      <c r="Q48" s="130" t="e">
        <v>#N/A</v>
      </c>
      <c r="R48" s="102" t="e">
        <v>#N/A</v>
      </c>
      <c r="S48" s="109" t="e">
        <v>#N/A</v>
      </c>
      <c r="T48" s="109" t="e">
        <v>#N/A</v>
      </c>
      <c r="X48" s="31" t="s">
        <v>334</v>
      </c>
      <c r="Y48" s="1">
        <v>11</v>
      </c>
      <c r="Z48" s="138">
        <v>8</v>
      </c>
    </row>
    <row r="49" spans="1:26">
      <c r="A49" s="96" t="s">
        <v>372</v>
      </c>
      <c r="B49" s="103"/>
      <c r="C49" s="103"/>
      <c r="D49" s="103"/>
      <c r="E49" s="103"/>
      <c r="F49" s="103"/>
      <c r="G49" s="103"/>
      <c r="H49" s="135" t="e">
        <v>#N/A</v>
      </c>
      <c r="I49" s="134" t="e">
        <v>#N/A</v>
      </c>
      <c r="J49" s="104" t="e">
        <v>#N/A</v>
      </c>
      <c r="K49" s="135" t="e">
        <v>#N/A</v>
      </c>
      <c r="L49" s="50">
        <v>7</v>
      </c>
      <c r="M49" s="50">
        <v>0</v>
      </c>
      <c r="N49" s="50">
        <v>0</v>
      </c>
      <c r="O49" s="50"/>
      <c r="P49" s="107">
        <v>2</v>
      </c>
      <c r="Q49" s="31">
        <f>L49+M49</f>
        <v>7</v>
      </c>
      <c r="R49" s="115">
        <f>N49+O49+P49</f>
        <v>2</v>
      </c>
      <c r="S49" s="107">
        <f>Q49-R49</f>
        <v>5</v>
      </c>
      <c r="T49" s="109" t="e">
        <v>#N/A</v>
      </c>
      <c r="X49" s="31" t="s">
        <v>335</v>
      </c>
      <c r="Y49" s="1"/>
      <c r="Z49" s="138"/>
    </row>
    <row r="50" spans="1:26" ht="13.5" thickBot="1">
      <c r="A50" s="99"/>
      <c r="B50" s="105"/>
      <c r="C50" s="105"/>
      <c r="D50" s="105"/>
      <c r="E50" s="105"/>
      <c r="F50" s="105"/>
      <c r="G50" s="105"/>
      <c r="H50" s="188" t="e">
        <v>#N/A</v>
      </c>
      <c r="I50" s="131" t="e">
        <v>#N/A</v>
      </c>
      <c r="J50" s="106" t="e">
        <v>#N/A</v>
      </c>
      <c r="K50" s="108" t="e">
        <v>#N/A</v>
      </c>
      <c r="L50" s="180"/>
      <c r="M50" s="106"/>
      <c r="N50" s="106"/>
      <c r="O50" s="106"/>
      <c r="P50" s="108"/>
      <c r="Q50" s="131" t="e">
        <v>#N/A</v>
      </c>
      <c r="R50" s="106" t="e">
        <v>#N/A</v>
      </c>
      <c r="S50" s="108" t="e">
        <v>#N/A</v>
      </c>
      <c r="T50" s="108" t="e">
        <v>#N/A</v>
      </c>
      <c r="X50" s="31" t="s">
        <v>380</v>
      </c>
      <c r="Y50" s="1"/>
      <c r="Z50" s="138"/>
    </row>
    <row r="51" spans="1:26" ht="13.5" thickBot="1">
      <c r="A51" s="97"/>
      <c r="B51" s="101"/>
      <c r="C51" s="101"/>
      <c r="D51" s="101"/>
      <c r="E51" s="101"/>
      <c r="F51" s="101"/>
      <c r="G51" s="101"/>
      <c r="H51" s="109" t="e">
        <v>#N/A</v>
      </c>
      <c r="I51" s="130" t="e">
        <v>#N/A</v>
      </c>
      <c r="J51" s="102" t="e">
        <v>#N/A</v>
      </c>
      <c r="K51" s="109" t="e">
        <v>#N/A</v>
      </c>
      <c r="L51" s="181"/>
      <c r="M51" s="102"/>
      <c r="N51" s="102"/>
      <c r="O51" s="102"/>
      <c r="P51" s="109"/>
      <c r="Q51" s="130" t="e">
        <v>#N/A</v>
      </c>
      <c r="R51" s="102" t="e">
        <v>#N/A</v>
      </c>
      <c r="S51" s="109" t="e">
        <v>#N/A</v>
      </c>
      <c r="T51" s="109" t="e">
        <v>#N/A</v>
      </c>
      <c r="X51" s="31" t="s">
        <v>381</v>
      </c>
      <c r="Y51" s="1">
        <v>8</v>
      </c>
      <c r="Z51" s="138">
        <v>7</v>
      </c>
    </row>
    <row r="52" spans="1:26">
      <c r="A52" s="96" t="s">
        <v>373</v>
      </c>
      <c r="B52" s="103"/>
      <c r="C52" s="103"/>
      <c r="D52" s="103"/>
      <c r="E52" s="103"/>
      <c r="F52" s="103"/>
      <c r="G52" s="103"/>
      <c r="H52" s="135" t="e">
        <v>#N/A</v>
      </c>
      <c r="I52" s="134" t="e">
        <v>#N/A</v>
      </c>
      <c r="J52" s="104" t="e">
        <v>#N/A</v>
      </c>
      <c r="K52" s="135" t="e">
        <v>#N/A</v>
      </c>
      <c r="L52" s="50">
        <v>9</v>
      </c>
      <c r="M52" s="50">
        <v>0</v>
      </c>
      <c r="N52" s="50">
        <v>5</v>
      </c>
      <c r="O52" s="50"/>
      <c r="P52" s="107">
        <v>10</v>
      </c>
      <c r="Q52" s="31">
        <f>L52+M52</f>
        <v>9</v>
      </c>
      <c r="R52" s="115">
        <f>N52+O52+P52</f>
        <v>15</v>
      </c>
      <c r="S52" s="107">
        <f>Q52-R52</f>
        <v>-6</v>
      </c>
      <c r="T52" s="109" t="e">
        <v>#N/A</v>
      </c>
      <c r="X52" s="31" t="s">
        <v>336</v>
      </c>
      <c r="Y52" s="1"/>
      <c r="Z52" s="138"/>
    </row>
    <row r="53" spans="1:26" ht="13.5" thickBot="1">
      <c r="A53" s="99"/>
      <c r="B53" s="105"/>
      <c r="C53" s="105"/>
      <c r="D53" s="105"/>
      <c r="E53" s="105"/>
      <c r="F53" s="105"/>
      <c r="G53" s="105"/>
      <c r="H53" s="188" t="e">
        <v>#N/A</v>
      </c>
      <c r="I53" s="131" t="e">
        <v>#N/A</v>
      </c>
      <c r="J53" s="106" t="e">
        <v>#N/A</v>
      </c>
      <c r="K53" s="108" t="e">
        <v>#N/A</v>
      </c>
      <c r="L53" s="180"/>
      <c r="M53" s="106"/>
      <c r="N53" s="106"/>
      <c r="O53" s="106"/>
      <c r="P53" s="108"/>
      <c r="Q53" s="131" t="e">
        <v>#N/A</v>
      </c>
      <c r="R53" s="106" t="e">
        <v>#N/A</v>
      </c>
      <c r="S53" s="108" t="e">
        <v>#N/A</v>
      </c>
      <c r="T53" s="108" t="e">
        <v>#N/A</v>
      </c>
      <c r="X53" s="31" t="s">
        <v>337</v>
      </c>
      <c r="Y53" s="1">
        <v>25</v>
      </c>
      <c r="Z53" s="138">
        <v>9</v>
      </c>
    </row>
    <row r="54" spans="1:26" ht="13.5" thickBot="1">
      <c r="A54" s="97"/>
      <c r="B54" s="101"/>
      <c r="C54" s="101"/>
      <c r="D54" s="101"/>
      <c r="E54" s="101"/>
      <c r="F54" s="101"/>
      <c r="G54" s="101"/>
      <c r="H54" s="109" t="e">
        <v>#N/A</v>
      </c>
      <c r="I54" s="130" t="e">
        <v>#N/A</v>
      </c>
      <c r="J54" s="102" t="e">
        <v>#N/A</v>
      </c>
      <c r="K54" s="109" t="e">
        <v>#N/A</v>
      </c>
      <c r="L54" s="181"/>
      <c r="M54" s="102"/>
      <c r="N54" s="102"/>
      <c r="O54" s="102"/>
      <c r="P54" s="109"/>
      <c r="Q54" s="130" t="e">
        <v>#N/A</v>
      </c>
      <c r="R54" s="102" t="e">
        <v>#N/A</v>
      </c>
      <c r="S54" s="109" t="e">
        <v>#N/A</v>
      </c>
      <c r="T54" s="109" t="e">
        <v>#N/A</v>
      </c>
      <c r="X54" s="31" t="s">
        <v>338</v>
      </c>
      <c r="Y54" s="1">
        <v>14</v>
      </c>
      <c r="Z54" s="138">
        <v>10</v>
      </c>
    </row>
    <row r="55" spans="1:26">
      <c r="A55" s="96" t="s">
        <v>325</v>
      </c>
      <c r="B55" s="103">
        <v>1</v>
      </c>
      <c r="C55" s="103">
        <v>7</v>
      </c>
      <c r="D55" s="103">
        <v>5</v>
      </c>
      <c r="E55" s="103"/>
      <c r="F55" s="103"/>
      <c r="G55" s="103"/>
      <c r="H55" s="135">
        <f>SUM(B55:G56)</f>
        <v>25</v>
      </c>
      <c r="I55" s="134" t="e">
        <v>#N/A</v>
      </c>
      <c r="J55" s="104" t="e">
        <v>#N/A</v>
      </c>
      <c r="K55" s="135" t="e">
        <v>#N/A</v>
      </c>
      <c r="L55" s="50">
        <v>26</v>
      </c>
      <c r="M55" s="50">
        <v>0</v>
      </c>
      <c r="N55" s="50">
        <v>20</v>
      </c>
      <c r="O55" s="50"/>
      <c r="P55" s="107">
        <v>15</v>
      </c>
      <c r="Q55" s="31">
        <f>L55+M55</f>
        <v>26</v>
      </c>
      <c r="R55" s="115">
        <f>N55+O55+P55</f>
        <v>35</v>
      </c>
      <c r="S55" s="107">
        <f>Q55-R55</f>
        <v>-9</v>
      </c>
      <c r="T55" s="109" t="e">
        <v>#N/A</v>
      </c>
      <c r="X55" s="31" t="s">
        <v>339</v>
      </c>
      <c r="Y55" s="1"/>
      <c r="Z55" s="138"/>
    </row>
    <row r="56" spans="1:26" ht="13.5" thickBot="1">
      <c r="A56" s="99"/>
      <c r="B56" s="105"/>
      <c r="C56" s="105"/>
      <c r="D56" s="105"/>
      <c r="E56" s="105">
        <v>4</v>
      </c>
      <c r="F56" s="105">
        <v>6</v>
      </c>
      <c r="G56" s="105">
        <v>2</v>
      </c>
      <c r="H56" s="108" t="e">
        <v>#N/A</v>
      </c>
      <c r="I56" s="131" t="e">
        <v>#N/A</v>
      </c>
      <c r="J56" s="106" t="e">
        <v>#N/A</v>
      </c>
      <c r="K56" s="108" t="e">
        <v>#N/A</v>
      </c>
      <c r="L56" s="180"/>
      <c r="M56" s="106"/>
      <c r="N56" s="106"/>
      <c r="O56" s="106"/>
      <c r="P56" s="108"/>
      <c r="Q56" s="131" t="e">
        <v>#N/A</v>
      </c>
      <c r="R56" s="106" t="e">
        <v>#N/A</v>
      </c>
      <c r="S56" s="108" t="e">
        <v>#N/A</v>
      </c>
      <c r="T56" s="108" t="e">
        <v>#N/A</v>
      </c>
      <c r="X56" s="31" t="s">
        <v>340</v>
      </c>
      <c r="Y56" s="1"/>
      <c r="Z56" s="138"/>
    </row>
    <row r="57" spans="1:26" ht="13.5" thickBot="1">
      <c r="A57" s="97"/>
      <c r="B57" s="101"/>
      <c r="C57" s="101"/>
      <c r="D57" s="101"/>
      <c r="E57" s="101"/>
      <c r="F57" s="101"/>
      <c r="G57" s="101"/>
      <c r="H57" s="109" t="e">
        <v>#N/A</v>
      </c>
      <c r="I57" s="130" t="e">
        <v>#N/A</v>
      </c>
      <c r="J57" s="102" t="e">
        <v>#N/A</v>
      </c>
      <c r="K57" s="109" t="e">
        <v>#N/A</v>
      </c>
      <c r="L57" s="181"/>
      <c r="M57" s="102"/>
      <c r="N57" s="102"/>
      <c r="O57" s="102"/>
      <c r="P57" s="109"/>
      <c r="Q57" s="130" t="e">
        <v>#N/A</v>
      </c>
      <c r="R57" s="102" t="e">
        <v>#N/A</v>
      </c>
      <c r="S57" s="109" t="e">
        <v>#N/A</v>
      </c>
      <c r="T57" s="109" t="e">
        <v>#N/A</v>
      </c>
      <c r="X57" s="31" t="s">
        <v>341</v>
      </c>
      <c r="Y57" s="1">
        <v>17</v>
      </c>
      <c r="Z57" s="138"/>
    </row>
    <row r="58" spans="1:26">
      <c r="A58" s="96" t="s">
        <v>326</v>
      </c>
      <c r="B58" s="103">
        <v>3</v>
      </c>
      <c r="C58" s="103">
        <v>2</v>
      </c>
      <c r="D58" s="103">
        <v>3</v>
      </c>
      <c r="E58" s="103"/>
      <c r="F58" s="103"/>
      <c r="G58" s="103"/>
      <c r="H58" s="135">
        <f>SUM(B58:G59)</f>
        <v>17</v>
      </c>
      <c r="I58" s="134" t="e">
        <v>#N/A</v>
      </c>
      <c r="J58" s="104" t="e">
        <v>#N/A</v>
      </c>
      <c r="K58" s="135" t="e">
        <v>#N/A</v>
      </c>
      <c r="L58" s="182"/>
      <c r="M58" s="115"/>
      <c r="N58" s="115"/>
      <c r="O58" s="115"/>
      <c r="P58" s="107"/>
      <c r="Q58" s="134" t="e">
        <v>#N/A</v>
      </c>
      <c r="R58" s="104" t="e">
        <v>#N/A</v>
      </c>
      <c r="S58" s="135" t="e">
        <v>#N/A</v>
      </c>
      <c r="T58" s="109" t="e">
        <v>#N/A</v>
      </c>
      <c r="X58" s="31" t="s">
        <v>342</v>
      </c>
      <c r="Y58" s="1"/>
      <c r="Z58" s="138"/>
    </row>
    <row r="59" spans="1:26" ht="13.5" thickBot="1">
      <c r="A59" s="99"/>
      <c r="B59" s="105"/>
      <c r="C59" s="105"/>
      <c r="D59" s="105"/>
      <c r="E59" s="105">
        <v>2</v>
      </c>
      <c r="F59" s="105">
        <v>7</v>
      </c>
      <c r="G59" s="105">
        <v>0</v>
      </c>
      <c r="H59" s="108" t="e">
        <v>#N/A</v>
      </c>
      <c r="I59" s="131" t="e">
        <v>#N/A</v>
      </c>
      <c r="J59" s="106" t="e">
        <v>#N/A</v>
      </c>
      <c r="K59" s="108" t="e">
        <v>#N/A</v>
      </c>
      <c r="L59" s="180"/>
      <c r="M59" s="106"/>
      <c r="N59" s="106"/>
      <c r="O59" s="106"/>
      <c r="P59" s="108"/>
      <c r="Q59" s="131" t="e">
        <v>#N/A</v>
      </c>
      <c r="R59" s="106" t="e">
        <v>#N/A</v>
      </c>
      <c r="S59" s="108" t="e">
        <v>#N/A</v>
      </c>
      <c r="T59" s="108" t="e">
        <v>#N/A</v>
      </c>
      <c r="X59" s="31" t="s">
        <v>343</v>
      </c>
      <c r="Y59" s="1"/>
      <c r="Z59" s="138"/>
    </row>
    <row r="60" spans="1:26" ht="13.5" thickBot="1">
      <c r="A60" s="97"/>
      <c r="B60" s="101"/>
      <c r="C60" s="101"/>
      <c r="D60" s="101"/>
      <c r="E60" s="101"/>
      <c r="F60" s="101"/>
      <c r="G60" s="101"/>
      <c r="H60" s="109" t="e">
        <v>#N/A</v>
      </c>
      <c r="I60" s="130" t="e">
        <v>#N/A</v>
      </c>
      <c r="J60" s="102" t="e">
        <v>#N/A</v>
      </c>
      <c r="K60" s="109" t="e">
        <v>#N/A</v>
      </c>
      <c r="L60" s="181"/>
      <c r="M60" s="102"/>
      <c r="N60" s="102"/>
      <c r="O60" s="102"/>
      <c r="P60" s="109"/>
      <c r="Q60" s="130" t="e">
        <v>#N/A</v>
      </c>
      <c r="R60" s="102" t="e">
        <v>#N/A</v>
      </c>
      <c r="S60" s="109" t="e">
        <v>#N/A</v>
      </c>
      <c r="T60" s="109" t="e">
        <v>#N/A</v>
      </c>
      <c r="X60" s="31" t="s">
        <v>344</v>
      </c>
      <c r="Y60" s="1"/>
      <c r="Z60" s="138"/>
    </row>
    <row r="61" spans="1:26">
      <c r="A61" s="96" t="s">
        <v>327</v>
      </c>
      <c r="B61" s="103">
        <v>3</v>
      </c>
      <c r="C61" s="103">
        <v>2</v>
      </c>
      <c r="D61" s="103">
        <v>3</v>
      </c>
      <c r="E61" s="103"/>
      <c r="F61" s="103"/>
      <c r="G61" s="103"/>
      <c r="H61" s="135">
        <f>SUM(B61:G62)</f>
        <v>26</v>
      </c>
      <c r="I61" s="134" t="e">
        <v>#N/A</v>
      </c>
      <c r="J61" s="104" t="e">
        <v>#N/A</v>
      </c>
      <c r="K61" s="135" t="e">
        <v>#N/A</v>
      </c>
      <c r="L61" s="182"/>
      <c r="M61" s="115"/>
      <c r="N61" s="115"/>
      <c r="O61" s="115"/>
      <c r="P61" s="107"/>
      <c r="Q61" s="134" t="e">
        <v>#N/A</v>
      </c>
      <c r="R61" s="104" t="e">
        <v>#N/A</v>
      </c>
      <c r="S61" s="135" t="e">
        <v>#N/A</v>
      </c>
      <c r="T61" s="109" t="e">
        <v>#N/A</v>
      </c>
      <c r="X61" s="31" t="s">
        <v>345</v>
      </c>
      <c r="Y61" s="1">
        <v>12</v>
      </c>
      <c r="Z61" s="138"/>
    </row>
    <row r="62" spans="1:26" ht="13.5" thickBot="1">
      <c r="A62" s="99"/>
      <c r="B62" s="105"/>
      <c r="C62" s="105"/>
      <c r="D62" s="105"/>
      <c r="E62" s="105">
        <v>6</v>
      </c>
      <c r="F62" s="105">
        <v>8</v>
      </c>
      <c r="G62" s="105">
        <v>4</v>
      </c>
      <c r="H62" s="108" t="e">
        <v>#N/A</v>
      </c>
      <c r="I62" s="131" t="e">
        <v>#N/A</v>
      </c>
      <c r="J62" s="106" t="e">
        <v>#N/A</v>
      </c>
      <c r="K62" s="108" t="e">
        <v>#N/A</v>
      </c>
      <c r="L62" s="180"/>
      <c r="M62" s="106"/>
      <c r="N62" s="106"/>
      <c r="O62" s="106"/>
      <c r="P62" s="108"/>
      <c r="Q62" s="131" t="e">
        <v>#N/A</v>
      </c>
      <c r="R62" s="106" t="e">
        <v>#N/A</v>
      </c>
      <c r="S62" s="108" t="e">
        <v>#N/A</v>
      </c>
      <c r="T62" s="108" t="e">
        <v>#N/A</v>
      </c>
      <c r="X62" s="31" t="s">
        <v>328</v>
      </c>
      <c r="Y62" s="1"/>
      <c r="Z62" s="138"/>
    </row>
    <row r="63" spans="1:26" ht="13.5" thickBot="1">
      <c r="A63" s="97"/>
      <c r="B63" s="101"/>
      <c r="C63" s="101"/>
      <c r="D63" s="101"/>
      <c r="E63" s="101"/>
      <c r="F63" s="101"/>
      <c r="G63" s="101"/>
      <c r="H63" s="109" t="e">
        <v>#N/A</v>
      </c>
      <c r="I63" s="130" t="e">
        <v>#N/A</v>
      </c>
      <c r="J63" s="102" t="e">
        <v>#N/A</v>
      </c>
      <c r="K63" s="109" t="e">
        <v>#N/A</v>
      </c>
      <c r="L63" s="181"/>
      <c r="M63" s="102"/>
      <c r="N63" s="102"/>
      <c r="O63" s="102"/>
      <c r="P63" s="109"/>
      <c r="Q63" s="130" t="e">
        <v>#N/A</v>
      </c>
      <c r="R63" s="102" t="e">
        <v>#N/A</v>
      </c>
      <c r="S63" s="109" t="e">
        <v>#N/A</v>
      </c>
      <c r="T63" s="109" t="e">
        <v>#N/A</v>
      </c>
      <c r="X63" s="31" t="s">
        <v>329</v>
      </c>
      <c r="Y63" s="1"/>
      <c r="Z63" s="138"/>
    </row>
    <row r="64" spans="1:26">
      <c r="A64" s="96" t="s">
        <v>331</v>
      </c>
      <c r="B64" s="103">
        <v>3</v>
      </c>
      <c r="C64" s="103">
        <v>3</v>
      </c>
      <c r="D64" s="103">
        <v>2</v>
      </c>
      <c r="E64" s="103"/>
      <c r="F64" s="103"/>
      <c r="G64" s="103"/>
      <c r="H64" s="135">
        <f>SUM(B64:G65)</f>
        <v>25</v>
      </c>
      <c r="I64" s="134" t="e">
        <v>#N/A</v>
      </c>
      <c r="J64" s="104" t="e">
        <v>#N/A</v>
      </c>
      <c r="K64" s="135" t="e">
        <v>#N/A</v>
      </c>
      <c r="L64" s="182"/>
      <c r="M64" s="115"/>
      <c r="N64" s="115"/>
      <c r="O64" s="115"/>
      <c r="P64" s="107"/>
      <c r="Q64" s="134" t="e">
        <v>#N/A</v>
      </c>
      <c r="R64" s="104" t="e">
        <v>#N/A</v>
      </c>
      <c r="S64" s="135" t="e">
        <v>#N/A</v>
      </c>
      <c r="T64" s="109" t="e">
        <v>#N/A</v>
      </c>
      <c r="X64" s="31" t="s">
        <v>382</v>
      </c>
      <c r="Y64" s="1">
        <v>15</v>
      </c>
      <c r="Z64" s="138"/>
    </row>
    <row r="65" spans="1:26" ht="13.5" thickBot="1">
      <c r="A65" s="99"/>
      <c r="B65" s="105"/>
      <c r="C65" s="105"/>
      <c r="D65" s="105"/>
      <c r="E65" s="105">
        <v>7</v>
      </c>
      <c r="F65" s="105">
        <v>6</v>
      </c>
      <c r="G65" s="105">
        <v>4</v>
      </c>
      <c r="H65" s="108" t="e">
        <v>#N/A</v>
      </c>
      <c r="I65" s="131" t="e">
        <v>#N/A</v>
      </c>
      <c r="J65" s="106" t="e">
        <v>#N/A</v>
      </c>
      <c r="K65" s="108" t="e">
        <v>#N/A</v>
      </c>
      <c r="L65" s="180"/>
      <c r="M65" s="106"/>
      <c r="N65" s="106"/>
      <c r="O65" s="106"/>
      <c r="P65" s="108"/>
      <c r="Q65" s="131" t="e">
        <v>#N/A</v>
      </c>
      <c r="R65" s="106" t="e">
        <v>#N/A</v>
      </c>
      <c r="S65" s="108" t="e">
        <v>#N/A</v>
      </c>
      <c r="T65" s="108" t="e">
        <v>#N/A</v>
      </c>
      <c r="X65" s="31" t="s">
        <v>383</v>
      </c>
      <c r="Y65" s="1"/>
      <c r="Z65" s="138"/>
    </row>
    <row r="66" spans="1:26" ht="13.5" thickBot="1">
      <c r="A66" s="97"/>
      <c r="B66" s="101"/>
      <c r="C66" s="101"/>
      <c r="D66" s="101"/>
      <c r="E66" s="101"/>
      <c r="F66" s="101"/>
      <c r="G66" s="101"/>
      <c r="H66" s="109" t="e">
        <v>#N/A</v>
      </c>
      <c r="I66" s="130" t="e">
        <v>#N/A</v>
      </c>
      <c r="J66" s="102" t="e">
        <v>#N/A</v>
      </c>
      <c r="K66" s="109" t="e">
        <v>#N/A</v>
      </c>
      <c r="L66" s="181"/>
      <c r="M66" s="102"/>
      <c r="N66" s="102"/>
      <c r="O66" s="102"/>
      <c r="P66" s="109"/>
      <c r="Q66" s="130" t="e">
        <v>#N/A</v>
      </c>
      <c r="R66" s="102" t="e">
        <v>#N/A</v>
      </c>
      <c r="S66" s="109" t="e">
        <v>#N/A</v>
      </c>
      <c r="T66" s="109" t="e">
        <v>#N/A</v>
      </c>
      <c r="X66" s="31" t="s">
        <v>384</v>
      </c>
      <c r="Y66" s="1">
        <v>16</v>
      </c>
      <c r="Z66" s="138">
        <v>8</v>
      </c>
    </row>
    <row r="67" spans="1:26">
      <c r="A67" s="96" t="s">
        <v>332</v>
      </c>
      <c r="B67" s="103">
        <v>1</v>
      </c>
      <c r="C67" s="103">
        <v>11</v>
      </c>
      <c r="D67" s="103">
        <v>6</v>
      </c>
      <c r="E67" s="103"/>
      <c r="F67" s="103"/>
      <c r="G67" s="103"/>
      <c r="H67" s="135">
        <f>SUM(B67:G68)</f>
        <v>30</v>
      </c>
      <c r="I67" s="134" t="e">
        <v>#N/A</v>
      </c>
      <c r="J67" s="104" t="e">
        <v>#N/A</v>
      </c>
      <c r="K67" s="135" t="e">
        <v>#N/A</v>
      </c>
      <c r="L67" s="182"/>
      <c r="M67" s="115"/>
      <c r="N67" s="115"/>
      <c r="O67" s="115"/>
      <c r="P67" s="107"/>
      <c r="Q67" s="134" t="e">
        <v>#N/A</v>
      </c>
      <c r="R67" s="104" t="e">
        <v>#N/A</v>
      </c>
      <c r="S67" s="135" t="e">
        <v>#N/A</v>
      </c>
      <c r="T67" s="109" t="e">
        <v>#N/A</v>
      </c>
      <c r="X67" s="31" t="s">
        <v>385</v>
      </c>
      <c r="Y67" s="1"/>
      <c r="Z67" s="138"/>
    </row>
    <row r="68" spans="1:26" ht="13.5" thickBot="1">
      <c r="A68" s="99"/>
      <c r="B68" s="105"/>
      <c r="C68" s="105"/>
      <c r="D68" s="105"/>
      <c r="E68" s="105">
        <v>5</v>
      </c>
      <c r="F68" s="105">
        <v>7</v>
      </c>
      <c r="G68" s="105">
        <v>0</v>
      </c>
      <c r="H68" s="108" t="e">
        <v>#N/A</v>
      </c>
      <c r="I68" s="131" t="e">
        <v>#N/A</v>
      </c>
      <c r="J68" s="106" t="e">
        <v>#N/A</v>
      </c>
      <c r="K68" s="108" t="e">
        <v>#N/A</v>
      </c>
      <c r="L68" s="180"/>
      <c r="M68" s="106"/>
      <c r="N68" s="106"/>
      <c r="O68" s="106"/>
      <c r="P68" s="108"/>
      <c r="Q68" s="131" t="e">
        <v>#N/A</v>
      </c>
      <c r="R68" s="106" t="e">
        <v>#N/A</v>
      </c>
      <c r="S68" s="108" t="e">
        <v>#N/A</v>
      </c>
      <c r="T68" s="108" t="e">
        <v>#N/A</v>
      </c>
      <c r="X68" s="31" t="s">
        <v>386</v>
      </c>
      <c r="Y68" s="1"/>
      <c r="Z68" s="138"/>
    </row>
    <row r="69" spans="1:26" ht="13.5" thickBot="1">
      <c r="A69" s="97"/>
      <c r="B69" s="101"/>
      <c r="C69" s="101"/>
      <c r="D69" s="101"/>
      <c r="E69" s="101"/>
      <c r="F69" s="101"/>
      <c r="G69" s="101"/>
      <c r="H69" s="109" t="e">
        <v>#N/A</v>
      </c>
      <c r="I69" s="130" t="e">
        <v>#N/A</v>
      </c>
      <c r="J69" s="102" t="e">
        <v>#N/A</v>
      </c>
      <c r="K69" s="109" t="e">
        <v>#N/A</v>
      </c>
      <c r="L69" s="181"/>
      <c r="M69" s="102"/>
      <c r="N69" s="102"/>
      <c r="O69" s="102"/>
      <c r="P69" s="109"/>
      <c r="Q69" s="130" t="e">
        <v>#N/A</v>
      </c>
      <c r="R69" s="102" t="e">
        <v>#N/A</v>
      </c>
      <c r="S69" s="109" t="e">
        <v>#N/A</v>
      </c>
      <c r="T69" s="109" t="e">
        <v>#N/A</v>
      </c>
      <c r="X69" s="31" t="s">
        <v>330</v>
      </c>
      <c r="Y69" s="1"/>
      <c r="Z69" s="138"/>
    </row>
    <row r="70" spans="1:26">
      <c r="A70" s="96" t="s">
        <v>333</v>
      </c>
      <c r="B70" s="103">
        <v>1</v>
      </c>
      <c r="C70" s="103">
        <v>9</v>
      </c>
      <c r="D70" s="103">
        <v>4</v>
      </c>
      <c r="E70" s="103"/>
      <c r="F70" s="103"/>
      <c r="G70" s="103"/>
      <c r="H70" s="135">
        <f>SUM(B70:G71)</f>
        <v>27</v>
      </c>
      <c r="I70" s="134" t="e">
        <v>#N/A</v>
      </c>
      <c r="J70" s="104" t="e">
        <v>#N/A</v>
      </c>
      <c r="K70" s="135" t="e">
        <v>#N/A</v>
      </c>
      <c r="L70" s="182"/>
      <c r="M70" s="115"/>
      <c r="N70" s="115"/>
      <c r="O70" s="115"/>
      <c r="P70" s="107"/>
      <c r="Q70" s="134" t="e">
        <v>#N/A</v>
      </c>
      <c r="R70" s="104" t="e">
        <v>#N/A</v>
      </c>
      <c r="S70" s="135" t="e">
        <v>#N/A</v>
      </c>
      <c r="T70" s="109" t="e">
        <v>#N/A</v>
      </c>
      <c r="X70" s="31" t="s">
        <v>387</v>
      </c>
      <c r="Y70" s="1"/>
      <c r="Z70" s="138"/>
    </row>
    <row r="71" spans="1:26" ht="13.5" thickBot="1">
      <c r="A71" s="99"/>
      <c r="B71" s="105"/>
      <c r="C71" s="105"/>
      <c r="D71" s="105"/>
      <c r="E71" s="105">
        <v>2</v>
      </c>
      <c r="F71" s="105">
        <v>8</v>
      </c>
      <c r="G71" s="105">
        <v>3</v>
      </c>
      <c r="H71" s="108" t="e">
        <v>#N/A</v>
      </c>
      <c r="I71" s="131" t="e">
        <v>#N/A</v>
      </c>
      <c r="J71" s="106" t="e">
        <v>#N/A</v>
      </c>
      <c r="K71" s="108" t="e">
        <v>#N/A</v>
      </c>
      <c r="L71" s="180"/>
      <c r="M71" s="106"/>
      <c r="N71" s="106"/>
      <c r="O71" s="106"/>
      <c r="P71" s="108"/>
      <c r="Q71" s="131" t="e">
        <v>#N/A</v>
      </c>
      <c r="R71" s="106" t="e">
        <v>#N/A</v>
      </c>
      <c r="S71" s="108" t="e">
        <v>#N/A</v>
      </c>
      <c r="T71" s="108" t="e">
        <v>#N/A</v>
      </c>
      <c r="X71" s="31" t="s">
        <v>388</v>
      </c>
      <c r="Y71" s="1"/>
      <c r="Z71" s="138"/>
    </row>
    <row r="72" spans="1:26" ht="13.5" thickBot="1">
      <c r="A72" s="97"/>
      <c r="B72" s="101"/>
      <c r="C72" s="101"/>
      <c r="D72" s="101"/>
      <c r="E72" s="101"/>
      <c r="F72" s="101"/>
      <c r="G72" s="101"/>
      <c r="H72" s="109" t="e">
        <v>#N/A</v>
      </c>
      <c r="I72" s="130" t="e">
        <v>#N/A</v>
      </c>
      <c r="J72" s="102" t="e">
        <v>#N/A</v>
      </c>
      <c r="K72" s="109" t="e">
        <v>#N/A</v>
      </c>
      <c r="L72" s="181"/>
      <c r="M72" s="102"/>
      <c r="N72" s="102"/>
      <c r="O72" s="102"/>
      <c r="P72" s="109"/>
      <c r="Q72" s="130" t="e">
        <v>#N/A</v>
      </c>
      <c r="R72" s="102" t="e">
        <v>#N/A</v>
      </c>
      <c r="S72" s="109" t="e">
        <v>#N/A</v>
      </c>
      <c r="T72" s="109" t="e">
        <v>#N/A</v>
      </c>
      <c r="X72" s="31" t="s">
        <v>316</v>
      </c>
      <c r="Y72" s="1"/>
      <c r="Z72" s="138"/>
    </row>
    <row r="73" spans="1:26">
      <c r="A73" s="96" t="s">
        <v>334</v>
      </c>
      <c r="B73" s="103">
        <v>2</v>
      </c>
      <c r="C73" s="103">
        <v>13</v>
      </c>
      <c r="D73" s="103">
        <v>1</v>
      </c>
      <c r="E73" s="103"/>
      <c r="F73" s="103"/>
      <c r="G73" s="103"/>
      <c r="H73" s="135">
        <f>SUM(B73:G74)</f>
        <v>34</v>
      </c>
      <c r="I73" s="134" t="e">
        <v>#N/A</v>
      </c>
      <c r="J73" s="104" t="e">
        <v>#N/A</v>
      </c>
      <c r="K73" s="135" t="e">
        <v>#N/A</v>
      </c>
      <c r="L73" s="182"/>
      <c r="M73" s="115"/>
      <c r="N73" s="115"/>
      <c r="O73" s="115"/>
      <c r="P73" s="107"/>
      <c r="Q73" s="134" t="e">
        <v>#N/A</v>
      </c>
      <c r="R73" s="104" t="e">
        <v>#N/A</v>
      </c>
      <c r="S73" s="135" t="e">
        <v>#N/A</v>
      </c>
      <c r="T73" s="109" t="e">
        <v>#N/A</v>
      </c>
      <c r="X73" s="31" t="s">
        <v>348</v>
      </c>
      <c r="Y73" s="1"/>
      <c r="Z73" s="138"/>
    </row>
    <row r="74" spans="1:26" ht="13.5" thickBot="1">
      <c r="A74" s="99"/>
      <c r="B74" s="105"/>
      <c r="C74" s="105"/>
      <c r="D74" s="105"/>
      <c r="E74" s="105">
        <v>4</v>
      </c>
      <c r="F74" s="105">
        <v>12</v>
      </c>
      <c r="G74" s="105">
        <v>2</v>
      </c>
      <c r="H74" s="108" t="e">
        <v>#N/A</v>
      </c>
      <c r="I74" s="131" t="e">
        <v>#N/A</v>
      </c>
      <c r="J74" s="106" t="e">
        <v>#N/A</v>
      </c>
      <c r="K74" s="108" t="e">
        <v>#N/A</v>
      </c>
      <c r="L74" s="180"/>
      <c r="M74" s="106"/>
      <c r="N74" s="106"/>
      <c r="O74" s="106"/>
      <c r="P74" s="108"/>
      <c r="Q74" s="131" t="e">
        <v>#N/A</v>
      </c>
      <c r="R74" s="106" t="e">
        <v>#N/A</v>
      </c>
      <c r="S74" s="108" t="e">
        <v>#N/A</v>
      </c>
      <c r="T74" s="108" t="e">
        <v>#N/A</v>
      </c>
      <c r="X74" s="31" t="s">
        <v>369</v>
      </c>
      <c r="Y74" s="1"/>
      <c r="Z74" s="138"/>
    </row>
    <row r="75" spans="1:26" ht="13.5" thickBot="1">
      <c r="A75" s="97"/>
      <c r="B75" s="101"/>
      <c r="C75" s="101"/>
      <c r="D75" s="101"/>
      <c r="E75" s="101"/>
      <c r="F75" s="101"/>
      <c r="G75" s="101"/>
      <c r="H75" s="109" t="e">
        <v>#N/A</v>
      </c>
      <c r="I75" s="130" t="e">
        <v>#N/A</v>
      </c>
      <c r="J75" s="102" t="e">
        <v>#N/A</v>
      </c>
      <c r="K75" s="109" t="e">
        <v>#N/A</v>
      </c>
      <c r="L75" s="181"/>
      <c r="M75" s="102"/>
      <c r="N75" s="102"/>
      <c r="O75" s="102"/>
      <c r="P75" s="109"/>
      <c r="Q75" s="130" t="e">
        <v>#N/A</v>
      </c>
      <c r="R75" s="102" t="e">
        <v>#N/A</v>
      </c>
      <c r="S75" s="109" t="e">
        <v>#N/A</v>
      </c>
      <c r="T75" s="109" t="e">
        <v>#N/A</v>
      </c>
      <c r="X75" s="31" t="s">
        <v>374</v>
      </c>
      <c r="Y75" s="1"/>
      <c r="Z75" s="138"/>
    </row>
    <row r="76" spans="1:26" ht="13.5" thickBot="1">
      <c r="A76" s="96" t="s">
        <v>335</v>
      </c>
      <c r="B76" s="103">
        <v>0</v>
      </c>
      <c r="C76" s="103">
        <v>12</v>
      </c>
      <c r="D76" s="103">
        <v>2</v>
      </c>
      <c r="E76" s="103"/>
      <c r="F76" s="103"/>
      <c r="G76" s="103"/>
      <c r="H76" s="135">
        <f>SUM(B76:G77)</f>
        <v>33</v>
      </c>
      <c r="I76" s="134" t="e">
        <v>#N/A</v>
      </c>
      <c r="J76" s="104" t="e">
        <v>#N/A</v>
      </c>
      <c r="K76" s="135" t="e">
        <v>#N/A</v>
      </c>
      <c r="L76" s="182"/>
      <c r="M76" s="115"/>
      <c r="N76" s="115"/>
      <c r="O76" s="115"/>
      <c r="P76" s="107"/>
      <c r="Q76" s="134" t="e">
        <v>#N/A</v>
      </c>
      <c r="R76" s="104" t="e">
        <v>#N/A</v>
      </c>
      <c r="S76" s="135" t="e">
        <v>#N/A</v>
      </c>
      <c r="T76" s="109" t="e">
        <v>#N/A</v>
      </c>
      <c r="X76" s="32" t="s">
        <v>378</v>
      </c>
      <c r="Y76" s="21"/>
      <c r="Z76" s="139"/>
    </row>
    <row r="77" spans="1:26" ht="13.5" thickBot="1">
      <c r="A77" s="99"/>
      <c r="B77" s="105"/>
      <c r="C77" s="105"/>
      <c r="D77" s="105"/>
      <c r="E77" s="105">
        <v>4</v>
      </c>
      <c r="F77" s="105">
        <v>13</v>
      </c>
      <c r="G77" s="105">
        <v>2</v>
      </c>
      <c r="H77" s="108" t="e">
        <v>#N/A</v>
      </c>
      <c r="I77" s="131" t="e">
        <v>#N/A</v>
      </c>
      <c r="J77" s="106" t="e">
        <v>#N/A</v>
      </c>
      <c r="K77" s="108" t="e">
        <v>#N/A</v>
      </c>
      <c r="L77" s="180"/>
      <c r="M77" s="106"/>
      <c r="N77" s="106"/>
      <c r="O77" s="106"/>
      <c r="P77" s="108"/>
      <c r="Q77" s="131" t="e">
        <v>#N/A</v>
      </c>
      <c r="R77" s="106" t="e">
        <v>#N/A</v>
      </c>
      <c r="S77" s="108" t="e">
        <v>#N/A</v>
      </c>
      <c r="T77" s="108" t="e">
        <v>#N/A</v>
      </c>
    </row>
    <row r="78" spans="1:26" ht="13.5" thickBot="1">
      <c r="A78" s="97"/>
      <c r="B78" s="101"/>
      <c r="C78" s="101"/>
      <c r="D78" s="101"/>
      <c r="E78" s="101"/>
      <c r="F78" s="101"/>
      <c r="G78" s="101"/>
      <c r="H78" s="109" t="e">
        <v>#N/A</v>
      </c>
      <c r="I78" s="130" t="e">
        <v>#N/A</v>
      </c>
      <c r="J78" s="102" t="e">
        <v>#N/A</v>
      </c>
      <c r="K78" s="109" t="e">
        <v>#N/A</v>
      </c>
      <c r="L78" s="181"/>
      <c r="M78" s="102"/>
      <c r="N78" s="102"/>
      <c r="O78" s="102"/>
      <c r="P78" s="109"/>
      <c r="Q78" s="130" t="e">
        <v>#N/A</v>
      </c>
      <c r="R78" s="102" t="e">
        <v>#N/A</v>
      </c>
      <c r="S78" s="109" t="e">
        <v>#N/A</v>
      </c>
      <c r="T78" s="109" t="e">
        <v>#N/A</v>
      </c>
    </row>
    <row r="79" spans="1:26">
      <c r="A79" s="96" t="s">
        <v>336</v>
      </c>
      <c r="B79" s="103">
        <v>3</v>
      </c>
      <c r="C79" s="103">
        <v>6</v>
      </c>
      <c r="D79" s="103">
        <v>3</v>
      </c>
      <c r="E79" s="103"/>
      <c r="F79" s="103"/>
      <c r="G79" s="103"/>
      <c r="H79" s="135">
        <f>SUM(B79:G80)</f>
        <v>24</v>
      </c>
      <c r="I79" s="134" t="e">
        <v>#N/A</v>
      </c>
      <c r="J79" s="104" t="e">
        <v>#N/A</v>
      </c>
      <c r="K79" s="135" t="e">
        <v>#N/A</v>
      </c>
      <c r="L79" s="182"/>
      <c r="M79" s="115"/>
      <c r="N79" s="115"/>
      <c r="O79" s="115"/>
      <c r="P79" s="107"/>
      <c r="Q79" s="134" t="e">
        <v>#N/A</v>
      </c>
      <c r="R79" s="104" t="e">
        <v>#N/A</v>
      </c>
      <c r="S79" s="135" t="e">
        <v>#N/A</v>
      </c>
      <c r="T79" s="109" t="e">
        <v>#N/A</v>
      </c>
    </row>
    <row r="80" spans="1:26" ht="13.5" thickBot="1">
      <c r="A80" s="99"/>
      <c r="B80" s="105"/>
      <c r="C80" s="105"/>
      <c r="D80" s="105"/>
      <c r="E80" s="105">
        <v>2</v>
      </c>
      <c r="F80" s="105">
        <v>10</v>
      </c>
      <c r="G80" s="105">
        <v>0</v>
      </c>
      <c r="H80" s="108" t="e">
        <v>#N/A</v>
      </c>
      <c r="I80" s="131" t="e">
        <v>#N/A</v>
      </c>
      <c r="J80" s="106" t="e">
        <v>#N/A</v>
      </c>
      <c r="K80" s="108" t="e">
        <v>#N/A</v>
      </c>
      <c r="L80" s="180"/>
      <c r="M80" s="106"/>
      <c r="N80" s="106"/>
      <c r="O80" s="106"/>
      <c r="P80" s="108"/>
      <c r="Q80" s="131" t="e">
        <v>#N/A</v>
      </c>
      <c r="R80" s="106" t="e">
        <v>#N/A</v>
      </c>
      <c r="S80" s="108" t="e">
        <v>#N/A</v>
      </c>
      <c r="T80" s="108" t="e">
        <v>#N/A</v>
      </c>
    </row>
    <row r="81" spans="1:20" ht="13.5" thickBot="1">
      <c r="A81" s="97"/>
      <c r="B81" s="101"/>
      <c r="C81" s="101"/>
      <c r="D81" s="101"/>
      <c r="E81" s="101"/>
      <c r="F81" s="101"/>
      <c r="G81" s="101"/>
      <c r="H81" s="109" t="e">
        <v>#N/A</v>
      </c>
      <c r="I81" s="130" t="e">
        <v>#N/A</v>
      </c>
      <c r="J81" s="102" t="e">
        <v>#N/A</v>
      </c>
      <c r="K81" s="109" t="e">
        <v>#N/A</v>
      </c>
      <c r="L81" s="181"/>
      <c r="M81" s="102"/>
      <c r="N81" s="102"/>
      <c r="O81" s="102"/>
      <c r="P81" s="109"/>
      <c r="Q81" s="130" t="e">
        <v>#N/A</v>
      </c>
      <c r="R81" s="102" t="e">
        <v>#N/A</v>
      </c>
      <c r="S81" s="109" t="e">
        <v>#N/A</v>
      </c>
      <c r="T81" s="109" t="e">
        <v>#N/A</v>
      </c>
    </row>
    <row r="82" spans="1:20">
      <c r="A82" s="96" t="s">
        <v>337</v>
      </c>
      <c r="B82" s="103">
        <v>2</v>
      </c>
      <c r="C82" s="103">
        <v>4</v>
      </c>
      <c r="D82" s="103">
        <v>5</v>
      </c>
      <c r="E82" s="103"/>
      <c r="F82" s="103"/>
      <c r="G82" s="103"/>
      <c r="H82" s="135">
        <f>SUM(B82:G83)</f>
        <v>23</v>
      </c>
      <c r="I82" s="134" t="e">
        <v>#N/A</v>
      </c>
      <c r="J82" s="104" t="e">
        <v>#N/A</v>
      </c>
      <c r="K82" s="135" t="e">
        <v>#N/A</v>
      </c>
      <c r="L82" s="182"/>
      <c r="M82" s="115"/>
      <c r="N82" s="115"/>
      <c r="O82" s="115"/>
      <c r="P82" s="107"/>
      <c r="Q82" s="134" t="e">
        <v>#N/A</v>
      </c>
      <c r="R82" s="104" t="e">
        <v>#N/A</v>
      </c>
      <c r="S82" s="135" t="e">
        <v>#N/A</v>
      </c>
      <c r="T82" s="109" t="e">
        <v>#N/A</v>
      </c>
    </row>
    <row r="83" spans="1:20" ht="13.5" thickBot="1">
      <c r="A83" s="99"/>
      <c r="B83" s="105"/>
      <c r="C83" s="105"/>
      <c r="D83" s="105"/>
      <c r="E83" s="105">
        <v>1</v>
      </c>
      <c r="F83" s="105">
        <v>10</v>
      </c>
      <c r="G83" s="105">
        <v>1</v>
      </c>
      <c r="H83" s="108" t="e">
        <v>#N/A</v>
      </c>
      <c r="I83" s="131" t="e">
        <v>#N/A</v>
      </c>
      <c r="J83" s="106" t="e">
        <v>#N/A</v>
      </c>
      <c r="K83" s="108" t="e">
        <v>#N/A</v>
      </c>
      <c r="L83" s="180"/>
      <c r="M83" s="106"/>
      <c r="N83" s="106"/>
      <c r="O83" s="106"/>
      <c r="P83" s="108"/>
      <c r="Q83" s="131" t="e">
        <v>#N/A</v>
      </c>
      <c r="R83" s="106" t="e">
        <v>#N/A</v>
      </c>
      <c r="S83" s="108" t="e">
        <v>#N/A</v>
      </c>
      <c r="T83" s="108" t="e">
        <v>#N/A</v>
      </c>
    </row>
    <row r="84" spans="1:20" ht="13.5" thickBot="1">
      <c r="A84" s="97"/>
      <c r="B84" s="101"/>
      <c r="C84" s="101"/>
      <c r="D84" s="101"/>
      <c r="E84" s="101"/>
      <c r="F84" s="101"/>
      <c r="G84" s="101"/>
      <c r="H84" s="109" t="e">
        <v>#N/A</v>
      </c>
      <c r="I84" s="130" t="e">
        <v>#N/A</v>
      </c>
      <c r="J84" s="102" t="e">
        <v>#N/A</v>
      </c>
      <c r="K84" s="109" t="e">
        <v>#N/A</v>
      </c>
      <c r="L84" s="181"/>
      <c r="M84" s="102"/>
      <c r="N84" s="102"/>
      <c r="O84" s="102"/>
      <c r="P84" s="109"/>
      <c r="Q84" s="130" t="e">
        <v>#N/A</v>
      </c>
      <c r="R84" s="102" t="e">
        <v>#N/A</v>
      </c>
      <c r="S84" s="109" t="e">
        <v>#N/A</v>
      </c>
      <c r="T84" s="109" t="e">
        <v>#N/A</v>
      </c>
    </row>
    <row r="85" spans="1:20">
      <c r="A85" s="96" t="s">
        <v>338</v>
      </c>
      <c r="B85" s="103">
        <v>4</v>
      </c>
      <c r="C85" s="103">
        <v>9</v>
      </c>
      <c r="D85" s="103">
        <v>5</v>
      </c>
      <c r="E85" s="103"/>
      <c r="F85" s="103"/>
      <c r="G85" s="103"/>
      <c r="H85" s="135">
        <f>SUM(B85:G86)</f>
        <v>38</v>
      </c>
      <c r="I85" s="134" t="e">
        <v>#N/A</v>
      </c>
      <c r="J85" s="104" t="e">
        <v>#N/A</v>
      </c>
      <c r="K85" s="135" t="e">
        <v>#N/A</v>
      </c>
      <c r="L85" s="182"/>
      <c r="M85" s="115"/>
      <c r="N85" s="115"/>
      <c r="O85" s="115"/>
      <c r="P85" s="107"/>
      <c r="Q85" s="134" t="e">
        <v>#N/A</v>
      </c>
      <c r="R85" s="104" t="e">
        <v>#N/A</v>
      </c>
      <c r="S85" s="135" t="e">
        <v>#N/A</v>
      </c>
      <c r="T85" s="109" t="e">
        <v>#N/A</v>
      </c>
    </row>
    <row r="86" spans="1:20" ht="13.5" thickBot="1">
      <c r="A86" s="99"/>
      <c r="B86" s="105"/>
      <c r="C86" s="105"/>
      <c r="D86" s="105"/>
      <c r="E86" s="105">
        <v>1</v>
      </c>
      <c r="F86" s="105">
        <v>16</v>
      </c>
      <c r="G86" s="105">
        <v>3</v>
      </c>
      <c r="H86" s="108" t="e">
        <v>#N/A</v>
      </c>
      <c r="I86" s="131" t="e">
        <v>#N/A</v>
      </c>
      <c r="J86" s="106" t="e">
        <v>#N/A</v>
      </c>
      <c r="K86" s="108" t="e">
        <v>#N/A</v>
      </c>
      <c r="L86" s="180"/>
      <c r="M86" s="106"/>
      <c r="N86" s="106"/>
      <c r="O86" s="106"/>
      <c r="P86" s="108"/>
      <c r="Q86" s="131" t="e">
        <v>#N/A</v>
      </c>
      <c r="R86" s="106" t="e">
        <v>#N/A</v>
      </c>
      <c r="S86" s="108" t="e">
        <v>#N/A</v>
      </c>
      <c r="T86" s="108" t="e">
        <v>#N/A</v>
      </c>
    </row>
    <row r="87" spans="1:20" ht="13.5" thickBot="1">
      <c r="A87" s="97"/>
      <c r="B87" s="101"/>
      <c r="C87" s="101"/>
      <c r="D87" s="101"/>
      <c r="E87" s="101"/>
      <c r="F87" s="101"/>
      <c r="G87" s="101"/>
      <c r="H87" s="109" t="e">
        <v>#N/A</v>
      </c>
      <c r="I87" s="130" t="e">
        <v>#N/A</v>
      </c>
      <c r="J87" s="102" t="e">
        <v>#N/A</v>
      </c>
      <c r="K87" s="109" t="e">
        <v>#N/A</v>
      </c>
      <c r="L87" s="181"/>
      <c r="M87" s="102"/>
      <c r="N87" s="102"/>
      <c r="O87" s="102"/>
      <c r="P87" s="109"/>
      <c r="Q87" s="130" t="e">
        <v>#N/A</v>
      </c>
      <c r="R87" s="102" t="e">
        <v>#N/A</v>
      </c>
      <c r="S87" s="109" t="e">
        <v>#N/A</v>
      </c>
      <c r="T87" s="109" t="e">
        <v>#N/A</v>
      </c>
    </row>
    <row r="88" spans="1:20">
      <c r="A88" s="96" t="s">
        <v>339</v>
      </c>
      <c r="B88" s="103">
        <v>2</v>
      </c>
      <c r="C88" s="103">
        <v>9</v>
      </c>
      <c r="D88" s="103">
        <v>3</v>
      </c>
      <c r="E88" s="103"/>
      <c r="F88" s="103"/>
      <c r="G88" s="103"/>
      <c r="H88" s="135">
        <f>SUM(B88:G89)</f>
        <v>31</v>
      </c>
      <c r="I88" s="134" t="e">
        <v>#N/A</v>
      </c>
      <c r="J88" s="104" t="e">
        <v>#N/A</v>
      </c>
      <c r="K88" s="135" t="e">
        <v>#N/A</v>
      </c>
      <c r="L88" s="182"/>
      <c r="M88" s="115"/>
      <c r="N88" s="115"/>
      <c r="O88" s="115"/>
      <c r="P88" s="107"/>
      <c r="Q88" s="134" t="e">
        <v>#N/A</v>
      </c>
      <c r="R88" s="104" t="e">
        <v>#N/A</v>
      </c>
      <c r="S88" s="135" t="e">
        <v>#N/A</v>
      </c>
      <c r="T88" s="109" t="e">
        <v>#N/A</v>
      </c>
    </row>
    <row r="89" spans="1:20" ht="13.5" thickBot="1">
      <c r="A89" s="99"/>
      <c r="B89" s="105"/>
      <c r="C89" s="105"/>
      <c r="D89" s="105"/>
      <c r="E89" s="105">
        <v>2</v>
      </c>
      <c r="F89" s="105">
        <v>13</v>
      </c>
      <c r="G89" s="105">
        <v>2</v>
      </c>
      <c r="H89" s="108" t="e">
        <v>#N/A</v>
      </c>
      <c r="I89" s="131" t="e">
        <v>#N/A</v>
      </c>
      <c r="J89" s="106" t="e">
        <v>#N/A</v>
      </c>
      <c r="K89" s="108" t="e">
        <v>#N/A</v>
      </c>
      <c r="L89" s="180"/>
      <c r="M89" s="106"/>
      <c r="N89" s="106"/>
      <c r="O89" s="106"/>
      <c r="P89" s="108"/>
      <c r="Q89" s="131" t="e">
        <v>#N/A</v>
      </c>
      <c r="R89" s="106" t="e">
        <v>#N/A</v>
      </c>
      <c r="S89" s="108" t="e">
        <v>#N/A</v>
      </c>
      <c r="T89" s="108" t="e">
        <v>#N/A</v>
      </c>
    </row>
    <row r="90" spans="1:20" ht="13.5" thickBot="1">
      <c r="A90" s="97"/>
      <c r="B90" s="101"/>
      <c r="C90" s="101"/>
      <c r="D90" s="101"/>
      <c r="E90" s="101"/>
      <c r="F90" s="101"/>
      <c r="G90" s="101"/>
      <c r="H90" s="109" t="e">
        <v>#N/A</v>
      </c>
      <c r="I90" s="130" t="e">
        <v>#N/A</v>
      </c>
      <c r="J90" s="102" t="e">
        <v>#N/A</v>
      </c>
      <c r="K90" s="109" t="e">
        <v>#N/A</v>
      </c>
      <c r="L90" s="181"/>
      <c r="M90" s="102"/>
      <c r="N90" s="102"/>
      <c r="O90" s="102"/>
      <c r="P90" s="109"/>
      <c r="Q90" s="130" t="e">
        <v>#N/A</v>
      </c>
      <c r="R90" s="102" t="e">
        <v>#N/A</v>
      </c>
      <c r="S90" s="109" t="e">
        <v>#N/A</v>
      </c>
      <c r="T90" s="109" t="e">
        <v>#N/A</v>
      </c>
    </row>
    <row r="91" spans="1:20">
      <c r="A91" s="96" t="s">
        <v>340</v>
      </c>
      <c r="B91" s="103">
        <v>2</v>
      </c>
      <c r="C91" s="103">
        <v>17</v>
      </c>
      <c r="D91" s="103">
        <v>3</v>
      </c>
      <c r="E91" s="103"/>
      <c r="F91" s="103"/>
      <c r="G91" s="103"/>
      <c r="H91" s="135">
        <f>SUM(B91:G92)</f>
        <v>36</v>
      </c>
      <c r="I91" s="134" t="e">
        <v>#N/A</v>
      </c>
      <c r="J91" s="104" t="e">
        <v>#N/A</v>
      </c>
      <c r="K91" s="135" t="e">
        <v>#N/A</v>
      </c>
      <c r="L91" s="182"/>
      <c r="M91" s="115"/>
      <c r="N91" s="115"/>
      <c r="O91" s="115"/>
      <c r="P91" s="107"/>
      <c r="Q91" s="134" t="e">
        <v>#N/A</v>
      </c>
      <c r="R91" s="104" t="e">
        <v>#N/A</v>
      </c>
      <c r="S91" s="135" t="e">
        <v>#N/A</v>
      </c>
      <c r="T91" s="109" t="e">
        <v>#N/A</v>
      </c>
    </row>
    <row r="92" spans="1:20" ht="13.5" thickBot="1">
      <c r="A92" s="99"/>
      <c r="B92" s="105"/>
      <c r="C92" s="105"/>
      <c r="D92" s="105"/>
      <c r="E92" s="105">
        <v>2</v>
      </c>
      <c r="F92" s="105">
        <v>9</v>
      </c>
      <c r="G92" s="105">
        <v>3</v>
      </c>
      <c r="H92" s="108" t="e">
        <v>#N/A</v>
      </c>
      <c r="I92" s="131" t="e">
        <v>#N/A</v>
      </c>
      <c r="J92" s="106" t="e">
        <v>#N/A</v>
      </c>
      <c r="K92" s="108" t="e">
        <v>#N/A</v>
      </c>
      <c r="L92" s="180"/>
      <c r="M92" s="106"/>
      <c r="N92" s="106"/>
      <c r="O92" s="106"/>
      <c r="P92" s="108"/>
      <c r="Q92" s="131" t="e">
        <v>#N/A</v>
      </c>
      <c r="R92" s="106" t="e">
        <v>#N/A</v>
      </c>
      <c r="S92" s="108" t="e">
        <v>#N/A</v>
      </c>
      <c r="T92" s="108" t="e">
        <v>#N/A</v>
      </c>
    </row>
    <row r="93" spans="1:20" ht="13.5" thickBot="1">
      <c r="A93" s="97"/>
      <c r="B93" s="101"/>
      <c r="C93" s="101"/>
      <c r="D93" s="101"/>
      <c r="E93" s="101"/>
      <c r="F93" s="101"/>
      <c r="G93" s="101"/>
      <c r="H93" s="109" t="e">
        <v>#N/A</v>
      </c>
      <c r="I93" s="130" t="e">
        <v>#N/A</v>
      </c>
      <c r="J93" s="102" t="e">
        <v>#N/A</v>
      </c>
      <c r="K93" s="109" t="e">
        <v>#N/A</v>
      </c>
      <c r="L93" s="181"/>
      <c r="M93" s="102"/>
      <c r="N93" s="102"/>
      <c r="O93" s="102"/>
      <c r="P93" s="109"/>
      <c r="Q93" s="130" t="e">
        <v>#N/A</v>
      </c>
      <c r="R93" s="102" t="e">
        <v>#N/A</v>
      </c>
      <c r="S93" s="109" t="e">
        <v>#N/A</v>
      </c>
      <c r="T93" s="109" t="e">
        <v>#N/A</v>
      </c>
    </row>
    <row r="94" spans="1:20">
      <c r="A94" s="96" t="s">
        <v>341</v>
      </c>
      <c r="B94" s="103">
        <v>2</v>
      </c>
      <c r="C94" s="103">
        <v>16</v>
      </c>
      <c r="D94" s="103">
        <v>3</v>
      </c>
      <c r="E94" s="103"/>
      <c r="F94" s="103"/>
      <c r="G94" s="103"/>
      <c r="H94" s="135">
        <f>SUM(B94:G95)</f>
        <v>43</v>
      </c>
      <c r="I94" s="134" t="e">
        <v>#N/A</v>
      </c>
      <c r="J94" s="104" t="e">
        <v>#N/A</v>
      </c>
      <c r="K94" s="135" t="e">
        <v>#N/A</v>
      </c>
      <c r="L94" s="182"/>
      <c r="M94" s="115"/>
      <c r="N94" s="115"/>
      <c r="O94" s="115"/>
      <c r="P94" s="107"/>
      <c r="Q94" s="134" t="e">
        <v>#N/A</v>
      </c>
      <c r="R94" s="104" t="e">
        <v>#N/A</v>
      </c>
      <c r="S94" s="135" t="e">
        <v>#N/A</v>
      </c>
      <c r="T94" s="109" t="e">
        <v>#N/A</v>
      </c>
    </row>
    <row r="95" spans="1:20" ht="13.5" thickBot="1">
      <c r="A95" s="99"/>
      <c r="B95" s="105"/>
      <c r="C95" s="105"/>
      <c r="D95" s="105"/>
      <c r="E95" s="105">
        <v>5</v>
      </c>
      <c r="F95" s="105">
        <v>12</v>
      </c>
      <c r="G95" s="105">
        <v>5</v>
      </c>
      <c r="H95" s="108" t="e">
        <v>#N/A</v>
      </c>
      <c r="I95" s="131" t="e">
        <v>#N/A</v>
      </c>
      <c r="J95" s="106" t="e">
        <v>#N/A</v>
      </c>
      <c r="K95" s="108" t="e">
        <v>#N/A</v>
      </c>
      <c r="L95" s="180"/>
      <c r="M95" s="106"/>
      <c r="N95" s="106"/>
      <c r="O95" s="106"/>
      <c r="P95" s="108"/>
      <c r="Q95" s="131" t="e">
        <v>#N/A</v>
      </c>
      <c r="R95" s="106" t="e">
        <v>#N/A</v>
      </c>
      <c r="S95" s="108" t="e">
        <v>#N/A</v>
      </c>
      <c r="T95" s="108" t="e">
        <v>#N/A</v>
      </c>
    </row>
    <row r="96" spans="1:20" ht="13.5" thickBot="1">
      <c r="A96" s="97"/>
      <c r="B96" s="101"/>
      <c r="C96" s="101"/>
      <c r="D96" s="101"/>
      <c r="E96" s="101"/>
      <c r="F96" s="101"/>
      <c r="G96" s="101"/>
      <c r="H96" s="109" t="e">
        <v>#N/A</v>
      </c>
      <c r="I96" s="130" t="e">
        <v>#N/A</v>
      </c>
      <c r="J96" s="102" t="e">
        <v>#N/A</v>
      </c>
      <c r="K96" s="109" t="e">
        <v>#N/A</v>
      </c>
      <c r="L96" s="181"/>
      <c r="M96" s="102"/>
      <c r="N96" s="102"/>
      <c r="O96" s="102"/>
      <c r="P96" s="109"/>
      <c r="Q96" s="130" t="e">
        <v>#N/A</v>
      </c>
      <c r="R96" s="102" t="e">
        <v>#N/A</v>
      </c>
      <c r="S96" s="109" t="e">
        <v>#N/A</v>
      </c>
      <c r="T96" s="109" t="e">
        <v>#N/A</v>
      </c>
    </row>
    <row r="97" spans="1:20">
      <c r="A97" s="96" t="s">
        <v>342</v>
      </c>
      <c r="B97" s="103">
        <v>3</v>
      </c>
      <c r="C97" s="103">
        <v>17</v>
      </c>
      <c r="D97" s="103">
        <v>3</v>
      </c>
      <c r="E97" s="103"/>
      <c r="F97" s="103"/>
      <c r="G97" s="103"/>
      <c r="H97" s="135">
        <f>SUM(B97:G98)</f>
        <v>49</v>
      </c>
      <c r="I97" s="134" t="e">
        <v>#N/A</v>
      </c>
      <c r="J97" s="104" t="e">
        <v>#N/A</v>
      </c>
      <c r="K97" s="135" t="e">
        <v>#N/A</v>
      </c>
      <c r="L97" s="182"/>
      <c r="M97" s="115"/>
      <c r="N97" s="115"/>
      <c r="O97" s="115"/>
      <c r="P97" s="107"/>
      <c r="Q97" s="134" t="e">
        <v>#N/A</v>
      </c>
      <c r="R97" s="104" t="e">
        <v>#N/A</v>
      </c>
      <c r="S97" s="135" t="e">
        <v>#N/A</v>
      </c>
      <c r="T97" s="109" t="e">
        <v>#N/A</v>
      </c>
    </row>
    <row r="98" spans="1:20" ht="13.5" thickBot="1">
      <c r="A98" s="99"/>
      <c r="B98" s="105"/>
      <c r="C98" s="105"/>
      <c r="D98" s="105"/>
      <c r="E98" s="105">
        <v>4</v>
      </c>
      <c r="F98" s="105">
        <v>15</v>
      </c>
      <c r="G98" s="105">
        <v>7</v>
      </c>
      <c r="H98" s="108" t="e">
        <v>#N/A</v>
      </c>
      <c r="I98" s="131" t="e">
        <v>#N/A</v>
      </c>
      <c r="J98" s="106" t="e">
        <v>#N/A</v>
      </c>
      <c r="K98" s="108" t="e">
        <v>#N/A</v>
      </c>
      <c r="L98" s="180"/>
      <c r="M98" s="106"/>
      <c r="N98" s="106"/>
      <c r="O98" s="106"/>
      <c r="P98" s="108"/>
      <c r="Q98" s="131" t="e">
        <v>#N/A</v>
      </c>
      <c r="R98" s="106" t="e">
        <v>#N/A</v>
      </c>
      <c r="S98" s="108" t="e">
        <v>#N/A</v>
      </c>
      <c r="T98" s="108" t="e">
        <v>#N/A</v>
      </c>
    </row>
    <row r="99" spans="1:20" ht="13.5" thickBot="1">
      <c r="A99" s="97"/>
      <c r="B99" s="101"/>
      <c r="C99" s="101"/>
      <c r="D99" s="101"/>
      <c r="E99" s="101"/>
      <c r="F99" s="101"/>
      <c r="G99" s="101"/>
      <c r="H99" s="109" t="e">
        <v>#N/A</v>
      </c>
      <c r="I99" s="130" t="e">
        <v>#N/A</v>
      </c>
      <c r="J99" s="102" t="e">
        <v>#N/A</v>
      </c>
      <c r="K99" s="109" t="e">
        <v>#N/A</v>
      </c>
      <c r="L99" s="181"/>
      <c r="M99" s="102"/>
      <c r="N99" s="102"/>
      <c r="O99" s="102"/>
      <c r="P99" s="109"/>
      <c r="Q99" s="130" t="e">
        <v>#N/A</v>
      </c>
      <c r="R99" s="102" t="e">
        <v>#N/A</v>
      </c>
      <c r="S99" s="109" t="e">
        <v>#N/A</v>
      </c>
      <c r="T99" s="109" t="e">
        <v>#N/A</v>
      </c>
    </row>
    <row r="100" spans="1:20">
      <c r="A100" s="96" t="s">
        <v>343</v>
      </c>
      <c r="B100" s="103">
        <v>3</v>
      </c>
      <c r="C100" s="103">
        <v>17</v>
      </c>
      <c r="D100" s="103">
        <v>5</v>
      </c>
      <c r="E100" s="103"/>
      <c r="F100" s="103"/>
      <c r="G100" s="103"/>
      <c r="H100" s="135">
        <f>SUM(B100:G101)</f>
        <v>53</v>
      </c>
      <c r="I100" s="134" t="e">
        <v>#N/A</v>
      </c>
      <c r="J100" s="104" t="e">
        <v>#N/A</v>
      </c>
      <c r="K100" s="135" t="e">
        <v>#N/A</v>
      </c>
      <c r="L100" s="182"/>
      <c r="M100" s="115"/>
      <c r="N100" s="115"/>
      <c r="O100" s="115"/>
      <c r="P100" s="107"/>
      <c r="Q100" s="134" t="e">
        <v>#N/A</v>
      </c>
      <c r="R100" s="104" t="e">
        <v>#N/A</v>
      </c>
      <c r="S100" s="135" t="e">
        <v>#N/A</v>
      </c>
      <c r="T100" s="109" t="e">
        <v>#N/A</v>
      </c>
    </row>
    <row r="101" spans="1:20" ht="13.5" thickBot="1">
      <c r="A101" s="99"/>
      <c r="B101" s="105"/>
      <c r="C101" s="105"/>
      <c r="D101" s="105"/>
      <c r="E101" s="105">
        <v>4</v>
      </c>
      <c r="F101" s="105">
        <v>18</v>
      </c>
      <c r="G101" s="105">
        <v>6</v>
      </c>
      <c r="H101" s="108" t="e">
        <v>#N/A</v>
      </c>
      <c r="I101" s="131" t="e">
        <v>#N/A</v>
      </c>
      <c r="J101" s="106" t="e">
        <v>#N/A</v>
      </c>
      <c r="K101" s="108" t="e">
        <v>#N/A</v>
      </c>
      <c r="L101" s="180"/>
      <c r="M101" s="106"/>
      <c r="N101" s="106"/>
      <c r="O101" s="106"/>
      <c r="P101" s="108"/>
      <c r="Q101" s="131" t="e">
        <v>#N/A</v>
      </c>
      <c r="R101" s="106" t="e">
        <v>#N/A</v>
      </c>
      <c r="S101" s="108" t="e">
        <v>#N/A</v>
      </c>
      <c r="T101" s="108" t="e">
        <v>#N/A</v>
      </c>
    </row>
    <row r="102" spans="1:20" ht="13.5" thickBot="1">
      <c r="A102" s="97"/>
      <c r="B102" s="101"/>
      <c r="C102" s="101"/>
      <c r="D102" s="101"/>
      <c r="E102" s="101"/>
      <c r="F102" s="101"/>
      <c r="G102" s="101"/>
      <c r="H102" s="109" t="e">
        <v>#N/A</v>
      </c>
      <c r="I102" s="130" t="e">
        <v>#N/A</v>
      </c>
      <c r="J102" s="102" t="e">
        <v>#N/A</v>
      </c>
      <c r="K102" s="109" t="e">
        <v>#N/A</v>
      </c>
      <c r="L102" s="181"/>
      <c r="M102" s="102"/>
      <c r="N102" s="102"/>
      <c r="O102" s="102"/>
      <c r="P102" s="109"/>
      <c r="Q102" s="130" t="e">
        <v>#N/A</v>
      </c>
      <c r="R102" s="102" t="e">
        <v>#N/A</v>
      </c>
      <c r="S102" s="109" t="e">
        <v>#N/A</v>
      </c>
      <c r="T102" s="109" t="e">
        <v>#N/A</v>
      </c>
    </row>
    <row r="103" spans="1:20">
      <c r="A103" s="96" t="s">
        <v>344</v>
      </c>
      <c r="B103" s="103">
        <v>1</v>
      </c>
      <c r="C103" s="103">
        <v>14</v>
      </c>
      <c r="D103" s="103">
        <v>1</v>
      </c>
      <c r="E103" s="103"/>
      <c r="F103" s="103"/>
      <c r="G103" s="103"/>
      <c r="H103" s="135">
        <f>SUM(B103:G104)</f>
        <v>44</v>
      </c>
      <c r="I103" s="134" t="e">
        <v>#N/A</v>
      </c>
      <c r="J103" s="104" t="e">
        <v>#N/A</v>
      </c>
      <c r="K103" s="135" t="e">
        <v>#N/A</v>
      </c>
      <c r="L103" s="182"/>
      <c r="M103" s="115"/>
      <c r="N103" s="115"/>
      <c r="O103" s="115"/>
      <c r="P103" s="107"/>
      <c r="Q103" s="134" t="e">
        <v>#N/A</v>
      </c>
      <c r="R103" s="104" t="e">
        <v>#N/A</v>
      </c>
      <c r="S103" s="135" t="e">
        <v>#N/A</v>
      </c>
      <c r="T103" s="109" t="e">
        <v>#N/A</v>
      </c>
    </row>
    <row r="104" spans="1:20" ht="13.5" thickBot="1">
      <c r="A104" s="99"/>
      <c r="B104" s="105"/>
      <c r="C104" s="105"/>
      <c r="D104" s="105"/>
      <c r="E104" s="105">
        <v>5</v>
      </c>
      <c r="F104" s="105">
        <v>19</v>
      </c>
      <c r="G104" s="105">
        <v>4</v>
      </c>
      <c r="H104" s="108" t="e">
        <v>#N/A</v>
      </c>
      <c r="I104" s="131" t="e">
        <v>#N/A</v>
      </c>
      <c r="J104" s="106" t="e">
        <v>#N/A</v>
      </c>
      <c r="K104" s="108" t="e">
        <v>#N/A</v>
      </c>
      <c r="L104" s="180"/>
      <c r="M104" s="106"/>
      <c r="N104" s="106"/>
      <c r="O104" s="106"/>
      <c r="P104" s="108"/>
      <c r="Q104" s="131" t="e">
        <v>#N/A</v>
      </c>
      <c r="R104" s="106" t="e">
        <v>#N/A</v>
      </c>
      <c r="S104" s="108" t="e">
        <v>#N/A</v>
      </c>
      <c r="T104" s="108" t="e">
        <v>#N/A</v>
      </c>
    </row>
    <row r="105" spans="1:20" ht="13.5" thickBot="1">
      <c r="A105" s="97"/>
      <c r="B105" s="101"/>
      <c r="C105" s="101"/>
      <c r="D105" s="101"/>
      <c r="E105" s="101"/>
      <c r="F105" s="101"/>
      <c r="G105" s="101"/>
      <c r="H105" s="109" t="e">
        <v>#N/A</v>
      </c>
      <c r="I105" s="130" t="e">
        <v>#N/A</v>
      </c>
      <c r="J105" s="102" t="e">
        <v>#N/A</v>
      </c>
      <c r="K105" s="109" t="e">
        <v>#N/A</v>
      </c>
      <c r="L105" s="181"/>
      <c r="M105" s="102"/>
      <c r="N105" s="102"/>
      <c r="O105" s="102"/>
      <c r="P105" s="109"/>
      <c r="Q105" s="130" t="e">
        <v>#N/A</v>
      </c>
      <c r="R105" s="102" t="e">
        <v>#N/A</v>
      </c>
      <c r="S105" s="109" t="e">
        <v>#N/A</v>
      </c>
      <c r="T105" s="109" t="e">
        <v>#N/A</v>
      </c>
    </row>
    <row r="106" spans="1:20">
      <c r="A106" s="96" t="s">
        <v>345</v>
      </c>
      <c r="B106" s="103">
        <v>1</v>
      </c>
      <c r="C106" s="103">
        <v>12</v>
      </c>
      <c r="D106" s="103">
        <v>1</v>
      </c>
      <c r="E106" s="103"/>
      <c r="F106" s="103"/>
      <c r="G106" s="103"/>
      <c r="H106" s="135">
        <f>SUM(B106:G107)</f>
        <v>44</v>
      </c>
      <c r="I106" s="134" t="e">
        <v>#N/A</v>
      </c>
      <c r="J106" s="104" t="e">
        <v>#N/A</v>
      </c>
      <c r="K106" s="135" t="e">
        <v>#N/A</v>
      </c>
      <c r="L106" s="182"/>
      <c r="M106" s="115"/>
      <c r="N106" s="115"/>
      <c r="O106" s="115"/>
      <c r="P106" s="107"/>
      <c r="Q106" s="134" t="e">
        <v>#N/A</v>
      </c>
      <c r="R106" s="104" t="e">
        <v>#N/A</v>
      </c>
      <c r="S106" s="135" t="e">
        <v>#N/A</v>
      </c>
      <c r="T106" s="109" t="e">
        <v>#N/A</v>
      </c>
    </row>
    <row r="107" spans="1:20" ht="13.5" thickBot="1">
      <c r="A107" s="99"/>
      <c r="B107" s="105"/>
      <c r="C107" s="105"/>
      <c r="D107" s="105"/>
      <c r="E107" s="105">
        <v>6</v>
      </c>
      <c r="F107" s="105">
        <v>19</v>
      </c>
      <c r="G107" s="105">
        <v>5</v>
      </c>
      <c r="H107" s="108" t="e">
        <v>#N/A</v>
      </c>
      <c r="I107" s="131" t="e">
        <v>#N/A</v>
      </c>
      <c r="J107" s="106" t="e">
        <v>#N/A</v>
      </c>
      <c r="K107" s="108" t="e">
        <v>#N/A</v>
      </c>
      <c r="L107" s="180"/>
      <c r="M107" s="106"/>
      <c r="N107" s="106"/>
      <c r="O107" s="106"/>
      <c r="P107" s="108"/>
      <c r="Q107" s="131" t="e">
        <v>#N/A</v>
      </c>
      <c r="R107" s="106" t="e">
        <v>#N/A</v>
      </c>
      <c r="S107" s="108" t="e">
        <v>#N/A</v>
      </c>
      <c r="T107" s="108" t="e">
        <v>#N/A</v>
      </c>
    </row>
    <row r="108" spans="1:20" ht="13.5" thickBot="1">
      <c r="A108" s="95"/>
      <c r="B108" s="37"/>
      <c r="C108" s="37"/>
      <c r="D108" s="37"/>
      <c r="E108" s="37"/>
      <c r="F108" s="37"/>
      <c r="G108" s="37"/>
      <c r="H108" s="189" t="e">
        <v>#N/A</v>
      </c>
      <c r="I108" s="130" t="e">
        <v>#N/A</v>
      </c>
      <c r="J108" s="102" t="e">
        <v>#N/A</v>
      </c>
      <c r="K108" s="109" t="e">
        <v>#N/A</v>
      </c>
      <c r="L108" s="183"/>
      <c r="M108" s="116"/>
      <c r="N108" s="116"/>
      <c r="O108" s="116"/>
      <c r="P108" s="117"/>
      <c r="Q108" s="130" t="e">
        <v>#N/A</v>
      </c>
      <c r="R108" s="102" t="e">
        <v>#N/A</v>
      </c>
      <c r="S108" s="109" t="e">
        <v>#N/A</v>
      </c>
      <c r="T108" s="109" t="e">
        <v>#N/A</v>
      </c>
    </row>
    <row r="109" spans="1:20">
      <c r="A109" s="88" t="s">
        <v>328</v>
      </c>
      <c r="B109" s="39">
        <v>4</v>
      </c>
      <c r="C109" s="39">
        <v>19</v>
      </c>
      <c r="D109" s="39">
        <v>3</v>
      </c>
      <c r="E109" s="36"/>
      <c r="F109" s="36"/>
      <c r="G109" s="36"/>
      <c r="H109" s="190">
        <f>SUM(B109:G110)</f>
        <v>65</v>
      </c>
      <c r="I109" s="134" t="e">
        <v>#N/A</v>
      </c>
      <c r="J109" s="104" t="e">
        <v>#N/A</v>
      </c>
      <c r="K109" s="135" t="e">
        <v>#N/A</v>
      </c>
      <c r="L109" s="184"/>
      <c r="M109" s="118"/>
      <c r="N109" s="118"/>
      <c r="O109" s="118"/>
      <c r="P109" s="119"/>
      <c r="Q109" s="134" t="e">
        <v>#N/A</v>
      </c>
      <c r="R109" s="104" t="e">
        <v>#N/A</v>
      </c>
      <c r="S109" s="135" t="e">
        <v>#N/A</v>
      </c>
      <c r="T109" s="109" t="e">
        <v>#N/A</v>
      </c>
    </row>
    <row r="110" spans="1:20" ht="13.5" thickBot="1">
      <c r="A110" s="91"/>
      <c r="B110" s="47"/>
      <c r="C110" s="47"/>
      <c r="D110" s="47"/>
      <c r="E110" s="47">
        <v>9</v>
      </c>
      <c r="F110" s="47">
        <v>22</v>
      </c>
      <c r="G110" s="47">
        <v>8</v>
      </c>
      <c r="H110" s="191" t="e">
        <v>#N/A</v>
      </c>
      <c r="I110" s="131" t="e">
        <v>#N/A</v>
      </c>
      <c r="J110" s="106" t="e">
        <v>#N/A</v>
      </c>
      <c r="K110" s="108" t="e">
        <v>#N/A</v>
      </c>
      <c r="L110" s="185"/>
      <c r="M110" s="120"/>
      <c r="N110" s="120"/>
      <c r="O110" s="120"/>
      <c r="P110" s="121"/>
      <c r="Q110" s="131" t="e">
        <v>#N/A</v>
      </c>
      <c r="R110" s="106" t="e">
        <v>#N/A</v>
      </c>
      <c r="S110" s="108" t="e">
        <v>#N/A</v>
      </c>
      <c r="T110" s="108" t="e">
        <v>#N/A</v>
      </c>
    </row>
    <row r="111" spans="1:20" ht="13.5" thickBot="1">
      <c r="A111" s="94"/>
      <c r="B111" s="38"/>
      <c r="C111" s="38"/>
      <c r="D111" s="38"/>
      <c r="E111" s="38"/>
      <c r="F111" s="38"/>
      <c r="G111" s="38"/>
      <c r="H111" s="192" t="e">
        <v>#N/A</v>
      </c>
      <c r="I111" s="130" t="e">
        <v>#N/A</v>
      </c>
      <c r="J111" s="102" t="e">
        <v>#N/A</v>
      </c>
      <c r="K111" s="109" t="e">
        <v>#N/A</v>
      </c>
      <c r="L111" s="186"/>
      <c r="M111" s="122"/>
      <c r="N111" s="122"/>
      <c r="O111" s="122"/>
      <c r="P111" s="123"/>
      <c r="Q111" s="130" t="e">
        <v>#N/A</v>
      </c>
      <c r="R111" s="102" t="e">
        <v>#N/A</v>
      </c>
      <c r="S111" s="109" t="e">
        <v>#N/A</v>
      </c>
      <c r="T111" s="109" t="e">
        <v>#N/A</v>
      </c>
    </row>
    <row r="112" spans="1:20">
      <c r="A112" s="88" t="s">
        <v>329</v>
      </c>
      <c r="B112" s="39">
        <v>5</v>
      </c>
      <c r="C112" s="39">
        <v>20</v>
      </c>
      <c r="D112" s="39">
        <v>3</v>
      </c>
      <c r="E112" s="39"/>
      <c r="F112" s="39"/>
      <c r="G112" s="39"/>
      <c r="H112" s="190">
        <f>SUM(B112:G113)</f>
        <v>62</v>
      </c>
      <c r="I112" s="134" t="e">
        <v>#N/A</v>
      </c>
      <c r="J112" s="104" t="e">
        <v>#N/A</v>
      </c>
      <c r="K112" s="135" t="e">
        <v>#N/A</v>
      </c>
      <c r="L112" s="184"/>
      <c r="M112" s="118"/>
      <c r="N112" s="118"/>
      <c r="O112" s="118"/>
      <c r="P112" s="119"/>
      <c r="Q112" s="134" t="e">
        <v>#N/A</v>
      </c>
      <c r="R112" s="104" t="e">
        <v>#N/A</v>
      </c>
      <c r="S112" s="135" t="e">
        <v>#N/A</v>
      </c>
      <c r="T112" s="109" t="e">
        <v>#N/A</v>
      </c>
    </row>
    <row r="113" spans="1:20" ht="13.5" thickBot="1">
      <c r="A113" s="89"/>
      <c r="B113" s="40"/>
      <c r="C113" s="40"/>
      <c r="D113" s="40"/>
      <c r="E113" s="40">
        <v>6</v>
      </c>
      <c r="F113" s="40">
        <v>20</v>
      </c>
      <c r="G113" s="40">
        <v>8</v>
      </c>
      <c r="H113" s="193" t="e">
        <v>#N/A</v>
      </c>
      <c r="I113" s="131" t="e">
        <v>#N/A</v>
      </c>
      <c r="J113" s="106" t="e">
        <v>#N/A</v>
      </c>
      <c r="K113" s="108" t="e">
        <v>#N/A</v>
      </c>
      <c r="L113" s="187"/>
      <c r="M113" s="124"/>
      <c r="N113" s="124"/>
      <c r="O113" s="124"/>
      <c r="P113" s="125"/>
      <c r="Q113" s="131" t="e">
        <v>#N/A</v>
      </c>
      <c r="R113" s="106" t="e">
        <v>#N/A</v>
      </c>
      <c r="S113" s="108" t="e">
        <v>#N/A</v>
      </c>
      <c r="T113" s="108" t="e">
        <v>#N/A</v>
      </c>
    </row>
    <row r="114" spans="1:20" ht="13.5" thickBot="1">
      <c r="A114" s="95"/>
      <c r="B114" s="41"/>
      <c r="C114" s="41"/>
      <c r="D114" s="41"/>
      <c r="E114" s="41"/>
      <c r="F114" s="41"/>
      <c r="G114" s="41"/>
      <c r="H114" s="189" t="e">
        <v>#N/A</v>
      </c>
      <c r="I114" s="130" t="e">
        <v>#N/A</v>
      </c>
      <c r="J114" s="102" t="e">
        <v>#N/A</v>
      </c>
      <c r="K114" s="109" t="e">
        <v>#N/A</v>
      </c>
      <c r="L114" s="183"/>
      <c r="M114" s="116"/>
      <c r="N114" s="116"/>
      <c r="O114" s="116"/>
      <c r="P114" s="175"/>
      <c r="Q114" s="130" t="e">
        <v>#N/A</v>
      </c>
      <c r="R114" s="102" t="e">
        <v>#N/A</v>
      </c>
      <c r="S114" s="109" t="e">
        <v>#N/A</v>
      </c>
      <c r="T114" s="109" t="e">
        <v>#N/A</v>
      </c>
    </row>
    <row r="115" spans="1:20">
      <c r="A115" s="88" t="s">
        <v>330</v>
      </c>
      <c r="B115" s="39">
        <v>6</v>
      </c>
      <c r="C115" s="39">
        <v>18</v>
      </c>
      <c r="D115" s="39">
        <v>0</v>
      </c>
      <c r="E115" s="39"/>
      <c r="F115" s="39"/>
      <c r="G115" s="39"/>
      <c r="H115" s="190">
        <f>SUM(B115:G116)</f>
        <v>49</v>
      </c>
      <c r="I115" s="134" t="e">
        <v>#N/A</v>
      </c>
      <c r="J115" s="104" t="e">
        <v>#N/A</v>
      </c>
      <c r="K115" s="135" t="e">
        <v>#N/A</v>
      </c>
      <c r="L115" s="184"/>
      <c r="M115" s="118"/>
      <c r="N115" s="118"/>
      <c r="O115" s="118"/>
      <c r="P115" s="176"/>
      <c r="Q115" s="134" t="e">
        <v>#N/A</v>
      </c>
      <c r="R115" s="104" t="e">
        <v>#N/A</v>
      </c>
      <c r="S115" s="135" t="e">
        <v>#N/A</v>
      </c>
      <c r="T115" s="109" t="e">
        <v>#N/A</v>
      </c>
    </row>
    <row r="116" spans="1:20" ht="13.5" thickBot="1">
      <c r="A116" s="91"/>
      <c r="B116" s="47"/>
      <c r="C116" s="47"/>
      <c r="D116" s="47"/>
      <c r="E116" s="47">
        <v>4</v>
      </c>
      <c r="F116" s="47">
        <v>17</v>
      </c>
      <c r="G116" s="47">
        <v>4</v>
      </c>
      <c r="H116" s="191" t="e">
        <v>#N/A</v>
      </c>
      <c r="I116" s="131" t="e">
        <v>#N/A</v>
      </c>
      <c r="J116" s="106" t="e">
        <v>#N/A</v>
      </c>
      <c r="K116" s="108" t="e">
        <v>#N/A</v>
      </c>
      <c r="L116" s="185"/>
      <c r="M116" s="120"/>
      <c r="N116" s="120"/>
      <c r="O116" s="120"/>
      <c r="P116" s="177"/>
      <c r="Q116" s="131" t="e">
        <v>#N/A</v>
      </c>
      <c r="R116" s="106" t="e">
        <v>#N/A</v>
      </c>
      <c r="S116" s="108" t="e">
        <v>#N/A</v>
      </c>
      <c r="T116" s="108" t="e">
        <v>#N/A</v>
      </c>
    </row>
    <row r="117" spans="1:20" ht="13.5" thickBot="1">
      <c r="A117" s="94"/>
      <c r="B117" s="38"/>
      <c r="C117" s="38"/>
      <c r="D117" s="38"/>
      <c r="E117" s="38"/>
      <c r="F117" s="38"/>
      <c r="G117" s="38"/>
      <c r="H117" s="192" t="e">
        <v>#N/A</v>
      </c>
      <c r="I117" s="130" t="e">
        <v>#N/A</v>
      </c>
      <c r="J117" s="102" t="e">
        <v>#N/A</v>
      </c>
      <c r="K117" s="109" t="e">
        <v>#N/A</v>
      </c>
      <c r="L117" s="186"/>
      <c r="M117" s="122"/>
      <c r="N117" s="122"/>
      <c r="O117" s="122"/>
      <c r="P117" s="123"/>
      <c r="Q117" s="133" t="e">
        <v>#N/A</v>
      </c>
      <c r="R117" s="174" t="e">
        <v>#N/A</v>
      </c>
      <c r="S117" s="129" t="e">
        <v>#N/A</v>
      </c>
      <c r="T117" s="109" t="e">
        <v>#N/A</v>
      </c>
    </row>
    <row r="118" spans="1:20">
      <c r="A118" s="88" t="s">
        <v>316</v>
      </c>
      <c r="B118" s="42">
        <v>5</v>
      </c>
      <c r="C118" s="42">
        <v>21</v>
      </c>
      <c r="D118" s="42">
        <v>1</v>
      </c>
      <c r="E118" s="39"/>
      <c r="F118" s="39"/>
      <c r="G118" s="39"/>
      <c r="H118" s="190">
        <f>SUM(B118:G119)</f>
        <v>67</v>
      </c>
      <c r="I118" s="134" t="e">
        <v>#N/A</v>
      </c>
      <c r="J118" s="104" t="e">
        <v>#N/A</v>
      </c>
      <c r="K118" s="135" t="e">
        <v>#N/A</v>
      </c>
      <c r="L118" s="184">
        <v>12</v>
      </c>
      <c r="M118" s="118">
        <v>2</v>
      </c>
      <c r="N118" s="118">
        <v>5</v>
      </c>
      <c r="O118" s="118">
        <v>0</v>
      </c>
      <c r="P118" s="119">
        <v>3</v>
      </c>
      <c r="Q118" s="31">
        <f>L118+M118</f>
        <v>14</v>
      </c>
      <c r="R118" s="115">
        <f>N118+O118+P118</f>
        <v>8</v>
      </c>
      <c r="S118" s="107">
        <f>Q118-R118</f>
        <v>6</v>
      </c>
      <c r="T118" s="109" t="e">
        <v>#N/A</v>
      </c>
    </row>
    <row r="119" spans="1:20" ht="13.5" thickBot="1">
      <c r="A119" s="89"/>
      <c r="B119" s="87"/>
      <c r="C119" s="87"/>
      <c r="D119" s="87"/>
      <c r="E119" s="43">
        <v>11</v>
      </c>
      <c r="F119" s="43">
        <v>25</v>
      </c>
      <c r="G119" s="43">
        <v>4</v>
      </c>
      <c r="H119" s="193" t="e">
        <v>#N/A</v>
      </c>
      <c r="I119" s="131" t="e">
        <v>#N/A</v>
      </c>
      <c r="J119" s="106" t="e">
        <v>#N/A</v>
      </c>
      <c r="K119" s="108" t="e">
        <v>#N/A</v>
      </c>
      <c r="L119" s="187"/>
      <c r="M119" s="124"/>
      <c r="N119" s="124"/>
      <c r="O119" s="124"/>
      <c r="P119" s="125"/>
      <c r="Q119" s="131" t="e">
        <v>#N/A</v>
      </c>
      <c r="R119" s="106" t="e">
        <v>#N/A</v>
      </c>
      <c r="S119" s="108" t="e">
        <v>#N/A</v>
      </c>
      <c r="T119" s="108" t="e">
        <v>#N/A</v>
      </c>
    </row>
    <row r="120" spans="1:20" ht="13.5" thickBot="1">
      <c r="A120" s="95"/>
      <c r="B120" s="41"/>
      <c r="C120" s="41"/>
      <c r="D120" s="41"/>
      <c r="E120" s="41"/>
      <c r="F120" s="41"/>
      <c r="G120" s="41"/>
      <c r="H120" s="189" t="e">
        <v>#N/A</v>
      </c>
      <c r="I120" s="130" t="e">
        <v>#N/A</v>
      </c>
      <c r="J120" s="102" t="e">
        <v>#N/A</v>
      </c>
      <c r="K120" s="109" t="e">
        <v>#N/A</v>
      </c>
      <c r="L120" s="183"/>
      <c r="M120" s="116"/>
      <c r="N120" s="116"/>
      <c r="O120" s="116"/>
      <c r="P120" s="117"/>
      <c r="Q120" s="130" t="e">
        <v>#N/A</v>
      </c>
      <c r="R120" s="102" t="e">
        <v>#N/A</v>
      </c>
      <c r="S120" s="109" t="e">
        <v>#N/A</v>
      </c>
      <c r="T120" s="109" t="e">
        <v>#N/A</v>
      </c>
    </row>
    <row r="121" spans="1:20">
      <c r="A121" s="88" t="s">
        <v>348</v>
      </c>
      <c r="B121" s="42">
        <v>7</v>
      </c>
      <c r="C121" s="42">
        <v>21</v>
      </c>
      <c r="D121" s="42">
        <v>1</v>
      </c>
      <c r="E121" s="39"/>
      <c r="F121" s="39"/>
      <c r="G121" s="39"/>
      <c r="H121" s="190">
        <f>SUM(B121:G122)</f>
        <v>67</v>
      </c>
      <c r="I121" s="134" t="e">
        <v>#N/A</v>
      </c>
      <c r="J121" s="104" t="e">
        <v>#N/A</v>
      </c>
      <c r="K121" s="135" t="e">
        <v>#N/A</v>
      </c>
      <c r="L121" s="184">
        <v>3</v>
      </c>
      <c r="M121" s="118">
        <v>0</v>
      </c>
      <c r="N121" s="118">
        <v>1</v>
      </c>
      <c r="O121" s="118">
        <v>0</v>
      </c>
      <c r="P121" s="119">
        <v>2</v>
      </c>
      <c r="Q121" s="31">
        <f>L121+M121</f>
        <v>3</v>
      </c>
      <c r="R121" s="115">
        <f>N121+O121+P121</f>
        <v>3</v>
      </c>
      <c r="S121" s="107">
        <f>Q121-R121</f>
        <v>0</v>
      </c>
      <c r="T121" s="109" t="e">
        <v>#N/A</v>
      </c>
    </row>
    <row r="122" spans="1:20" ht="13.5" thickBot="1">
      <c r="A122" s="91"/>
      <c r="B122" s="90"/>
      <c r="C122" s="90"/>
      <c r="D122" s="90"/>
      <c r="E122" s="93">
        <v>9</v>
      </c>
      <c r="F122" s="93">
        <v>25</v>
      </c>
      <c r="G122" s="93">
        <v>4</v>
      </c>
      <c r="H122" s="191" t="e">
        <v>#N/A</v>
      </c>
      <c r="I122" s="131" t="e">
        <v>#N/A</v>
      </c>
      <c r="J122" s="106" t="e">
        <v>#N/A</v>
      </c>
      <c r="K122" s="108" t="e">
        <v>#N/A</v>
      </c>
      <c r="L122" s="185"/>
      <c r="M122" s="120"/>
      <c r="N122" s="120"/>
      <c r="O122" s="120"/>
      <c r="P122" s="121"/>
      <c r="Q122" s="131" t="e">
        <v>#N/A</v>
      </c>
      <c r="R122" s="106" t="e">
        <v>#N/A</v>
      </c>
      <c r="S122" s="108" t="e">
        <v>#N/A</v>
      </c>
      <c r="T122" s="108" t="e">
        <v>#N/A</v>
      </c>
    </row>
    <row r="123" spans="1:20" ht="13.5" thickBot="1">
      <c r="A123" s="94"/>
      <c r="B123" s="38"/>
      <c r="C123" s="38"/>
      <c r="D123" s="38"/>
      <c r="E123" s="38"/>
      <c r="F123" s="38"/>
      <c r="G123" s="38"/>
      <c r="H123" s="192" t="e">
        <v>#N/A</v>
      </c>
      <c r="I123" s="130" t="e">
        <v>#N/A</v>
      </c>
      <c r="J123" s="102" t="e">
        <v>#N/A</v>
      </c>
      <c r="K123" s="109" t="e">
        <v>#N/A</v>
      </c>
      <c r="L123" s="186"/>
      <c r="M123" s="122"/>
      <c r="N123" s="122"/>
      <c r="O123" s="122"/>
      <c r="P123" s="123"/>
      <c r="Q123" s="130" t="e">
        <v>#N/A</v>
      </c>
      <c r="R123" s="102" t="e">
        <v>#N/A</v>
      </c>
      <c r="S123" s="109" t="e">
        <v>#N/A</v>
      </c>
      <c r="T123" s="109" t="e">
        <v>#N/A</v>
      </c>
    </row>
    <row r="124" spans="1:20">
      <c r="A124" s="88" t="s">
        <v>369</v>
      </c>
      <c r="B124" s="42">
        <v>8</v>
      </c>
      <c r="C124" s="42">
        <v>22</v>
      </c>
      <c r="D124" s="42">
        <v>1</v>
      </c>
      <c r="E124" s="39"/>
      <c r="F124" s="39"/>
      <c r="G124" s="39"/>
      <c r="H124" s="190">
        <f>SUM(B124:G125)</f>
        <v>74</v>
      </c>
      <c r="I124" s="134" t="e">
        <v>#N/A</v>
      </c>
      <c r="J124" s="104" t="e">
        <v>#N/A</v>
      </c>
      <c r="K124" s="135" t="e">
        <v>#N/A</v>
      </c>
      <c r="L124" s="184">
        <v>18</v>
      </c>
      <c r="M124" s="118">
        <v>3</v>
      </c>
      <c r="N124" s="118">
        <v>7</v>
      </c>
      <c r="O124" s="118">
        <v>1</v>
      </c>
      <c r="P124" s="119">
        <v>8</v>
      </c>
      <c r="Q124" s="31">
        <f>L124+M124</f>
        <v>21</v>
      </c>
      <c r="R124" s="115">
        <f>N124+O124+P124</f>
        <v>16</v>
      </c>
      <c r="S124" s="107">
        <f>Q124-R124</f>
        <v>5</v>
      </c>
      <c r="T124" s="109" t="e">
        <v>#N/A</v>
      </c>
    </row>
    <row r="125" spans="1:20" ht="13.5" thickBot="1">
      <c r="A125" s="89"/>
      <c r="B125" s="87"/>
      <c r="C125" s="87"/>
      <c r="D125" s="87"/>
      <c r="E125" s="43">
        <v>12</v>
      </c>
      <c r="F125" s="43">
        <v>28</v>
      </c>
      <c r="G125" s="43">
        <v>3</v>
      </c>
      <c r="H125" s="193" t="e">
        <v>#N/A</v>
      </c>
      <c r="I125" s="131" t="e">
        <v>#N/A</v>
      </c>
      <c r="J125" s="106" t="e">
        <v>#N/A</v>
      </c>
      <c r="K125" s="108" t="e">
        <v>#N/A</v>
      </c>
      <c r="L125" s="187"/>
      <c r="M125" s="124"/>
      <c r="N125" s="124"/>
      <c r="O125" s="124"/>
      <c r="P125" s="125"/>
      <c r="Q125" s="131" t="e">
        <v>#N/A</v>
      </c>
      <c r="R125" s="106" t="e">
        <v>#N/A</v>
      </c>
      <c r="S125" s="108" t="e">
        <v>#N/A</v>
      </c>
      <c r="T125" s="108" t="e">
        <v>#N/A</v>
      </c>
    </row>
    <row r="126" spans="1:20" ht="13.5" thickBot="1">
      <c r="A126" s="94"/>
      <c r="B126" s="38"/>
      <c r="C126" s="38"/>
      <c r="D126" s="38"/>
      <c r="E126" s="38"/>
      <c r="F126" s="38"/>
      <c r="G126" s="38"/>
      <c r="H126" s="192" t="e">
        <v>#N/A</v>
      </c>
      <c r="I126" s="130" t="e">
        <v>#N/A</v>
      </c>
      <c r="J126" s="102" t="e">
        <v>#N/A</v>
      </c>
      <c r="K126" s="109" t="e">
        <v>#N/A</v>
      </c>
      <c r="L126" s="186"/>
      <c r="M126" s="122"/>
      <c r="N126" s="122"/>
      <c r="O126" s="122"/>
      <c r="P126" s="123"/>
      <c r="Q126" s="130" t="e">
        <v>#N/A</v>
      </c>
      <c r="R126" s="102" t="e">
        <v>#N/A</v>
      </c>
      <c r="S126" s="109" t="e">
        <v>#N/A</v>
      </c>
      <c r="T126" s="109" t="e">
        <v>#N/A</v>
      </c>
    </row>
    <row r="127" spans="1:20">
      <c r="A127" s="88" t="s">
        <v>374</v>
      </c>
      <c r="B127" s="42">
        <v>5</v>
      </c>
      <c r="C127" s="42">
        <v>23</v>
      </c>
      <c r="D127" s="42">
        <v>1</v>
      </c>
      <c r="E127" s="39"/>
      <c r="F127" s="39"/>
      <c r="G127" s="39"/>
      <c r="H127" s="190">
        <f>SUM(B127:G128)</f>
        <v>66</v>
      </c>
      <c r="I127" s="134" t="e">
        <v>#N/A</v>
      </c>
      <c r="J127" s="104" t="e">
        <v>#N/A</v>
      </c>
      <c r="K127" s="135" t="e">
        <v>#N/A</v>
      </c>
      <c r="L127" s="184">
        <v>6</v>
      </c>
      <c r="M127" s="118">
        <v>1</v>
      </c>
      <c r="N127" s="118">
        <v>3</v>
      </c>
      <c r="O127" s="118">
        <v>2</v>
      </c>
      <c r="P127" s="119">
        <v>11</v>
      </c>
      <c r="Q127" s="31">
        <f>L127+M127</f>
        <v>7</v>
      </c>
      <c r="R127" s="115">
        <f>N127+O127+P127</f>
        <v>16</v>
      </c>
      <c r="S127" s="107">
        <f>Q127-R127</f>
        <v>-9</v>
      </c>
      <c r="T127" s="109" t="e">
        <v>#N/A</v>
      </c>
    </row>
    <row r="128" spans="1:20" ht="13.5" thickBot="1">
      <c r="A128" s="89"/>
      <c r="B128" s="87"/>
      <c r="C128" s="87"/>
      <c r="D128" s="87"/>
      <c r="E128" s="43">
        <v>8</v>
      </c>
      <c r="F128" s="43">
        <v>26</v>
      </c>
      <c r="G128" s="43">
        <v>3</v>
      </c>
      <c r="H128" s="193" t="e">
        <v>#N/A</v>
      </c>
      <c r="I128" s="131" t="e">
        <v>#N/A</v>
      </c>
      <c r="J128" s="106" t="e">
        <v>#N/A</v>
      </c>
      <c r="K128" s="108" t="e">
        <v>#N/A</v>
      </c>
      <c r="L128" s="187"/>
      <c r="M128" s="124"/>
      <c r="N128" s="124"/>
      <c r="O128" s="124"/>
      <c r="P128" s="125"/>
      <c r="Q128" s="131" t="e">
        <v>#N/A</v>
      </c>
      <c r="R128" s="106" t="e">
        <v>#N/A</v>
      </c>
      <c r="S128" s="108" t="e">
        <v>#N/A</v>
      </c>
      <c r="T128" s="108" t="e">
        <v>#N/A</v>
      </c>
    </row>
    <row r="129" spans="1:20" ht="13.5" thickBot="1">
      <c r="A129" s="94"/>
      <c r="B129" s="38"/>
      <c r="C129" s="38"/>
      <c r="D129" s="38"/>
      <c r="E129" s="38"/>
      <c r="F129" s="38"/>
      <c r="G129" s="38"/>
      <c r="H129" s="192" t="e">
        <v>#N/A</v>
      </c>
      <c r="I129" s="130" t="e">
        <v>#N/A</v>
      </c>
      <c r="J129" s="102" t="e">
        <v>#N/A</v>
      </c>
      <c r="K129" s="109" t="e">
        <v>#N/A</v>
      </c>
      <c r="L129" s="186"/>
      <c r="M129" s="122"/>
      <c r="N129" s="122"/>
      <c r="O129" s="122"/>
      <c r="P129" s="123"/>
      <c r="Q129" s="130" t="e">
        <v>#N/A</v>
      </c>
      <c r="R129" s="102" t="e">
        <v>#N/A</v>
      </c>
      <c r="S129" s="109" t="e">
        <v>#N/A</v>
      </c>
      <c r="T129" s="109" t="e">
        <v>#N/A</v>
      </c>
    </row>
    <row r="130" spans="1:20">
      <c r="A130" s="88" t="s">
        <v>378</v>
      </c>
      <c r="B130" s="42">
        <v>6</v>
      </c>
      <c r="C130" s="42">
        <v>20</v>
      </c>
      <c r="D130" s="42">
        <v>1</v>
      </c>
      <c r="E130" s="39"/>
      <c r="F130" s="39"/>
      <c r="G130" s="39"/>
      <c r="H130" s="190">
        <f>SUM(B130:G131)</f>
        <v>64</v>
      </c>
      <c r="I130" s="134" t="e">
        <v>#N/A</v>
      </c>
      <c r="J130" s="104" t="e">
        <v>#N/A</v>
      </c>
      <c r="K130" s="135" t="e">
        <v>#N/A</v>
      </c>
      <c r="L130" s="184">
        <v>4</v>
      </c>
      <c r="M130" s="118">
        <v>1</v>
      </c>
      <c r="N130" s="118">
        <v>3</v>
      </c>
      <c r="O130" s="118">
        <v>0</v>
      </c>
      <c r="P130" s="119">
        <v>3</v>
      </c>
      <c r="Q130" s="31">
        <f>L130+M130</f>
        <v>5</v>
      </c>
      <c r="R130" s="115">
        <f>N130+O130+P130</f>
        <v>6</v>
      </c>
      <c r="S130" s="107">
        <f>Q130-R130</f>
        <v>-1</v>
      </c>
      <c r="T130" s="109" t="e">
        <v>#N/A</v>
      </c>
    </row>
    <row r="131" spans="1:20" ht="13.5" thickBot="1">
      <c r="A131" s="89"/>
      <c r="B131" s="87"/>
      <c r="C131" s="87"/>
      <c r="D131" s="87"/>
      <c r="E131" s="43">
        <v>8</v>
      </c>
      <c r="F131" s="43">
        <v>26</v>
      </c>
      <c r="G131" s="43">
        <v>3</v>
      </c>
      <c r="H131" s="193" t="e">
        <v>#N/A</v>
      </c>
      <c r="I131" s="131" t="e">
        <v>#N/A</v>
      </c>
      <c r="J131" s="106" t="e">
        <v>#N/A</v>
      </c>
      <c r="K131" s="108" t="e">
        <v>#N/A</v>
      </c>
      <c r="L131" s="187"/>
      <c r="M131" s="124"/>
      <c r="N131" s="124"/>
      <c r="O131" s="124"/>
      <c r="P131" s="125"/>
      <c r="Q131" s="131" t="e">
        <v>#N/A</v>
      </c>
      <c r="R131" s="106" t="e">
        <v>#N/A</v>
      </c>
      <c r="S131" s="108" t="e">
        <v>#N/A</v>
      </c>
      <c r="T131" s="108" t="e">
        <v>#N/A</v>
      </c>
    </row>
    <row r="132" spans="1:20" ht="13.5" thickBot="1">
      <c r="A132" s="94"/>
      <c r="B132" s="38"/>
      <c r="C132" s="38"/>
      <c r="D132" s="38"/>
      <c r="E132" s="38"/>
      <c r="F132" s="38"/>
      <c r="G132" s="38"/>
      <c r="H132" s="192" t="e">
        <v>#N/A</v>
      </c>
      <c r="I132" s="130" t="e">
        <v>#N/A</v>
      </c>
      <c r="J132" s="102" t="e">
        <v>#N/A</v>
      </c>
      <c r="K132" s="109" t="e">
        <v>#N/A</v>
      </c>
      <c r="L132" s="186"/>
      <c r="M132" s="122"/>
      <c r="N132" s="122"/>
      <c r="O132" s="122"/>
      <c r="P132" s="123"/>
      <c r="Q132" s="130" t="e">
        <v>#N/A</v>
      </c>
      <c r="R132" s="102" t="e">
        <v>#N/A</v>
      </c>
      <c r="S132" s="109" t="e">
        <v>#N/A</v>
      </c>
      <c r="T132" s="109" t="e">
        <v>#N/A</v>
      </c>
    </row>
    <row r="133" spans="1:20">
      <c r="A133" s="88" t="s">
        <v>355</v>
      </c>
      <c r="B133" s="42">
        <v>6</v>
      </c>
      <c r="C133" s="42">
        <v>18</v>
      </c>
      <c r="D133" s="42">
        <v>1</v>
      </c>
      <c r="E133" s="39"/>
      <c r="F133" s="39"/>
      <c r="G133" s="39"/>
      <c r="H133" s="190">
        <f>SUM(B133:G134)</f>
        <v>62</v>
      </c>
      <c r="I133" s="134" t="e">
        <v>#N/A</v>
      </c>
      <c r="J133" s="104" t="e">
        <v>#N/A</v>
      </c>
      <c r="K133" s="135" t="e">
        <v>#N/A</v>
      </c>
      <c r="L133" s="184">
        <v>11</v>
      </c>
      <c r="M133" s="118">
        <v>1</v>
      </c>
      <c r="N133" s="118">
        <v>2</v>
      </c>
      <c r="O133" s="118">
        <v>1</v>
      </c>
      <c r="P133" s="119">
        <v>10</v>
      </c>
      <c r="Q133" s="31">
        <f>L133+M133</f>
        <v>12</v>
      </c>
      <c r="R133" s="115">
        <f>N133+O133+P133</f>
        <v>13</v>
      </c>
      <c r="S133" s="107">
        <f>Q133-R133</f>
        <v>-1</v>
      </c>
      <c r="T133" s="109" t="e">
        <v>#N/A</v>
      </c>
    </row>
    <row r="134" spans="1:20" ht="13.5" thickBot="1">
      <c r="A134" s="89"/>
      <c r="B134" s="87"/>
      <c r="C134" s="87"/>
      <c r="D134" s="87"/>
      <c r="E134" s="43">
        <v>7</v>
      </c>
      <c r="F134" s="43">
        <v>27</v>
      </c>
      <c r="G134" s="43">
        <v>3</v>
      </c>
      <c r="H134" s="193" t="e">
        <v>#N/A</v>
      </c>
      <c r="I134" s="131" t="e">
        <v>#N/A</v>
      </c>
      <c r="J134" s="106" t="e">
        <v>#N/A</v>
      </c>
      <c r="K134" s="108" t="e">
        <v>#N/A</v>
      </c>
      <c r="L134" s="187"/>
      <c r="M134" s="124"/>
      <c r="N134" s="124"/>
      <c r="O134" s="124"/>
      <c r="P134" s="125"/>
      <c r="Q134" s="131" t="e">
        <v>#N/A</v>
      </c>
      <c r="R134" s="106" t="e">
        <v>#N/A</v>
      </c>
      <c r="S134" s="108" t="e">
        <v>#N/A</v>
      </c>
      <c r="T134" s="108" t="e">
        <v>#N/A</v>
      </c>
    </row>
    <row r="135" spans="1:20" ht="13.5" thickBot="1">
      <c r="A135" s="94"/>
      <c r="B135" s="38"/>
      <c r="C135" s="38"/>
      <c r="D135" s="38"/>
      <c r="E135" s="38"/>
      <c r="F135" s="38"/>
      <c r="G135" s="38"/>
      <c r="H135" s="192" t="e">
        <v>#N/A</v>
      </c>
      <c r="I135" s="130" t="e">
        <v>#N/A</v>
      </c>
      <c r="J135" s="102" t="e">
        <v>#N/A</v>
      </c>
      <c r="K135" s="109" t="e">
        <v>#N/A</v>
      </c>
      <c r="L135" s="186"/>
      <c r="M135" s="122"/>
      <c r="N135" s="122"/>
      <c r="O135" s="122"/>
      <c r="P135" s="123"/>
      <c r="Q135" s="130" t="e">
        <v>#N/A</v>
      </c>
      <c r="R135" s="102" t="e">
        <v>#N/A</v>
      </c>
      <c r="S135" s="109" t="e">
        <v>#N/A</v>
      </c>
      <c r="T135" s="109" t="e">
        <v>#N/A</v>
      </c>
    </row>
    <row r="136" spans="1:20">
      <c r="A136" s="88" t="s">
        <v>354</v>
      </c>
      <c r="B136" s="42">
        <v>2</v>
      </c>
      <c r="C136" s="42">
        <v>20</v>
      </c>
      <c r="D136" s="42">
        <v>2</v>
      </c>
      <c r="E136" s="39"/>
      <c r="F136" s="39"/>
      <c r="G136" s="39"/>
      <c r="H136" s="190">
        <f>SUM(B136:G137)</f>
        <v>57</v>
      </c>
      <c r="I136" s="134" t="e">
        <v>#N/A</v>
      </c>
      <c r="J136" s="104" t="e">
        <v>#N/A</v>
      </c>
      <c r="K136" s="135" t="e">
        <v>#N/A</v>
      </c>
      <c r="L136" s="184">
        <v>10</v>
      </c>
      <c r="M136" s="118">
        <v>2</v>
      </c>
      <c r="N136" s="118">
        <v>6</v>
      </c>
      <c r="O136" s="118">
        <v>2</v>
      </c>
      <c r="P136" s="119">
        <v>8</v>
      </c>
      <c r="Q136" s="31">
        <f>L136+M136</f>
        <v>12</v>
      </c>
      <c r="R136" s="115">
        <f>N136+O136+P136</f>
        <v>16</v>
      </c>
      <c r="S136" s="107">
        <f>Q136-R136</f>
        <v>-4</v>
      </c>
      <c r="T136" s="109" t="e">
        <v>#N/A</v>
      </c>
    </row>
    <row r="137" spans="1:20" ht="13.5" thickBot="1">
      <c r="A137" s="89"/>
      <c r="B137" s="87"/>
      <c r="C137" s="87"/>
      <c r="D137" s="87"/>
      <c r="E137" s="43">
        <v>3</v>
      </c>
      <c r="F137" s="43">
        <v>27</v>
      </c>
      <c r="G137" s="43">
        <v>3</v>
      </c>
      <c r="H137" s="193" t="e">
        <v>#N/A</v>
      </c>
      <c r="I137" s="131" t="e">
        <v>#N/A</v>
      </c>
      <c r="J137" s="106" t="e">
        <v>#N/A</v>
      </c>
      <c r="K137" s="108" t="e">
        <v>#N/A</v>
      </c>
      <c r="L137" s="187"/>
      <c r="M137" s="124"/>
      <c r="N137" s="124"/>
      <c r="O137" s="124"/>
      <c r="P137" s="125"/>
      <c r="Q137" s="131" t="e">
        <v>#N/A</v>
      </c>
      <c r="R137" s="106" t="e">
        <v>#N/A</v>
      </c>
      <c r="S137" s="108" t="e">
        <v>#N/A</v>
      </c>
      <c r="T137" s="108" t="e">
        <v>#N/A</v>
      </c>
    </row>
    <row r="138" spans="1:20" ht="13.5" thickBot="1">
      <c r="A138" s="94"/>
      <c r="B138" s="38"/>
      <c r="C138" s="38"/>
      <c r="D138" s="38"/>
      <c r="E138" s="38"/>
      <c r="F138" s="38"/>
      <c r="G138" s="38"/>
      <c r="H138" s="192" t="e">
        <v>#N/A</v>
      </c>
      <c r="I138" s="130" t="e">
        <v>#N/A</v>
      </c>
      <c r="J138" s="102" t="e">
        <v>#N/A</v>
      </c>
      <c r="K138" s="109" t="e">
        <v>#N/A</v>
      </c>
      <c r="L138" s="186"/>
      <c r="M138" s="122"/>
      <c r="N138" s="122"/>
      <c r="O138" s="122"/>
      <c r="P138" s="123"/>
      <c r="Q138" s="130" t="e">
        <v>#N/A</v>
      </c>
      <c r="R138" s="102" t="e">
        <v>#N/A</v>
      </c>
      <c r="S138" s="109" t="e">
        <v>#N/A</v>
      </c>
      <c r="T138" s="109" t="e">
        <v>#N/A</v>
      </c>
    </row>
    <row r="139" spans="1:20">
      <c r="A139" s="88" t="s">
        <v>353</v>
      </c>
      <c r="B139" s="42">
        <v>2</v>
      </c>
      <c r="C139" s="42">
        <v>23</v>
      </c>
      <c r="D139" s="42">
        <v>2</v>
      </c>
      <c r="E139" s="39"/>
      <c r="F139" s="39"/>
      <c r="G139" s="39"/>
      <c r="H139" s="190">
        <f>SUM(B139:G140)</f>
        <v>55</v>
      </c>
      <c r="I139" s="134" t="e">
        <v>#N/A</v>
      </c>
      <c r="J139" s="104" t="e">
        <v>#N/A</v>
      </c>
      <c r="K139" s="135" t="e">
        <v>#N/A</v>
      </c>
      <c r="L139" s="184">
        <v>7</v>
      </c>
      <c r="M139" s="118">
        <v>2</v>
      </c>
      <c r="N139" s="118">
        <v>7</v>
      </c>
      <c r="O139" s="118">
        <v>2</v>
      </c>
      <c r="P139" s="119">
        <v>4</v>
      </c>
      <c r="Q139" s="31">
        <f>L139+M139</f>
        <v>9</v>
      </c>
      <c r="R139" s="115">
        <f>N139+O139+P139</f>
        <v>13</v>
      </c>
      <c r="S139" s="107">
        <f>Q139-R139</f>
        <v>-4</v>
      </c>
      <c r="T139" s="109" t="e">
        <v>#N/A</v>
      </c>
    </row>
    <row r="140" spans="1:20" ht="13.5" thickBot="1">
      <c r="A140" s="89"/>
      <c r="B140" s="87"/>
      <c r="C140" s="87"/>
      <c r="D140" s="87"/>
      <c r="E140" s="43">
        <v>4</v>
      </c>
      <c r="F140" s="43">
        <v>23</v>
      </c>
      <c r="G140" s="43">
        <v>1</v>
      </c>
      <c r="H140" s="193" t="e">
        <v>#N/A</v>
      </c>
      <c r="I140" s="131" t="e">
        <v>#N/A</v>
      </c>
      <c r="J140" s="106" t="e">
        <v>#N/A</v>
      </c>
      <c r="K140" s="108" t="e">
        <v>#N/A</v>
      </c>
      <c r="L140" s="187"/>
      <c r="M140" s="124"/>
      <c r="N140" s="124"/>
      <c r="O140" s="124"/>
      <c r="P140" s="125"/>
      <c r="Q140" s="131" t="e">
        <v>#N/A</v>
      </c>
      <c r="R140" s="106" t="e">
        <v>#N/A</v>
      </c>
      <c r="S140" s="108" t="e">
        <v>#N/A</v>
      </c>
      <c r="T140" s="108" t="e">
        <v>#N/A</v>
      </c>
    </row>
    <row r="141" spans="1:20" ht="13.5" thickBot="1">
      <c r="A141" s="94"/>
      <c r="B141" s="38"/>
      <c r="C141" s="38"/>
      <c r="D141" s="38"/>
      <c r="E141" s="38"/>
      <c r="F141" s="38"/>
      <c r="G141" s="38"/>
      <c r="H141" s="192" t="e">
        <v>#N/A</v>
      </c>
      <c r="I141" s="130" t="e">
        <v>#N/A</v>
      </c>
      <c r="J141" s="102" t="e">
        <v>#N/A</v>
      </c>
      <c r="K141" s="109" t="e">
        <v>#N/A</v>
      </c>
      <c r="L141" s="186"/>
      <c r="M141" s="122"/>
      <c r="N141" s="122"/>
      <c r="O141" s="122"/>
      <c r="P141" s="123"/>
      <c r="Q141" s="130" t="e">
        <v>#N/A</v>
      </c>
      <c r="R141" s="102" t="e">
        <v>#N/A</v>
      </c>
      <c r="S141" s="109" t="e">
        <v>#N/A</v>
      </c>
      <c r="T141" s="109" t="e">
        <v>#N/A</v>
      </c>
    </row>
    <row r="142" spans="1:20">
      <c r="A142" s="88" t="s">
        <v>352</v>
      </c>
      <c r="B142" s="42">
        <v>1</v>
      </c>
      <c r="C142" s="42">
        <v>11</v>
      </c>
      <c r="D142" s="42">
        <v>1</v>
      </c>
      <c r="E142" s="39"/>
      <c r="F142" s="39"/>
      <c r="G142" s="39"/>
      <c r="H142" s="190">
        <f>SUM(B142:G143)</f>
        <v>39</v>
      </c>
      <c r="I142" s="134" t="e">
        <v>#N/A</v>
      </c>
      <c r="J142" s="104" t="e">
        <v>#N/A</v>
      </c>
      <c r="K142" s="135" t="e">
        <v>#N/A</v>
      </c>
      <c r="L142" s="184">
        <v>12</v>
      </c>
      <c r="M142" s="118">
        <v>0</v>
      </c>
      <c r="N142" s="118">
        <v>14</v>
      </c>
      <c r="O142" s="118">
        <v>1</v>
      </c>
      <c r="P142" s="119">
        <v>11</v>
      </c>
      <c r="Q142" s="31">
        <f>L142+M142</f>
        <v>12</v>
      </c>
      <c r="R142" s="115">
        <f>N142+O142+P142</f>
        <v>26</v>
      </c>
      <c r="S142" s="107">
        <f>Q142-R142</f>
        <v>-14</v>
      </c>
      <c r="T142" s="109" t="e">
        <v>#N/A</v>
      </c>
    </row>
    <row r="143" spans="1:20" ht="13.5" thickBot="1">
      <c r="A143" s="89"/>
      <c r="B143" s="87"/>
      <c r="C143" s="87"/>
      <c r="D143" s="87"/>
      <c r="E143" s="43">
        <v>4</v>
      </c>
      <c r="F143" s="43">
        <v>21</v>
      </c>
      <c r="G143" s="43">
        <v>1</v>
      </c>
      <c r="H143" s="193" t="e">
        <v>#N/A</v>
      </c>
      <c r="I143" s="131" t="e">
        <v>#N/A</v>
      </c>
      <c r="J143" s="106" t="e">
        <v>#N/A</v>
      </c>
      <c r="K143" s="108" t="e">
        <v>#N/A</v>
      </c>
      <c r="L143" s="187"/>
      <c r="M143" s="124"/>
      <c r="N143" s="124"/>
      <c r="O143" s="124"/>
      <c r="P143" s="125"/>
      <c r="Q143" s="131" t="e">
        <v>#N/A</v>
      </c>
      <c r="R143" s="106" t="e">
        <v>#N/A</v>
      </c>
      <c r="S143" s="108" t="e">
        <v>#N/A</v>
      </c>
      <c r="T143" s="108" t="e">
        <v>#N/A</v>
      </c>
    </row>
    <row r="144" spans="1:20" ht="13.5" thickBot="1">
      <c r="A144" s="94"/>
      <c r="B144" s="38"/>
      <c r="C144" s="38"/>
      <c r="D144" s="38"/>
      <c r="E144" s="38"/>
      <c r="F144" s="38"/>
      <c r="G144" s="38"/>
      <c r="H144" s="192" t="e">
        <v>#N/A</v>
      </c>
      <c r="I144" s="130" t="e">
        <v>#N/A</v>
      </c>
      <c r="J144" s="102" t="e">
        <v>#N/A</v>
      </c>
      <c r="K144" s="109" t="e">
        <v>#N/A</v>
      </c>
      <c r="L144" s="186"/>
      <c r="M144" s="122"/>
      <c r="N144" s="122"/>
      <c r="O144" s="122"/>
      <c r="P144" s="123"/>
      <c r="Q144" s="130" t="e">
        <v>#N/A</v>
      </c>
      <c r="R144" s="102" t="e">
        <v>#N/A</v>
      </c>
      <c r="S144" s="109" t="e">
        <v>#N/A</v>
      </c>
      <c r="T144" s="109" t="e">
        <v>#N/A</v>
      </c>
    </row>
    <row r="145" spans="1:20">
      <c r="A145" s="88" t="s">
        <v>351</v>
      </c>
      <c r="B145" s="42">
        <v>1</v>
      </c>
      <c r="C145" s="42">
        <v>12</v>
      </c>
      <c r="D145" s="42">
        <v>0</v>
      </c>
      <c r="E145" s="39"/>
      <c r="F145" s="39"/>
      <c r="G145" s="39"/>
      <c r="H145" s="190">
        <f>SUM(B145:G146)</f>
        <v>26</v>
      </c>
      <c r="I145" s="134" t="e">
        <v>#N/A</v>
      </c>
      <c r="J145" s="104" t="e">
        <v>#N/A</v>
      </c>
      <c r="K145" s="135" t="e">
        <v>#N/A</v>
      </c>
      <c r="L145" s="184">
        <v>5</v>
      </c>
      <c r="M145" s="118">
        <v>0</v>
      </c>
      <c r="N145" s="118">
        <v>7</v>
      </c>
      <c r="O145" s="118">
        <v>3</v>
      </c>
      <c r="P145" s="119">
        <v>9</v>
      </c>
      <c r="Q145" s="31">
        <f>L145+M145</f>
        <v>5</v>
      </c>
      <c r="R145" s="115">
        <f>N145+O145+P145</f>
        <v>19</v>
      </c>
      <c r="S145" s="107">
        <f>Q145-R145</f>
        <v>-14</v>
      </c>
      <c r="T145" s="109" t="e">
        <v>#N/A</v>
      </c>
    </row>
    <row r="146" spans="1:20" ht="13.5" thickBot="1">
      <c r="A146" s="89"/>
      <c r="B146" s="87"/>
      <c r="C146" s="87"/>
      <c r="D146" s="87"/>
      <c r="E146" s="43">
        <v>2</v>
      </c>
      <c r="F146" s="43">
        <v>11</v>
      </c>
      <c r="G146" s="43">
        <v>0</v>
      </c>
      <c r="H146" s="193" t="e">
        <v>#N/A</v>
      </c>
      <c r="I146" s="131" t="e">
        <v>#N/A</v>
      </c>
      <c r="J146" s="106" t="e">
        <v>#N/A</v>
      </c>
      <c r="K146" s="108" t="e">
        <v>#N/A</v>
      </c>
      <c r="L146" s="187"/>
      <c r="M146" s="124"/>
      <c r="N146" s="124"/>
      <c r="O146" s="124"/>
      <c r="P146" s="125"/>
      <c r="Q146" s="131" t="e">
        <v>#N/A</v>
      </c>
      <c r="R146" s="106" t="e">
        <v>#N/A</v>
      </c>
      <c r="S146" s="108" t="e">
        <v>#N/A</v>
      </c>
      <c r="T146" s="108" t="e">
        <v>#N/A</v>
      </c>
    </row>
    <row r="147" spans="1:20" ht="13.5" thickBot="1">
      <c r="A147" s="94"/>
      <c r="B147" s="38"/>
      <c r="C147" s="38"/>
      <c r="D147" s="38"/>
      <c r="E147" s="38"/>
      <c r="F147" s="38"/>
      <c r="G147" s="38"/>
      <c r="H147" s="192" t="e">
        <v>#N/A</v>
      </c>
      <c r="I147" s="130" t="e">
        <v>#N/A</v>
      </c>
      <c r="J147" s="102" t="e">
        <v>#N/A</v>
      </c>
      <c r="K147" s="109" t="e">
        <v>#N/A</v>
      </c>
      <c r="L147" s="186"/>
      <c r="M147" s="122"/>
      <c r="N147" s="122"/>
      <c r="O147" s="122"/>
      <c r="P147" s="123"/>
      <c r="Q147" s="130" t="e">
        <v>#N/A</v>
      </c>
      <c r="R147" s="102" t="e">
        <v>#N/A</v>
      </c>
      <c r="S147" s="109" t="e">
        <v>#N/A</v>
      </c>
      <c r="T147" s="109" t="e">
        <v>#N/A</v>
      </c>
    </row>
    <row r="148" spans="1:20">
      <c r="A148" s="88" t="s">
        <v>317</v>
      </c>
      <c r="B148" s="42">
        <v>4</v>
      </c>
      <c r="C148" s="42">
        <v>12</v>
      </c>
      <c r="D148" s="42">
        <v>0</v>
      </c>
      <c r="E148" s="39"/>
      <c r="F148" s="39"/>
      <c r="G148" s="39"/>
      <c r="H148" s="190">
        <f>SUM(B148:G149)</f>
        <v>28</v>
      </c>
      <c r="I148" s="134" t="e">
        <v>#N/A</v>
      </c>
      <c r="J148" s="104" t="e">
        <v>#N/A</v>
      </c>
      <c r="K148" s="135" t="e">
        <v>#N/A</v>
      </c>
      <c r="L148" s="184">
        <v>11</v>
      </c>
      <c r="M148" s="118">
        <v>0</v>
      </c>
      <c r="N148" s="118">
        <v>5</v>
      </c>
      <c r="O148" s="118">
        <v>0</v>
      </c>
      <c r="P148" s="119">
        <v>4</v>
      </c>
      <c r="Q148" s="31">
        <f>L148+M148</f>
        <v>11</v>
      </c>
      <c r="R148" s="115">
        <f>N148+O148+P148</f>
        <v>9</v>
      </c>
      <c r="S148" s="107">
        <f>Q148-R148</f>
        <v>2</v>
      </c>
      <c r="T148" s="109" t="e">
        <v>#N/A</v>
      </c>
    </row>
    <row r="149" spans="1:20" ht="13.5" thickBot="1">
      <c r="A149" s="89"/>
      <c r="B149" s="87"/>
      <c r="C149" s="87"/>
      <c r="D149" s="87"/>
      <c r="E149" s="43">
        <v>2</v>
      </c>
      <c r="F149" s="43">
        <v>10</v>
      </c>
      <c r="G149" s="43">
        <v>0</v>
      </c>
      <c r="H149" s="193" t="e">
        <v>#N/A</v>
      </c>
      <c r="I149" s="131" t="e">
        <v>#N/A</v>
      </c>
      <c r="J149" s="106" t="e">
        <v>#N/A</v>
      </c>
      <c r="K149" s="108" t="e">
        <v>#N/A</v>
      </c>
      <c r="L149" s="187"/>
      <c r="M149" s="124"/>
      <c r="N149" s="124"/>
      <c r="O149" s="124"/>
      <c r="P149" s="125"/>
      <c r="Q149" s="131" t="e">
        <v>#N/A</v>
      </c>
      <c r="R149" s="106" t="e">
        <v>#N/A</v>
      </c>
      <c r="S149" s="108" t="e">
        <v>#N/A</v>
      </c>
      <c r="T149" s="108" t="e">
        <v>#N/A</v>
      </c>
    </row>
    <row r="150" spans="1:20" ht="13.5" thickBot="1">
      <c r="A150" s="94"/>
      <c r="B150" s="38"/>
      <c r="C150" s="38"/>
      <c r="D150" s="38"/>
      <c r="E150" s="38"/>
      <c r="F150" s="38"/>
      <c r="G150" s="38"/>
      <c r="H150" s="192" t="e">
        <v>#N/A</v>
      </c>
      <c r="I150" s="130" t="e">
        <v>#N/A</v>
      </c>
      <c r="J150" s="102" t="e">
        <v>#N/A</v>
      </c>
      <c r="K150" s="109" t="e">
        <v>#N/A</v>
      </c>
      <c r="L150" s="186"/>
      <c r="M150" s="122"/>
      <c r="N150" s="122"/>
      <c r="O150" s="122"/>
      <c r="P150" s="123"/>
      <c r="Q150" s="130" t="e">
        <v>#N/A</v>
      </c>
      <c r="R150" s="102" t="e">
        <v>#N/A</v>
      </c>
      <c r="S150" s="109" t="e">
        <v>#N/A</v>
      </c>
      <c r="T150" s="109" t="e">
        <v>#N/A</v>
      </c>
    </row>
    <row r="151" spans="1:20">
      <c r="A151" s="88" t="s">
        <v>318</v>
      </c>
      <c r="B151" s="42">
        <v>3</v>
      </c>
      <c r="C151" s="42">
        <v>13</v>
      </c>
      <c r="D151" s="42">
        <v>1</v>
      </c>
      <c r="E151" s="39"/>
      <c r="F151" s="39"/>
      <c r="G151" s="39"/>
      <c r="H151" s="190">
        <f>SUM(B151:G152)</f>
        <v>33</v>
      </c>
      <c r="I151" s="134" t="e">
        <v>#N/A</v>
      </c>
      <c r="J151" s="104" t="e">
        <v>#N/A</v>
      </c>
      <c r="K151" s="135" t="e">
        <v>#N/A</v>
      </c>
      <c r="L151" s="184">
        <v>10</v>
      </c>
      <c r="M151" s="118">
        <v>2</v>
      </c>
      <c r="N151" s="118">
        <v>2</v>
      </c>
      <c r="O151" s="118">
        <v>0</v>
      </c>
      <c r="P151" s="119">
        <v>5</v>
      </c>
      <c r="Q151" s="31">
        <f>L151+M151</f>
        <v>12</v>
      </c>
      <c r="R151" s="115">
        <f>N151+O151+P151</f>
        <v>7</v>
      </c>
      <c r="S151" s="107">
        <f>Q151-R151</f>
        <v>5</v>
      </c>
      <c r="T151" s="109" t="e">
        <v>#N/A</v>
      </c>
    </row>
    <row r="152" spans="1:20" ht="13.5" thickBot="1">
      <c r="A152" s="89"/>
      <c r="B152" s="87"/>
      <c r="C152" s="87"/>
      <c r="D152" s="87"/>
      <c r="E152" s="43">
        <v>5</v>
      </c>
      <c r="F152" s="43">
        <v>11</v>
      </c>
      <c r="G152" s="43">
        <v>0</v>
      </c>
      <c r="H152" s="193" t="e">
        <v>#N/A</v>
      </c>
      <c r="I152" s="131" t="e">
        <v>#N/A</v>
      </c>
      <c r="J152" s="106" t="e">
        <v>#N/A</v>
      </c>
      <c r="K152" s="108" t="e">
        <v>#N/A</v>
      </c>
      <c r="L152" s="187"/>
      <c r="M152" s="124"/>
      <c r="N152" s="124"/>
      <c r="O152" s="124"/>
      <c r="P152" s="125"/>
      <c r="Q152" s="131" t="e">
        <v>#N/A</v>
      </c>
      <c r="R152" s="106" t="e">
        <v>#N/A</v>
      </c>
      <c r="S152" s="108" t="e">
        <v>#N/A</v>
      </c>
      <c r="T152" s="108" t="e">
        <v>#N/A</v>
      </c>
    </row>
    <row r="153" spans="1:20" ht="13.5" thickBot="1">
      <c r="A153" s="94"/>
      <c r="B153" s="38"/>
      <c r="C153" s="38"/>
      <c r="D153" s="38"/>
      <c r="E153" s="38"/>
      <c r="F153" s="38"/>
      <c r="G153" s="38"/>
      <c r="H153" s="192" t="e">
        <v>#N/A</v>
      </c>
      <c r="I153" s="130" t="e">
        <v>#N/A</v>
      </c>
      <c r="J153" s="102" t="e">
        <v>#N/A</v>
      </c>
      <c r="K153" s="109" t="e">
        <v>#N/A</v>
      </c>
      <c r="L153" s="186"/>
      <c r="M153" s="122"/>
      <c r="N153" s="122"/>
      <c r="O153" s="122"/>
      <c r="P153" s="123"/>
      <c r="Q153" s="130" t="e">
        <v>#N/A</v>
      </c>
      <c r="R153" s="102" t="e">
        <v>#N/A</v>
      </c>
      <c r="S153" s="109" t="e">
        <v>#N/A</v>
      </c>
      <c r="T153" s="109" t="e">
        <v>#N/A</v>
      </c>
    </row>
    <row r="154" spans="1:20">
      <c r="A154" s="88" t="s">
        <v>319</v>
      </c>
      <c r="B154" s="42">
        <v>3</v>
      </c>
      <c r="C154" s="42">
        <v>12</v>
      </c>
      <c r="D154" s="42">
        <v>2</v>
      </c>
      <c r="E154" s="39"/>
      <c r="F154" s="39"/>
      <c r="G154" s="39"/>
      <c r="H154" s="190">
        <f>SUM(B154:G155)</f>
        <v>39</v>
      </c>
      <c r="I154" s="134" t="e">
        <v>#N/A</v>
      </c>
      <c r="J154" s="104" t="e">
        <v>#N/A</v>
      </c>
      <c r="K154" s="135" t="e">
        <v>#N/A</v>
      </c>
      <c r="L154" s="184">
        <v>15</v>
      </c>
      <c r="M154" s="118">
        <v>0</v>
      </c>
      <c r="N154" s="118">
        <v>7</v>
      </c>
      <c r="O154" s="118">
        <v>0</v>
      </c>
      <c r="P154" s="119">
        <v>2</v>
      </c>
      <c r="Q154" s="31">
        <f>L154+M154</f>
        <v>15</v>
      </c>
      <c r="R154" s="115">
        <f>N154+O154+P154</f>
        <v>9</v>
      </c>
      <c r="S154" s="107">
        <f>Q154-R154</f>
        <v>6</v>
      </c>
      <c r="T154" s="109" t="e">
        <v>#N/A</v>
      </c>
    </row>
    <row r="155" spans="1:20" ht="13.5" thickBot="1">
      <c r="A155" s="89"/>
      <c r="B155" s="87"/>
      <c r="C155" s="87"/>
      <c r="D155" s="87"/>
      <c r="E155" s="43">
        <v>5</v>
      </c>
      <c r="F155" s="43">
        <v>17</v>
      </c>
      <c r="G155" s="43">
        <v>0</v>
      </c>
      <c r="H155" s="193" t="e">
        <v>#N/A</v>
      </c>
      <c r="I155" s="131" t="e">
        <v>#N/A</v>
      </c>
      <c r="J155" s="106" t="e">
        <v>#N/A</v>
      </c>
      <c r="K155" s="108" t="e">
        <v>#N/A</v>
      </c>
      <c r="L155" s="187"/>
      <c r="M155" s="124"/>
      <c r="N155" s="124"/>
      <c r="O155" s="124"/>
      <c r="P155" s="125"/>
      <c r="Q155" s="131" t="e">
        <v>#N/A</v>
      </c>
      <c r="R155" s="106" t="e">
        <v>#N/A</v>
      </c>
      <c r="S155" s="108" t="e">
        <v>#N/A</v>
      </c>
      <c r="T155" s="108" t="e">
        <v>#N/A</v>
      </c>
    </row>
    <row r="156" spans="1:20" ht="13.5" thickBot="1">
      <c r="A156" s="94"/>
      <c r="B156" s="38"/>
      <c r="C156" s="38"/>
      <c r="D156" s="38"/>
      <c r="E156" s="38"/>
      <c r="F156" s="38"/>
      <c r="G156" s="38"/>
      <c r="H156" s="192" t="e">
        <v>#N/A</v>
      </c>
      <c r="I156" s="130" t="e">
        <v>#N/A</v>
      </c>
      <c r="J156" s="102" t="e">
        <v>#N/A</v>
      </c>
      <c r="K156" s="109" t="e">
        <v>#N/A</v>
      </c>
      <c r="L156" s="186"/>
      <c r="M156" s="122"/>
      <c r="N156" s="122"/>
      <c r="O156" s="122"/>
      <c r="P156" s="123"/>
      <c r="Q156" s="130" t="e">
        <v>#N/A</v>
      </c>
      <c r="R156" s="102" t="e">
        <v>#N/A</v>
      </c>
      <c r="S156" s="109" t="e">
        <v>#N/A</v>
      </c>
      <c r="T156" s="109" t="e">
        <v>#N/A</v>
      </c>
    </row>
    <row r="157" spans="1:20">
      <c r="A157" s="88" t="s">
        <v>320</v>
      </c>
      <c r="B157" s="42">
        <v>3</v>
      </c>
      <c r="C157" s="42">
        <v>21</v>
      </c>
      <c r="D157" s="42">
        <v>2</v>
      </c>
      <c r="E157" s="39"/>
      <c r="F157" s="39"/>
      <c r="G157" s="39"/>
      <c r="H157" s="190">
        <f>SUM(B157:G158)</f>
        <v>53</v>
      </c>
      <c r="I157" s="134" t="e">
        <v>#N/A</v>
      </c>
      <c r="J157" s="104" t="e">
        <v>#N/A</v>
      </c>
      <c r="K157" s="135" t="e">
        <v>#N/A</v>
      </c>
      <c r="L157" s="184">
        <v>39</v>
      </c>
      <c r="M157" s="118">
        <v>1</v>
      </c>
      <c r="N157" s="118">
        <v>15</v>
      </c>
      <c r="O157" s="118">
        <v>2</v>
      </c>
      <c r="P157" s="119">
        <v>9</v>
      </c>
      <c r="Q157" s="31">
        <f>L157+M157</f>
        <v>40</v>
      </c>
      <c r="R157" s="115">
        <f>N157+O157+P157</f>
        <v>26</v>
      </c>
      <c r="S157" s="107">
        <f>Q157-R157</f>
        <v>14</v>
      </c>
      <c r="T157" s="109" t="e">
        <v>#N/A</v>
      </c>
    </row>
    <row r="158" spans="1:20" ht="13.5" thickBot="1">
      <c r="A158" s="89"/>
      <c r="B158" s="87"/>
      <c r="C158" s="87"/>
      <c r="D158" s="87"/>
      <c r="E158" s="43">
        <v>7</v>
      </c>
      <c r="F158" s="43">
        <v>20</v>
      </c>
      <c r="G158" s="43">
        <v>0</v>
      </c>
      <c r="H158" s="193" t="e">
        <v>#N/A</v>
      </c>
      <c r="I158" s="131" t="e">
        <v>#N/A</v>
      </c>
      <c r="J158" s="106" t="e">
        <v>#N/A</v>
      </c>
      <c r="K158" s="108" t="e">
        <v>#N/A</v>
      </c>
      <c r="L158" s="187"/>
      <c r="M158" s="124"/>
      <c r="N158" s="124"/>
      <c r="O158" s="124"/>
      <c r="P158" s="125"/>
      <c r="Q158" s="131" t="e">
        <v>#N/A</v>
      </c>
      <c r="R158" s="106" t="e">
        <v>#N/A</v>
      </c>
      <c r="S158" s="108" t="e">
        <v>#N/A</v>
      </c>
      <c r="T158" s="108" t="e">
        <v>#N/A</v>
      </c>
    </row>
    <row r="159" spans="1:20" ht="13.5" thickBot="1">
      <c r="A159" s="94"/>
      <c r="B159" s="38"/>
      <c r="C159" s="38"/>
      <c r="D159" s="38"/>
      <c r="E159" s="38"/>
      <c r="F159" s="38"/>
      <c r="G159" s="38"/>
      <c r="H159" s="192" t="e">
        <v>#N/A</v>
      </c>
      <c r="I159" s="130" t="e">
        <v>#N/A</v>
      </c>
      <c r="J159" s="102" t="e">
        <v>#N/A</v>
      </c>
      <c r="K159" s="109" t="e">
        <v>#N/A</v>
      </c>
      <c r="L159" s="186"/>
      <c r="M159" s="122"/>
      <c r="N159" s="122"/>
      <c r="O159" s="122"/>
      <c r="P159" s="123"/>
      <c r="Q159" s="130" t="e">
        <v>#N/A</v>
      </c>
      <c r="R159" s="102" t="e">
        <v>#N/A</v>
      </c>
      <c r="S159" s="109" t="e">
        <v>#N/A</v>
      </c>
      <c r="T159" s="109" t="e">
        <v>#N/A</v>
      </c>
    </row>
    <row r="160" spans="1:20">
      <c r="A160" s="88" t="s">
        <v>321</v>
      </c>
      <c r="B160" s="42">
        <v>5</v>
      </c>
      <c r="C160" s="42">
        <v>24</v>
      </c>
      <c r="D160" s="42">
        <v>2</v>
      </c>
      <c r="E160" s="39"/>
      <c r="F160" s="39"/>
      <c r="G160" s="39"/>
      <c r="H160" s="190">
        <f>SUM(B160:G161)</f>
        <v>51</v>
      </c>
      <c r="I160" s="134" t="e">
        <v>#N/A</v>
      </c>
      <c r="J160" s="104" t="e">
        <v>#N/A</v>
      </c>
      <c r="K160" s="135" t="e">
        <v>#N/A</v>
      </c>
      <c r="L160" s="184">
        <v>9</v>
      </c>
      <c r="M160" s="118">
        <v>0</v>
      </c>
      <c r="N160" s="118">
        <v>12</v>
      </c>
      <c r="O160" s="118">
        <v>1</v>
      </c>
      <c r="P160" s="119">
        <v>5</v>
      </c>
      <c r="Q160" s="31">
        <f>L160+M160</f>
        <v>9</v>
      </c>
      <c r="R160" s="115">
        <f>N160+O160+P160</f>
        <v>18</v>
      </c>
      <c r="S160" s="107">
        <f>Q160-R160</f>
        <v>-9</v>
      </c>
      <c r="T160" s="109" t="e">
        <v>#N/A</v>
      </c>
    </row>
    <row r="161" spans="1:20" ht="13.5" thickBot="1">
      <c r="A161" s="89"/>
      <c r="B161" s="87"/>
      <c r="C161" s="87"/>
      <c r="D161" s="87"/>
      <c r="E161" s="43">
        <v>4</v>
      </c>
      <c r="F161" s="43">
        <v>16</v>
      </c>
      <c r="G161" s="43">
        <v>0</v>
      </c>
      <c r="H161" s="193" t="e">
        <v>#N/A</v>
      </c>
      <c r="I161" s="131" t="e">
        <v>#N/A</v>
      </c>
      <c r="J161" s="106" t="e">
        <v>#N/A</v>
      </c>
      <c r="K161" s="108" t="e">
        <v>#N/A</v>
      </c>
      <c r="L161" s="187"/>
      <c r="M161" s="124"/>
      <c r="N161" s="124"/>
      <c r="O161" s="124"/>
      <c r="P161" s="125"/>
      <c r="Q161" s="131" t="e">
        <v>#N/A</v>
      </c>
      <c r="R161" s="106" t="e">
        <v>#N/A</v>
      </c>
      <c r="S161" s="108" t="e">
        <v>#N/A</v>
      </c>
      <c r="T161" s="108" t="e">
        <v>#N/A</v>
      </c>
    </row>
    <row r="162" spans="1:20" ht="13.5" thickBot="1">
      <c r="A162" s="94"/>
      <c r="B162" s="38"/>
      <c r="C162" s="38"/>
      <c r="D162" s="38"/>
      <c r="E162" s="38"/>
      <c r="F162" s="38"/>
      <c r="G162" s="38"/>
      <c r="H162" s="192" t="e">
        <v>#N/A</v>
      </c>
      <c r="I162" s="130" t="e">
        <v>#N/A</v>
      </c>
      <c r="J162" s="102" t="e">
        <v>#N/A</v>
      </c>
      <c r="K162" s="109" t="e">
        <v>#N/A</v>
      </c>
      <c r="L162" s="186"/>
      <c r="M162" s="122"/>
      <c r="N162" s="122"/>
      <c r="O162" s="122"/>
      <c r="P162" s="123"/>
      <c r="Q162" s="130" t="e">
        <v>#N/A</v>
      </c>
      <c r="R162" s="102" t="e">
        <v>#N/A</v>
      </c>
      <c r="S162" s="109" t="e">
        <v>#N/A</v>
      </c>
      <c r="T162" s="109" t="e">
        <v>#N/A</v>
      </c>
    </row>
    <row r="163" spans="1:20">
      <c r="A163" s="88" t="s">
        <v>322</v>
      </c>
      <c r="B163" s="42">
        <v>6</v>
      </c>
      <c r="C163" s="42">
        <v>23</v>
      </c>
      <c r="D163" s="42">
        <v>2</v>
      </c>
      <c r="E163" s="39"/>
      <c r="F163" s="39"/>
      <c r="G163" s="39"/>
      <c r="H163" s="190">
        <f>SUM(B163:G164)</f>
        <v>53</v>
      </c>
      <c r="I163" s="134" t="e">
        <v>#N/A</v>
      </c>
      <c r="J163" s="104" t="e">
        <v>#N/A</v>
      </c>
      <c r="K163" s="135" t="e">
        <v>#N/A</v>
      </c>
      <c r="L163" s="184">
        <v>10</v>
      </c>
      <c r="M163" s="118">
        <v>0</v>
      </c>
      <c r="N163" s="118">
        <v>5</v>
      </c>
      <c r="O163" s="118">
        <v>2</v>
      </c>
      <c r="P163" s="119">
        <v>4</v>
      </c>
      <c r="Q163" s="31">
        <f>L163+M163</f>
        <v>10</v>
      </c>
      <c r="R163" s="115">
        <f>N163+O163+P163</f>
        <v>11</v>
      </c>
      <c r="S163" s="107">
        <f>Q163-R163</f>
        <v>-1</v>
      </c>
      <c r="T163" s="109" t="e">
        <v>#N/A</v>
      </c>
    </row>
    <row r="164" spans="1:20" ht="13.5" thickBot="1">
      <c r="A164" s="89"/>
      <c r="B164" s="87"/>
      <c r="C164" s="87"/>
      <c r="D164" s="87"/>
      <c r="E164" s="43">
        <v>4</v>
      </c>
      <c r="F164" s="43">
        <v>18</v>
      </c>
      <c r="G164" s="43">
        <v>0</v>
      </c>
      <c r="H164" s="193" t="e">
        <v>#N/A</v>
      </c>
      <c r="I164" s="131" t="e">
        <v>#N/A</v>
      </c>
      <c r="J164" s="106" t="e">
        <v>#N/A</v>
      </c>
      <c r="K164" s="108" t="e">
        <v>#N/A</v>
      </c>
      <c r="L164" s="187"/>
      <c r="M164" s="124"/>
      <c r="N164" s="124"/>
      <c r="O164" s="124"/>
      <c r="P164" s="125"/>
      <c r="Q164" s="131" t="e">
        <v>#N/A</v>
      </c>
      <c r="R164" s="106" t="e">
        <v>#N/A</v>
      </c>
      <c r="S164" s="108" t="e">
        <v>#N/A</v>
      </c>
      <c r="T164" s="108" t="e">
        <v>#N/A</v>
      </c>
    </row>
    <row r="165" spans="1:20" ht="13.5" thickBot="1">
      <c r="A165" s="94"/>
      <c r="B165" s="38"/>
      <c r="C165" s="38"/>
      <c r="D165" s="38"/>
      <c r="E165" s="38"/>
      <c r="F165" s="38"/>
      <c r="G165" s="38"/>
      <c r="H165" s="192" t="e">
        <v>#N/A</v>
      </c>
      <c r="I165" s="130" t="e">
        <v>#N/A</v>
      </c>
      <c r="J165" s="102" t="e">
        <v>#N/A</v>
      </c>
      <c r="K165" s="109" t="e">
        <v>#N/A</v>
      </c>
      <c r="L165" s="186"/>
      <c r="M165" s="122"/>
      <c r="N165" s="122"/>
      <c r="O165" s="122"/>
      <c r="P165" s="123"/>
      <c r="Q165" s="130" t="e">
        <v>#N/A</v>
      </c>
      <c r="R165" s="102" t="e">
        <v>#N/A</v>
      </c>
      <c r="S165" s="109" t="e">
        <v>#N/A</v>
      </c>
      <c r="T165" s="109" t="e">
        <v>#N/A</v>
      </c>
    </row>
    <row r="166" spans="1:20">
      <c r="A166" s="88" t="s">
        <v>324</v>
      </c>
      <c r="B166" s="42">
        <v>3</v>
      </c>
      <c r="C166" s="42">
        <v>20</v>
      </c>
      <c r="D166" s="42">
        <v>2</v>
      </c>
      <c r="E166" s="39"/>
      <c r="F166" s="39"/>
      <c r="G166" s="39"/>
      <c r="H166" s="190">
        <f>SUM(B166:G167)</f>
        <v>41</v>
      </c>
      <c r="I166" s="134" t="e">
        <v>#N/A</v>
      </c>
      <c r="J166" s="104" t="e">
        <v>#N/A</v>
      </c>
      <c r="K166" s="135" t="e">
        <v>#N/A</v>
      </c>
      <c r="L166" s="184">
        <v>9</v>
      </c>
      <c r="M166" s="118">
        <v>1</v>
      </c>
      <c r="N166" s="118">
        <v>17</v>
      </c>
      <c r="O166" s="118">
        <v>1</v>
      </c>
      <c r="P166" s="119">
        <v>5</v>
      </c>
      <c r="Q166" s="31">
        <f>L166+M166</f>
        <v>10</v>
      </c>
      <c r="R166" s="115">
        <f>N166+O166+P166</f>
        <v>23</v>
      </c>
      <c r="S166" s="107">
        <f>Q166-R166</f>
        <v>-13</v>
      </c>
      <c r="T166" s="109" t="e">
        <v>#N/A</v>
      </c>
    </row>
    <row r="167" spans="1:20" ht="13.5" thickBot="1">
      <c r="A167" s="89"/>
      <c r="B167" s="87"/>
      <c r="C167" s="87"/>
      <c r="D167" s="87"/>
      <c r="E167" s="43">
        <v>3</v>
      </c>
      <c r="F167" s="43">
        <v>13</v>
      </c>
      <c r="G167" s="43">
        <v>0</v>
      </c>
      <c r="H167" s="193" t="e">
        <v>#N/A</v>
      </c>
      <c r="I167" s="131" t="e">
        <v>#N/A</v>
      </c>
      <c r="J167" s="106" t="e">
        <v>#N/A</v>
      </c>
      <c r="K167" s="108" t="e">
        <v>#N/A</v>
      </c>
      <c r="L167" s="187"/>
      <c r="M167" s="124"/>
      <c r="N167" s="124"/>
      <c r="O167" s="124"/>
      <c r="P167" s="125"/>
      <c r="Q167" s="131" t="e">
        <v>#N/A</v>
      </c>
      <c r="R167" s="106" t="e">
        <v>#N/A</v>
      </c>
      <c r="S167" s="108" t="e">
        <v>#N/A</v>
      </c>
      <c r="T167" s="108" t="e">
        <v>#N/A</v>
      </c>
    </row>
    <row r="168" spans="1:20" ht="13.5" thickBot="1">
      <c r="A168" s="94"/>
      <c r="B168" s="38"/>
      <c r="C168" s="38"/>
      <c r="D168" s="38"/>
      <c r="E168" s="38"/>
      <c r="F168" s="38"/>
      <c r="G168" s="38"/>
      <c r="H168" s="192" t="e">
        <v>#N/A</v>
      </c>
      <c r="I168" s="130" t="e">
        <v>#N/A</v>
      </c>
      <c r="J168" s="102" t="e">
        <v>#N/A</v>
      </c>
      <c r="K168" s="109" t="e">
        <v>#N/A</v>
      </c>
      <c r="L168" s="186"/>
      <c r="M168" s="122"/>
      <c r="N168" s="122"/>
      <c r="O168" s="122"/>
      <c r="P168" s="123"/>
      <c r="Q168" s="130" t="e">
        <v>#N/A</v>
      </c>
      <c r="R168" s="102" t="e">
        <v>#N/A</v>
      </c>
      <c r="S168" s="109" t="e">
        <v>#N/A</v>
      </c>
      <c r="T168" s="109" t="e">
        <v>#N/A</v>
      </c>
    </row>
    <row r="169" spans="1:20">
      <c r="A169" s="88" t="s">
        <v>350</v>
      </c>
      <c r="B169" s="42">
        <v>2</v>
      </c>
      <c r="C169" s="42">
        <v>21</v>
      </c>
      <c r="D169" s="42">
        <v>5</v>
      </c>
      <c r="E169" s="39"/>
      <c r="F169" s="39"/>
      <c r="G169" s="39"/>
      <c r="H169" s="190">
        <f>SUM(B169:G170)</f>
        <v>44</v>
      </c>
      <c r="I169" s="134" t="e">
        <v>#N/A</v>
      </c>
      <c r="J169" s="104" t="e">
        <v>#N/A</v>
      </c>
      <c r="K169" s="135" t="e">
        <v>#N/A</v>
      </c>
      <c r="L169" s="184">
        <v>36</v>
      </c>
      <c r="M169" s="118">
        <v>1</v>
      </c>
      <c r="N169" s="118">
        <v>17</v>
      </c>
      <c r="O169" s="118">
        <v>2</v>
      </c>
      <c r="P169" s="119">
        <v>14</v>
      </c>
      <c r="Q169" s="31">
        <f>L169+M169</f>
        <v>37</v>
      </c>
      <c r="R169" s="115">
        <f>N169+O169+P169</f>
        <v>33</v>
      </c>
      <c r="S169" s="107">
        <f>Q169-R169</f>
        <v>4</v>
      </c>
      <c r="T169" s="109" t="e">
        <v>#N/A</v>
      </c>
    </row>
    <row r="170" spans="1:20" ht="13.5" thickBot="1">
      <c r="A170" s="89"/>
      <c r="B170" s="87"/>
      <c r="C170" s="87"/>
      <c r="D170" s="87"/>
      <c r="E170" s="43">
        <v>4</v>
      </c>
      <c r="F170" s="43">
        <v>12</v>
      </c>
      <c r="G170" s="43">
        <v>0</v>
      </c>
      <c r="H170" s="193" t="e">
        <v>#N/A</v>
      </c>
      <c r="I170" s="131" t="e">
        <v>#N/A</v>
      </c>
      <c r="J170" s="106" t="e">
        <v>#N/A</v>
      </c>
      <c r="K170" s="108" t="e">
        <v>#N/A</v>
      </c>
      <c r="L170" s="187"/>
      <c r="M170" s="124"/>
      <c r="N170" s="124"/>
      <c r="O170" s="124"/>
      <c r="P170" s="125"/>
      <c r="Q170" s="131" t="e">
        <v>#N/A</v>
      </c>
      <c r="R170" s="106" t="e">
        <v>#N/A</v>
      </c>
      <c r="S170" s="108" t="e">
        <v>#N/A</v>
      </c>
      <c r="T170" s="108" t="e">
        <v>#N/A</v>
      </c>
    </row>
    <row r="171" spans="1:20" ht="13.5" thickBot="1">
      <c r="A171" s="94"/>
      <c r="B171" s="38"/>
      <c r="C171" s="38"/>
      <c r="D171" s="38"/>
      <c r="E171" s="38"/>
      <c r="F171" s="38"/>
      <c r="G171" s="38"/>
      <c r="H171" s="192" t="e">
        <v>#N/A</v>
      </c>
      <c r="I171" s="130" t="e">
        <v>#N/A</v>
      </c>
      <c r="J171" s="102" t="e">
        <v>#N/A</v>
      </c>
      <c r="K171" s="109" t="e">
        <v>#N/A</v>
      </c>
      <c r="L171" s="186"/>
      <c r="M171" s="122"/>
      <c r="N171" s="122"/>
      <c r="O171" s="122"/>
      <c r="P171" s="123"/>
      <c r="Q171" s="130" t="e">
        <v>#N/A</v>
      </c>
      <c r="R171" s="102" t="e">
        <v>#N/A</v>
      </c>
      <c r="S171" s="109" t="e">
        <v>#N/A</v>
      </c>
      <c r="T171" s="109" t="e">
        <v>#N/A</v>
      </c>
    </row>
    <row r="172" spans="1:20">
      <c r="A172" s="88" t="s">
        <v>356</v>
      </c>
      <c r="B172" s="42">
        <v>2</v>
      </c>
      <c r="C172" s="42">
        <v>21</v>
      </c>
      <c r="D172" s="42">
        <v>5</v>
      </c>
      <c r="E172" s="39"/>
      <c r="F172" s="39"/>
      <c r="G172" s="39"/>
      <c r="H172" s="190">
        <f>SUM(B172:G173)</f>
        <v>44</v>
      </c>
      <c r="I172" s="134" t="e">
        <v>#N/A</v>
      </c>
      <c r="J172" s="104" t="e">
        <v>#N/A</v>
      </c>
      <c r="K172" s="135" t="e">
        <v>#N/A</v>
      </c>
      <c r="L172" s="184">
        <v>34</v>
      </c>
      <c r="M172" s="118">
        <v>1</v>
      </c>
      <c r="N172" s="118">
        <v>14</v>
      </c>
      <c r="O172" s="118">
        <v>0</v>
      </c>
      <c r="P172" s="119">
        <v>13</v>
      </c>
      <c r="Q172" s="31">
        <f>L172+M172</f>
        <v>35</v>
      </c>
      <c r="R172" s="115">
        <f>N172+O172+P172</f>
        <v>27</v>
      </c>
      <c r="S172" s="107">
        <f>Q172-R172</f>
        <v>8</v>
      </c>
      <c r="T172" s="109" t="e">
        <v>#N/A</v>
      </c>
    </row>
    <row r="173" spans="1:20" ht="13.5" thickBot="1">
      <c r="A173" s="89"/>
      <c r="B173" s="87"/>
      <c r="C173" s="87"/>
      <c r="D173" s="87"/>
      <c r="E173" s="43">
        <v>4</v>
      </c>
      <c r="F173" s="43">
        <v>12</v>
      </c>
      <c r="G173" s="43">
        <v>0</v>
      </c>
      <c r="H173" s="193" t="e">
        <v>#N/A</v>
      </c>
      <c r="I173" s="131" t="e">
        <v>#N/A</v>
      </c>
      <c r="J173" s="106" t="e">
        <v>#N/A</v>
      </c>
      <c r="K173" s="108" t="e">
        <v>#N/A</v>
      </c>
      <c r="L173" s="187"/>
      <c r="M173" s="124"/>
      <c r="N173" s="124"/>
      <c r="O173" s="124"/>
      <c r="P173" s="125"/>
      <c r="Q173" s="131" t="e">
        <v>#N/A</v>
      </c>
      <c r="R173" s="106" t="e">
        <v>#N/A</v>
      </c>
      <c r="S173" s="108" t="e">
        <v>#N/A</v>
      </c>
      <c r="T173" s="108" t="e">
        <v>#N/A</v>
      </c>
    </row>
    <row r="174" spans="1:20">
      <c r="A174" s="94"/>
      <c r="B174" s="38"/>
      <c r="C174" s="38"/>
      <c r="D174" s="38"/>
      <c r="E174" s="38"/>
      <c r="F174" s="38"/>
      <c r="G174" s="38"/>
      <c r="H174" s="192" t="e">
        <v>#N/A</v>
      </c>
      <c r="I174" s="130" t="e">
        <v>#N/A</v>
      </c>
      <c r="J174" s="102" t="e">
        <v>#N/A</v>
      </c>
      <c r="K174" s="109" t="e">
        <v>#N/A</v>
      </c>
      <c r="L174" s="186"/>
      <c r="M174" s="122"/>
      <c r="N174" s="122"/>
      <c r="O174" s="122"/>
      <c r="P174" s="123"/>
      <c r="Q174" s="130" t="e">
        <v>#N/A</v>
      </c>
      <c r="R174" s="102" t="e">
        <v>#N/A</v>
      </c>
      <c r="S174" s="109" t="e">
        <v>#N/A</v>
      </c>
      <c r="T174" s="109" t="e">
        <v>#N/A</v>
      </c>
    </row>
    <row r="175" spans="1:20">
      <c r="A175" s="88" t="s">
        <v>371</v>
      </c>
      <c r="B175" s="42">
        <v>2</v>
      </c>
      <c r="C175" s="42">
        <v>8</v>
      </c>
      <c r="D175" s="42">
        <v>0</v>
      </c>
      <c r="E175" s="39"/>
      <c r="F175" s="39"/>
      <c r="G175" s="39"/>
      <c r="H175" s="190">
        <f>SUM(B175:G176)</f>
        <v>22</v>
      </c>
      <c r="I175" s="134" t="e">
        <v>#N/A</v>
      </c>
      <c r="J175" s="104" t="e">
        <v>#N/A</v>
      </c>
      <c r="K175" s="135" t="e">
        <v>#N/A</v>
      </c>
      <c r="L175" s="184">
        <v>11</v>
      </c>
      <c r="M175" s="118">
        <v>0</v>
      </c>
      <c r="N175" s="118">
        <v>22</v>
      </c>
      <c r="O175" s="118">
        <v>0</v>
      </c>
      <c r="P175" s="119">
        <v>10</v>
      </c>
      <c r="Q175" s="31">
        <v>10</v>
      </c>
      <c r="R175" s="115">
        <f>N175+O175+P175</f>
        <v>32</v>
      </c>
      <c r="S175" s="107">
        <f>Q175-R175</f>
        <v>-22</v>
      </c>
      <c r="T175" s="107">
        <v>15</v>
      </c>
    </row>
    <row r="176" spans="1:20" ht="13.5" thickBot="1">
      <c r="A176" s="89"/>
      <c r="B176" s="87"/>
      <c r="C176" s="87"/>
      <c r="D176" s="87"/>
      <c r="E176" s="43">
        <v>3</v>
      </c>
      <c r="F176" s="43">
        <v>9</v>
      </c>
      <c r="G176" s="43">
        <v>0</v>
      </c>
      <c r="H176" s="193" t="e">
        <v>#N/A</v>
      </c>
      <c r="I176" s="131" t="e">
        <v>#N/A</v>
      </c>
      <c r="J176" s="106" t="e">
        <v>#N/A</v>
      </c>
      <c r="K176" s="108" t="e">
        <v>#N/A</v>
      </c>
      <c r="L176" s="187"/>
      <c r="M176" s="124"/>
      <c r="N176" s="124"/>
      <c r="O176" s="124"/>
      <c r="P176" s="125"/>
      <c r="Q176" s="131" t="e">
        <v>#N/A</v>
      </c>
      <c r="R176" s="106" t="e">
        <v>#N/A</v>
      </c>
      <c r="S176" s="108" t="e">
        <v>#N/A</v>
      </c>
      <c r="T176" s="108" t="e">
        <v>#N/A</v>
      </c>
    </row>
    <row r="177" spans="1:20">
      <c r="A177" s="94"/>
      <c r="B177" s="38"/>
      <c r="C177" s="38"/>
      <c r="D177" s="38"/>
      <c r="E177" s="38"/>
      <c r="F177" s="38"/>
      <c r="G177" s="38"/>
      <c r="H177" s="192" t="e">
        <v>#N/A</v>
      </c>
      <c r="I177" s="130" t="e">
        <v>#N/A</v>
      </c>
      <c r="J177" s="102" t="e">
        <v>#N/A</v>
      </c>
      <c r="K177" s="109" t="e">
        <v>#N/A</v>
      </c>
      <c r="L177" s="186"/>
      <c r="M177" s="122"/>
      <c r="N177" s="122"/>
      <c r="O177" s="122"/>
      <c r="P177" s="123"/>
      <c r="Q177" s="130" t="e">
        <v>#N/A</v>
      </c>
      <c r="R177" s="102" t="e">
        <v>#N/A</v>
      </c>
      <c r="S177" s="109" t="e">
        <v>#N/A</v>
      </c>
      <c r="T177" s="109" t="e">
        <v>#N/A</v>
      </c>
    </row>
    <row r="178" spans="1:20">
      <c r="A178" s="88" t="s">
        <v>372</v>
      </c>
      <c r="B178" s="42">
        <v>3</v>
      </c>
      <c r="C178" s="42">
        <v>8</v>
      </c>
      <c r="D178" s="42">
        <v>1</v>
      </c>
      <c r="E178" s="39"/>
      <c r="F178" s="39"/>
      <c r="G178" s="39"/>
      <c r="H178" s="190">
        <f>SUM(B178:G179)</f>
        <v>27</v>
      </c>
      <c r="I178" s="134" t="e">
        <v>#N/A</v>
      </c>
      <c r="J178" s="104" t="e">
        <v>#N/A</v>
      </c>
      <c r="K178" s="135" t="e">
        <v>#N/A</v>
      </c>
      <c r="L178" s="184">
        <v>23</v>
      </c>
      <c r="M178" s="118">
        <v>2</v>
      </c>
      <c r="N178" s="118">
        <v>11</v>
      </c>
      <c r="O178" s="118">
        <v>2</v>
      </c>
      <c r="P178" s="119">
        <v>7</v>
      </c>
      <c r="Q178" s="31">
        <f>L178+M178</f>
        <v>25</v>
      </c>
      <c r="R178" s="115">
        <f>N178+O178+P178</f>
        <v>20</v>
      </c>
      <c r="S178" s="107">
        <f>Q178-R178</f>
        <v>5</v>
      </c>
      <c r="T178" s="107">
        <v>19</v>
      </c>
    </row>
    <row r="179" spans="1:20" ht="13.5" thickBot="1">
      <c r="A179" s="89"/>
      <c r="B179" s="87"/>
      <c r="C179" s="87"/>
      <c r="D179" s="87"/>
      <c r="E179" s="43">
        <v>4</v>
      </c>
      <c r="F179" s="43">
        <v>9</v>
      </c>
      <c r="G179" s="43">
        <v>2</v>
      </c>
      <c r="H179" s="193" t="e">
        <v>#N/A</v>
      </c>
      <c r="I179" s="131" t="e">
        <v>#N/A</v>
      </c>
      <c r="J179" s="106" t="e">
        <v>#N/A</v>
      </c>
      <c r="K179" s="108" t="e">
        <v>#N/A</v>
      </c>
      <c r="L179" s="187"/>
      <c r="M179" s="124"/>
      <c r="N179" s="124"/>
      <c r="O179" s="124"/>
      <c r="P179" s="125"/>
      <c r="Q179" s="131" t="e">
        <v>#N/A</v>
      </c>
      <c r="R179" s="106" t="e">
        <v>#N/A</v>
      </c>
      <c r="S179" s="108" t="e">
        <v>#N/A</v>
      </c>
      <c r="T179" s="108" t="e">
        <v>#N/A</v>
      </c>
    </row>
    <row r="180" spans="1:20">
      <c r="A180" s="94"/>
      <c r="B180" s="38"/>
      <c r="C180" s="38"/>
      <c r="D180" s="38"/>
      <c r="E180" s="38"/>
      <c r="F180" s="38"/>
      <c r="G180" s="38"/>
      <c r="H180" s="192" t="e">
        <v>#N/A</v>
      </c>
      <c r="I180" s="130" t="e">
        <v>#N/A</v>
      </c>
      <c r="J180" s="102" t="e">
        <v>#N/A</v>
      </c>
      <c r="K180" s="109" t="e">
        <v>#N/A</v>
      </c>
      <c r="L180" s="186"/>
      <c r="M180" s="122"/>
      <c r="N180" s="122"/>
      <c r="O180" s="122"/>
      <c r="P180" s="123"/>
      <c r="Q180" s="130" t="e">
        <v>#N/A</v>
      </c>
      <c r="R180" s="102" t="e">
        <v>#N/A</v>
      </c>
      <c r="S180" s="109" t="e">
        <v>#N/A</v>
      </c>
      <c r="T180" s="109" t="e">
        <v>#N/A</v>
      </c>
    </row>
    <row r="181" spans="1:20">
      <c r="A181" s="88" t="s">
        <v>373</v>
      </c>
      <c r="B181" s="42">
        <v>5</v>
      </c>
      <c r="C181" s="42">
        <v>12</v>
      </c>
      <c r="D181" s="42">
        <v>1</v>
      </c>
      <c r="E181" s="39"/>
      <c r="F181" s="39"/>
      <c r="G181" s="39"/>
      <c r="H181" s="190">
        <f>SUM(B181:G182)</f>
        <v>36</v>
      </c>
      <c r="I181" s="134" t="e">
        <v>#N/A</v>
      </c>
      <c r="J181" s="104" t="e">
        <v>#N/A</v>
      </c>
      <c r="K181" s="135" t="e">
        <v>#N/A</v>
      </c>
      <c r="L181" s="184">
        <v>11</v>
      </c>
      <c r="M181" s="118">
        <v>4</v>
      </c>
      <c r="N181" s="118">
        <v>2</v>
      </c>
      <c r="O181" s="118">
        <v>0</v>
      </c>
      <c r="P181" s="119">
        <v>2</v>
      </c>
      <c r="Q181" s="31">
        <f>L181+M181</f>
        <v>15</v>
      </c>
      <c r="R181" s="115">
        <f>N181+O181+P181</f>
        <v>4</v>
      </c>
      <c r="S181" s="107">
        <f>Q181-R181</f>
        <v>11</v>
      </c>
      <c r="T181" s="107">
        <v>28</v>
      </c>
    </row>
    <row r="182" spans="1:20" ht="13.5" thickBot="1">
      <c r="A182" s="89"/>
      <c r="B182" s="87"/>
      <c r="C182" s="87"/>
      <c r="D182" s="87"/>
      <c r="E182" s="43">
        <v>5</v>
      </c>
      <c r="F182" s="43">
        <v>12</v>
      </c>
      <c r="G182" s="43">
        <v>1</v>
      </c>
      <c r="H182" s="193" t="e">
        <v>#N/A</v>
      </c>
      <c r="I182" s="131" t="e">
        <v>#N/A</v>
      </c>
      <c r="J182" s="106" t="e">
        <v>#N/A</v>
      </c>
      <c r="K182" s="108" t="e">
        <v>#N/A</v>
      </c>
      <c r="L182" s="187"/>
      <c r="M182" s="124"/>
      <c r="N182" s="124"/>
      <c r="O182" s="124"/>
      <c r="P182" s="125"/>
      <c r="Q182" s="131" t="e">
        <v>#N/A</v>
      </c>
      <c r="R182" s="106" t="e">
        <v>#N/A</v>
      </c>
      <c r="S182" s="108" t="e">
        <v>#N/A</v>
      </c>
      <c r="T182" s="108" t="e">
        <v>#N/A</v>
      </c>
    </row>
    <row r="183" spans="1:20">
      <c r="A183" s="94"/>
      <c r="B183" s="38"/>
      <c r="C183" s="38"/>
      <c r="D183" s="38"/>
      <c r="E183" s="38"/>
      <c r="F183" s="38"/>
      <c r="G183" s="38"/>
      <c r="H183" s="192" t="e">
        <v>#N/A</v>
      </c>
      <c r="I183" s="130" t="e">
        <v>#N/A</v>
      </c>
      <c r="J183" s="102" t="e">
        <v>#N/A</v>
      </c>
      <c r="K183" s="109" t="e">
        <v>#N/A</v>
      </c>
      <c r="L183" s="186"/>
      <c r="M183" s="122"/>
      <c r="N183" s="122"/>
      <c r="O183" s="122"/>
      <c r="P183" s="123"/>
      <c r="Q183" s="130" t="e">
        <v>#N/A</v>
      </c>
      <c r="R183" s="102" t="e">
        <v>#N/A</v>
      </c>
      <c r="S183" s="109" t="e">
        <v>#N/A</v>
      </c>
      <c r="T183" s="109" t="e">
        <v>#N/A</v>
      </c>
    </row>
    <row r="184" spans="1:20">
      <c r="A184" s="88" t="s">
        <v>325</v>
      </c>
      <c r="B184" s="42">
        <v>11</v>
      </c>
      <c r="C184" s="42">
        <v>18</v>
      </c>
      <c r="D184" s="42">
        <v>0</v>
      </c>
      <c r="E184" s="39"/>
      <c r="F184" s="39"/>
      <c r="G184" s="39"/>
      <c r="H184" s="190">
        <f>SUM(B184:G185)</f>
        <v>49</v>
      </c>
      <c r="I184" s="134" t="e">
        <v>#N/A</v>
      </c>
      <c r="J184" s="104" t="e">
        <v>#N/A</v>
      </c>
      <c r="K184" s="135" t="e">
        <v>#N/A</v>
      </c>
      <c r="L184" s="184">
        <v>21</v>
      </c>
      <c r="M184" s="118">
        <v>3</v>
      </c>
      <c r="N184" s="118">
        <v>6</v>
      </c>
      <c r="O184" s="118">
        <v>3</v>
      </c>
      <c r="P184" s="119">
        <v>4</v>
      </c>
      <c r="Q184" s="31">
        <f>L184+M184</f>
        <v>24</v>
      </c>
      <c r="R184" s="115">
        <f>N184+O184+P184</f>
        <v>13</v>
      </c>
      <c r="S184" s="107">
        <f>Q184-R184</f>
        <v>11</v>
      </c>
      <c r="T184" s="107">
        <v>39</v>
      </c>
    </row>
    <row r="185" spans="1:20" ht="13.5" thickBot="1">
      <c r="A185" s="89"/>
      <c r="B185" s="87"/>
      <c r="C185" s="87"/>
      <c r="D185" s="87"/>
      <c r="E185" s="43">
        <v>9</v>
      </c>
      <c r="F185" s="43">
        <v>9</v>
      </c>
      <c r="G185" s="43">
        <v>2</v>
      </c>
      <c r="H185" s="193" t="e">
        <v>#N/A</v>
      </c>
      <c r="I185" s="131" t="e">
        <v>#N/A</v>
      </c>
      <c r="J185" s="106" t="e">
        <v>#N/A</v>
      </c>
      <c r="K185" s="108" t="e">
        <v>#N/A</v>
      </c>
      <c r="L185" s="187"/>
      <c r="M185" s="124"/>
      <c r="N185" s="124"/>
      <c r="O185" s="124"/>
      <c r="P185" s="125"/>
      <c r="Q185" s="131" t="e">
        <v>#N/A</v>
      </c>
      <c r="R185" s="106" t="e">
        <v>#N/A</v>
      </c>
      <c r="S185" s="108" t="e">
        <v>#N/A</v>
      </c>
      <c r="T185" s="108" t="e">
        <v>#N/A</v>
      </c>
    </row>
    <row r="186" spans="1:20">
      <c r="A186" s="94"/>
      <c r="B186" s="38"/>
      <c r="C186" s="38"/>
      <c r="D186" s="38"/>
      <c r="E186" s="38"/>
      <c r="F186" s="38"/>
      <c r="G186" s="38"/>
      <c r="H186" s="192" t="e">
        <v>#N/A</v>
      </c>
      <c r="I186" s="130" t="e">
        <v>#N/A</v>
      </c>
      <c r="J186" s="102" t="e">
        <v>#N/A</v>
      </c>
      <c r="K186" s="109" t="e">
        <v>#N/A</v>
      </c>
      <c r="L186" s="186"/>
      <c r="M186" s="122"/>
      <c r="N186" s="122"/>
      <c r="O186" s="122"/>
      <c r="P186" s="123"/>
      <c r="Q186" s="130" t="e">
        <v>#N/A</v>
      </c>
      <c r="R186" s="102" t="e">
        <v>#N/A</v>
      </c>
      <c r="S186" s="109" t="e">
        <v>#N/A</v>
      </c>
      <c r="T186" s="109" t="e">
        <v>#N/A</v>
      </c>
    </row>
    <row r="187" spans="1:20">
      <c r="A187" s="88" t="s">
        <v>326</v>
      </c>
      <c r="B187" s="42">
        <v>7</v>
      </c>
      <c r="C187" s="42">
        <v>14</v>
      </c>
      <c r="D187" s="42">
        <v>0</v>
      </c>
      <c r="E187" s="39"/>
      <c r="F187" s="39"/>
      <c r="G187" s="39"/>
      <c r="H187" s="190">
        <f>SUM(B187:G188)</f>
        <v>39</v>
      </c>
      <c r="I187" s="134" t="e">
        <v>#N/A</v>
      </c>
      <c r="J187" s="104" t="e">
        <v>#N/A</v>
      </c>
      <c r="K187" s="135" t="e">
        <v>#N/A</v>
      </c>
      <c r="L187" s="184">
        <v>7</v>
      </c>
      <c r="M187" s="118">
        <v>2</v>
      </c>
      <c r="N187" s="118">
        <v>9</v>
      </c>
      <c r="O187" s="118">
        <v>4</v>
      </c>
      <c r="P187" s="119">
        <v>4</v>
      </c>
      <c r="Q187" s="31">
        <f>L187+M187</f>
        <v>9</v>
      </c>
      <c r="R187" s="115">
        <f>N187+O187+P187</f>
        <v>17</v>
      </c>
      <c r="S187" s="107">
        <f>Q187-R187</f>
        <v>-8</v>
      </c>
      <c r="T187" s="107">
        <v>29</v>
      </c>
    </row>
    <row r="188" spans="1:20" ht="13.5" thickBot="1">
      <c r="A188" s="89"/>
      <c r="B188" s="87"/>
      <c r="C188" s="87"/>
      <c r="D188" s="87"/>
      <c r="E188" s="43">
        <v>7</v>
      </c>
      <c r="F188" s="43">
        <v>9</v>
      </c>
      <c r="G188" s="43">
        <v>2</v>
      </c>
      <c r="H188" s="193" t="e">
        <v>#N/A</v>
      </c>
      <c r="I188" s="131" t="e">
        <v>#N/A</v>
      </c>
      <c r="J188" s="106" t="e">
        <v>#N/A</v>
      </c>
      <c r="K188" s="108" t="e">
        <v>#N/A</v>
      </c>
      <c r="L188" s="187"/>
      <c r="M188" s="124"/>
      <c r="N188" s="124"/>
      <c r="O188" s="124"/>
      <c r="P188" s="125"/>
      <c r="Q188" s="131" t="e">
        <v>#N/A</v>
      </c>
      <c r="R188" s="106" t="e">
        <v>#N/A</v>
      </c>
      <c r="S188" s="108" t="e">
        <v>#N/A</v>
      </c>
      <c r="T188" s="108" t="e">
        <v>#N/A</v>
      </c>
    </row>
    <row r="189" spans="1:20">
      <c r="A189" s="94"/>
      <c r="B189" s="38"/>
      <c r="C189" s="38"/>
      <c r="D189" s="38"/>
      <c r="E189" s="38"/>
      <c r="F189" s="38"/>
      <c r="G189" s="38"/>
      <c r="H189" s="192" t="e">
        <v>#N/A</v>
      </c>
      <c r="I189" s="130" t="e">
        <v>#N/A</v>
      </c>
      <c r="J189" s="102" t="e">
        <v>#N/A</v>
      </c>
      <c r="K189" s="109" t="e">
        <v>#N/A</v>
      </c>
      <c r="L189" s="186"/>
      <c r="M189" s="122"/>
      <c r="N189" s="122"/>
      <c r="O189" s="122"/>
      <c r="P189" s="123"/>
      <c r="Q189" s="130" t="e">
        <v>#N/A</v>
      </c>
      <c r="R189" s="102" t="e">
        <v>#N/A</v>
      </c>
      <c r="S189" s="109" t="e">
        <v>#N/A</v>
      </c>
      <c r="T189" s="109" t="e">
        <v>#N/A</v>
      </c>
    </row>
    <row r="190" spans="1:20">
      <c r="A190" s="88" t="s">
        <v>327</v>
      </c>
      <c r="B190" s="42">
        <v>3</v>
      </c>
      <c r="C190" s="42">
        <v>11</v>
      </c>
      <c r="D190" s="42">
        <v>0</v>
      </c>
      <c r="E190" s="39"/>
      <c r="F190" s="39"/>
      <c r="G190" s="39"/>
      <c r="H190" s="190">
        <f>SUM(B190:G191)</f>
        <v>30</v>
      </c>
      <c r="I190" s="134" t="e">
        <v>#N/A</v>
      </c>
      <c r="J190" s="104" t="e">
        <v>#N/A</v>
      </c>
      <c r="K190" s="135" t="e">
        <v>#N/A</v>
      </c>
      <c r="L190" s="184">
        <v>9</v>
      </c>
      <c r="M190" s="118">
        <v>0</v>
      </c>
      <c r="N190" s="118">
        <v>10</v>
      </c>
      <c r="O190" s="118">
        <v>3</v>
      </c>
      <c r="P190" s="119">
        <v>3</v>
      </c>
      <c r="Q190" s="31">
        <f>L190+M190</f>
        <v>9</v>
      </c>
      <c r="R190" s="115">
        <f>N190+O190+P190</f>
        <v>16</v>
      </c>
      <c r="S190" s="107">
        <f>Q190-R190</f>
        <v>-7</v>
      </c>
      <c r="T190" s="107">
        <v>18</v>
      </c>
    </row>
    <row r="191" spans="1:20" ht="13.5" thickBot="1">
      <c r="A191" s="89"/>
      <c r="B191" s="87"/>
      <c r="C191" s="87"/>
      <c r="D191" s="87"/>
      <c r="E191" s="43">
        <v>6</v>
      </c>
      <c r="F191" s="43">
        <v>8</v>
      </c>
      <c r="G191" s="43">
        <v>2</v>
      </c>
      <c r="H191" s="193" t="e">
        <v>#N/A</v>
      </c>
      <c r="I191" s="131" t="e">
        <v>#N/A</v>
      </c>
      <c r="J191" s="106" t="e">
        <v>#N/A</v>
      </c>
      <c r="K191" s="108" t="e">
        <v>#N/A</v>
      </c>
      <c r="L191" s="187"/>
      <c r="M191" s="124"/>
      <c r="N191" s="124"/>
      <c r="O191" s="124"/>
      <c r="P191" s="125"/>
      <c r="Q191" s="131" t="e">
        <v>#N/A</v>
      </c>
      <c r="R191" s="106" t="e">
        <v>#N/A</v>
      </c>
      <c r="S191" s="108" t="e">
        <v>#N/A</v>
      </c>
      <c r="T191" s="108" t="e">
        <v>#N/A</v>
      </c>
    </row>
    <row r="192" spans="1:20">
      <c r="A192" s="94"/>
      <c r="B192" s="38"/>
      <c r="C192" s="38"/>
      <c r="D192" s="38"/>
      <c r="E192" s="38"/>
      <c r="F192" s="38"/>
      <c r="G192" s="38"/>
      <c r="H192" s="192" t="e">
        <v>#N/A</v>
      </c>
      <c r="I192" s="130" t="e">
        <v>#N/A</v>
      </c>
      <c r="J192" s="102" t="e">
        <v>#N/A</v>
      </c>
      <c r="K192" s="109" t="e">
        <v>#N/A</v>
      </c>
      <c r="L192" s="186"/>
      <c r="M192" s="122"/>
      <c r="N192" s="122"/>
      <c r="O192" s="122"/>
      <c r="P192" s="123"/>
      <c r="Q192" s="130" t="e">
        <v>#N/A</v>
      </c>
      <c r="R192" s="102" t="e">
        <v>#N/A</v>
      </c>
      <c r="S192" s="109" t="e">
        <v>#N/A</v>
      </c>
      <c r="T192" s="109" t="e">
        <v>#N/A</v>
      </c>
    </row>
    <row r="193" spans="1:20">
      <c r="A193" s="88" t="s">
        <v>331</v>
      </c>
      <c r="B193" s="42">
        <v>3</v>
      </c>
      <c r="C193" s="42">
        <v>13</v>
      </c>
      <c r="D193" s="42">
        <v>1</v>
      </c>
      <c r="E193" s="39"/>
      <c r="F193" s="39"/>
      <c r="G193" s="39"/>
      <c r="H193" s="190">
        <f>SUM(B193:G194)</f>
        <v>33</v>
      </c>
      <c r="I193" s="134" t="e">
        <v>#N/A</v>
      </c>
      <c r="J193" s="104" t="e">
        <v>#N/A</v>
      </c>
      <c r="K193" s="135" t="e">
        <v>#N/A</v>
      </c>
      <c r="L193" s="184">
        <v>7</v>
      </c>
      <c r="M193" s="118">
        <v>4</v>
      </c>
      <c r="N193" s="118">
        <v>3</v>
      </c>
      <c r="O193" s="118">
        <v>0</v>
      </c>
      <c r="P193" s="119">
        <v>3</v>
      </c>
      <c r="Q193" s="31">
        <f>L193+M193</f>
        <v>11</v>
      </c>
      <c r="R193" s="115">
        <f>N193+O193+P193</f>
        <v>6</v>
      </c>
      <c r="S193" s="107">
        <f>Q193-R193</f>
        <v>5</v>
      </c>
      <c r="T193" s="107">
        <v>22</v>
      </c>
    </row>
    <row r="194" spans="1:20" ht="13.5" thickBot="1">
      <c r="A194" s="89"/>
      <c r="B194" s="87"/>
      <c r="C194" s="87"/>
      <c r="D194" s="87"/>
      <c r="E194" s="43">
        <v>7</v>
      </c>
      <c r="F194" s="43">
        <v>8</v>
      </c>
      <c r="G194" s="43">
        <v>1</v>
      </c>
      <c r="H194" s="193" t="e">
        <v>#N/A</v>
      </c>
      <c r="I194" s="131" t="e">
        <v>#N/A</v>
      </c>
      <c r="J194" s="106" t="e">
        <v>#N/A</v>
      </c>
      <c r="K194" s="108" t="e">
        <v>#N/A</v>
      </c>
      <c r="L194" s="187"/>
      <c r="M194" s="124"/>
      <c r="N194" s="124"/>
      <c r="O194" s="124"/>
      <c r="P194" s="125"/>
      <c r="Q194" s="131" t="e">
        <v>#N/A</v>
      </c>
      <c r="R194" s="106" t="e">
        <v>#N/A</v>
      </c>
      <c r="S194" s="108" t="e">
        <v>#N/A</v>
      </c>
      <c r="T194" s="108" t="e">
        <v>#N/A</v>
      </c>
    </row>
    <row r="195" spans="1:20">
      <c r="A195" s="94"/>
      <c r="B195" s="38"/>
      <c r="C195" s="38"/>
      <c r="D195" s="38"/>
      <c r="E195" s="38"/>
      <c r="F195" s="38"/>
      <c r="G195" s="38"/>
      <c r="H195" s="192" t="e">
        <v>#N/A</v>
      </c>
      <c r="I195" s="130" t="e">
        <v>#N/A</v>
      </c>
      <c r="J195" s="102" t="e">
        <v>#N/A</v>
      </c>
      <c r="K195" s="109" t="e">
        <v>#N/A</v>
      </c>
      <c r="L195" s="186"/>
      <c r="M195" s="122"/>
      <c r="N195" s="122"/>
      <c r="O195" s="122"/>
      <c r="P195" s="123"/>
      <c r="Q195" s="130" t="e">
        <v>#N/A</v>
      </c>
      <c r="R195" s="102" t="e">
        <v>#N/A</v>
      </c>
      <c r="S195" s="109" t="e">
        <v>#N/A</v>
      </c>
      <c r="T195" s="109" t="e">
        <v>#N/A</v>
      </c>
    </row>
    <row r="196" spans="1:20">
      <c r="A196" s="88" t="s">
        <v>332</v>
      </c>
      <c r="B196" s="42">
        <v>5</v>
      </c>
      <c r="C196" s="42">
        <v>12</v>
      </c>
      <c r="D196" s="42">
        <v>0</v>
      </c>
      <c r="E196" s="39"/>
      <c r="F196" s="39"/>
      <c r="G196" s="39"/>
      <c r="H196" s="190">
        <f>SUM(B196:G197)</f>
        <v>38</v>
      </c>
      <c r="I196" s="134" t="e">
        <v>#N/A</v>
      </c>
      <c r="J196" s="104" t="e">
        <v>#N/A</v>
      </c>
      <c r="K196" s="135" t="e">
        <v>#N/A</v>
      </c>
      <c r="L196" s="184">
        <v>16</v>
      </c>
      <c r="M196" s="118">
        <v>2</v>
      </c>
      <c r="N196" s="118">
        <v>7</v>
      </c>
      <c r="O196" s="118">
        <v>0</v>
      </c>
      <c r="P196" s="119">
        <v>7</v>
      </c>
      <c r="Q196" s="31">
        <f>L196+M196</f>
        <v>18</v>
      </c>
      <c r="R196" s="115">
        <f>N196+O196+P196</f>
        <v>14</v>
      </c>
      <c r="S196" s="107">
        <f>Q196-R196</f>
        <v>4</v>
      </c>
      <c r="T196" s="107">
        <v>27</v>
      </c>
    </row>
    <row r="197" spans="1:20" ht="13.5" thickBot="1">
      <c r="A197" s="89"/>
      <c r="B197" s="87"/>
      <c r="C197" s="87"/>
      <c r="D197" s="87"/>
      <c r="E197" s="43">
        <v>3</v>
      </c>
      <c r="F197" s="43">
        <v>16</v>
      </c>
      <c r="G197" s="43">
        <v>2</v>
      </c>
      <c r="H197" s="193" t="e">
        <v>#N/A</v>
      </c>
      <c r="I197" s="131" t="e">
        <v>#N/A</v>
      </c>
      <c r="J197" s="106" t="e">
        <v>#N/A</v>
      </c>
      <c r="K197" s="108" t="e">
        <v>#N/A</v>
      </c>
      <c r="L197" s="187"/>
      <c r="M197" s="124"/>
      <c r="N197" s="124"/>
      <c r="O197" s="124"/>
      <c r="P197" s="125"/>
      <c r="Q197" s="131" t="e">
        <v>#N/A</v>
      </c>
      <c r="R197" s="106" t="e">
        <v>#N/A</v>
      </c>
      <c r="S197" s="108" t="e">
        <v>#N/A</v>
      </c>
      <c r="T197" s="108" t="e">
        <v>#N/A</v>
      </c>
    </row>
    <row r="198" spans="1:20">
      <c r="A198" s="94"/>
      <c r="B198" s="38"/>
      <c r="C198" s="38"/>
      <c r="D198" s="38"/>
      <c r="E198" s="38"/>
      <c r="F198" s="38"/>
      <c r="G198" s="38"/>
      <c r="H198" s="192" t="e">
        <v>#N/A</v>
      </c>
      <c r="I198" s="130" t="e">
        <v>#N/A</v>
      </c>
      <c r="J198" s="102" t="e">
        <v>#N/A</v>
      </c>
      <c r="K198" s="109" t="e">
        <v>#N/A</v>
      </c>
      <c r="L198" s="186"/>
      <c r="M198" s="122"/>
      <c r="N198" s="122"/>
      <c r="O198" s="122"/>
      <c r="P198" s="123"/>
      <c r="Q198" s="130" t="e">
        <v>#N/A</v>
      </c>
      <c r="R198" s="102" t="e">
        <v>#N/A</v>
      </c>
      <c r="S198" s="109" t="e">
        <v>#N/A</v>
      </c>
      <c r="T198" s="109" t="e">
        <v>#N/A</v>
      </c>
    </row>
    <row r="199" spans="1:20">
      <c r="A199" s="88" t="s">
        <v>333</v>
      </c>
      <c r="B199" s="42">
        <v>3</v>
      </c>
      <c r="C199" s="42">
        <v>15</v>
      </c>
      <c r="D199" s="42">
        <v>0</v>
      </c>
      <c r="E199" s="39"/>
      <c r="F199" s="39"/>
      <c r="G199" s="39"/>
      <c r="H199" s="190">
        <f>SUM(B199:G200)</f>
        <v>38</v>
      </c>
      <c r="I199" s="134" t="e">
        <v>#N/A</v>
      </c>
      <c r="J199" s="104" t="e">
        <v>#N/A</v>
      </c>
      <c r="K199" s="135" t="e">
        <v>#N/A</v>
      </c>
      <c r="L199" s="184">
        <v>6</v>
      </c>
      <c r="M199" s="118">
        <v>2</v>
      </c>
      <c r="N199" s="118">
        <v>1</v>
      </c>
      <c r="O199" s="118">
        <v>2</v>
      </c>
      <c r="P199" s="119">
        <v>4</v>
      </c>
      <c r="Q199" s="31">
        <f>L199+M199</f>
        <v>8</v>
      </c>
      <c r="R199" s="115">
        <f>N199+O199+P199</f>
        <v>7</v>
      </c>
      <c r="S199" s="107">
        <f>Q199-R199</f>
        <v>1</v>
      </c>
      <c r="T199" s="107">
        <v>29</v>
      </c>
    </row>
    <row r="200" spans="1:20" ht="13.5" thickBot="1">
      <c r="A200" s="89"/>
      <c r="B200" s="87"/>
      <c r="C200" s="87"/>
      <c r="D200" s="87"/>
      <c r="E200" s="43">
        <v>3</v>
      </c>
      <c r="F200" s="43">
        <v>15</v>
      </c>
      <c r="G200" s="43">
        <v>2</v>
      </c>
      <c r="H200" s="193" t="e">
        <v>#N/A</v>
      </c>
      <c r="I200" s="131" t="e">
        <v>#N/A</v>
      </c>
      <c r="J200" s="106" t="e">
        <v>#N/A</v>
      </c>
      <c r="K200" s="108" t="e">
        <v>#N/A</v>
      </c>
      <c r="L200" s="187"/>
      <c r="M200" s="124"/>
      <c r="N200" s="124"/>
      <c r="O200" s="124"/>
      <c r="P200" s="125"/>
      <c r="Q200" s="131" t="e">
        <v>#N/A</v>
      </c>
      <c r="R200" s="106" t="e">
        <v>#N/A</v>
      </c>
      <c r="S200" s="108" t="e">
        <v>#N/A</v>
      </c>
      <c r="T200" s="108" t="e">
        <v>#N/A</v>
      </c>
    </row>
    <row r="201" spans="1:20">
      <c r="A201" s="94"/>
      <c r="B201" s="38"/>
      <c r="C201" s="38"/>
      <c r="D201" s="38"/>
      <c r="E201" s="38"/>
      <c r="F201" s="38"/>
      <c r="G201" s="38"/>
      <c r="H201" s="192" t="e">
        <v>#N/A</v>
      </c>
      <c r="I201" s="130" t="e">
        <v>#N/A</v>
      </c>
      <c r="J201" s="102" t="e">
        <v>#N/A</v>
      </c>
      <c r="K201" s="109" t="e">
        <v>#N/A</v>
      </c>
      <c r="L201" s="186"/>
      <c r="M201" s="122"/>
      <c r="N201" s="122"/>
      <c r="O201" s="122"/>
      <c r="P201" s="123"/>
      <c r="Q201" s="130" t="e">
        <v>#N/A</v>
      </c>
      <c r="R201" s="102" t="e">
        <v>#N/A</v>
      </c>
      <c r="S201" s="109" t="e">
        <v>#N/A</v>
      </c>
      <c r="T201" s="109" t="e">
        <v>#N/A</v>
      </c>
    </row>
    <row r="202" spans="1:20">
      <c r="A202" s="88" t="s">
        <v>334</v>
      </c>
      <c r="B202" s="42">
        <v>3</v>
      </c>
      <c r="C202" s="42">
        <v>14</v>
      </c>
      <c r="D202" s="42">
        <v>0</v>
      </c>
      <c r="E202" s="39"/>
      <c r="F202" s="39"/>
      <c r="G202" s="39"/>
      <c r="H202" s="190">
        <f>SUM(B202:G203)</f>
        <v>36</v>
      </c>
      <c r="I202" s="134" t="e">
        <v>#N/A</v>
      </c>
      <c r="J202" s="104" t="e">
        <v>#N/A</v>
      </c>
      <c r="K202" s="135" t="e">
        <v>#N/A</v>
      </c>
      <c r="L202" s="184">
        <v>9</v>
      </c>
      <c r="M202" s="118">
        <v>4</v>
      </c>
      <c r="N202" s="118">
        <v>6</v>
      </c>
      <c r="O202" s="118">
        <v>0</v>
      </c>
      <c r="P202" s="119">
        <v>9</v>
      </c>
      <c r="Q202" s="31">
        <f>L202+M202</f>
        <v>13</v>
      </c>
      <c r="R202" s="115">
        <f>N202+O202+P202</f>
        <v>15</v>
      </c>
      <c r="S202" s="107">
        <f>Q202-R202</f>
        <v>-2</v>
      </c>
      <c r="T202" s="107">
        <v>28</v>
      </c>
    </row>
    <row r="203" spans="1:20" ht="13.5" thickBot="1">
      <c r="A203" s="89"/>
      <c r="B203" s="87"/>
      <c r="C203" s="87"/>
      <c r="D203" s="87"/>
      <c r="E203" s="43">
        <v>3</v>
      </c>
      <c r="F203" s="43">
        <v>12</v>
      </c>
      <c r="G203" s="43">
        <v>4</v>
      </c>
      <c r="H203" s="193" t="e">
        <v>#N/A</v>
      </c>
      <c r="I203" s="131" t="e">
        <v>#N/A</v>
      </c>
      <c r="J203" s="106" t="e">
        <v>#N/A</v>
      </c>
      <c r="K203" s="108" t="e">
        <v>#N/A</v>
      </c>
      <c r="L203" s="187"/>
      <c r="M203" s="124"/>
      <c r="N203" s="124"/>
      <c r="O203" s="124"/>
      <c r="P203" s="125"/>
      <c r="Q203" s="131" t="e">
        <v>#N/A</v>
      </c>
      <c r="R203" s="106" t="e">
        <v>#N/A</v>
      </c>
      <c r="S203" s="108" t="e">
        <v>#N/A</v>
      </c>
      <c r="T203" s="108" t="e">
        <v>#N/A</v>
      </c>
    </row>
    <row r="204" spans="1:20">
      <c r="A204" s="94"/>
      <c r="B204" s="38"/>
      <c r="C204" s="38"/>
      <c r="D204" s="38"/>
      <c r="E204" s="38"/>
      <c r="F204" s="38"/>
      <c r="G204" s="38"/>
      <c r="H204" s="192" t="e">
        <v>#N/A</v>
      </c>
      <c r="I204" s="130" t="e">
        <v>#N/A</v>
      </c>
      <c r="J204" s="102" t="e">
        <v>#N/A</v>
      </c>
      <c r="K204" s="109" t="e">
        <v>#N/A</v>
      </c>
      <c r="L204" s="186"/>
      <c r="M204" s="122"/>
      <c r="N204" s="122"/>
      <c r="O204" s="122"/>
      <c r="P204" s="123"/>
      <c r="Q204" s="130" t="e">
        <v>#N/A</v>
      </c>
      <c r="R204" s="102" t="e">
        <v>#N/A</v>
      </c>
      <c r="S204" s="109" t="e">
        <v>#N/A</v>
      </c>
      <c r="T204" s="109" t="e">
        <v>#N/A</v>
      </c>
    </row>
    <row r="205" spans="1:20">
      <c r="A205" s="88" t="s">
        <v>335</v>
      </c>
      <c r="B205" s="42">
        <v>2</v>
      </c>
      <c r="C205" s="42">
        <v>15</v>
      </c>
      <c r="D205" s="42">
        <v>0</v>
      </c>
      <c r="E205" s="39"/>
      <c r="F205" s="39"/>
      <c r="G205" s="39"/>
      <c r="H205" s="190">
        <f>SUM(B205:G206)</f>
        <v>32</v>
      </c>
      <c r="I205" s="134" t="e">
        <v>#N/A</v>
      </c>
      <c r="J205" s="104" t="e">
        <v>#N/A</v>
      </c>
      <c r="K205" s="135" t="e">
        <v>#N/A</v>
      </c>
      <c r="L205" s="184">
        <v>6</v>
      </c>
      <c r="M205" s="118">
        <v>1</v>
      </c>
      <c r="N205" s="118">
        <v>4</v>
      </c>
      <c r="O205" s="118">
        <v>2</v>
      </c>
      <c r="P205" s="119">
        <v>5</v>
      </c>
      <c r="Q205" s="31">
        <f>L205+M205</f>
        <v>7</v>
      </c>
      <c r="R205" s="115">
        <f>N205+O205+P205</f>
        <v>11</v>
      </c>
      <c r="S205" s="107">
        <f>Q205-R205</f>
        <v>-4</v>
      </c>
      <c r="T205" s="107">
        <v>24</v>
      </c>
    </row>
    <row r="206" spans="1:20" ht="13.5" thickBot="1">
      <c r="A206" s="89"/>
      <c r="B206" s="87"/>
      <c r="C206" s="87"/>
      <c r="D206" s="87"/>
      <c r="E206" s="43">
        <v>3</v>
      </c>
      <c r="F206" s="43">
        <v>9</v>
      </c>
      <c r="G206" s="43">
        <v>3</v>
      </c>
      <c r="H206" s="193" t="e">
        <v>#N/A</v>
      </c>
      <c r="I206" s="131" t="e">
        <v>#N/A</v>
      </c>
      <c r="J206" s="106" t="e">
        <v>#N/A</v>
      </c>
      <c r="K206" s="108" t="e">
        <v>#N/A</v>
      </c>
      <c r="L206" s="187"/>
      <c r="M206" s="124"/>
      <c r="N206" s="124"/>
      <c r="O206" s="124"/>
      <c r="P206" s="125"/>
      <c r="Q206" s="131" t="e">
        <v>#N/A</v>
      </c>
      <c r="R206" s="106" t="e">
        <v>#N/A</v>
      </c>
      <c r="S206" s="108" t="e">
        <v>#N/A</v>
      </c>
      <c r="T206" s="108" t="e">
        <v>#N/A</v>
      </c>
    </row>
    <row r="207" spans="1:20">
      <c r="A207" s="94"/>
      <c r="B207" s="38"/>
      <c r="C207" s="38"/>
      <c r="D207" s="38"/>
      <c r="E207" s="38"/>
      <c r="F207" s="38"/>
      <c r="G207" s="38"/>
      <c r="H207" s="192" t="e">
        <v>#N/A</v>
      </c>
      <c r="I207" s="130" t="e">
        <v>#N/A</v>
      </c>
      <c r="J207" s="102" t="e">
        <v>#N/A</v>
      </c>
      <c r="K207" s="109" t="e">
        <v>#N/A</v>
      </c>
      <c r="L207" s="186"/>
      <c r="M207" s="122"/>
      <c r="N207" s="122"/>
      <c r="O207" s="122"/>
      <c r="P207" s="123"/>
      <c r="Q207" s="130" t="e">
        <v>#N/A</v>
      </c>
      <c r="R207" s="102" t="e">
        <v>#N/A</v>
      </c>
      <c r="S207" s="109" t="e">
        <v>#N/A</v>
      </c>
      <c r="T207" s="109" t="e">
        <v>#N/A</v>
      </c>
    </row>
    <row r="208" spans="1:20">
      <c r="A208" s="88" t="s">
        <v>380</v>
      </c>
      <c r="B208" s="42">
        <v>5</v>
      </c>
      <c r="C208" s="42">
        <v>16</v>
      </c>
      <c r="D208" s="42">
        <v>0</v>
      </c>
      <c r="E208" s="39"/>
      <c r="F208" s="39"/>
      <c r="G208" s="39"/>
      <c r="H208" s="190">
        <f>SUM(B208:G209)</f>
        <v>40</v>
      </c>
      <c r="I208" s="134" t="e">
        <v>#N/A</v>
      </c>
      <c r="J208" s="104" t="e">
        <v>#N/A</v>
      </c>
      <c r="K208" s="135" t="e">
        <v>#N/A</v>
      </c>
      <c r="L208" s="184">
        <v>12</v>
      </c>
      <c r="M208" s="118">
        <v>0</v>
      </c>
      <c r="N208" s="118">
        <v>3</v>
      </c>
      <c r="O208" s="118">
        <v>0</v>
      </c>
      <c r="P208" s="119">
        <v>2</v>
      </c>
      <c r="Q208" s="31">
        <f>L208+M208</f>
        <v>12</v>
      </c>
      <c r="R208" s="115">
        <f>N208+O208+P208</f>
        <v>5</v>
      </c>
      <c r="S208" s="107">
        <f>Q208-R208</f>
        <v>7</v>
      </c>
      <c r="T208" s="107">
        <v>31</v>
      </c>
    </row>
    <row r="209" spans="1:20" ht="13.5" thickBot="1">
      <c r="A209" s="89"/>
      <c r="B209" s="87"/>
      <c r="C209" s="87"/>
      <c r="D209" s="87"/>
      <c r="E209" s="43">
        <v>4</v>
      </c>
      <c r="F209" s="43">
        <v>12</v>
      </c>
      <c r="G209" s="43">
        <v>3</v>
      </c>
      <c r="H209" s="193" t="e">
        <v>#N/A</v>
      </c>
      <c r="I209" s="131" t="e">
        <v>#N/A</v>
      </c>
      <c r="J209" s="106" t="e">
        <v>#N/A</v>
      </c>
      <c r="K209" s="108" t="e">
        <v>#N/A</v>
      </c>
      <c r="L209" s="187"/>
      <c r="M209" s="124"/>
      <c r="N209" s="124"/>
      <c r="O209" s="124"/>
      <c r="P209" s="125"/>
      <c r="Q209" s="131" t="e">
        <v>#N/A</v>
      </c>
      <c r="R209" s="106" t="e">
        <v>#N/A</v>
      </c>
      <c r="S209" s="108" t="e">
        <v>#N/A</v>
      </c>
      <c r="T209" s="108" t="e">
        <v>#N/A</v>
      </c>
    </row>
    <row r="210" spans="1:20">
      <c r="A210" s="94"/>
      <c r="B210" s="38"/>
      <c r="C210" s="38"/>
      <c r="D210" s="38"/>
      <c r="E210" s="38"/>
      <c r="F210" s="38"/>
      <c r="G210" s="38"/>
      <c r="H210" s="192" t="e">
        <v>#N/A</v>
      </c>
      <c r="I210" s="130" t="e">
        <v>#N/A</v>
      </c>
      <c r="J210" s="102" t="e">
        <v>#N/A</v>
      </c>
      <c r="K210" s="109" t="e">
        <v>#N/A</v>
      </c>
      <c r="L210" s="186"/>
      <c r="M210" s="122"/>
      <c r="N210" s="122"/>
      <c r="O210" s="122"/>
      <c r="P210" s="123"/>
      <c r="Q210" s="130" t="e">
        <v>#N/A</v>
      </c>
      <c r="R210" s="102" t="e">
        <v>#N/A</v>
      </c>
      <c r="S210" s="109" t="e">
        <v>#N/A</v>
      </c>
      <c r="T210" s="109" t="e">
        <v>#N/A</v>
      </c>
    </row>
    <row r="211" spans="1:20">
      <c r="A211" s="88" t="s">
        <v>381</v>
      </c>
      <c r="B211" s="42">
        <v>8</v>
      </c>
      <c r="C211" s="42">
        <v>12</v>
      </c>
      <c r="D211" s="42">
        <v>0</v>
      </c>
      <c r="E211" s="39"/>
      <c r="F211" s="39"/>
      <c r="G211" s="39"/>
      <c r="H211" s="190">
        <f>SUM(B211:G212)</f>
        <v>36</v>
      </c>
      <c r="I211" s="134" t="e">
        <v>#N/A</v>
      </c>
      <c r="J211" s="104" t="e">
        <v>#N/A</v>
      </c>
      <c r="K211" s="135" t="e">
        <v>#N/A</v>
      </c>
      <c r="L211" s="184">
        <v>7</v>
      </c>
      <c r="M211" s="118">
        <v>1</v>
      </c>
      <c r="N211" s="118">
        <v>8</v>
      </c>
      <c r="O211" s="118">
        <v>0</v>
      </c>
      <c r="P211" s="119">
        <v>3</v>
      </c>
      <c r="Q211" s="31">
        <f>L211+M211</f>
        <v>8</v>
      </c>
      <c r="R211" s="115">
        <f>N211+O211+P211</f>
        <v>11</v>
      </c>
      <c r="S211" s="107">
        <f>Q211-R211</f>
        <v>-3</v>
      </c>
      <c r="T211" s="107">
        <v>28</v>
      </c>
    </row>
    <row r="212" spans="1:20" ht="13.5" thickBot="1">
      <c r="A212" s="91"/>
      <c r="B212" s="90"/>
      <c r="C212" s="90"/>
      <c r="D212" s="90"/>
      <c r="E212" s="93">
        <v>2</v>
      </c>
      <c r="F212" s="93">
        <v>11</v>
      </c>
      <c r="G212" s="93">
        <v>3</v>
      </c>
      <c r="H212" s="191" t="e">
        <v>#N/A</v>
      </c>
      <c r="I212" s="131" t="e">
        <v>#N/A</v>
      </c>
      <c r="J212" s="106" t="e">
        <v>#N/A</v>
      </c>
      <c r="K212" s="108" t="e">
        <v>#N/A</v>
      </c>
      <c r="L212" s="187"/>
      <c r="M212" s="124"/>
      <c r="N212" s="124"/>
      <c r="O212" s="124"/>
      <c r="P212" s="125"/>
      <c r="Q212" s="131" t="e">
        <v>#N/A</v>
      </c>
      <c r="R212" s="106" t="e">
        <v>#N/A</v>
      </c>
      <c r="S212" s="108" t="e">
        <v>#N/A</v>
      </c>
      <c r="T212" s="108" t="e">
        <v>#N/A</v>
      </c>
    </row>
    <row r="213" spans="1:20">
      <c r="A213" s="94"/>
      <c r="B213" s="38"/>
      <c r="C213" s="38"/>
      <c r="D213" s="38"/>
      <c r="E213" s="38"/>
      <c r="F213" s="38"/>
      <c r="G213" s="38"/>
      <c r="H213" s="192" t="e">
        <v>#N/A</v>
      </c>
      <c r="I213" s="181" t="e">
        <v>#N/A</v>
      </c>
      <c r="J213" s="102" t="e">
        <v>#N/A</v>
      </c>
      <c r="K213" s="109" t="e">
        <v>#N/A</v>
      </c>
      <c r="L213" s="186"/>
      <c r="M213" s="122"/>
      <c r="N213" s="122"/>
      <c r="O213" s="122"/>
      <c r="P213" s="123"/>
      <c r="Q213" s="130" t="e">
        <v>#N/A</v>
      </c>
      <c r="R213" s="102" t="e">
        <v>#N/A</v>
      </c>
      <c r="S213" s="109" t="e">
        <v>#N/A</v>
      </c>
      <c r="T213" s="109" t="e">
        <v>#N/A</v>
      </c>
    </row>
    <row r="214" spans="1:20">
      <c r="A214" s="88" t="s">
        <v>336</v>
      </c>
      <c r="B214" s="42">
        <v>3</v>
      </c>
      <c r="C214" s="42">
        <v>12</v>
      </c>
      <c r="D214" s="42">
        <v>0</v>
      </c>
      <c r="E214" s="39"/>
      <c r="F214" s="39"/>
      <c r="G214" s="39"/>
      <c r="H214" s="190">
        <f>SUM(B214:G215)</f>
        <v>33</v>
      </c>
      <c r="I214" s="212" t="e">
        <v>#N/A</v>
      </c>
      <c r="J214" s="104" t="e">
        <v>#N/A</v>
      </c>
      <c r="K214" s="135" t="e">
        <v>#N/A</v>
      </c>
      <c r="L214" s="184">
        <v>7</v>
      </c>
      <c r="M214" s="118">
        <v>0</v>
      </c>
      <c r="N214" s="118">
        <v>6</v>
      </c>
      <c r="O214" s="118">
        <v>0</v>
      </c>
      <c r="P214" s="119">
        <v>4</v>
      </c>
      <c r="Q214" s="31">
        <f>L214+M214</f>
        <v>7</v>
      </c>
      <c r="R214" s="115">
        <f>N214+O214+P214</f>
        <v>10</v>
      </c>
      <c r="S214" s="107">
        <f>Q214-R214</f>
        <v>-3</v>
      </c>
      <c r="T214" s="107">
        <v>26</v>
      </c>
    </row>
    <row r="215" spans="1:20" ht="13.5" thickBot="1">
      <c r="A215" s="89"/>
      <c r="B215" s="87"/>
      <c r="C215" s="87"/>
      <c r="D215" s="87"/>
      <c r="E215" s="43">
        <v>5</v>
      </c>
      <c r="F215" s="43">
        <v>9</v>
      </c>
      <c r="G215" s="43">
        <v>4</v>
      </c>
      <c r="H215" s="193" t="e">
        <v>#N/A</v>
      </c>
      <c r="I215" s="221" t="e">
        <v>#N/A</v>
      </c>
      <c r="J215" s="217" t="e">
        <v>#N/A</v>
      </c>
      <c r="K215" s="218" t="e">
        <v>#N/A</v>
      </c>
      <c r="L215" s="185"/>
      <c r="M215" s="120"/>
      <c r="N215" s="120"/>
      <c r="O215" s="120"/>
      <c r="P215" s="121"/>
      <c r="Q215" s="216" t="e">
        <v>#N/A</v>
      </c>
      <c r="R215" s="217" t="e">
        <v>#N/A</v>
      </c>
      <c r="S215" s="218" t="e">
        <v>#N/A</v>
      </c>
      <c r="T215" s="218"/>
    </row>
    <row r="216" spans="1:20">
      <c r="A216" s="219"/>
      <c r="B216" s="220" t="e">
        <v>#N/A</v>
      </c>
      <c r="C216" s="220" t="e">
        <v>#N/A</v>
      </c>
      <c r="D216" s="220" t="e">
        <v>#N/A</v>
      </c>
      <c r="E216" s="220" t="e">
        <v>#N/A</v>
      </c>
      <c r="F216" s="220" t="e">
        <v>#N/A</v>
      </c>
      <c r="G216" s="220" t="e">
        <v>#N/A</v>
      </c>
      <c r="H216" s="213" t="e">
        <v>#N/A</v>
      </c>
      <c r="I216" s="219" t="e">
        <v>#N/A</v>
      </c>
      <c r="J216" s="220" t="e">
        <v>#N/A</v>
      </c>
      <c r="K216" s="213" t="e">
        <v>#N/A</v>
      </c>
      <c r="L216" s="219" t="e">
        <v>#N/A</v>
      </c>
      <c r="M216" s="220" t="e">
        <v>#N/A</v>
      </c>
      <c r="N216" s="220" t="e">
        <v>#N/A</v>
      </c>
      <c r="O216" s="220" t="e">
        <v>#N/A</v>
      </c>
      <c r="P216" s="213" t="e">
        <v>#N/A</v>
      </c>
      <c r="Q216" s="219" t="e">
        <v>#N/A</v>
      </c>
      <c r="R216" s="220" t="e">
        <v>#N/A</v>
      </c>
      <c r="S216" s="213" t="e">
        <v>#N/A</v>
      </c>
      <c r="T216" s="228" t="e">
        <v>#N/A</v>
      </c>
    </row>
    <row r="217" spans="1:20">
      <c r="A217" s="88"/>
      <c r="B217" s="39"/>
      <c r="C217" s="39"/>
      <c r="D217" s="39"/>
      <c r="E217" s="39"/>
      <c r="F217" s="39"/>
      <c r="G217" s="39"/>
      <c r="H217" s="214" t="e">
        <v>#N/A</v>
      </c>
      <c r="I217" s="134">
        <v>2</v>
      </c>
      <c r="J217" s="104">
        <v>4</v>
      </c>
      <c r="K217" s="208">
        <v>0</v>
      </c>
      <c r="L217" s="223"/>
      <c r="M217" s="222"/>
      <c r="N217" s="222"/>
      <c r="O217" s="222"/>
      <c r="P217" s="226"/>
      <c r="Q217" s="134" t="e">
        <v>#N/A</v>
      </c>
      <c r="R217" s="104" t="e">
        <v>#N/A</v>
      </c>
      <c r="S217" s="208" t="e">
        <v>#N/A</v>
      </c>
      <c r="T217" s="229" t="e">
        <v>#N/A</v>
      </c>
    </row>
    <row r="218" spans="1:20">
      <c r="A218" s="88" t="s">
        <v>337</v>
      </c>
      <c r="B218" s="42">
        <v>3</v>
      </c>
      <c r="C218" s="42">
        <v>12</v>
      </c>
      <c r="D218" s="42">
        <v>1</v>
      </c>
      <c r="E218" s="39"/>
      <c r="F218" s="39"/>
      <c r="G218" s="39"/>
      <c r="H218" s="214">
        <v>33</v>
      </c>
      <c r="I218" s="134" t="e">
        <v>#N/A</v>
      </c>
      <c r="J218" s="104" t="e">
        <v>#N/A</v>
      </c>
      <c r="K218" s="208" t="e">
        <v>#N/A</v>
      </c>
      <c r="L218" s="224">
        <v>9</v>
      </c>
      <c r="M218" s="118">
        <v>0</v>
      </c>
      <c r="N218" s="118">
        <v>5</v>
      </c>
      <c r="O218" s="118">
        <v>1</v>
      </c>
      <c r="P218" s="176">
        <v>3</v>
      </c>
      <c r="Q218" s="31">
        <f>L218+M218</f>
        <v>9</v>
      </c>
      <c r="R218" s="115">
        <f>N218+O218+P218</f>
        <v>9</v>
      </c>
      <c r="S218" s="127">
        <f>Q218-R218</f>
        <v>0</v>
      </c>
      <c r="T218" s="230">
        <v>26</v>
      </c>
    </row>
    <row r="219" spans="1:20" ht="13.5" thickBot="1">
      <c r="A219" s="89"/>
      <c r="B219" s="87"/>
      <c r="C219" s="87"/>
      <c r="D219" s="87"/>
      <c r="E219" s="43">
        <v>5</v>
      </c>
      <c r="F219" s="43">
        <v>8</v>
      </c>
      <c r="G219" s="43">
        <v>3</v>
      </c>
      <c r="H219" s="215" t="e">
        <v>#N/A</v>
      </c>
      <c r="I219" s="131" t="e">
        <v>#N/A</v>
      </c>
      <c r="J219" s="106" t="e">
        <v>#N/A</v>
      </c>
      <c r="K219" s="128" t="e">
        <v>#N/A</v>
      </c>
      <c r="L219" s="225"/>
      <c r="M219" s="124"/>
      <c r="N219" s="124"/>
      <c r="O219" s="124"/>
      <c r="P219" s="227"/>
      <c r="Q219" s="131" t="e">
        <v>#N/A</v>
      </c>
      <c r="R219" s="106" t="e">
        <v>#N/A</v>
      </c>
      <c r="S219" s="128" t="e">
        <v>#N/A</v>
      </c>
      <c r="T219" s="231" t="e">
        <v>#N/A</v>
      </c>
    </row>
    <row r="220" spans="1:20">
      <c r="A220" s="219"/>
      <c r="B220" s="220" t="e">
        <v>#N/A</v>
      </c>
      <c r="C220" s="220" t="e">
        <v>#N/A</v>
      </c>
      <c r="D220" s="220" t="e">
        <v>#N/A</v>
      </c>
      <c r="E220" s="220" t="e">
        <v>#N/A</v>
      </c>
      <c r="F220" s="220" t="e">
        <v>#N/A</v>
      </c>
      <c r="G220" s="220" t="e">
        <v>#N/A</v>
      </c>
      <c r="H220" s="213" t="e">
        <v>#N/A</v>
      </c>
      <c r="I220" s="219" t="e">
        <v>#N/A</v>
      </c>
      <c r="J220" s="220" t="e">
        <v>#N/A</v>
      </c>
      <c r="K220" s="213" t="e">
        <v>#N/A</v>
      </c>
      <c r="L220" s="219" t="e">
        <v>#N/A</v>
      </c>
      <c r="M220" s="220" t="e">
        <v>#N/A</v>
      </c>
      <c r="N220" s="220" t="e">
        <v>#N/A</v>
      </c>
      <c r="O220" s="220" t="e">
        <v>#N/A</v>
      </c>
      <c r="P220" s="213" t="e">
        <v>#N/A</v>
      </c>
      <c r="Q220" s="219" t="e">
        <v>#N/A</v>
      </c>
      <c r="R220" s="220" t="e">
        <v>#N/A</v>
      </c>
      <c r="S220" s="213" t="e">
        <v>#N/A</v>
      </c>
      <c r="T220" s="228" t="e">
        <v>#N/A</v>
      </c>
    </row>
    <row r="221" spans="1:20">
      <c r="A221" s="88"/>
      <c r="B221" s="39"/>
      <c r="C221" s="39"/>
      <c r="D221" s="39"/>
      <c r="E221" s="39"/>
      <c r="F221" s="39"/>
      <c r="G221" s="39"/>
      <c r="H221" s="214" t="e">
        <v>#N/A</v>
      </c>
      <c r="I221" s="134">
        <v>6</v>
      </c>
      <c r="J221" s="104">
        <v>15</v>
      </c>
      <c r="K221" s="208">
        <v>1</v>
      </c>
      <c r="L221" s="223"/>
      <c r="M221" s="222"/>
      <c r="N221" s="222"/>
      <c r="O221" s="222"/>
      <c r="P221" s="226"/>
      <c r="Q221" s="134" t="e">
        <v>#N/A</v>
      </c>
      <c r="R221" s="104" t="e">
        <v>#N/A</v>
      </c>
      <c r="S221" s="208" t="e">
        <v>#N/A</v>
      </c>
      <c r="T221" s="229" t="e">
        <v>#N/A</v>
      </c>
    </row>
    <row r="222" spans="1:20">
      <c r="A222" s="88" t="s">
        <v>338</v>
      </c>
      <c r="B222" s="42">
        <v>2</v>
      </c>
      <c r="C222" s="42">
        <v>10</v>
      </c>
      <c r="D222" s="42">
        <v>1</v>
      </c>
      <c r="E222" s="39"/>
      <c r="F222" s="39"/>
      <c r="G222" s="39"/>
      <c r="H222" s="214">
        <v>29</v>
      </c>
      <c r="I222" s="134" t="e">
        <v>#N/A</v>
      </c>
      <c r="J222" s="104" t="e">
        <v>#N/A</v>
      </c>
      <c r="K222" s="208" t="e">
        <v>#N/A</v>
      </c>
      <c r="L222" s="224">
        <v>10</v>
      </c>
      <c r="M222" s="118">
        <v>0</v>
      </c>
      <c r="N222" s="118">
        <v>5</v>
      </c>
      <c r="O222" s="118">
        <v>3</v>
      </c>
      <c r="P222" s="176">
        <v>6</v>
      </c>
      <c r="Q222" s="31">
        <f>L222+M222</f>
        <v>10</v>
      </c>
      <c r="R222" s="115">
        <f>N222+O222+P222</f>
        <v>14</v>
      </c>
      <c r="S222" s="127">
        <f>Q222-R222</f>
        <v>-4</v>
      </c>
      <c r="T222" s="230">
        <v>22</v>
      </c>
    </row>
    <row r="223" spans="1:20" ht="13.5" thickBot="1">
      <c r="A223" s="89"/>
      <c r="B223" s="87"/>
      <c r="C223" s="87"/>
      <c r="D223" s="87"/>
      <c r="E223" s="43">
        <v>5</v>
      </c>
      <c r="F223" s="43">
        <v>7</v>
      </c>
      <c r="G223" s="43">
        <v>3</v>
      </c>
      <c r="H223" s="215" t="e">
        <v>#N/A</v>
      </c>
      <c r="I223" s="131" t="e">
        <v>#N/A</v>
      </c>
      <c r="J223" s="106" t="e">
        <v>#N/A</v>
      </c>
      <c r="K223" s="128" t="e">
        <v>#N/A</v>
      </c>
      <c r="L223" s="225"/>
      <c r="M223" s="124"/>
      <c r="N223" s="124"/>
      <c r="O223" s="124"/>
      <c r="P223" s="227"/>
      <c r="Q223" s="131" t="e">
        <v>#N/A</v>
      </c>
      <c r="R223" s="106" t="e">
        <v>#N/A</v>
      </c>
      <c r="S223" s="128" t="e">
        <v>#N/A</v>
      </c>
      <c r="T223" s="231" t="e">
        <v>#N/A</v>
      </c>
    </row>
    <row r="224" spans="1:20">
      <c r="A224" s="219"/>
      <c r="B224" s="220" t="e">
        <v>#N/A</v>
      </c>
      <c r="C224" s="220" t="e">
        <v>#N/A</v>
      </c>
      <c r="D224" s="220" t="e">
        <v>#N/A</v>
      </c>
      <c r="E224" s="220" t="e">
        <v>#N/A</v>
      </c>
      <c r="F224" s="220" t="e">
        <v>#N/A</v>
      </c>
      <c r="G224" s="220" t="e">
        <v>#N/A</v>
      </c>
      <c r="H224" s="213" t="e">
        <v>#N/A</v>
      </c>
      <c r="I224" s="219" t="e">
        <v>#N/A</v>
      </c>
      <c r="J224" s="220" t="e">
        <v>#N/A</v>
      </c>
      <c r="K224" s="213" t="e">
        <v>#N/A</v>
      </c>
      <c r="L224" s="219" t="e">
        <v>#N/A</v>
      </c>
      <c r="M224" s="220" t="e">
        <v>#N/A</v>
      </c>
      <c r="N224" s="220" t="e">
        <v>#N/A</v>
      </c>
      <c r="O224" s="220" t="e">
        <v>#N/A</v>
      </c>
      <c r="P224" s="213" t="e">
        <v>#N/A</v>
      </c>
      <c r="Q224" s="219" t="e">
        <v>#N/A</v>
      </c>
      <c r="R224" s="220" t="e">
        <v>#N/A</v>
      </c>
      <c r="S224" s="213" t="e">
        <v>#N/A</v>
      </c>
      <c r="T224" s="228" t="e">
        <v>#N/A</v>
      </c>
    </row>
    <row r="225" spans="1:20">
      <c r="A225" s="88"/>
      <c r="B225" s="39"/>
      <c r="C225" s="39"/>
      <c r="D225" s="39"/>
      <c r="E225" s="39"/>
      <c r="F225" s="39"/>
      <c r="G225" s="39"/>
      <c r="H225" s="214" t="e">
        <v>#N/A</v>
      </c>
      <c r="I225" s="134">
        <v>4</v>
      </c>
      <c r="J225" s="104">
        <v>11</v>
      </c>
      <c r="K225" s="208">
        <v>1</v>
      </c>
      <c r="L225" s="223"/>
      <c r="M225" s="222"/>
      <c r="N225" s="222"/>
      <c r="O225" s="222"/>
      <c r="P225" s="226"/>
      <c r="Q225" s="134" t="e">
        <v>#N/A</v>
      </c>
      <c r="R225" s="104" t="e">
        <v>#N/A</v>
      </c>
      <c r="S225" s="208" t="e">
        <v>#N/A</v>
      </c>
      <c r="T225" s="229" t="e">
        <v>#N/A</v>
      </c>
    </row>
    <row r="226" spans="1:20">
      <c r="A226" s="88" t="s">
        <v>339</v>
      </c>
      <c r="B226" s="42">
        <v>2</v>
      </c>
      <c r="C226" s="42">
        <v>9</v>
      </c>
      <c r="D226" s="42">
        <v>1</v>
      </c>
      <c r="E226" s="39"/>
      <c r="F226" s="39"/>
      <c r="G226" s="39"/>
      <c r="H226" s="214">
        <v>30</v>
      </c>
      <c r="I226" s="134" t="e">
        <v>#N/A</v>
      </c>
      <c r="J226" s="104" t="e">
        <v>#N/A</v>
      </c>
      <c r="K226" s="208" t="e">
        <v>#N/A</v>
      </c>
      <c r="L226" s="224">
        <v>26</v>
      </c>
      <c r="M226" s="118">
        <v>0</v>
      </c>
      <c r="N226" s="118">
        <v>18</v>
      </c>
      <c r="O226" s="118">
        <v>3</v>
      </c>
      <c r="P226" s="176">
        <v>4</v>
      </c>
      <c r="Q226" s="31">
        <f>L226+M226</f>
        <v>26</v>
      </c>
      <c r="R226" s="115">
        <f>N226+O226+P226</f>
        <v>25</v>
      </c>
      <c r="S226" s="127">
        <f>Q226-R226</f>
        <v>1</v>
      </c>
      <c r="T226" s="230">
        <v>24</v>
      </c>
    </row>
    <row r="227" spans="1:20" ht="13.5" thickBot="1">
      <c r="A227" s="89"/>
      <c r="B227" s="87"/>
      <c r="C227" s="87"/>
      <c r="D227" s="87"/>
      <c r="E227" s="43">
        <v>4</v>
      </c>
      <c r="F227" s="43">
        <v>11</v>
      </c>
      <c r="G227" s="43">
        <v>2</v>
      </c>
      <c r="H227" s="215" t="e">
        <v>#N/A</v>
      </c>
      <c r="I227" s="131" t="e">
        <v>#N/A</v>
      </c>
      <c r="J227" s="106" t="e">
        <v>#N/A</v>
      </c>
      <c r="K227" s="128" t="e">
        <v>#N/A</v>
      </c>
      <c r="L227" s="225"/>
      <c r="M227" s="124"/>
      <c r="N227" s="124"/>
      <c r="O227" s="124"/>
      <c r="P227" s="227"/>
      <c r="Q227" s="131" t="e">
        <v>#N/A</v>
      </c>
      <c r="R227" s="106" t="e">
        <v>#N/A</v>
      </c>
      <c r="S227" s="128" t="e">
        <v>#N/A</v>
      </c>
      <c r="T227" s="231" t="e">
        <v>#N/A</v>
      </c>
    </row>
    <row r="228" spans="1:20">
      <c r="A228" s="219"/>
      <c r="B228" s="220" t="e">
        <v>#N/A</v>
      </c>
      <c r="C228" s="220" t="e">
        <v>#N/A</v>
      </c>
      <c r="D228" s="220" t="e">
        <v>#N/A</v>
      </c>
      <c r="E228" s="220" t="e">
        <v>#N/A</v>
      </c>
      <c r="F228" s="220" t="e">
        <v>#N/A</v>
      </c>
      <c r="G228" s="220" t="e">
        <v>#N/A</v>
      </c>
      <c r="H228" s="213" t="e">
        <v>#N/A</v>
      </c>
      <c r="I228" s="219" t="e">
        <v>#N/A</v>
      </c>
      <c r="J228" s="220" t="e">
        <v>#N/A</v>
      </c>
      <c r="K228" s="213" t="e">
        <v>#N/A</v>
      </c>
      <c r="L228" s="219" t="e">
        <v>#N/A</v>
      </c>
      <c r="M228" s="220" t="e">
        <v>#N/A</v>
      </c>
      <c r="N228" s="220" t="e">
        <v>#N/A</v>
      </c>
      <c r="O228" s="220" t="e">
        <v>#N/A</v>
      </c>
      <c r="P228" s="213" t="e">
        <v>#N/A</v>
      </c>
      <c r="Q228" s="219" t="e">
        <v>#N/A</v>
      </c>
      <c r="R228" s="220" t="e">
        <v>#N/A</v>
      </c>
      <c r="S228" s="213" t="e">
        <v>#N/A</v>
      </c>
      <c r="T228" s="228" t="e">
        <v>#N/A</v>
      </c>
    </row>
    <row r="229" spans="1:20">
      <c r="A229" s="88"/>
      <c r="B229" s="39"/>
      <c r="C229" s="39"/>
      <c r="D229" s="39"/>
      <c r="E229" s="39"/>
      <c r="F229" s="39"/>
      <c r="G229" s="39"/>
      <c r="H229" s="214" t="e">
        <v>#N/A</v>
      </c>
      <c r="I229" s="134">
        <v>2</v>
      </c>
      <c r="J229" s="104">
        <v>8</v>
      </c>
      <c r="K229" s="208">
        <v>2</v>
      </c>
      <c r="L229" s="223"/>
      <c r="M229" s="222"/>
      <c r="N229" s="222"/>
      <c r="O229" s="222"/>
      <c r="P229" s="226"/>
      <c r="Q229" s="134" t="e">
        <v>#N/A</v>
      </c>
      <c r="R229" s="104" t="e">
        <v>#N/A</v>
      </c>
      <c r="S229" s="208" t="e">
        <v>#N/A</v>
      </c>
      <c r="T229" s="229" t="e">
        <v>#N/A</v>
      </c>
    </row>
    <row r="230" spans="1:20">
      <c r="A230" s="88" t="s">
        <v>340</v>
      </c>
      <c r="B230" s="42">
        <v>3</v>
      </c>
      <c r="C230" s="42">
        <v>10</v>
      </c>
      <c r="D230" s="42">
        <v>1</v>
      </c>
      <c r="E230" s="39"/>
      <c r="F230" s="39"/>
      <c r="G230" s="39"/>
      <c r="H230" s="214">
        <v>32</v>
      </c>
      <c r="I230" s="134" t="e">
        <v>#N/A</v>
      </c>
      <c r="J230" s="104" t="e">
        <v>#N/A</v>
      </c>
      <c r="K230" s="208" t="e">
        <v>#N/A</v>
      </c>
      <c r="L230" s="224">
        <v>21</v>
      </c>
      <c r="M230" s="118">
        <v>1</v>
      </c>
      <c r="N230" s="118">
        <v>8</v>
      </c>
      <c r="O230" s="118">
        <v>1</v>
      </c>
      <c r="P230" s="176">
        <v>11</v>
      </c>
      <c r="Q230" s="31">
        <f>L230+M230</f>
        <v>22</v>
      </c>
      <c r="R230" s="115">
        <f>N230+O230+P230</f>
        <v>20</v>
      </c>
      <c r="S230" s="127">
        <f>Q230-R230</f>
        <v>2</v>
      </c>
      <c r="T230" s="230">
        <v>23</v>
      </c>
    </row>
    <row r="231" spans="1:20" ht="13.5" thickBot="1">
      <c r="A231" s="89"/>
      <c r="B231" s="87"/>
      <c r="C231" s="87"/>
      <c r="D231" s="87"/>
      <c r="E231" s="43">
        <v>3</v>
      </c>
      <c r="F231" s="43">
        <v>11</v>
      </c>
      <c r="G231" s="43">
        <v>3</v>
      </c>
      <c r="H231" s="215" t="e">
        <v>#N/A</v>
      </c>
      <c r="I231" s="131" t="e">
        <v>#N/A</v>
      </c>
      <c r="J231" s="106" t="e">
        <v>#N/A</v>
      </c>
      <c r="K231" s="128" t="e">
        <v>#N/A</v>
      </c>
      <c r="L231" s="225"/>
      <c r="M231" s="124"/>
      <c r="N231" s="124"/>
      <c r="O231" s="124"/>
      <c r="P231" s="227"/>
      <c r="Q231" s="131" t="e">
        <v>#N/A</v>
      </c>
      <c r="R231" s="106" t="e">
        <v>#N/A</v>
      </c>
      <c r="S231" s="128" t="e">
        <v>#N/A</v>
      </c>
      <c r="T231" s="231" t="e">
        <v>#N/A</v>
      </c>
    </row>
    <row r="232" spans="1:20">
      <c r="A232" s="219"/>
      <c r="B232" s="220" t="e">
        <v>#N/A</v>
      </c>
      <c r="C232" s="220" t="e">
        <v>#N/A</v>
      </c>
      <c r="D232" s="220" t="e">
        <v>#N/A</v>
      </c>
      <c r="E232" s="220" t="e">
        <v>#N/A</v>
      </c>
      <c r="F232" s="220" t="e">
        <v>#N/A</v>
      </c>
      <c r="G232" s="220" t="e">
        <v>#N/A</v>
      </c>
      <c r="H232" s="213" t="e">
        <v>#N/A</v>
      </c>
      <c r="I232" s="219" t="e">
        <v>#N/A</v>
      </c>
      <c r="J232" s="220" t="e">
        <v>#N/A</v>
      </c>
      <c r="K232" s="213" t="e">
        <v>#N/A</v>
      </c>
      <c r="L232" s="219" t="e">
        <v>#N/A</v>
      </c>
      <c r="M232" s="220" t="e">
        <v>#N/A</v>
      </c>
      <c r="N232" s="220" t="e">
        <v>#N/A</v>
      </c>
      <c r="O232" s="220" t="e">
        <v>#N/A</v>
      </c>
      <c r="P232" s="213" t="e">
        <v>#N/A</v>
      </c>
      <c r="Q232" s="219" t="e">
        <v>#N/A</v>
      </c>
      <c r="R232" s="220" t="e">
        <v>#N/A</v>
      </c>
      <c r="S232" s="213" t="e">
        <v>#N/A</v>
      </c>
      <c r="T232" s="228" t="e">
        <v>#N/A</v>
      </c>
    </row>
    <row r="233" spans="1:20">
      <c r="A233" s="88"/>
      <c r="B233" s="39"/>
      <c r="C233" s="39"/>
      <c r="D233" s="39"/>
      <c r="E233" s="39"/>
      <c r="F233" s="39"/>
      <c r="G233" s="39"/>
      <c r="H233" s="214" t="e">
        <v>#N/A</v>
      </c>
      <c r="I233" s="134">
        <v>2</v>
      </c>
      <c r="J233" s="104">
        <v>5</v>
      </c>
      <c r="K233" s="208">
        <v>1</v>
      </c>
      <c r="L233" s="223"/>
      <c r="M233" s="222"/>
      <c r="N233" s="222"/>
      <c r="O233" s="222"/>
      <c r="P233" s="226"/>
      <c r="Q233" s="134" t="e">
        <v>#N/A</v>
      </c>
      <c r="R233" s="104" t="e">
        <v>#N/A</v>
      </c>
      <c r="S233" s="208" t="e">
        <v>#N/A</v>
      </c>
      <c r="T233" s="229" t="e">
        <v>#N/A</v>
      </c>
    </row>
    <row r="234" spans="1:20">
      <c r="A234" s="88" t="s">
        <v>341</v>
      </c>
      <c r="B234" s="42">
        <v>2</v>
      </c>
      <c r="C234" s="42">
        <v>12</v>
      </c>
      <c r="D234" s="42">
        <v>1</v>
      </c>
      <c r="E234" s="39"/>
      <c r="F234" s="39"/>
      <c r="G234" s="39"/>
      <c r="H234" s="214">
        <v>31</v>
      </c>
      <c r="I234" s="134" t="e">
        <v>#N/A</v>
      </c>
      <c r="J234" s="104" t="e">
        <v>#N/A</v>
      </c>
      <c r="K234" s="208" t="e">
        <v>#N/A</v>
      </c>
      <c r="L234" s="224">
        <v>10</v>
      </c>
      <c r="M234" s="118">
        <v>1</v>
      </c>
      <c r="N234" s="118">
        <v>6</v>
      </c>
      <c r="O234" s="118">
        <v>0</v>
      </c>
      <c r="P234" s="176">
        <v>7</v>
      </c>
      <c r="Q234" s="31">
        <f>L234+M234</f>
        <v>11</v>
      </c>
      <c r="R234" s="115">
        <f>N234+O234+P234</f>
        <v>13</v>
      </c>
      <c r="S234" s="127">
        <f>Q234-R234</f>
        <v>-2</v>
      </c>
      <c r="T234" s="230">
        <v>22</v>
      </c>
    </row>
    <row r="235" spans="1:20" ht="13.5" thickBot="1">
      <c r="A235" s="89"/>
      <c r="B235" s="87"/>
      <c r="C235" s="87"/>
      <c r="D235" s="87"/>
      <c r="E235" s="43">
        <v>2</v>
      </c>
      <c r="F235" s="43">
        <v>11</v>
      </c>
      <c r="G235" s="43">
        <v>2</v>
      </c>
      <c r="H235" s="215" t="e">
        <v>#N/A</v>
      </c>
      <c r="I235" s="131" t="e">
        <v>#N/A</v>
      </c>
      <c r="J235" s="106" t="e">
        <v>#N/A</v>
      </c>
      <c r="K235" s="128" t="e">
        <v>#N/A</v>
      </c>
      <c r="L235" s="225"/>
      <c r="M235" s="124"/>
      <c r="N235" s="124"/>
      <c r="O235" s="124"/>
      <c r="P235" s="227"/>
      <c r="Q235" s="131" t="e">
        <v>#N/A</v>
      </c>
      <c r="R235" s="106" t="e">
        <v>#N/A</v>
      </c>
      <c r="S235" s="128" t="e">
        <v>#N/A</v>
      </c>
      <c r="T235" s="231" t="e">
        <v>#N/A</v>
      </c>
    </row>
    <row r="236" spans="1:20">
      <c r="A236" s="219"/>
      <c r="B236" s="220" t="e">
        <v>#N/A</v>
      </c>
      <c r="C236" s="220" t="e">
        <v>#N/A</v>
      </c>
      <c r="D236" s="220" t="e">
        <v>#N/A</v>
      </c>
      <c r="E236" s="220" t="e">
        <v>#N/A</v>
      </c>
      <c r="F236" s="220" t="e">
        <v>#N/A</v>
      </c>
      <c r="G236" s="220" t="e">
        <v>#N/A</v>
      </c>
      <c r="H236" s="213" t="e">
        <v>#N/A</v>
      </c>
      <c r="I236" s="219" t="e">
        <v>#N/A</v>
      </c>
      <c r="J236" s="220" t="e">
        <v>#N/A</v>
      </c>
      <c r="K236" s="213" t="e">
        <v>#N/A</v>
      </c>
      <c r="L236" s="219" t="e">
        <v>#N/A</v>
      </c>
      <c r="M236" s="220" t="e">
        <v>#N/A</v>
      </c>
      <c r="N236" s="220" t="e">
        <v>#N/A</v>
      </c>
      <c r="O236" s="220" t="e">
        <v>#N/A</v>
      </c>
      <c r="P236" s="213" t="e">
        <v>#N/A</v>
      </c>
      <c r="Q236" s="219" t="e">
        <v>#N/A</v>
      </c>
      <c r="R236" s="220" t="e">
        <v>#N/A</v>
      </c>
      <c r="S236" s="213" t="e">
        <v>#N/A</v>
      </c>
      <c r="T236" s="228" t="e">
        <v>#N/A</v>
      </c>
    </row>
    <row r="237" spans="1:20">
      <c r="A237" s="88"/>
      <c r="B237" s="39"/>
      <c r="C237" s="39"/>
      <c r="D237" s="39"/>
      <c r="E237" s="39"/>
      <c r="F237" s="39"/>
      <c r="G237" s="39"/>
      <c r="H237" s="214" t="e">
        <v>#N/A</v>
      </c>
      <c r="I237" s="134">
        <v>1</v>
      </c>
      <c r="J237" s="104">
        <v>4</v>
      </c>
      <c r="K237" s="208">
        <v>1</v>
      </c>
      <c r="L237" s="223"/>
      <c r="M237" s="222"/>
      <c r="N237" s="222"/>
      <c r="O237" s="222"/>
      <c r="P237" s="226"/>
      <c r="Q237" s="134" t="e">
        <v>#N/A</v>
      </c>
      <c r="R237" s="104" t="e">
        <v>#N/A</v>
      </c>
      <c r="S237" s="208" t="e">
        <v>#N/A</v>
      </c>
      <c r="T237" s="229" t="e">
        <v>#N/A</v>
      </c>
    </row>
    <row r="238" spans="1:20">
      <c r="A238" s="88" t="s">
        <v>342</v>
      </c>
      <c r="B238" s="42">
        <v>1</v>
      </c>
      <c r="C238" s="42">
        <v>11</v>
      </c>
      <c r="D238" s="42">
        <v>1</v>
      </c>
      <c r="E238" s="39"/>
      <c r="F238" s="39"/>
      <c r="G238" s="39"/>
      <c r="H238" s="214">
        <v>29</v>
      </c>
      <c r="I238" s="134" t="e">
        <v>#N/A</v>
      </c>
      <c r="J238" s="104" t="e">
        <v>#N/A</v>
      </c>
      <c r="K238" s="208" t="e">
        <v>#N/A</v>
      </c>
      <c r="L238" s="224">
        <v>11</v>
      </c>
      <c r="M238" s="118">
        <v>1</v>
      </c>
      <c r="N238" s="118">
        <v>7</v>
      </c>
      <c r="O238" s="118">
        <v>1</v>
      </c>
      <c r="P238" s="176">
        <v>6</v>
      </c>
      <c r="Q238" s="31">
        <f>L238+M238</f>
        <v>12</v>
      </c>
      <c r="R238" s="115">
        <f>N238+O238+P238</f>
        <v>14</v>
      </c>
      <c r="S238" s="127">
        <f>Q238-R238</f>
        <v>-2</v>
      </c>
      <c r="T238" s="230">
        <v>20</v>
      </c>
    </row>
    <row r="239" spans="1:20" ht="13.5" thickBot="1">
      <c r="A239" s="89"/>
      <c r="B239" s="87"/>
      <c r="C239" s="87"/>
      <c r="D239" s="87"/>
      <c r="E239" s="43">
        <v>3</v>
      </c>
      <c r="F239" s="43">
        <v>11</v>
      </c>
      <c r="G239" s="43">
        <v>2</v>
      </c>
      <c r="H239" s="215" t="e">
        <v>#N/A</v>
      </c>
      <c r="I239" s="131" t="e">
        <v>#N/A</v>
      </c>
      <c r="J239" s="106" t="e">
        <v>#N/A</v>
      </c>
      <c r="K239" s="128" t="e">
        <v>#N/A</v>
      </c>
      <c r="L239" s="225"/>
      <c r="M239" s="124"/>
      <c r="N239" s="124"/>
      <c r="O239" s="124"/>
      <c r="P239" s="227"/>
      <c r="Q239" s="131" t="e">
        <v>#N/A</v>
      </c>
      <c r="R239" s="106" t="e">
        <v>#N/A</v>
      </c>
      <c r="S239" s="128" t="e">
        <v>#N/A</v>
      </c>
      <c r="T239" s="231" t="e">
        <v>#N/A</v>
      </c>
    </row>
    <row r="240" spans="1:20">
      <c r="A240" s="219"/>
      <c r="B240" s="220" t="e">
        <v>#N/A</v>
      </c>
      <c r="C240" s="220" t="e">
        <v>#N/A</v>
      </c>
      <c r="D240" s="220" t="e">
        <v>#N/A</v>
      </c>
      <c r="E240" s="220" t="e">
        <v>#N/A</v>
      </c>
      <c r="F240" s="220" t="e">
        <v>#N/A</v>
      </c>
      <c r="G240" s="220" t="e">
        <v>#N/A</v>
      </c>
      <c r="H240" s="213" t="e">
        <v>#N/A</v>
      </c>
      <c r="I240" s="219" t="e">
        <v>#N/A</v>
      </c>
      <c r="J240" s="220" t="e">
        <v>#N/A</v>
      </c>
      <c r="K240" s="213" t="e">
        <v>#N/A</v>
      </c>
      <c r="L240" s="219" t="e">
        <v>#N/A</v>
      </c>
      <c r="M240" s="220" t="e">
        <v>#N/A</v>
      </c>
      <c r="N240" s="220" t="e">
        <v>#N/A</v>
      </c>
      <c r="O240" s="220" t="e">
        <v>#N/A</v>
      </c>
      <c r="P240" s="213" t="e">
        <v>#N/A</v>
      </c>
      <c r="Q240" s="219" t="e">
        <v>#N/A</v>
      </c>
      <c r="R240" s="220" t="e">
        <v>#N/A</v>
      </c>
      <c r="S240" s="213" t="e">
        <v>#N/A</v>
      </c>
      <c r="T240" s="228" t="e">
        <v>#N/A</v>
      </c>
    </row>
    <row r="241" spans="1:20">
      <c r="A241" s="88"/>
      <c r="B241" s="39"/>
      <c r="C241" s="39"/>
      <c r="D241" s="39"/>
      <c r="E241" s="39"/>
      <c r="F241" s="39"/>
      <c r="G241" s="39"/>
      <c r="H241" s="214" t="e">
        <v>#N/A</v>
      </c>
      <c r="I241" s="134">
        <v>1</v>
      </c>
      <c r="J241" s="104">
        <v>4</v>
      </c>
      <c r="K241" s="208">
        <v>1</v>
      </c>
      <c r="L241" s="223"/>
      <c r="M241" s="222"/>
      <c r="N241" s="222"/>
      <c r="O241" s="222"/>
      <c r="P241" s="226"/>
      <c r="Q241" s="134" t="e">
        <v>#N/A</v>
      </c>
      <c r="R241" s="104" t="e">
        <v>#N/A</v>
      </c>
      <c r="S241" s="208" t="e">
        <v>#N/A</v>
      </c>
      <c r="T241" s="229" t="e">
        <v>#N/A</v>
      </c>
    </row>
    <row r="242" spans="1:20">
      <c r="A242" s="88" t="s">
        <v>344</v>
      </c>
      <c r="B242" s="42">
        <v>3</v>
      </c>
      <c r="C242" s="42">
        <v>10</v>
      </c>
      <c r="D242" s="42">
        <v>0</v>
      </c>
      <c r="E242" s="39"/>
      <c r="F242" s="39"/>
      <c r="G242" s="39"/>
      <c r="H242" s="214">
        <v>26</v>
      </c>
      <c r="I242" s="134" t="e">
        <v>#N/A</v>
      </c>
      <c r="J242" s="104" t="e">
        <v>#N/A</v>
      </c>
      <c r="K242" s="208" t="e">
        <v>#N/A</v>
      </c>
      <c r="L242" s="224">
        <v>15</v>
      </c>
      <c r="M242" s="118">
        <v>0</v>
      </c>
      <c r="N242" s="118">
        <v>15</v>
      </c>
      <c r="O242" s="118">
        <v>3</v>
      </c>
      <c r="P242" s="176">
        <v>4</v>
      </c>
      <c r="Q242" s="31">
        <f>L242+M242</f>
        <v>15</v>
      </c>
      <c r="R242" s="115">
        <f>N242+O242+P242</f>
        <v>22</v>
      </c>
      <c r="S242" s="127">
        <f>Q242-R242</f>
        <v>-7</v>
      </c>
      <c r="T242" s="230">
        <v>17</v>
      </c>
    </row>
    <row r="243" spans="1:20" ht="13.5" thickBot="1">
      <c r="A243" s="89"/>
      <c r="B243" s="87"/>
      <c r="C243" s="87"/>
      <c r="D243" s="87"/>
      <c r="E243" s="43">
        <v>3</v>
      </c>
      <c r="F243" s="43">
        <v>8</v>
      </c>
      <c r="G243" s="43">
        <v>2</v>
      </c>
      <c r="H243" s="215" t="e">
        <v>#N/A</v>
      </c>
      <c r="I243" s="131" t="e">
        <v>#N/A</v>
      </c>
      <c r="J243" s="106" t="e">
        <v>#N/A</v>
      </c>
      <c r="K243" s="128" t="e">
        <v>#N/A</v>
      </c>
      <c r="L243" s="225"/>
      <c r="M243" s="124"/>
      <c r="N243" s="124"/>
      <c r="O243" s="124"/>
      <c r="P243" s="227"/>
      <c r="Q243" s="131" t="e">
        <v>#N/A</v>
      </c>
      <c r="R243" s="106" t="e">
        <v>#N/A</v>
      </c>
      <c r="S243" s="128" t="e">
        <v>#N/A</v>
      </c>
      <c r="T243" s="231" t="e">
        <v>#N/A</v>
      </c>
    </row>
    <row r="244" spans="1:20">
      <c r="A244" s="219"/>
      <c r="B244" s="220" t="e">
        <v>#N/A</v>
      </c>
      <c r="C244" s="220" t="e">
        <v>#N/A</v>
      </c>
      <c r="D244" s="220" t="e">
        <v>#N/A</v>
      </c>
      <c r="E244" s="220" t="e">
        <v>#N/A</v>
      </c>
      <c r="F244" s="220" t="e">
        <v>#N/A</v>
      </c>
      <c r="G244" s="220" t="e">
        <v>#N/A</v>
      </c>
      <c r="H244" s="213" t="e">
        <v>#N/A</v>
      </c>
      <c r="I244" s="219" t="e">
        <v>#N/A</v>
      </c>
      <c r="J244" s="220" t="e">
        <v>#N/A</v>
      </c>
      <c r="K244" s="213" t="e">
        <v>#N/A</v>
      </c>
      <c r="L244" s="219" t="e">
        <v>#N/A</v>
      </c>
      <c r="M244" s="220" t="e">
        <v>#N/A</v>
      </c>
      <c r="N244" s="220" t="e">
        <v>#N/A</v>
      </c>
      <c r="O244" s="220" t="e">
        <v>#N/A</v>
      </c>
      <c r="P244" s="213" t="e">
        <v>#N/A</v>
      </c>
      <c r="Q244" s="219" t="e">
        <v>#N/A</v>
      </c>
      <c r="R244" s="220" t="e">
        <v>#N/A</v>
      </c>
      <c r="S244" s="213" t="e">
        <v>#N/A</v>
      </c>
      <c r="T244" s="228" t="e">
        <v>#N/A</v>
      </c>
    </row>
    <row r="245" spans="1:20">
      <c r="A245" s="88"/>
      <c r="B245" s="39"/>
      <c r="C245" s="39"/>
      <c r="D245" s="39"/>
      <c r="E245" s="39"/>
      <c r="F245" s="39"/>
      <c r="G245" s="39"/>
      <c r="H245" s="214" t="e">
        <v>#N/A</v>
      </c>
      <c r="I245" s="134">
        <v>2</v>
      </c>
      <c r="J245" s="104">
        <v>8</v>
      </c>
      <c r="K245" s="208">
        <v>1</v>
      </c>
      <c r="L245" s="223"/>
      <c r="M245" s="222"/>
      <c r="N245" s="222"/>
      <c r="O245" s="222"/>
      <c r="P245" s="226"/>
      <c r="Q245" s="134" t="e">
        <v>#N/A</v>
      </c>
      <c r="R245" s="104" t="e">
        <v>#N/A</v>
      </c>
      <c r="S245" s="208" t="e">
        <v>#N/A</v>
      </c>
      <c r="T245" s="229" t="e">
        <v>#N/A</v>
      </c>
    </row>
    <row r="246" spans="1:20">
      <c r="A246" s="88" t="s">
        <v>345</v>
      </c>
      <c r="B246" s="42">
        <v>5</v>
      </c>
      <c r="C246" s="42">
        <v>11</v>
      </c>
      <c r="D246" s="42">
        <v>0</v>
      </c>
      <c r="E246" s="39"/>
      <c r="F246" s="39"/>
      <c r="G246" s="39"/>
      <c r="H246" s="214">
        <v>30</v>
      </c>
      <c r="I246" s="134" t="e">
        <v>#N/A</v>
      </c>
      <c r="J246" s="104" t="e">
        <v>#N/A</v>
      </c>
      <c r="K246" s="208" t="e">
        <v>#N/A</v>
      </c>
      <c r="L246" s="224">
        <v>7</v>
      </c>
      <c r="M246" s="118">
        <v>0</v>
      </c>
      <c r="N246" s="118">
        <v>0</v>
      </c>
      <c r="O246" s="118">
        <v>0</v>
      </c>
      <c r="P246" s="176">
        <v>2</v>
      </c>
      <c r="Q246" s="31">
        <f>L246+M246</f>
        <v>7</v>
      </c>
      <c r="R246" s="115">
        <f>N246+O246+P246</f>
        <v>2</v>
      </c>
      <c r="S246" s="127">
        <f>Q246-R246</f>
        <v>5</v>
      </c>
      <c r="T246" s="230">
        <v>20</v>
      </c>
    </row>
    <row r="247" spans="1:20" ht="13.5" thickBot="1">
      <c r="A247" s="89"/>
      <c r="B247" s="87"/>
      <c r="C247" s="87"/>
      <c r="D247" s="87"/>
      <c r="E247" s="43">
        <v>3</v>
      </c>
      <c r="F247" s="43">
        <v>9</v>
      </c>
      <c r="G247" s="43">
        <v>2</v>
      </c>
      <c r="H247" s="215" t="e">
        <v>#N/A</v>
      </c>
      <c r="I247" s="131" t="e">
        <v>#N/A</v>
      </c>
      <c r="J247" s="106" t="e">
        <v>#N/A</v>
      </c>
      <c r="K247" s="128" t="e">
        <v>#N/A</v>
      </c>
      <c r="L247" s="225"/>
      <c r="M247" s="124"/>
      <c r="N247" s="124"/>
      <c r="O247" s="124"/>
      <c r="P247" s="227"/>
      <c r="Q247" s="131" t="e">
        <v>#N/A</v>
      </c>
      <c r="R247" s="106" t="e">
        <v>#N/A</v>
      </c>
      <c r="S247" s="128" t="e">
        <v>#N/A</v>
      </c>
      <c r="T247" s="231" t="e">
        <v>#N/A</v>
      </c>
    </row>
    <row r="248" spans="1:20">
      <c r="A248" s="219"/>
      <c r="B248" s="220" t="e">
        <v>#N/A</v>
      </c>
      <c r="C248" s="220" t="e">
        <v>#N/A</v>
      </c>
      <c r="D248" s="220" t="e">
        <v>#N/A</v>
      </c>
      <c r="E248" s="220" t="e">
        <v>#N/A</v>
      </c>
      <c r="F248" s="220" t="e">
        <v>#N/A</v>
      </c>
      <c r="G248" s="220" t="e">
        <v>#N/A</v>
      </c>
      <c r="H248" s="213" t="e">
        <v>#N/A</v>
      </c>
      <c r="I248" s="219" t="e">
        <v>#N/A</v>
      </c>
      <c r="J248" s="220" t="e">
        <v>#N/A</v>
      </c>
      <c r="K248" s="213" t="e">
        <v>#N/A</v>
      </c>
      <c r="L248" s="219" t="e">
        <v>#N/A</v>
      </c>
      <c r="M248" s="220" t="e">
        <v>#N/A</v>
      </c>
      <c r="N248" s="220" t="e">
        <v>#N/A</v>
      </c>
      <c r="O248" s="220" t="e">
        <v>#N/A</v>
      </c>
      <c r="P248" s="213" t="e">
        <v>#N/A</v>
      </c>
      <c r="Q248" s="219" t="e">
        <v>#N/A</v>
      </c>
      <c r="R248" s="220" t="e">
        <v>#N/A</v>
      </c>
      <c r="S248" s="213" t="e">
        <v>#N/A</v>
      </c>
      <c r="T248" s="228" t="e">
        <v>#N/A</v>
      </c>
    </row>
    <row r="249" spans="1:20">
      <c r="A249" s="88"/>
      <c r="B249" s="39"/>
      <c r="C249" s="39"/>
      <c r="D249" s="39"/>
      <c r="E249" s="39"/>
      <c r="F249" s="39"/>
      <c r="G249" s="39"/>
      <c r="H249" s="214" t="e">
        <v>#N/A</v>
      </c>
      <c r="I249" s="134">
        <v>2</v>
      </c>
      <c r="J249" s="104">
        <v>11</v>
      </c>
      <c r="K249" s="208">
        <v>1</v>
      </c>
      <c r="L249" s="223"/>
      <c r="M249" s="222"/>
      <c r="N249" s="222"/>
      <c r="O249" s="222"/>
      <c r="P249" s="226"/>
      <c r="Q249" s="134" t="e">
        <v>#N/A</v>
      </c>
      <c r="R249" s="104" t="e">
        <v>#N/A</v>
      </c>
      <c r="S249" s="208" t="e">
        <v>#N/A</v>
      </c>
      <c r="T249" s="229" t="e">
        <v>#N/A</v>
      </c>
    </row>
    <row r="250" spans="1:20">
      <c r="A250" s="88" t="s">
        <v>328</v>
      </c>
      <c r="B250" s="42">
        <v>4</v>
      </c>
      <c r="C250" s="42">
        <v>12</v>
      </c>
      <c r="D250" s="42">
        <v>0</v>
      </c>
      <c r="E250" s="39"/>
      <c r="F250" s="39"/>
      <c r="G250" s="39"/>
      <c r="H250" s="214">
        <v>36</v>
      </c>
      <c r="I250" s="134" t="e">
        <v>#N/A</v>
      </c>
      <c r="J250" s="104" t="e">
        <v>#N/A</v>
      </c>
      <c r="K250" s="208" t="e">
        <v>#N/A</v>
      </c>
      <c r="L250" s="224">
        <v>10</v>
      </c>
      <c r="M250" s="118">
        <v>1</v>
      </c>
      <c r="N250" s="118">
        <v>1</v>
      </c>
      <c r="O250" s="118">
        <v>1</v>
      </c>
      <c r="P250" s="176">
        <v>3</v>
      </c>
      <c r="Q250" s="31">
        <f>L250+M250</f>
        <v>11</v>
      </c>
      <c r="R250" s="115">
        <f>N250+O250+P250</f>
        <v>5</v>
      </c>
      <c r="S250" s="127">
        <f>Q250-R250</f>
        <v>6</v>
      </c>
      <c r="T250" s="230">
        <v>24</v>
      </c>
    </row>
    <row r="251" spans="1:20" ht="13.5" thickBot="1">
      <c r="A251" s="89"/>
      <c r="B251" s="87"/>
      <c r="C251" s="87"/>
      <c r="D251" s="87"/>
      <c r="E251" s="43">
        <v>4</v>
      </c>
      <c r="F251" s="43">
        <v>14</v>
      </c>
      <c r="G251" s="43">
        <v>2</v>
      </c>
      <c r="H251" s="215" t="e">
        <v>#N/A</v>
      </c>
      <c r="I251" s="131" t="e">
        <v>#N/A</v>
      </c>
      <c r="J251" s="106" t="e">
        <v>#N/A</v>
      </c>
      <c r="K251" s="128" t="e">
        <v>#N/A</v>
      </c>
      <c r="L251" s="225"/>
      <c r="M251" s="124"/>
      <c r="N251" s="124"/>
      <c r="O251" s="124"/>
      <c r="P251" s="227"/>
      <c r="Q251" s="131" t="e">
        <v>#N/A</v>
      </c>
      <c r="R251" s="106" t="e">
        <v>#N/A</v>
      </c>
      <c r="S251" s="128" t="e">
        <v>#N/A</v>
      </c>
      <c r="T251" s="231" t="e">
        <v>#N/A</v>
      </c>
    </row>
    <row r="252" spans="1:20">
      <c r="A252" s="219"/>
      <c r="B252" s="220" t="e">
        <v>#N/A</v>
      </c>
      <c r="C252" s="220" t="e">
        <v>#N/A</v>
      </c>
      <c r="D252" s="220" t="e">
        <v>#N/A</v>
      </c>
      <c r="E252" s="220" t="e">
        <v>#N/A</v>
      </c>
      <c r="F252" s="220" t="e">
        <v>#N/A</v>
      </c>
      <c r="G252" s="220" t="e">
        <v>#N/A</v>
      </c>
      <c r="H252" s="213" t="e">
        <v>#N/A</v>
      </c>
      <c r="I252" s="219" t="e">
        <v>#N/A</v>
      </c>
      <c r="J252" s="220" t="e">
        <v>#N/A</v>
      </c>
      <c r="K252" s="213" t="e">
        <v>#N/A</v>
      </c>
      <c r="L252" s="219" t="e">
        <v>#N/A</v>
      </c>
      <c r="M252" s="220" t="e">
        <v>#N/A</v>
      </c>
      <c r="N252" s="220" t="e">
        <v>#N/A</v>
      </c>
      <c r="O252" s="220" t="e">
        <v>#N/A</v>
      </c>
      <c r="P252" s="213" t="e">
        <v>#N/A</v>
      </c>
      <c r="Q252" s="219" t="e">
        <v>#N/A</v>
      </c>
      <c r="R252" s="220" t="e">
        <v>#N/A</v>
      </c>
      <c r="S252" s="213" t="e">
        <v>#N/A</v>
      </c>
      <c r="T252" s="228" t="e">
        <v>#N/A</v>
      </c>
    </row>
    <row r="253" spans="1:20">
      <c r="A253" s="88"/>
      <c r="B253" s="39"/>
      <c r="C253" s="39"/>
      <c r="D253" s="39"/>
      <c r="E253" s="39"/>
      <c r="F253" s="39"/>
      <c r="G253" s="39"/>
      <c r="H253" s="214" t="e">
        <v>#N/A</v>
      </c>
      <c r="I253" s="134">
        <v>1</v>
      </c>
      <c r="J253" s="104">
        <v>18</v>
      </c>
      <c r="K253" s="208">
        <v>1</v>
      </c>
      <c r="L253" s="223"/>
      <c r="M253" s="222"/>
      <c r="N253" s="222"/>
      <c r="O253" s="222"/>
      <c r="P253" s="226"/>
      <c r="Q253" s="134" t="e">
        <v>#N/A</v>
      </c>
      <c r="R253" s="104" t="e">
        <v>#N/A</v>
      </c>
      <c r="S253" s="208" t="e">
        <v>#N/A</v>
      </c>
      <c r="T253" s="229" t="e">
        <v>#N/A</v>
      </c>
    </row>
    <row r="254" spans="1:20">
      <c r="A254" s="88" t="s">
        <v>329</v>
      </c>
      <c r="B254" s="42">
        <v>5</v>
      </c>
      <c r="C254" s="42">
        <v>9</v>
      </c>
      <c r="D254" s="42">
        <v>0</v>
      </c>
      <c r="E254" s="39"/>
      <c r="F254" s="39"/>
      <c r="G254" s="39"/>
      <c r="H254" s="214">
        <v>31</v>
      </c>
      <c r="I254" s="134" t="e">
        <v>#N/A</v>
      </c>
      <c r="J254" s="104" t="e">
        <v>#N/A</v>
      </c>
      <c r="K254" s="208" t="e">
        <v>#N/A</v>
      </c>
      <c r="L254" s="224">
        <v>10</v>
      </c>
      <c r="M254" s="118">
        <v>0</v>
      </c>
      <c r="N254" s="118">
        <v>2</v>
      </c>
      <c r="O254" s="118">
        <v>0</v>
      </c>
      <c r="P254" s="176">
        <v>2</v>
      </c>
      <c r="Q254" s="31">
        <f>L254+M254</f>
        <v>10</v>
      </c>
      <c r="R254" s="115">
        <f>N254+O254+P254</f>
        <v>4</v>
      </c>
      <c r="S254" s="127">
        <f>Q254-R254</f>
        <v>6</v>
      </c>
      <c r="T254" s="230">
        <v>19</v>
      </c>
    </row>
    <row r="255" spans="1:20" ht="13.5" thickBot="1">
      <c r="A255" s="89"/>
      <c r="B255" s="87"/>
      <c r="C255" s="87"/>
      <c r="D255" s="87"/>
      <c r="E255" s="43">
        <v>4</v>
      </c>
      <c r="F255" s="43">
        <v>11</v>
      </c>
      <c r="G255" s="43">
        <v>2</v>
      </c>
      <c r="H255" s="215" t="e">
        <v>#N/A</v>
      </c>
      <c r="I255" s="131" t="e">
        <v>#N/A</v>
      </c>
      <c r="J255" s="106" t="e">
        <v>#N/A</v>
      </c>
      <c r="K255" s="128" t="e">
        <v>#N/A</v>
      </c>
      <c r="L255" s="225"/>
      <c r="M255" s="124"/>
      <c r="N255" s="124"/>
      <c r="O255" s="124"/>
      <c r="P255" s="227"/>
      <c r="Q255" s="131" t="e">
        <v>#N/A</v>
      </c>
      <c r="R255" s="106" t="e">
        <v>#N/A</v>
      </c>
      <c r="S255" s="128" t="e">
        <v>#N/A</v>
      </c>
      <c r="T255" s="231" t="e">
        <v>#N/A</v>
      </c>
    </row>
    <row r="256" spans="1:20">
      <c r="A256" s="219"/>
      <c r="B256" s="220" t="e">
        <v>#N/A</v>
      </c>
      <c r="C256" s="220" t="e">
        <v>#N/A</v>
      </c>
      <c r="D256" s="220" t="e">
        <v>#N/A</v>
      </c>
      <c r="E256" s="220" t="e">
        <v>#N/A</v>
      </c>
      <c r="F256" s="220" t="e">
        <v>#N/A</v>
      </c>
      <c r="G256" s="220" t="e">
        <v>#N/A</v>
      </c>
      <c r="H256" s="213" t="e">
        <v>#N/A</v>
      </c>
      <c r="I256" s="219" t="e">
        <v>#N/A</v>
      </c>
      <c r="J256" s="220" t="e">
        <v>#N/A</v>
      </c>
      <c r="K256" s="213" t="e">
        <v>#N/A</v>
      </c>
      <c r="L256" s="219" t="e">
        <v>#N/A</v>
      </c>
      <c r="M256" s="220" t="e">
        <v>#N/A</v>
      </c>
      <c r="N256" s="220" t="e">
        <v>#N/A</v>
      </c>
      <c r="O256" s="220" t="e">
        <v>#N/A</v>
      </c>
      <c r="P256" s="213" t="e">
        <v>#N/A</v>
      </c>
      <c r="Q256" s="219" t="e">
        <v>#N/A</v>
      </c>
      <c r="R256" s="220" t="e">
        <v>#N/A</v>
      </c>
      <c r="S256" s="213" t="e">
        <v>#N/A</v>
      </c>
      <c r="T256" s="228" t="e">
        <v>#N/A</v>
      </c>
    </row>
    <row r="257" spans="1:20">
      <c r="A257" s="88"/>
      <c r="B257" s="39"/>
      <c r="C257" s="39"/>
      <c r="D257" s="39"/>
      <c r="E257" s="39"/>
      <c r="F257" s="39"/>
      <c r="G257" s="39"/>
      <c r="H257" s="214" t="e">
        <v>#N/A</v>
      </c>
      <c r="I257" s="134">
        <v>1</v>
      </c>
      <c r="J257" s="104">
        <v>12</v>
      </c>
      <c r="K257" s="208">
        <v>1</v>
      </c>
      <c r="L257" s="223"/>
      <c r="M257" s="222"/>
      <c r="N257" s="222"/>
      <c r="O257" s="222"/>
      <c r="P257" s="226"/>
      <c r="Q257" s="134" t="e">
        <v>#N/A</v>
      </c>
      <c r="R257" s="104" t="e">
        <v>#N/A</v>
      </c>
      <c r="S257" s="208" t="e">
        <v>#N/A</v>
      </c>
      <c r="T257" s="229" t="e">
        <v>#N/A</v>
      </c>
    </row>
    <row r="258" spans="1:20">
      <c r="A258" s="88" t="s">
        <v>382</v>
      </c>
      <c r="B258" s="42">
        <v>4</v>
      </c>
      <c r="C258" s="42">
        <v>5</v>
      </c>
      <c r="D258" s="42">
        <v>0</v>
      </c>
      <c r="E258" s="39"/>
      <c r="F258" s="39"/>
      <c r="G258" s="39"/>
      <c r="H258" s="214">
        <v>25</v>
      </c>
      <c r="I258" s="134" t="e">
        <v>#N/A</v>
      </c>
      <c r="J258" s="104" t="e">
        <v>#N/A</v>
      </c>
      <c r="K258" s="208" t="e">
        <v>#N/A</v>
      </c>
      <c r="L258" s="224">
        <v>5</v>
      </c>
      <c r="M258" s="118">
        <v>0</v>
      </c>
      <c r="N258" s="118">
        <v>4</v>
      </c>
      <c r="O258" s="118">
        <v>3</v>
      </c>
      <c r="P258" s="176">
        <v>3</v>
      </c>
      <c r="Q258" s="31">
        <f>L258+M258</f>
        <v>5</v>
      </c>
      <c r="R258" s="115">
        <f>N258+O258+P258</f>
        <v>10</v>
      </c>
      <c r="S258" s="127">
        <f>Q258-R258</f>
        <v>-5</v>
      </c>
      <c r="T258" s="230">
        <v>15</v>
      </c>
    </row>
    <row r="259" spans="1:20" ht="13.5" thickBot="1">
      <c r="A259" s="89"/>
      <c r="B259" s="87"/>
      <c r="C259" s="87"/>
      <c r="D259" s="87"/>
      <c r="E259" s="43">
        <v>2</v>
      </c>
      <c r="F259" s="43">
        <v>12</v>
      </c>
      <c r="G259" s="43">
        <v>2</v>
      </c>
      <c r="H259" s="215" t="e">
        <v>#N/A</v>
      </c>
      <c r="I259" s="131" t="e">
        <v>#N/A</v>
      </c>
      <c r="J259" s="106" t="e">
        <v>#N/A</v>
      </c>
      <c r="K259" s="128" t="e">
        <v>#N/A</v>
      </c>
      <c r="L259" s="225"/>
      <c r="M259" s="124"/>
      <c r="N259" s="124"/>
      <c r="O259" s="124"/>
      <c r="P259" s="227"/>
      <c r="Q259" s="131" t="e">
        <v>#N/A</v>
      </c>
      <c r="R259" s="106" t="e">
        <v>#N/A</v>
      </c>
      <c r="S259" s="128" t="e">
        <v>#N/A</v>
      </c>
      <c r="T259" s="231" t="e">
        <v>#N/A</v>
      </c>
    </row>
    <row r="260" spans="1:20">
      <c r="A260" s="219"/>
      <c r="B260" s="220" t="e">
        <v>#N/A</v>
      </c>
      <c r="C260" s="220" t="e">
        <v>#N/A</v>
      </c>
      <c r="D260" s="220" t="e">
        <v>#N/A</v>
      </c>
      <c r="E260" s="220" t="e">
        <v>#N/A</v>
      </c>
      <c r="F260" s="220" t="e">
        <v>#N/A</v>
      </c>
      <c r="G260" s="220" t="e">
        <v>#N/A</v>
      </c>
      <c r="H260" s="213" t="e">
        <v>#N/A</v>
      </c>
      <c r="I260" s="219" t="e">
        <v>#N/A</v>
      </c>
      <c r="J260" s="220" t="e">
        <v>#N/A</v>
      </c>
      <c r="K260" s="213" t="e">
        <v>#N/A</v>
      </c>
      <c r="L260" s="219" t="e">
        <v>#N/A</v>
      </c>
      <c r="M260" s="220" t="e">
        <v>#N/A</v>
      </c>
      <c r="N260" s="220" t="e">
        <v>#N/A</v>
      </c>
      <c r="O260" s="220" t="e">
        <v>#N/A</v>
      </c>
      <c r="P260" s="213" t="e">
        <v>#N/A</v>
      </c>
      <c r="Q260" s="219" t="e">
        <v>#N/A</v>
      </c>
      <c r="R260" s="220" t="e">
        <v>#N/A</v>
      </c>
      <c r="S260" s="213" t="e">
        <v>#N/A</v>
      </c>
      <c r="T260" s="228" t="e">
        <v>#N/A</v>
      </c>
    </row>
    <row r="261" spans="1:20">
      <c r="A261" s="88"/>
      <c r="B261" s="39"/>
      <c r="C261" s="39"/>
      <c r="D261" s="39"/>
      <c r="E261" s="39"/>
      <c r="F261" s="39"/>
      <c r="G261" s="39"/>
      <c r="H261" s="214" t="e">
        <v>#N/A</v>
      </c>
      <c r="I261" s="134">
        <v>0</v>
      </c>
      <c r="J261" s="104">
        <v>24</v>
      </c>
      <c r="K261" s="208">
        <v>2</v>
      </c>
      <c r="L261" s="223"/>
      <c r="M261" s="222"/>
      <c r="N261" s="222"/>
      <c r="O261" s="222"/>
      <c r="P261" s="226"/>
      <c r="Q261" s="134" t="e">
        <v>#N/A</v>
      </c>
      <c r="R261" s="104" t="e">
        <v>#N/A</v>
      </c>
      <c r="S261" s="208" t="e">
        <v>#N/A</v>
      </c>
      <c r="T261" s="229" t="e">
        <v>#N/A</v>
      </c>
    </row>
    <row r="262" spans="1:20">
      <c r="A262" s="88" t="s">
        <v>383</v>
      </c>
      <c r="B262" s="42">
        <v>3</v>
      </c>
      <c r="C262" s="42">
        <v>7</v>
      </c>
      <c r="D262" s="42">
        <v>0</v>
      </c>
      <c r="E262" s="39"/>
      <c r="F262" s="39"/>
      <c r="G262" s="39"/>
      <c r="H262" s="214">
        <v>30</v>
      </c>
      <c r="I262" s="134" t="e">
        <v>#N/A</v>
      </c>
      <c r="J262" s="104" t="e">
        <v>#N/A</v>
      </c>
      <c r="K262" s="208" t="e">
        <v>#N/A</v>
      </c>
      <c r="L262" s="224">
        <v>26</v>
      </c>
      <c r="M262" s="118">
        <v>2</v>
      </c>
      <c r="N262" s="118">
        <v>6</v>
      </c>
      <c r="O262" s="118">
        <v>0</v>
      </c>
      <c r="P262" s="176">
        <v>5</v>
      </c>
      <c r="Q262" s="31">
        <f>L262+M262</f>
        <v>28</v>
      </c>
      <c r="R262" s="115">
        <f>N262+O262+P262</f>
        <v>11</v>
      </c>
      <c r="S262" s="127">
        <f>Q262-R262</f>
        <v>17</v>
      </c>
      <c r="T262" s="230">
        <v>15</v>
      </c>
    </row>
    <row r="263" spans="1:20" ht="13.5" thickBot="1">
      <c r="A263" s="89"/>
      <c r="B263" s="87"/>
      <c r="C263" s="87"/>
      <c r="D263" s="87"/>
      <c r="E263" s="43">
        <v>2</v>
      </c>
      <c r="F263" s="43">
        <v>16</v>
      </c>
      <c r="G263" s="43">
        <v>2</v>
      </c>
      <c r="H263" s="215" t="e">
        <v>#N/A</v>
      </c>
      <c r="I263" s="131" t="e">
        <v>#N/A</v>
      </c>
      <c r="J263" s="106" t="e">
        <v>#N/A</v>
      </c>
      <c r="K263" s="128" t="e">
        <v>#N/A</v>
      </c>
      <c r="L263" s="225"/>
      <c r="M263" s="124"/>
      <c r="N263" s="124"/>
      <c r="O263" s="124"/>
      <c r="P263" s="227"/>
      <c r="Q263" s="131" t="e">
        <v>#N/A</v>
      </c>
      <c r="R263" s="106" t="e">
        <v>#N/A</v>
      </c>
      <c r="S263" s="128" t="e">
        <v>#N/A</v>
      </c>
      <c r="T263" s="231" t="e">
        <v>#N/A</v>
      </c>
    </row>
    <row r="264" spans="1:20">
      <c r="A264" s="219"/>
      <c r="B264" s="220" t="e">
        <v>#N/A</v>
      </c>
      <c r="C264" s="220" t="e">
        <v>#N/A</v>
      </c>
      <c r="D264" s="220" t="e">
        <v>#N/A</v>
      </c>
      <c r="E264" s="220" t="e">
        <v>#N/A</v>
      </c>
      <c r="F264" s="220" t="e">
        <v>#N/A</v>
      </c>
      <c r="G264" s="220" t="e">
        <v>#N/A</v>
      </c>
      <c r="H264" s="213" t="e">
        <v>#N/A</v>
      </c>
      <c r="I264" s="219" t="e">
        <v>#N/A</v>
      </c>
      <c r="J264" s="220" t="e">
        <v>#N/A</v>
      </c>
      <c r="K264" s="213" t="e">
        <v>#N/A</v>
      </c>
      <c r="L264" s="219" t="e">
        <v>#N/A</v>
      </c>
      <c r="M264" s="220" t="e">
        <v>#N/A</v>
      </c>
      <c r="N264" s="220" t="e">
        <v>#N/A</v>
      </c>
      <c r="O264" s="220" t="e">
        <v>#N/A</v>
      </c>
      <c r="P264" s="213" t="e">
        <v>#N/A</v>
      </c>
      <c r="Q264" s="219" t="e">
        <v>#N/A</v>
      </c>
      <c r="R264" s="220" t="e">
        <v>#N/A</v>
      </c>
      <c r="S264" s="213" t="e">
        <v>#N/A</v>
      </c>
      <c r="T264" s="228" t="e">
        <v>#N/A</v>
      </c>
    </row>
    <row r="265" spans="1:20">
      <c r="A265" s="88"/>
      <c r="B265" s="39"/>
      <c r="C265" s="39"/>
      <c r="D265" s="39"/>
      <c r="E265" s="39"/>
      <c r="F265" s="39"/>
      <c r="G265" s="39"/>
      <c r="H265" s="214" t="e">
        <v>#N/A</v>
      </c>
      <c r="I265" s="134">
        <v>0</v>
      </c>
      <c r="J265" s="104">
        <v>24</v>
      </c>
      <c r="K265" s="208">
        <v>2</v>
      </c>
      <c r="L265" s="223"/>
      <c r="M265" s="222"/>
      <c r="N265" s="222"/>
      <c r="O265" s="222"/>
      <c r="P265" s="226"/>
      <c r="Q265" s="134" t="e">
        <v>#N/A</v>
      </c>
      <c r="R265" s="104" t="e">
        <v>#N/A</v>
      </c>
      <c r="S265" s="208" t="e">
        <v>#N/A</v>
      </c>
      <c r="T265" s="229" t="e">
        <v>#N/A</v>
      </c>
    </row>
    <row r="266" spans="1:20">
      <c r="A266" s="88" t="s">
        <v>384</v>
      </c>
      <c r="B266" s="42">
        <v>3</v>
      </c>
      <c r="C266" s="42">
        <v>8</v>
      </c>
      <c r="D266" s="42">
        <v>0</v>
      </c>
      <c r="E266" s="39"/>
      <c r="F266" s="39"/>
      <c r="G266" s="39"/>
      <c r="H266" s="214">
        <v>37</v>
      </c>
      <c r="I266" s="134" t="e">
        <v>#N/A</v>
      </c>
      <c r="J266" s="104" t="e">
        <v>#N/A</v>
      </c>
      <c r="K266" s="208" t="e">
        <v>#N/A</v>
      </c>
      <c r="L266" s="224">
        <v>18</v>
      </c>
      <c r="M266" s="118">
        <v>0</v>
      </c>
      <c r="N266" s="118">
        <v>2</v>
      </c>
      <c r="O266" s="118">
        <v>0</v>
      </c>
      <c r="P266" s="176">
        <v>9</v>
      </c>
      <c r="Q266" s="31">
        <f>L266+M266</f>
        <v>18</v>
      </c>
      <c r="R266" s="115">
        <f>N266+O266+P266</f>
        <v>11</v>
      </c>
      <c r="S266" s="127">
        <f>Q266-R266</f>
        <v>7</v>
      </c>
      <c r="T266" s="230">
        <v>15</v>
      </c>
    </row>
    <row r="267" spans="1:20" ht="13.5" thickBot="1">
      <c r="A267" s="89"/>
      <c r="B267" s="87"/>
      <c r="C267" s="87"/>
      <c r="D267" s="87"/>
      <c r="E267" s="43">
        <v>2</v>
      </c>
      <c r="F267" s="43">
        <v>22</v>
      </c>
      <c r="G267" s="43">
        <v>2</v>
      </c>
      <c r="H267" s="215" t="e">
        <v>#N/A</v>
      </c>
      <c r="I267" s="131" t="e">
        <v>#N/A</v>
      </c>
      <c r="J267" s="106" t="e">
        <v>#N/A</v>
      </c>
      <c r="K267" s="128" t="e">
        <v>#N/A</v>
      </c>
      <c r="L267" s="225"/>
      <c r="M267" s="124"/>
      <c r="N267" s="124"/>
      <c r="O267" s="124"/>
      <c r="P267" s="227"/>
      <c r="Q267" s="131" t="e">
        <v>#N/A</v>
      </c>
      <c r="R267" s="106" t="e">
        <v>#N/A</v>
      </c>
      <c r="S267" s="128" t="e">
        <v>#N/A</v>
      </c>
      <c r="T267" s="231" t="e">
        <v>#N/A</v>
      </c>
    </row>
    <row r="268" spans="1:20">
      <c r="A268" s="219"/>
      <c r="B268" s="220" t="e">
        <v>#N/A</v>
      </c>
      <c r="C268" s="220" t="e">
        <v>#N/A</v>
      </c>
      <c r="D268" s="220" t="e">
        <v>#N/A</v>
      </c>
      <c r="E268" s="220" t="e">
        <v>#N/A</v>
      </c>
      <c r="F268" s="220" t="e">
        <v>#N/A</v>
      </c>
      <c r="G268" s="220" t="e">
        <v>#N/A</v>
      </c>
      <c r="H268" s="213" t="e">
        <v>#N/A</v>
      </c>
      <c r="I268" s="219" t="e">
        <v>#N/A</v>
      </c>
      <c r="J268" s="220" t="e">
        <v>#N/A</v>
      </c>
      <c r="K268" s="213" t="e">
        <v>#N/A</v>
      </c>
      <c r="L268" s="219" t="e">
        <v>#N/A</v>
      </c>
      <c r="M268" s="220" t="e">
        <v>#N/A</v>
      </c>
      <c r="N268" s="220" t="e">
        <v>#N/A</v>
      </c>
      <c r="O268" s="220" t="e">
        <v>#N/A</v>
      </c>
      <c r="P268" s="213" t="e">
        <v>#N/A</v>
      </c>
      <c r="Q268" s="219" t="e">
        <v>#N/A</v>
      </c>
      <c r="R268" s="220" t="e">
        <v>#N/A</v>
      </c>
      <c r="S268" s="213" t="e">
        <v>#N/A</v>
      </c>
      <c r="T268" s="228" t="e">
        <v>#N/A</v>
      </c>
    </row>
    <row r="269" spans="1:20">
      <c r="A269" s="88"/>
      <c r="B269" s="39"/>
      <c r="C269" s="39"/>
      <c r="D269" s="39"/>
      <c r="E269" s="39"/>
      <c r="F269" s="39"/>
      <c r="G269" s="39"/>
      <c r="H269" s="214" t="e">
        <v>#N/A</v>
      </c>
      <c r="I269" s="134">
        <v>0</v>
      </c>
      <c r="J269" s="104">
        <v>15</v>
      </c>
      <c r="K269" s="208">
        <v>3</v>
      </c>
      <c r="L269" s="223"/>
      <c r="M269" s="222"/>
      <c r="N269" s="222"/>
      <c r="O269" s="222"/>
      <c r="P269" s="226"/>
      <c r="Q269" s="134" t="e">
        <v>#N/A</v>
      </c>
      <c r="R269" s="104" t="e">
        <v>#N/A</v>
      </c>
      <c r="S269" s="208" t="e">
        <v>#N/A</v>
      </c>
      <c r="T269" s="229" t="e">
        <v>#N/A</v>
      </c>
    </row>
    <row r="270" spans="1:20">
      <c r="A270" s="88" t="s">
        <v>385</v>
      </c>
      <c r="B270" s="42">
        <v>3</v>
      </c>
      <c r="C270" s="42">
        <v>8</v>
      </c>
      <c r="D270" s="42">
        <v>1</v>
      </c>
      <c r="E270" s="39"/>
      <c r="F270" s="39"/>
      <c r="G270" s="39"/>
      <c r="H270" s="214">
        <v>33</v>
      </c>
      <c r="I270" s="134" t="e">
        <v>#N/A</v>
      </c>
      <c r="J270" s="104" t="e">
        <v>#N/A</v>
      </c>
      <c r="K270" s="208" t="e">
        <v>#N/A</v>
      </c>
      <c r="L270" s="224">
        <v>5</v>
      </c>
      <c r="M270" s="118">
        <v>1</v>
      </c>
      <c r="N270" s="118">
        <v>10</v>
      </c>
      <c r="O270" s="118">
        <v>5</v>
      </c>
      <c r="P270" s="176">
        <v>2</v>
      </c>
      <c r="Q270" s="31">
        <f>L270+M270</f>
        <v>6</v>
      </c>
      <c r="R270" s="115">
        <f>N270+O270+P270</f>
        <v>17</v>
      </c>
      <c r="S270" s="127">
        <f>Q270-R270</f>
        <v>-11</v>
      </c>
      <c r="T270" s="230">
        <v>15</v>
      </c>
    </row>
    <row r="271" spans="1:20" ht="13.5" thickBot="1">
      <c r="A271" s="89"/>
      <c r="B271" s="87"/>
      <c r="C271" s="87"/>
      <c r="D271" s="87"/>
      <c r="E271" s="43">
        <v>3</v>
      </c>
      <c r="F271" s="43">
        <v>16</v>
      </c>
      <c r="G271" s="43">
        <v>2</v>
      </c>
      <c r="H271" s="215" t="e">
        <v>#N/A</v>
      </c>
      <c r="I271" s="131" t="e">
        <v>#N/A</v>
      </c>
      <c r="J271" s="106" t="e">
        <v>#N/A</v>
      </c>
      <c r="K271" s="128" t="e">
        <v>#N/A</v>
      </c>
      <c r="L271" s="225"/>
      <c r="M271" s="124"/>
      <c r="N271" s="124"/>
      <c r="O271" s="124"/>
      <c r="P271" s="227"/>
      <c r="Q271" s="131" t="e">
        <v>#N/A</v>
      </c>
      <c r="R271" s="106" t="e">
        <v>#N/A</v>
      </c>
      <c r="S271" s="128" t="e">
        <v>#N/A</v>
      </c>
      <c r="T271" s="231" t="e">
        <v>#N/A</v>
      </c>
    </row>
    <row r="272" spans="1:20">
      <c r="A272" s="219"/>
      <c r="B272" s="220" t="e">
        <v>#N/A</v>
      </c>
      <c r="C272" s="220" t="e">
        <v>#N/A</v>
      </c>
      <c r="D272" s="220" t="e">
        <v>#N/A</v>
      </c>
      <c r="E272" s="220" t="e">
        <v>#N/A</v>
      </c>
      <c r="F272" s="220" t="e">
        <v>#N/A</v>
      </c>
      <c r="G272" s="220" t="e">
        <v>#N/A</v>
      </c>
      <c r="H272" s="213" t="e">
        <v>#N/A</v>
      </c>
      <c r="I272" s="219" t="e">
        <v>#N/A</v>
      </c>
      <c r="J272" s="220" t="e">
        <v>#N/A</v>
      </c>
      <c r="K272" s="213" t="e">
        <v>#N/A</v>
      </c>
      <c r="L272" s="219" t="e">
        <v>#N/A</v>
      </c>
      <c r="M272" s="220" t="e">
        <v>#N/A</v>
      </c>
      <c r="N272" s="220" t="e">
        <v>#N/A</v>
      </c>
      <c r="O272" s="220" t="e">
        <v>#N/A</v>
      </c>
      <c r="P272" s="213" t="e">
        <v>#N/A</v>
      </c>
      <c r="Q272" s="219" t="e">
        <v>#N/A</v>
      </c>
      <c r="R272" s="220" t="e">
        <v>#N/A</v>
      </c>
      <c r="S272" s="213" t="e">
        <v>#N/A</v>
      </c>
      <c r="T272" s="228" t="e">
        <v>#N/A</v>
      </c>
    </row>
    <row r="273" spans="1:20">
      <c r="A273" s="88"/>
      <c r="B273" s="39"/>
      <c r="C273" s="39"/>
      <c r="D273" s="39"/>
      <c r="E273" s="39"/>
      <c r="F273" s="39"/>
      <c r="G273" s="39"/>
      <c r="H273" s="214" t="e">
        <v>#N/A</v>
      </c>
      <c r="I273" s="134">
        <v>0</v>
      </c>
      <c r="J273" s="104">
        <v>6</v>
      </c>
      <c r="K273" s="208">
        <v>2</v>
      </c>
      <c r="L273" s="223"/>
      <c r="M273" s="222"/>
      <c r="N273" s="222"/>
      <c r="O273" s="222"/>
      <c r="P273" s="226"/>
      <c r="Q273" s="134" t="e">
        <v>#N/A</v>
      </c>
      <c r="R273" s="104" t="e">
        <v>#N/A</v>
      </c>
      <c r="S273" s="208" t="e">
        <v>#N/A</v>
      </c>
      <c r="T273" s="229" t="e">
        <v>#N/A</v>
      </c>
    </row>
    <row r="274" spans="1:20">
      <c r="A274" s="88" t="s">
        <v>386</v>
      </c>
      <c r="B274" s="42">
        <v>3</v>
      </c>
      <c r="C274" s="42">
        <v>7</v>
      </c>
      <c r="D274" s="42">
        <v>1</v>
      </c>
      <c r="E274" s="39"/>
      <c r="F274" s="39"/>
      <c r="G274" s="39"/>
      <c r="H274" s="214">
        <v>29</v>
      </c>
      <c r="I274" s="134" t="e">
        <v>#N/A</v>
      </c>
      <c r="J274" s="104" t="e">
        <v>#N/A</v>
      </c>
      <c r="K274" s="208" t="e">
        <v>#N/A</v>
      </c>
      <c r="L274" s="224">
        <v>1</v>
      </c>
      <c r="M274" s="118">
        <v>0</v>
      </c>
      <c r="N274" s="118">
        <v>5</v>
      </c>
      <c r="O274" s="118">
        <v>4</v>
      </c>
      <c r="P274" s="176">
        <v>2</v>
      </c>
      <c r="Q274" s="31">
        <f>L274+M274</f>
        <v>1</v>
      </c>
      <c r="R274" s="115">
        <f>N274+O274+P274</f>
        <v>11</v>
      </c>
      <c r="S274" s="127">
        <f>Q274-R274</f>
        <v>-10</v>
      </c>
      <c r="T274" s="230">
        <v>15</v>
      </c>
    </row>
    <row r="275" spans="1:20" ht="13.5" thickBot="1">
      <c r="A275" s="89"/>
      <c r="B275" s="87"/>
      <c r="C275" s="87"/>
      <c r="D275" s="87"/>
      <c r="E275" s="43">
        <v>1</v>
      </c>
      <c r="F275" s="43">
        <v>15</v>
      </c>
      <c r="G275" s="43">
        <v>2</v>
      </c>
      <c r="H275" s="215" t="e">
        <v>#N/A</v>
      </c>
      <c r="I275" s="131" t="e">
        <v>#N/A</v>
      </c>
      <c r="J275" s="106" t="e">
        <v>#N/A</v>
      </c>
      <c r="K275" s="128" t="e">
        <v>#N/A</v>
      </c>
      <c r="L275" s="225"/>
      <c r="M275" s="124"/>
      <c r="N275" s="124"/>
      <c r="O275" s="124"/>
      <c r="P275" s="227"/>
      <c r="Q275" s="131" t="e">
        <v>#N/A</v>
      </c>
      <c r="R275" s="106" t="e">
        <v>#N/A</v>
      </c>
      <c r="S275" s="128" t="e">
        <v>#N/A</v>
      </c>
      <c r="T275" s="231" t="e">
        <v>#N/A</v>
      </c>
    </row>
    <row r="276" spans="1:20">
      <c r="A276" s="219"/>
      <c r="B276" s="220" t="e">
        <v>#N/A</v>
      </c>
      <c r="C276" s="220" t="e">
        <v>#N/A</v>
      </c>
      <c r="D276" s="220" t="e">
        <v>#N/A</v>
      </c>
      <c r="E276" s="220" t="e">
        <v>#N/A</v>
      </c>
      <c r="F276" s="220" t="e">
        <v>#N/A</v>
      </c>
      <c r="G276" s="220" t="e">
        <v>#N/A</v>
      </c>
      <c r="H276" s="213" t="e">
        <v>#N/A</v>
      </c>
      <c r="I276" s="219" t="e">
        <v>#N/A</v>
      </c>
      <c r="J276" s="220" t="e">
        <v>#N/A</v>
      </c>
      <c r="K276" s="213" t="e">
        <v>#N/A</v>
      </c>
      <c r="L276" s="219" t="e">
        <v>#N/A</v>
      </c>
      <c r="M276" s="220" t="e">
        <v>#N/A</v>
      </c>
      <c r="N276" s="220" t="e">
        <v>#N/A</v>
      </c>
      <c r="O276" s="220" t="e">
        <v>#N/A</v>
      </c>
      <c r="P276" s="213" t="e">
        <v>#N/A</v>
      </c>
      <c r="Q276" s="219" t="e">
        <v>#N/A</v>
      </c>
      <c r="R276" s="220" t="e">
        <v>#N/A</v>
      </c>
      <c r="S276" s="213" t="e">
        <v>#N/A</v>
      </c>
      <c r="T276" s="228" t="e">
        <v>#N/A</v>
      </c>
    </row>
    <row r="277" spans="1:20">
      <c r="A277" s="88"/>
      <c r="B277" s="39"/>
      <c r="C277" s="39"/>
      <c r="D277" s="39"/>
      <c r="E277" s="39"/>
      <c r="F277" s="39"/>
      <c r="G277" s="39"/>
      <c r="H277" s="214" t="e">
        <v>#N/A</v>
      </c>
      <c r="I277" s="134">
        <v>0</v>
      </c>
      <c r="J277" s="104">
        <v>4</v>
      </c>
      <c r="K277" s="208">
        <v>1</v>
      </c>
      <c r="L277" s="223"/>
      <c r="M277" s="222"/>
      <c r="N277" s="222"/>
      <c r="O277" s="222"/>
      <c r="P277" s="226"/>
      <c r="Q277" s="134" t="e">
        <v>#N/A</v>
      </c>
      <c r="R277" s="104" t="e">
        <v>#N/A</v>
      </c>
      <c r="S277" s="208" t="e">
        <v>#N/A</v>
      </c>
      <c r="T277" s="229" t="e">
        <v>#N/A</v>
      </c>
    </row>
    <row r="278" spans="1:20">
      <c r="A278" s="88" t="s">
        <v>330</v>
      </c>
      <c r="B278" s="42">
        <v>3</v>
      </c>
      <c r="C278" s="42">
        <v>8</v>
      </c>
      <c r="D278" s="42">
        <v>1</v>
      </c>
      <c r="E278" s="39"/>
      <c r="F278" s="39"/>
      <c r="G278" s="39"/>
      <c r="H278" s="214">
        <v>35</v>
      </c>
      <c r="I278" s="134" t="e">
        <v>#N/A</v>
      </c>
      <c r="J278" s="104" t="e">
        <v>#N/A</v>
      </c>
      <c r="K278" s="208" t="e">
        <v>#N/A</v>
      </c>
      <c r="L278" s="224">
        <v>2</v>
      </c>
      <c r="M278" s="118">
        <v>0</v>
      </c>
      <c r="N278" s="118">
        <v>3</v>
      </c>
      <c r="O278" s="118">
        <v>2</v>
      </c>
      <c r="P278" s="176">
        <v>1</v>
      </c>
      <c r="Q278" s="31">
        <f>L278+M278</f>
        <v>2</v>
      </c>
      <c r="R278" s="115">
        <f>N278+O278+P278</f>
        <v>6</v>
      </c>
      <c r="S278" s="127">
        <f>Q278-R278</f>
        <v>-4</v>
      </c>
      <c r="T278" s="230">
        <v>21</v>
      </c>
    </row>
    <row r="279" spans="1:20" ht="13.5" thickBot="1">
      <c r="A279" s="89"/>
      <c r="B279" s="87"/>
      <c r="C279" s="87"/>
      <c r="D279" s="87"/>
      <c r="E279" s="43">
        <v>2</v>
      </c>
      <c r="F279" s="43">
        <v>19</v>
      </c>
      <c r="G279" s="43">
        <v>2</v>
      </c>
      <c r="H279" s="215" t="e">
        <v>#N/A</v>
      </c>
      <c r="I279" s="131" t="e">
        <v>#N/A</v>
      </c>
      <c r="J279" s="106" t="e">
        <v>#N/A</v>
      </c>
      <c r="K279" s="128" t="e">
        <v>#N/A</v>
      </c>
      <c r="L279" s="225"/>
      <c r="M279" s="124"/>
      <c r="N279" s="124"/>
      <c r="O279" s="124"/>
      <c r="P279" s="227"/>
      <c r="Q279" s="131" t="e">
        <v>#N/A</v>
      </c>
      <c r="R279" s="106" t="e">
        <v>#N/A</v>
      </c>
      <c r="S279" s="128" t="e">
        <v>#N/A</v>
      </c>
      <c r="T279" s="231" t="e">
        <v>#N/A</v>
      </c>
    </row>
    <row r="280" spans="1:20">
      <c r="A280" s="219"/>
      <c r="B280" s="220" t="e">
        <v>#N/A</v>
      </c>
      <c r="C280" s="220" t="e">
        <v>#N/A</v>
      </c>
      <c r="D280" s="220" t="e">
        <v>#N/A</v>
      </c>
      <c r="E280" s="220" t="e">
        <v>#N/A</v>
      </c>
      <c r="F280" s="220" t="e">
        <v>#N/A</v>
      </c>
      <c r="G280" s="220" t="e">
        <v>#N/A</v>
      </c>
      <c r="H280" s="213" t="e">
        <v>#N/A</v>
      </c>
      <c r="I280" s="219" t="e">
        <v>#N/A</v>
      </c>
      <c r="J280" s="220" t="e">
        <v>#N/A</v>
      </c>
      <c r="K280" s="213" t="e">
        <v>#N/A</v>
      </c>
      <c r="L280" s="219" t="e">
        <v>#N/A</v>
      </c>
      <c r="M280" s="220" t="e">
        <v>#N/A</v>
      </c>
      <c r="N280" s="220" t="e">
        <v>#N/A</v>
      </c>
      <c r="O280" s="220" t="e">
        <v>#N/A</v>
      </c>
      <c r="P280" s="213" t="e">
        <v>#N/A</v>
      </c>
      <c r="Q280" s="219" t="e">
        <v>#N/A</v>
      </c>
      <c r="R280" s="220" t="e">
        <v>#N/A</v>
      </c>
      <c r="S280" s="213" t="e">
        <v>#N/A</v>
      </c>
      <c r="T280" s="228" t="e">
        <v>#N/A</v>
      </c>
    </row>
    <row r="281" spans="1:20">
      <c r="A281" s="88" t="s">
        <v>387</v>
      </c>
      <c r="B281" s="39"/>
      <c r="C281" s="39"/>
      <c r="D281" s="39"/>
      <c r="E281" s="39"/>
      <c r="F281" s="39"/>
      <c r="G281" s="39"/>
      <c r="H281" s="214" t="e">
        <v>#N/A</v>
      </c>
      <c r="I281" s="134">
        <v>0</v>
      </c>
      <c r="J281" s="104">
        <v>4</v>
      </c>
      <c r="K281" s="208">
        <v>1</v>
      </c>
      <c r="L281" s="223"/>
      <c r="M281" s="222"/>
      <c r="N281" s="222"/>
      <c r="O281" s="222"/>
      <c r="P281" s="226"/>
      <c r="Q281" s="134" t="e">
        <v>#N/A</v>
      </c>
      <c r="R281" s="104" t="e">
        <v>#N/A</v>
      </c>
      <c r="S281" s="208" t="e">
        <v>#N/A</v>
      </c>
      <c r="T281" s="229" t="e">
        <v>#N/A</v>
      </c>
    </row>
    <row r="282" spans="1:20">
      <c r="A282" s="88">
        <v>-33</v>
      </c>
      <c r="B282" s="42">
        <v>2</v>
      </c>
      <c r="C282" s="42">
        <v>8</v>
      </c>
      <c r="D282" s="42">
        <v>1</v>
      </c>
      <c r="E282" s="39"/>
      <c r="F282" s="39"/>
      <c r="G282" s="39"/>
      <c r="H282" s="214">
        <v>33</v>
      </c>
      <c r="I282" s="134" t="e">
        <v>#N/A</v>
      </c>
      <c r="J282" s="104" t="e">
        <v>#N/A</v>
      </c>
      <c r="K282" s="208" t="e">
        <v>#N/A</v>
      </c>
      <c r="L282" s="224">
        <v>20</v>
      </c>
      <c r="M282" s="118">
        <v>0</v>
      </c>
      <c r="N282" s="118">
        <v>13</v>
      </c>
      <c r="O282" s="118">
        <v>2</v>
      </c>
      <c r="P282" s="176">
        <v>7</v>
      </c>
      <c r="Q282" s="31">
        <f>L282+M282</f>
        <v>20</v>
      </c>
      <c r="R282" s="115">
        <f>N282+O282+P282</f>
        <v>22</v>
      </c>
      <c r="S282" s="127">
        <f>Q282-R282</f>
        <v>-2</v>
      </c>
      <c r="T282" s="230">
        <v>15</v>
      </c>
    </row>
    <row r="283" spans="1:20" ht="13.5" thickBot="1">
      <c r="A283" s="89"/>
      <c r="B283" s="87"/>
      <c r="C283" s="87"/>
      <c r="D283" s="87"/>
      <c r="E283" s="43">
        <v>3</v>
      </c>
      <c r="F283" s="43">
        <v>17</v>
      </c>
      <c r="G283" s="43">
        <v>2</v>
      </c>
      <c r="H283" s="215" t="e">
        <v>#N/A</v>
      </c>
      <c r="I283" s="131" t="e">
        <v>#N/A</v>
      </c>
      <c r="J283" s="106" t="e">
        <v>#N/A</v>
      </c>
      <c r="K283" s="128" t="e">
        <v>#N/A</v>
      </c>
      <c r="L283" s="225"/>
      <c r="M283" s="124"/>
      <c r="N283" s="124"/>
      <c r="O283" s="124"/>
      <c r="P283" s="227"/>
      <c r="Q283" s="131" t="e">
        <v>#N/A</v>
      </c>
      <c r="R283" s="106" t="e">
        <v>#N/A</v>
      </c>
      <c r="S283" s="128" t="e">
        <v>#N/A</v>
      </c>
      <c r="T283" s="231" t="e">
        <v>#N/A</v>
      </c>
    </row>
    <row r="284" spans="1:20">
      <c r="A284" s="219"/>
      <c r="B284" s="220" t="e">
        <v>#N/A</v>
      </c>
      <c r="C284" s="220" t="e">
        <v>#N/A</v>
      </c>
      <c r="D284" s="220" t="e">
        <v>#N/A</v>
      </c>
      <c r="E284" s="220" t="e">
        <v>#N/A</v>
      </c>
      <c r="F284" s="220" t="e">
        <v>#N/A</v>
      </c>
      <c r="G284" s="220" t="e">
        <v>#N/A</v>
      </c>
      <c r="H284" s="213" t="e">
        <v>#N/A</v>
      </c>
      <c r="I284" s="219" t="e">
        <v>#N/A</v>
      </c>
      <c r="J284" s="220" t="e">
        <v>#N/A</v>
      </c>
      <c r="K284" s="213" t="e">
        <v>#N/A</v>
      </c>
      <c r="L284" s="219" t="e">
        <v>#N/A</v>
      </c>
      <c r="M284" s="220" t="e">
        <v>#N/A</v>
      </c>
      <c r="N284" s="220" t="e">
        <v>#N/A</v>
      </c>
      <c r="O284" s="220" t="e">
        <v>#N/A</v>
      </c>
      <c r="P284" s="213" t="e">
        <v>#N/A</v>
      </c>
      <c r="Q284" s="219" t="e">
        <v>#N/A</v>
      </c>
      <c r="R284" s="220" t="e">
        <v>#N/A</v>
      </c>
      <c r="S284" s="213" t="e">
        <v>#N/A</v>
      </c>
      <c r="T284" s="228" t="e">
        <v>#N/A</v>
      </c>
    </row>
    <row r="285" spans="1:20">
      <c r="A285" s="88"/>
      <c r="B285" s="39"/>
      <c r="C285" s="39"/>
      <c r="D285" s="39"/>
      <c r="E285" s="39"/>
      <c r="F285" s="39"/>
      <c r="G285" s="39"/>
      <c r="H285" s="214" t="e">
        <v>#N/A</v>
      </c>
      <c r="I285" s="134">
        <v>0</v>
      </c>
      <c r="J285" s="104">
        <v>3</v>
      </c>
      <c r="K285" s="208">
        <v>1</v>
      </c>
      <c r="L285" s="223"/>
      <c r="M285" s="222"/>
      <c r="N285" s="222"/>
      <c r="O285" s="222"/>
      <c r="P285" s="226"/>
      <c r="Q285" s="134" t="e">
        <v>#N/A</v>
      </c>
      <c r="R285" s="104" t="e">
        <v>#N/A</v>
      </c>
      <c r="S285" s="208" t="e">
        <v>#N/A</v>
      </c>
      <c r="T285" s="229" t="e">
        <v>#N/A</v>
      </c>
    </row>
    <row r="286" spans="1:20">
      <c r="A286" s="88" t="s">
        <v>316</v>
      </c>
      <c r="B286" s="42">
        <v>2</v>
      </c>
      <c r="C286" s="42">
        <v>8</v>
      </c>
      <c r="D286" s="42">
        <v>0</v>
      </c>
      <c r="E286" s="39"/>
      <c r="F286" s="39"/>
      <c r="G286" s="39"/>
      <c r="H286" s="214">
        <v>34</v>
      </c>
      <c r="I286" s="134" t="e">
        <v>#N/A</v>
      </c>
      <c r="J286" s="104" t="e">
        <v>#N/A</v>
      </c>
      <c r="K286" s="208" t="e">
        <v>#N/A</v>
      </c>
      <c r="L286" s="224">
        <v>8</v>
      </c>
      <c r="M286" s="118">
        <v>3</v>
      </c>
      <c r="N286" s="118">
        <v>3</v>
      </c>
      <c r="O286" s="118">
        <v>0</v>
      </c>
      <c r="P286" s="176">
        <v>7</v>
      </c>
      <c r="Q286" s="31">
        <f>L286+M286</f>
        <v>11</v>
      </c>
      <c r="R286" s="115">
        <f>N286+O286+P286</f>
        <v>10</v>
      </c>
      <c r="S286" s="127">
        <f>Q286-R286</f>
        <v>1</v>
      </c>
      <c r="T286" s="230">
        <v>16</v>
      </c>
    </row>
    <row r="287" spans="1:20" ht="13.5" thickBot="1">
      <c r="A287" s="89"/>
      <c r="B287" s="87"/>
      <c r="C287" s="87"/>
      <c r="D287" s="87"/>
      <c r="E287" s="43">
        <v>3</v>
      </c>
      <c r="F287" s="43">
        <v>18</v>
      </c>
      <c r="G287" s="43">
        <v>3</v>
      </c>
      <c r="H287" s="215" t="e">
        <v>#N/A</v>
      </c>
      <c r="I287" s="131" t="e">
        <v>#N/A</v>
      </c>
      <c r="J287" s="106" t="e">
        <v>#N/A</v>
      </c>
      <c r="K287" s="128" t="e">
        <v>#N/A</v>
      </c>
      <c r="L287" s="225"/>
      <c r="M287" s="124"/>
      <c r="N287" s="124"/>
      <c r="O287" s="124"/>
      <c r="P287" s="227"/>
      <c r="Q287" s="131" t="e">
        <v>#N/A</v>
      </c>
      <c r="R287" s="106" t="e">
        <v>#N/A</v>
      </c>
      <c r="S287" s="128" t="e">
        <v>#N/A</v>
      </c>
      <c r="T287" s="231" t="e">
        <v>#N/A</v>
      </c>
    </row>
    <row r="288" spans="1:20">
      <c r="A288" s="219"/>
      <c r="B288" s="220" t="e">
        <v>#N/A</v>
      </c>
      <c r="C288" s="220" t="e">
        <v>#N/A</v>
      </c>
      <c r="D288" s="220" t="e">
        <v>#N/A</v>
      </c>
      <c r="E288" s="220" t="e">
        <v>#N/A</v>
      </c>
      <c r="F288" s="220" t="e">
        <v>#N/A</v>
      </c>
      <c r="G288" s="220" t="e">
        <v>#N/A</v>
      </c>
      <c r="H288" s="213" t="e">
        <v>#N/A</v>
      </c>
      <c r="I288" s="219" t="e">
        <v>#N/A</v>
      </c>
      <c r="J288" s="220" t="e">
        <v>#N/A</v>
      </c>
      <c r="K288" s="213" t="e">
        <v>#N/A</v>
      </c>
      <c r="L288" s="219" t="e">
        <v>#N/A</v>
      </c>
      <c r="M288" s="220" t="e">
        <v>#N/A</v>
      </c>
      <c r="N288" s="220" t="e">
        <v>#N/A</v>
      </c>
      <c r="O288" s="220" t="e">
        <v>#N/A</v>
      </c>
      <c r="P288" s="213" t="e">
        <v>#N/A</v>
      </c>
      <c r="Q288" s="219" t="e">
        <v>#N/A</v>
      </c>
      <c r="R288" s="220" t="e">
        <v>#N/A</v>
      </c>
      <c r="S288" s="213" t="e">
        <v>#N/A</v>
      </c>
      <c r="T288" s="228" t="e">
        <v>#N/A</v>
      </c>
    </row>
    <row r="289" spans="1:20">
      <c r="A289" s="88"/>
      <c r="B289" s="39"/>
      <c r="C289" s="39"/>
      <c r="D289" s="39"/>
      <c r="E289" s="39"/>
      <c r="F289" s="39"/>
      <c r="G289" s="39"/>
      <c r="H289" s="214" t="e">
        <v>#N/A</v>
      </c>
      <c r="I289" s="134">
        <v>0</v>
      </c>
      <c r="J289" s="104">
        <v>6</v>
      </c>
      <c r="K289" s="208">
        <v>1</v>
      </c>
      <c r="L289" s="223"/>
      <c r="M289" s="222"/>
      <c r="N289" s="222"/>
      <c r="O289" s="222"/>
      <c r="P289" s="226"/>
      <c r="Q289" s="134" t="e">
        <v>#N/A</v>
      </c>
      <c r="R289" s="104" t="e">
        <v>#N/A</v>
      </c>
      <c r="S289" s="208" t="e">
        <v>#N/A</v>
      </c>
      <c r="T289" s="229" t="e">
        <v>#N/A</v>
      </c>
    </row>
    <row r="290" spans="1:20">
      <c r="A290" s="88" t="s">
        <v>348</v>
      </c>
      <c r="B290" s="42">
        <v>2</v>
      </c>
      <c r="C290" s="42">
        <v>8</v>
      </c>
      <c r="D290" s="42">
        <v>0</v>
      </c>
      <c r="E290" s="39"/>
      <c r="F290" s="39"/>
      <c r="G290" s="39"/>
      <c r="H290" s="214">
        <v>29</v>
      </c>
      <c r="I290" s="134" t="e">
        <v>#N/A</v>
      </c>
      <c r="J290" s="104" t="e">
        <v>#N/A</v>
      </c>
      <c r="K290" s="208" t="e">
        <v>#N/A</v>
      </c>
      <c r="L290" s="224">
        <v>4</v>
      </c>
      <c r="M290" s="118">
        <v>0</v>
      </c>
      <c r="N290" s="118">
        <v>2</v>
      </c>
      <c r="O290" s="118">
        <v>0</v>
      </c>
      <c r="P290" s="176">
        <v>0</v>
      </c>
      <c r="Q290" s="31">
        <f>L290+M290</f>
        <v>4</v>
      </c>
      <c r="R290" s="115">
        <f>N290+O290+P290</f>
        <v>2</v>
      </c>
      <c r="S290" s="127">
        <f>Q290-R290</f>
        <v>2</v>
      </c>
      <c r="T290" s="230"/>
    </row>
    <row r="291" spans="1:20" ht="13.5" thickBot="1">
      <c r="A291" s="89"/>
      <c r="B291" s="87"/>
      <c r="C291" s="87"/>
      <c r="D291" s="87"/>
      <c r="E291" s="43">
        <v>4</v>
      </c>
      <c r="F291" s="43">
        <v>13</v>
      </c>
      <c r="G291" s="43">
        <v>2</v>
      </c>
      <c r="H291" s="215" t="e">
        <v>#N/A</v>
      </c>
      <c r="I291" s="131" t="e">
        <v>#N/A</v>
      </c>
      <c r="J291" s="106" t="e">
        <v>#N/A</v>
      </c>
      <c r="K291" s="128" t="e">
        <v>#N/A</v>
      </c>
      <c r="L291" s="225"/>
      <c r="M291" s="124"/>
      <c r="N291" s="124"/>
      <c r="O291" s="124"/>
      <c r="P291" s="227"/>
      <c r="Q291" s="131" t="e">
        <v>#N/A</v>
      </c>
      <c r="R291" s="106" t="e">
        <v>#N/A</v>
      </c>
      <c r="S291" s="128" t="e">
        <v>#N/A</v>
      </c>
      <c r="T291" s="231" t="e">
        <v>#N/A</v>
      </c>
    </row>
    <row r="292" spans="1:20">
      <c r="A292" s="219"/>
      <c r="B292" s="220" t="e">
        <v>#N/A</v>
      </c>
      <c r="C292" s="220" t="e">
        <v>#N/A</v>
      </c>
      <c r="D292" s="220" t="e">
        <v>#N/A</v>
      </c>
      <c r="E292" s="220" t="e">
        <v>#N/A</v>
      </c>
      <c r="F292" s="220" t="e">
        <v>#N/A</v>
      </c>
      <c r="G292" s="220" t="e">
        <v>#N/A</v>
      </c>
      <c r="H292" s="213" t="e">
        <v>#N/A</v>
      </c>
      <c r="I292" s="219" t="e">
        <v>#N/A</v>
      </c>
      <c r="J292" s="220" t="e">
        <v>#N/A</v>
      </c>
      <c r="K292" s="213" t="e">
        <v>#N/A</v>
      </c>
      <c r="L292" s="219" t="e">
        <v>#N/A</v>
      </c>
      <c r="M292" s="220" t="e">
        <v>#N/A</v>
      </c>
      <c r="N292" s="220" t="e">
        <v>#N/A</v>
      </c>
      <c r="O292" s="220" t="e">
        <v>#N/A</v>
      </c>
      <c r="P292" s="213" t="e">
        <v>#N/A</v>
      </c>
      <c r="Q292" s="219" t="e">
        <v>#N/A</v>
      </c>
      <c r="R292" s="220" t="e">
        <v>#N/A</v>
      </c>
      <c r="S292" s="213" t="e">
        <v>#N/A</v>
      </c>
      <c r="T292" s="228" t="e">
        <v>#N/A</v>
      </c>
    </row>
    <row r="293" spans="1:20">
      <c r="A293" s="88" t="s">
        <v>369</v>
      </c>
      <c r="B293" s="39"/>
      <c r="C293" s="39"/>
      <c r="D293" s="39"/>
      <c r="E293" s="39"/>
      <c r="F293" s="39"/>
      <c r="G293" s="39"/>
      <c r="H293" s="214" t="e">
        <v>#N/A</v>
      </c>
      <c r="I293" s="134">
        <v>1</v>
      </c>
      <c r="J293" s="104">
        <v>6</v>
      </c>
      <c r="K293" s="208">
        <v>2</v>
      </c>
      <c r="L293" s="223"/>
      <c r="M293" s="222"/>
      <c r="N293" s="222"/>
      <c r="O293" s="222"/>
      <c r="P293" s="226"/>
      <c r="Q293" s="134" t="e">
        <v>#N/A</v>
      </c>
      <c r="R293" s="104" t="e">
        <v>#N/A</v>
      </c>
      <c r="S293" s="208" t="e">
        <v>#N/A</v>
      </c>
      <c r="T293" s="229" t="e">
        <v>#N/A</v>
      </c>
    </row>
    <row r="294" spans="1:20">
      <c r="A294" s="88">
        <v>-38</v>
      </c>
      <c r="B294" s="42">
        <v>1</v>
      </c>
      <c r="C294" s="42">
        <v>16</v>
      </c>
      <c r="D294" s="42">
        <v>8</v>
      </c>
      <c r="E294" s="39"/>
      <c r="F294" s="39"/>
      <c r="G294" s="39"/>
      <c r="H294" s="214">
        <v>49</v>
      </c>
      <c r="I294" s="134" t="e">
        <v>#N/A</v>
      </c>
      <c r="J294" s="104" t="e">
        <v>#N/A</v>
      </c>
      <c r="K294" s="208" t="e">
        <v>#N/A</v>
      </c>
      <c r="L294" s="224">
        <v>8</v>
      </c>
      <c r="M294" s="118">
        <v>3</v>
      </c>
      <c r="N294" s="118">
        <v>2</v>
      </c>
      <c r="O294" s="118">
        <v>1</v>
      </c>
      <c r="P294" s="176">
        <v>5</v>
      </c>
      <c r="Q294" s="31">
        <v>40</v>
      </c>
      <c r="R294" s="115">
        <f>N294+O294+P294</f>
        <v>8</v>
      </c>
      <c r="S294" s="127">
        <f>Q294-R294</f>
        <v>32</v>
      </c>
      <c r="T294" s="230"/>
    </row>
    <row r="295" spans="1:20" ht="13.5" thickBot="1">
      <c r="A295" s="89"/>
      <c r="B295" s="87"/>
      <c r="C295" s="87"/>
      <c r="D295" s="87"/>
      <c r="E295" s="43">
        <v>3</v>
      </c>
      <c r="F295" s="43">
        <v>18</v>
      </c>
      <c r="G295" s="43">
        <v>3</v>
      </c>
      <c r="H295" s="215" t="e">
        <v>#N/A</v>
      </c>
      <c r="I295" s="131" t="e">
        <v>#N/A</v>
      </c>
      <c r="J295" s="106" t="e">
        <v>#N/A</v>
      </c>
      <c r="K295" s="128" t="e">
        <v>#N/A</v>
      </c>
      <c r="L295" s="225"/>
      <c r="M295" s="124"/>
      <c r="N295" s="124"/>
      <c r="O295" s="124"/>
      <c r="P295" s="227"/>
      <c r="Q295" s="131" t="e">
        <v>#N/A</v>
      </c>
      <c r="R295" s="106" t="e">
        <v>#N/A</v>
      </c>
      <c r="S295" s="128" t="e">
        <v>#N/A</v>
      </c>
      <c r="T295" s="231" t="e">
        <v>#N/A</v>
      </c>
    </row>
    <row r="296" spans="1:20">
      <c r="A296" s="219"/>
      <c r="B296" s="220" t="e">
        <v>#N/A</v>
      </c>
      <c r="C296" s="220" t="e">
        <v>#N/A</v>
      </c>
      <c r="D296" s="220" t="e">
        <v>#N/A</v>
      </c>
      <c r="E296" s="220" t="e">
        <v>#N/A</v>
      </c>
      <c r="F296" s="220" t="e">
        <v>#N/A</v>
      </c>
      <c r="G296" s="220" t="e">
        <v>#N/A</v>
      </c>
      <c r="H296" s="213" t="e">
        <v>#N/A</v>
      </c>
      <c r="I296" s="219" t="e">
        <v>#N/A</v>
      </c>
      <c r="J296" s="220" t="e">
        <v>#N/A</v>
      </c>
      <c r="K296" s="213" t="e">
        <v>#N/A</v>
      </c>
      <c r="L296" s="219" t="e">
        <v>#N/A</v>
      </c>
      <c r="M296" s="220" t="e">
        <v>#N/A</v>
      </c>
      <c r="N296" s="220" t="e">
        <v>#N/A</v>
      </c>
      <c r="O296" s="220" t="e">
        <v>#N/A</v>
      </c>
      <c r="P296" s="213" t="e">
        <v>#N/A</v>
      </c>
      <c r="Q296" s="219" t="e">
        <v>#N/A</v>
      </c>
      <c r="R296" s="220" t="e">
        <v>#N/A</v>
      </c>
      <c r="S296" s="213" t="e">
        <v>#N/A</v>
      </c>
      <c r="T296" s="228" t="e">
        <v>#N/A</v>
      </c>
    </row>
    <row r="297" spans="1:20">
      <c r="A297" s="88"/>
      <c r="B297" s="39"/>
      <c r="C297" s="39"/>
      <c r="D297" s="39"/>
      <c r="E297" s="39"/>
      <c r="F297" s="39"/>
      <c r="G297" s="39"/>
      <c r="H297" s="214" t="e">
        <v>#N/A</v>
      </c>
      <c r="I297" s="134">
        <v>0</v>
      </c>
      <c r="J297" s="104">
        <v>8</v>
      </c>
      <c r="K297" s="208">
        <v>2</v>
      </c>
      <c r="L297" s="223"/>
      <c r="M297" s="222"/>
      <c r="N297" s="222"/>
      <c r="O297" s="222"/>
      <c r="P297" s="226"/>
      <c r="Q297" s="134" t="e">
        <v>#N/A</v>
      </c>
      <c r="R297" s="104" t="e">
        <v>#N/A</v>
      </c>
      <c r="S297" s="208" t="e">
        <v>#N/A</v>
      </c>
      <c r="T297" s="229" t="e">
        <v>#N/A</v>
      </c>
    </row>
    <row r="298" spans="1:20">
      <c r="A298" s="88" t="s">
        <v>355</v>
      </c>
      <c r="B298" s="42">
        <v>1</v>
      </c>
      <c r="C298" s="42">
        <v>13</v>
      </c>
      <c r="D298" s="42">
        <v>7</v>
      </c>
      <c r="E298" s="39"/>
      <c r="F298" s="39"/>
      <c r="G298" s="39"/>
      <c r="H298" s="214">
        <v>41</v>
      </c>
      <c r="I298" s="134" t="e">
        <v>#N/A</v>
      </c>
      <c r="J298" s="104" t="e">
        <v>#N/A</v>
      </c>
      <c r="K298" s="208" t="e">
        <v>#N/A</v>
      </c>
      <c r="L298" s="224">
        <v>3</v>
      </c>
      <c r="M298" s="118">
        <v>0</v>
      </c>
      <c r="N298" s="118">
        <v>0</v>
      </c>
      <c r="O298" s="118">
        <v>1</v>
      </c>
      <c r="P298" s="176">
        <v>1</v>
      </c>
      <c r="Q298" s="31">
        <f>L298+M298</f>
        <v>3</v>
      </c>
      <c r="R298" s="115">
        <f>N298+O298+P298</f>
        <v>2</v>
      </c>
      <c r="S298" s="127">
        <f>Q298-R298</f>
        <v>1</v>
      </c>
      <c r="T298" s="230"/>
    </row>
    <row r="299" spans="1:20" ht="13.5" thickBot="1">
      <c r="A299" s="89"/>
      <c r="B299" s="87"/>
      <c r="C299" s="87"/>
      <c r="D299" s="87"/>
      <c r="E299" s="43">
        <v>4</v>
      </c>
      <c r="F299" s="43">
        <v>14</v>
      </c>
      <c r="G299" s="43">
        <v>2</v>
      </c>
      <c r="H299" s="215" t="e">
        <v>#N/A</v>
      </c>
      <c r="I299" s="131" t="e">
        <v>#N/A</v>
      </c>
      <c r="J299" s="106" t="e">
        <v>#N/A</v>
      </c>
      <c r="K299" s="128" t="e">
        <v>#N/A</v>
      </c>
      <c r="L299" s="225"/>
      <c r="M299" s="124"/>
      <c r="N299" s="124"/>
      <c r="O299" s="124"/>
      <c r="P299" s="227"/>
      <c r="Q299" s="131" t="e">
        <v>#N/A</v>
      </c>
      <c r="R299" s="106" t="e">
        <v>#N/A</v>
      </c>
      <c r="S299" s="128" t="e">
        <v>#N/A</v>
      </c>
      <c r="T299" s="231" t="e">
        <v>#N/A</v>
      </c>
    </row>
    <row r="300" spans="1:20">
      <c r="A300" s="219"/>
      <c r="B300" s="220" t="e">
        <v>#N/A</v>
      </c>
      <c r="C300" s="220" t="e">
        <v>#N/A</v>
      </c>
      <c r="D300" s="220" t="e">
        <v>#N/A</v>
      </c>
      <c r="E300" s="220" t="e">
        <v>#N/A</v>
      </c>
      <c r="F300" s="220" t="e">
        <v>#N/A</v>
      </c>
      <c r="G300" s="220" t="e">
        <v>#N/A</v>
      </c>
      <c r="H300" s="213" t="e">
        <v>#N/A</v>
      </c>
      <c r="I300" s="219" t="e">
        <v>#N/A</v>
      </c>
      <c r="J300" s="220" t="e">
        <v>#N/A</v>
      </c>
      <c r="K300" s="213" t="e">
        <v>#N/A</v>
      </c>
      <c r="L300" s="219" t="e">
        <v>#N/A</v>
      </c>
      <c r="M300" s="220" t="e">
        <v>#N/A</v>
      </c>
      <c r="N300" s="220" t="e">
        <v>#N/A</v>
      </c>
      <c r="O300" s="220" t="e">
        <v>#N/A</v>
      </c>
      <c r="P300" s="213" t="e">
        <v>#N/A</v>
      </c>
      <c r="Q300" s="219" t="e">
        <v>#N/A</v>
      </c>
      <c r="R300" s="220" t="e">
        <v>#N/A</v>
      </c>
      <c r="S300" s="213" t="e">
        <v>#N/A</v>
      </c>
      <c r="T300" s="228" t="e">
        <v>#N/A</v>
      </c>
    </row>
    <row r="301" spans="1:20">
      <c r="A301" s="88"/>
      <c r="B301" s="39"/>
      <c r="C301" s="39"/>
      <c r="D301" s="39"/>
      <c r="E301" s="39"/>
      <c r="F301" s="39"/>
      <c r="G301" s="39"/>
      <c r="H301" s="214" t="e">
        <v>#N/A</v>
      </c>
      <c r="I301" s="134">
        <v>0</v>
      </c>
      <c r="J301" s="104">
        <v>6</v>
      </c>
      <c r="K301" s="208">
        <v>1</v>
      </c>
      <c r="L301" s="223"/>
      <c r="M301" s="222"/>
      <c r="N301" s="222"/>
      <c r="O301" s="222"/>
      <c r="P301" s="226"/>
      <c r="Q301" s="134" t="e">
        <v>#N/A</v>
      </c>
      <c r="R301" s="104" t="e">
        <v>#N/A</v>
      </c>
      <c r="S301" s="208" t="e">
        <v>#N/A</v>
      </c>
      <c r="T301" s="229" t="e">
        <v>#N/A</v>
      </c>
    </row>
    <row r="302" spans="1:20">
      <c r="A302" s="88" t="s">
        <v>354</v>
      </c>
      <c r="B302" s="42">
        <v>2</v>
      </c>
      <c r="C302" s="42">
        <v>9</v>
      </c>
      <c r="D302" s="42">
        <v>7</v>
      </c>
      <c r="E302" s="39"/>
      <c r="F302" s="39"/>
      <c r="G302" s="39"/>
      <c r="H302" s="214">
        <v>33</v>
      </c>
      <c r="I302" s="134" t="e">
        <v>#N/A</v>
      </c>
      <c r="J302" s="104" t="e">
        <v>#N/A</v>
      </c>
      <c r="K302" s="208" t="e">
        <v>#N/A</v>
      </c>
      <c r="L302" s="224">
        <v>11</v>
      </c>
      <c r="M302" s="118">
        <v>0</v>
      </c>
      <c r="N302" s="118">
        <v>9</v>
      </c>
      <c r="O302" s="118">
        <v>7</v>
      </c>
      <c r="P302" s="176">
        <v>5</v>
      </c>
      <c r="Q302" s="31">
        <f>L302+M302</f>
        <v>11</v>
      </c>
      <c r="R302" s="115">
        <f>N302+O302+P302</f>
        <v>21</v>
      </c>
      <c r="S302" s="127">
        <f>Q302-R302</f>
        <v>-10</v>
      </c>
      <c r="T302" s="230"/>
    </row>
    <row r="303" spans="1:20" ht="13.5" thickBot="1">
      <c r="A303" s="89"/>
      <c r="B303" s="87"/>
      <c r="C303" s="87"/>
      <c r="D303" s="87"/>
      <c r="E303" s="43">
        <v>3</v>
      </c>
      <c r="F303" s="43">
        <v>10</v>
      </c>
      <c r="G303" s="43">
        <v>2</v>
      </c>
      <c r="H303" s="215" t="e">
        <v>#N/A</v>
      </c>
      <c r="I303" s="131" t="e">
        <v>#N/A</v>
      </c>
      <c r="J303" s="106" t="e">
        <v>#N/A</v>
      </c>
      <c r="K303" s="128" t="e">
        <v>#N/A</v>
      </c>
      <c r="L303" s="225"/>
      <c r="M303" s="124"/>
      <c r="N303" s="124"/>
      <c r="O303" s="124"/>
      <c r="P303" s="227"/>
      <c r="Q303" s="131" t="e">
        <v>#N/A</v>
      </c>
      <c r="R303" s="106" t="e">
        <v>#N/A</v>
      </c>
      <c r="S303" s="128" t="e">
        <v>#N/A</v>
      </c>
      <c r="T303" s="231" t="e">
        <v>#N/A</v>
      </c>
    </row>
    <row r="304" spans="1:20">
      <c r="A304" s="219"/>
      <c r="B304" s="220" t="e">
        <v>#N/A</v>
      </c>
      <c r="C304" s="220" t="e">
        <v>#N/A</v>
      </c>
      <c r="D304" s="220" t="e">
        <v>#N/A</v>
      </c>
      <c r="E304" s="220" t="e">
        <v>#N/A</v>
      </c>
      <c r="F304" s="220" t="e">
        <v>#N/A</v>
      </c>
      <c r="G304" s="220" t="e">
        <v>#N/A</v>
      </c>
      <c r="H304" s="213" t="e">
        <v>#N/A</v>
      </c>
      <c r="I304" s="219" t="e">
        <v>#N/A</v>
      </c>
      <c r="J304" s="220" t="e">
        <v>#N/A</v>
      </c>
      <c r="K304" s="213" t="e">
        <v>#N/A</v>
      </c>
      <c r="L304" s="219" t="e">
        <v>#N/A</v>
      </c>
      <c r="M304" s="220" t="e">
        <v>#N/A</v>
      </c>
      <c r="N304" s="220" t="e">
        <v>#N/A</v>
      </c>
      <c r="O304" s="220" t="e">
        <v>#N/A</v>
      </c>
      <c r="P304" s="213" t="e">
        <v>#N/A</v>
      </c>
      <c r="Q304" s="219" t="e">
        <v>#N/A</v>
      </c>
      <c r="R304" s="220" t="e">
        <v>#N/A</v>
      </c>
      <c r="S304" s="213" t="e">
        <v>#N/A</v>
      </c>
      <c r="T304" s="228" t="e">
        <v>#N/A</v>
      </c>
    </row>
    <row r="305" spans="1:20">
      <c r="A305" s="88" t="s">
        <v>353</v>
      </c>
      <c r="B305" s="39"/>
      <c r="C305" s="39"/>
      <c r="D305" s="39"/>
      <c r="E305" s="39"/>
      <c r="F305" s="39"/>
      <c r="G305" s="39"/>
      <c r="H305" s="214" t="e">
        <v>#N/A</v>
      </c>
      <c r="I305" s="134">
        <v>2</v>
      </c>
      <c r="J305" s="104">
        <v>5</v>
      </c>
      <c r="K305" s="208">
        <v>1</v>
      </c>
      <c r="L305" s="223"/>
      <c r="M305" s="222"/>
      <c r="N305" s="222"/>
      <c r="O305" s="222"/>
      <c r="P305" s="226"/>
      <c r="Q305" s="134" t="e">
        <v>#N/A</v>
      </c>
      <c r="R305" s="104" t="e">
        <v>#N/A</v>
      </c>
      <c r="S305" s="208" t="e">
        <v>#N/A</v>
      </c>
      <c r="T305" s="229" t="e">
        <v>#N/A</v>
      </c>
    </row>
    <row r="306" spans="1:20">
      <c r="A306" s="88">
        <v>-42</v>
      </c>
      <c r="B306" s="42">
        <v>2</v>
      </c>
      <c r="C306" s="42">
        <v>11</v>
      </c>
      <c r="D306" s="42">
        <v>6</v>
      </c>
      <c r="E306" s="39"/>
      <c r="F306" s="39"/>
      <c r="G306" s="39"/>
      <c r="H306" s="214">
        <v>34</v>
      </c>
      <c r="I306" s="134" t="e">
        <v>#N/A</v>
      </c>
      <c r="J306" s="104" t="e">
        <v>#N/A</v>
      </c>
      <c r="K306" s="208" t="e">
        <v>#N/A</v>
      </c>
      <c r="L306" s="224">
        <v>4</v>
      </c>
      <c r="M306" s="118">
        <v>0</v>
      </c>
      <c r="N306" s="118">
        <v>2</v>
      </c>
      <c r="O306" s="118">
        <v>0</v>
      </c>
      <c r="P306" s="176">
        <v>1</v>
      </c>
      <c r="Q306" s="31">
        <f>L306+M306</f>
        <v>4</v>
      </c>
      <c r="R306" s="115">
        <f>N306+O306+P306</f>
        <v>3</v>
      </c>
      <c r="S306" s="127">
        <f>Q306-R306</f>
        <v>1</v>
      </c>
      <c r="T306" s="230"/>
    </row>
    <row r="307" spans="1:20" ht="13.5" thickBot="1">
      <c r="A307" s="89"/>
      <c r="B307" s="87"/>
      <c r="C307" s="87"/>
      <c r="D307" s="87"/>
      <c r="E307" s="43">
        <v>2</v>
      </c>
      <c r="F307" s="43">
        <v>11</v>
      </c>
      <c r="G307" s="43">
        <v>2</v>
      </c>
      <c r="H307" s="215" t="e">
        <v>#N/A</v>
      </c>
      <c r="I307" s="131" t="e">
        <v>#N/A</v>
      </c>
      <c r="J307" s="106" t="e">
        <v>#N/A</v>
      </c>
      <c r="K307" s="128" t="e">
        <v>#N/A</v>
      </c>
      <c r="L307" s="225"/>
      <c r="M307" s="124"/>
      <c r="N307" s="124"/>
      <c r="O307" s="124"/>
      <c r="P307" s="227"/>
      <c r="Q307" s="131" t="e">
        <v>#N/A</v>
      </c>
      <c r="R307" s="106" t="e">
        <v>#N/A</v>
      </c>
      <c r="S307" s="128" t="e">
        <v>#N/A</v>
      </c>
      <c r="T307" s="231" t="e">
        <v>#N/A</v>
      </c>
    </row>
    <row r="308" spans="1:20">
      <c r="A308" s="219"/>
      <c r="B308" s="220" t="e">
        <v>#N/A</v>
      </c>
      <c r="C308" s="220" t="e">
        <v>#N/A</v>
      </c>
      <c r="D308" s="220" t="e">
        <v>#N/A</v>
      </c>
      <c r="E308" s="220" t="e">
        <v>#N/A</v>
      </c>
      <c r="F308" s="220" t="e">
        <v>#N/A</v>
      </c>
      <c r="G308" s="220" t="e">
        <v>#N/A</v>
      </c>
      <c r="H308" s="213" t="e">
        <v>#N/A</v>
      </c>
      <c r="I308" s="219" t="e">
        <v>#N/A</v>
      </c>
      <c r="J308" s="220" t="e">
        <v>#N/A</v>
      </c>
      <c r="K308" s="213" t="e">
        <v>#N/A</v>
      </c>
      <c r="L308" s="219" t="e">
        <v>#N/A</v>
      </c>
      <c r="M308" s="220" t="e">
        <v>#N/A</v>
      </c>
      <c r="N308" s="220" t="e">
        <v>#N/A</v>
      </c>
      <c r="O308" s="220" t="e">
        <v>#N/A</v>
      </c>
      <c r="P308" s="213" t="e">
        <v>#N/A</v>
      </c>
      <c r="Q308" s="219" t="e">
        <v>#N/A</v>
      </c>
      <c r="R308" s="220" t="e">
        <v>#N/A</v>
      </c>
      <c r="S308" s="213" t="e">
        <v>#N/A</v>
      </c>
      <c r="T308" s="228" t="e">
        <v>#N/A</v>
      </c>
    </row>
    <row r="309" spans="1:20">
      <c r="A309" s="88"/>
      <c r="B309" s="39"/>
      <c r="C309" s="39"/>
      <c r="D309" s="39"/>
      <c r="E309" s="39"/>
      <c r="F309" s="39"/>
      <c r="G309" s="39"/>
      <c r="H309" s="214" t="e">
        <v>#N/A</v>
      </c>
      <c r="I309" s="134">
        <v>3</v>
      </c>
      <c r="J309" s="104">
        <v>8</v>
      </c>
      <c r="K309" s="208">
        <v>1</v>
      </c>
      <c r="L309" s="223"/>
      <c r="M309" s="222"/>
      <c r="N309" s="222"/>
      <c r="O309" s="222"/>
      <c r="P309" s="226"/>
      <c r="Q309" s="134" t="e">
        <v>#N/A</v>
      </c>
      <c r="R309" s="104" t="e">
        <v>#N/A</v>
      </c>
      <c r="S309" s="208" t="e">
        <v>#N/A</v>
      </c>
      <c r="T309" s="229" t="e">
        <v>#N/A</v>
      </c>
    </row>
    <row r="310" spans="1:20">
      <c r="A310" s="88" t="s">
        <v>351</v>
      </c>
      <c r="B310" s="42">
        <v>3</v>
      </c>
      <c r="C310" s="42">
        <v>11</v>
      </c>
      <c r="D310" s="42">
        <v>6</v>
      </c>
      <c r="E310" s="39"/>
      <c r="F310" s="39"/>
      <c r="G310" s="39"/>
      <c r="H310" s="214">
        <v>34</v>
      </c>
      <c r="I310" s="134" t="e">
        <v>#N/A</v>
      </c>
      <c r="J310" s="104" t="e">
        <v>#N/A</v>
      </c>
      <c r="K310" s="208" t="e">
        <v>#N/A</v>
      </c>
      <c r="L310" s="224">
        <v>5</v>
      </c>
      <c r="M310" s="118">
        <v>0</v>
      </c>
      <c r="N310" s="118">
        <v>0</v>
      </c>
      <c r="O310" s="118">
        <v>0</v>
      </c>
      <c r="P310" s="176">
        <v>1</v>
      </c>
      <c r="Q310" s="31">
        <f>L310+M310</f>
        <v>5</v>
      </c>
      <c r="R310" s="115">
        <f>N310+O310+P310</f>
        <v>1</v>
      </c>
      <c r="S310" s="127">
        <f>Q310-R310</f>
        <v>4</v>
      </c>
      <c r="T310" s="230"/>
    </row>
    <row r="311" spans="1:20" ht="13.5" thickBot="1">
      <c r="A311" s="89"/>
      <c r="B311" s="87"/>
      <c r="C311" s="87"/>
      <c r="D311" s="87"/>
      <c r="E311" s="43">
        <v>1</v>
      </c>
      <c r="F311" s="43">
        <v>11</v>
      </c>
      <c r="G311" s="43">
        <v>2</v>
      </c>
      <c r="H311" s="215" t="e">
        <v>#N/A</v>
      </c>
      <c r="I311" s="131" t="e">
        <v>#N/A</v>
      </c>
      <c r="J311" s="106" t="e">
        <v>#N/A</v>
      </c>
      <c r="K311" s="128" t="e">
        <v>#N/A</v>
      </c>
      <c r="L311" s="225"/>
      <c r="M311" s="124"/>
      <c r="N311" s="124"/>
      <c r="O311" s="124"/>
      <c r="P311" s="227"/>
      <c r="Q311" s="131" t="e">
        <v>#N/A</v>
      </c>
      <c r="R311" s="106" t="e">
        <v>#N/A</v>
      </c>
      <c r="S311" s="128" t="e">
        <v>#N/A</v>
      </c>
      <c r="T311" s="231" t="e">
        <v>#N/A</v>
      </c>
    </row>
    <row r="312" spans="1:20">
      <c r="A312" s="219"/>
      <c r="B312" s="220" t="e">
        <v>#N/A</v>
      </c>
      <c r="C312" s="220" t="e">
        <v>#N/A</v>
      </c>
      <c r="D312" s="220" t="e">
        <v>#N/A</v>
      </c>
      <c r="E312" s="220" t="e">
        <v>#N/A</v>
      </c>
      <c r="F312" s="220" t="e">
        <v>#N/A</v>
      </c>
      <c r="G312" s="220" t="e">
        <v>#N/A</v>
      </c>
      <c r="H312" s="213" t="e">
        <v>#N/A</v>
      </c>
      <c r="I312" s="219" t="e">
        <v>#N/A</v>
      </c>
      <c r="J312" s="220" t="e">
        <v>#N/A</v>
      </c>
      <c r="K312" s="213" t="e">
        <v>#N/A</v>
      </c>
      <c r="L312" s="219" t="e">
        <v>#N/A</v>
      </c>
      <c r="M312" s="220" t="e">
        <v>#N/A</v>
      </c>
      <c r="N312" s="220" t="e">
        <v>#N/A</v>
      </c>
      <c r="O312" s="220" t="e">
        <v>#N/A</v>
      </c>
      <c r="P312" s="213" t="e">
        <v>#N/A</v>
      </c>
      <c r="Q312" s="219" t="e">
        <v>#N/A</v>
      </c>
      <c r="R312" s="220" t="e">
        <v>#N/A</v>
      </c>
      <c r="S312" s="213" t="e">
        <v>#N/A</v>
      </c>
      <c r="T312" s="228" t="e">
        <v>#N/A</v>
      </c>
    </row>
    <row r="313" spans="1:20">
      <c r="A313" s="88"/>
      <c r="B313" s="39"/>
      <c r="C313" s="39"/>
      <c r="D313" s="39"/>
      <c r="E313" s="39"/>
      <c r="F313" s="39"/>
      <c r="G313" s="39"/>
      <c r="H313" s="214" t="e">
        <v>#N/A</v>
      </c>
      <c r="I313" s="134">
        <v>6</v>
      </c>
      <c r="J313" s="104">
        <v>7</v>
      </c>
      <c r="K313" s="208">
        <v>1</v>
      </c>
      <c r="L313" s="223"/>
      <c r="M313" s="222"/>
      <c r="N313" s="222"/>
      <c r="O313" s="222"/>
      <c r="P313" s="226"/>
      <c r="Q313" s="134" t="e">
        <v>#N/A</v>
      </c>
      <c r="R313" s="104" t="e">
        <v>#N/A</v>
      </c>
      <c r="S313" s="208" t="e">
        <v>#N/A</v>
      </c>
      <c r="T313" s="229" t="e">
        <v>#N/A</v>
      </c>
    </row>
    <row r="314" spans="1:20">
      <c r="A314" s="88" t="s">
        <v>317</v>
      </c>
      <c r="B314" s="42">
        <v>2</v>
      </c>
      <c r="C314" s="42">
        <v>10</v>
      </c>
      <c r="D314" s="42">
        <v>3</v>
      </c>
      <c r="E314" s="39"/>
      <c r="F314" s="39"/>
      <c r="G314" s="39"/>
      <c r="H314" s="214">
        <v>28</v>
      </c>
      <c r="I314" s="134" t="e">
        <v>#N/A</v>
      </c>
      <c r="J314" s="104" t="e">
        <v>#N/A</v>
      </c>
      <c r="K314" s="208" t="e">
        <v>#N/A</v>
      </c>
      <c r="L314" s="224">
        <v>22</v>
      </c>
      <c r="M314" s="118">
        <v>0</v>
      </c>
      <c r="N314" s="118">
        <v>9</v>
      </c>
      <c r="O314" s="118">
        <v>2</v>
      </c>
      <c r="P314" s="176">
        <v>14</v>
      </c>
      <c r="Q314" s="31">
        <f>L314+M314</f>
        <v>22</v>
      </c>
      <c r="R314" s="115">
        <f>N314+O314+P314</f>
        <v>25</v>
      </c>
      <c r="S314" s="127">
        <f>Q314-R314</f>
        <v>-3</v>
      </c>
      <c r="T314" s="230"/>
    </row>
    <row r="315" spans="1:20" ht="13.5" thickBot="1">
      <c r="A315" s="89"/>
      <c r="B315" s="87"/>
      <c r="C315" s="87"/>
      <c r="D315" s="87"/>
      <c r="E315" s="43">
        <v>0</v>
      </c>
      <c r="F315" s="43">
        <v>11</v>
      </c>
      <c r="G315" s="43">
        <v>2</v>
      </c>
      <c r="H315" s="215" t="e">
        <v>#N/A</v>
      </c>
      <c r="I315" s="131" t="e">
        <v>#N/A</v>
      </c>
      <c r="J315" s="106" t="e">
        <v>#N/A</v>
      </c>
      <c r="K315" s="128" t="e">
        <v>#N/A</v>
      </c>
      <c r="L315" s="225"/>
      <c r="M315" s="124"/>
      <c r="N315" s="124"/>
      <c r="O315" s="124"/>
      <c r="P315" s="227"/>
      <c r="Q315" s="131" t="e">
        <v>#N/A</v>
      </c>
      <c r="R315" s="106" t="e">
        <v>#N/A</v>
      </c>
      <c r="S315" s="128" t="e">
        <v>#N/A</v>
      </c>
      <c r="T315" s="231" t="e">
        <v>#N/A</v>
      </c>
    </row>
    <row r="316" spans="1:20">
      <c r="A316" s="219"/>
      <c r="B316" s="220" t="e">
        <v>#N/A</v>
      </c>
      <c r="C316" s="220" t="e">
        <v>#N/A</v>
      </c>
      <c r="D316" s="220" t="e">
        <v>#N/A</v>
      </c>
      <c r="E316" s="220" t="e">
        <v>#N/A</v>
      </c>
      <c r="F316" s="220" t="e">
        <v>#N/A</v>
      </c>
      <c r="G316" s="220" t="e">
        <v>#N/A</v>
      </c>
      <c r="H316" s="213" t="e">
        <v>#N/A</v>
      </c>
      <c r="I316" s="219" t="e">
        <v>#N/A</v>
      </c>
      <c r="J316" s="220" t="e">
        <v>#N/A</v>
      </c>
      <c r="K316" s="213" t="e">
        <v>#N/A</v>
      </c>
      <c r="L316" s="219" t="e">
        <v>#N/A</v>
      </c>
      <c r="M316" s="220" t="e">
        <v>#N/A</v>
      </c>
      <c r="N316" s="220" t="e">
        <v>#N/A</v>
      </c>
      <c r="O316" s="220" t="e">
        <v>#N/A</v>
      </c>
      <c r="P316" s="213" t="e">
        <v>#N/A</v>
      </c>
      <c r="Q316" s="219" t="e">
        <v>#N/A</v>
      </c>
      <c r="R316" s="220" t="e">
        <v>#N/A</v>
      </c>
      <c r="S316" s="213" t="e">
        <v>#N/A</v>
      </c>
      <c r="T316" s="228" t="e">
        <v>#N/A</v>
      </c>
    </row>
    <row r="317" spans="1:20">
      <c r="A317" s="88" t="s">
        <v>318</v>
      </c>
      <c r="B317" s="39"/>
      <c r="C317" s="39"/>
      <c r="D317" s="39"/>
      <c r="E317" s="39"/>
      <c r="F317" s="39"/>
      <c r="G317" s="39"/>
      <c r="H317" s="214" t="e">
        <v>#N/A</v>
      </c>
      <c r="I317" s="134">
        <v>7</v>
      </c>
      <c r="J317" s="104">
        <v>17</v>
      </c>
      <c r="K317" s="208">
        <v>1</v>
      </c>
      <c r="L317" s="223"/>
      <c r="M317" s="222"/>
      <c r="N317" s="222"/>
      <c r="O317" s="222"/>
      <c r="P317" s="226"/>
      <c r="Q317" s="134" t="e">
        <v>#N/A</v>
      </c>
      <c r="R317" s="104" t="e">
        <v>#N/A</v>
      </c>
      <c r="S317" s="208" t="e">
        <v>#N/A</v>
      </c>
      <c r="T317" s="229" t="e">
        <v>#N/A</v>
      </c>
    </row>
    <row r="318" spans="1:20">
      <c r="A318" s="88">
        <v>-46</v>
      </c>
      <c r="B318" s="42">
        <v>3</v>
      </c>
      <c r="C318" s="42">
        <v>9</v>
      </c>
      <c r="D318" s="42">
        <v>3</v>
      </c>
      <c r="E318" s="39"/>
      <c r="F318" s="39"/>
      <c r="G318" s="39"/>
      <c r="H318" s="214">
        <v>33</v>
      </c>
      <c r="I318" s="134" t="e">
        <v>#N/A</v>
      </c>
      <c r="J318" s="104" t="e">
        <v>#N/A</v>
      </c>
      <c r="K318" s="208" t="e">
        <v>#N/A</v>
      </c>
      <c r="L318" s="224">
        <v>52</v>
      </c>
      <c r="M318" s="118">
        <v>1</v>
      </c>
      <c r="N318" s="118">
        <v>12</v>
      </c>
      <c r="O318" s="118">
        <v>0</v>
      </c>
      <c r="P318" s="176">
        <v>27</v>
      </c>
      <c r="Q318" s="31">
        <f>L318+M318</f>
        <v>53</v>
      </c>
      <c r="R318" s="115">
        <f>N318+O318+P318</f>
        <v>39</v>
      </c>
      <c r="S318" s="127">
        <f>Q318-R318</f>
        <v>14</v>
      </c>
      <c r="T318" s="230"/>
    </row>
    <row r="319" spans="1:20" ht="13.5" thickBot="1">
      <c r="A319" s="89"/>
      <c r="B319" s="87"/>
      <c r="C319" s="87"/>
      <c r="D319" s="87"/>
      <c r="E319" s="43">
        <v>1</v>
      </c>
      <c r="F319" s="43">
        <v>15</v>
      </c>
      <c r="G319" s="43">
        <v>2</v>
      </c>
      <c r="H319" s="215" t="e">
        <v>#N/A</v>
      </c>
      <c r="I319" s="131" t="e">
        <v>#N/A</v>
      </c>
      <c r="J319" s="106" t="e">
        <v>#N/A</v>
      </c>
      <c r="K319" s="128" t="e">
        <v>#N/A</v>
      </c>
      <c r="L319" s="225"/>
      <c r="M319" s="124"/>
      <c r="N319" s="124"/>
      <c r="O319" s="124"/>
      <c r="P319" s="227"/>
      <c r="Q319" s="131" t="e">
        <v>#N/A</v>
      </c>
      <c r="R319" s="106" t="e">
        <v>#N/A</v>
      </c>
      <c r="S319" s="128" t="e">
        <v>#N/A</v>
      </c>
      <c r="T319" s="231" t="e">
        <v>#N/A</v>
      </c>
    </row>
    <row r="320" spans="1:20">
      <c r="A320" s="219"/>
      <c r="B320" s="220" t="e">
        <v>#N/A</v>
      </c>
      <c r="C320" s="220" t="e">
        <v>#N/A</v>
      </c>
      <c r="D320" s="220" t="e">
        <v>#N/A</v>
      </c>
      <c r="E320" s="220" t="e">
        <v>#N/A</v>
      </c>
      <c r="F320" s="220" t="e">
        <v>#N/A</v>
      </c>
      <c r="G320" s="220" t="e">
        <v>#N/A</v>
      </c>
      <c r="H320" s="213" t="e">
        <v>#N/A</v>
      </c>
      <c r="I320" s="219" t="e">
        <v>#N/A</v>
      </c>
      <c r="J320" s="220" t="e">
        <v>#N/A</v>
      </c>
      <c r="K320" s="213" t="e">
        <v>#N/A</v>
      </c>
      <c r="L320" s="219" t="e">
        <v>#N/A</v>
      </c>
      <c r="M320" s="220" t="e">
        <v>#N/A</v>
      </c>
      <c r="N320" s="220" t="e">
        <v>#N/A</v>
      </c>
      <c r="O320" s="220" t="e">
        <v>#N/A</v>
      </c>
      <c r="P320" s="213" t="e">
        <v>#N/A</v>
      </c>
      <c r="Q320" s="219" t="e">
        <v>#N/A</v>
      </c>
      <c r="R320" s="220" t="e">
        <v>#N/A</v>
      </c>
      <c r="S320" s="213" t="e">
        <v>#N/A</v>
      </c>
      <c r="T320" s="228" t="e">
        <v>#N/A</v>
      </c>
    </row>
    <row r="321" spans="1:20">
      <c r="A321" s="88"/>
      <c r="B321" s="39"/>
      <c r="C321" s="39"/>
      <c r="D321" s="39"/>
      <c r="E321" s="39"/>
      <c r="F321" s="39"/>
      <c r="G321" s="39"/>
      <c r="H321" s="214" t="e">
        <v>#N/A</v>
      </c>
      <c r="I321" s="134">
        <v>4</v>
      </c>
      <c r="J321" s="104">
        <v>27</v>
      </c>
      <c r="K321" s="208">
        <v>1</v>
      </c>
      <c r="L321" s="223"/>
      <c r="M321" s="222"/>
      <c r="N321" s="222"/>
      <c r="O321" s="222"/>
      <c r="P321" s="226"/>
      <c r="Q321" s="134" t="e">
        <v>#N/A</v>
      </c>
      <c r="R321" s="104" t="e">
        <v>#N/A</v>
      </c>
      <c r="S321" s="208" t="e">
        <v>#N/A</v>
      </c>
      <c r="T321" s="229" t="e">
        <v>#N/A</v>
      </c>
    </row>
    <row r="322" spans="1:20">
      <c r="A322" s="88" t="s">
        <v>320</v>
      </c>
      <c r="B322" s="42">
        <v>3</v>
      </c>
      <c r="C322" s="42">
        <v>12</v>
      </c>
      <c r="D322" s="42">
        <v>3</v>
      </c>
      <c r="E322" s="39"/>
      <c r="F322" s="39"/>
      <c r="G322" s="39"/>
      <c r="H322" s="214">
        <v>38</v>
      </c>
      <c r="I322" s="134" t="e">
        <v>#N/A</v>
      </c>
      <c r="J322" s="104" t="e">
        <v>#N/A</v>
      </c>
      <c r="K322" s="208" t="e">
        <v>#N/A</v>
      </c>
      <c r="L322" s="224">
        <v>24</v>
      </c>
      <c r="M322" s="118">
        <v>0</v>
      </c>
      <c r="N322" s="118">
        <v>6</v>
      </c>
      <c r="O322" s="118">
        <v>2</v>
      </c>
      <c r="P322" s="176">
        <v>5</v>
      </c>
      <c r="Q322" s="31">
        <f>L322+M322</f>
        <v>24</v>
      </c>
      <c r="R322" s="115">
        <f>N322+O322+P322</f>
        <v>13</v>
      </c>
      <c r="S322" s="127">
        <f>Q322-R322</f>
        <v>11</v>
      </c>
      <c r="T322" s="230"/>
    </row>
    <row r="323" spans="1:20" ht="13.5" thickBot="1">
      <c r="A323" s="89"/>
      <c r="B323" s="87"/>
      <c r="C323" s="87"/>
      <c r="D323" s="87"/>
      <c r="E323" s="43">
        <v>3</v>
      </c>
      <c r="F323" s="43">
        <v>15</v>
      </c>
      <c r="G323" s="43">
        <v>2</v>
      </c>
      <c r="H323" s="215" t="e">
        <v>#N/A</v>
      </c>
      <c r="I323" s="131" t="e">
        <v>#N/A</v>
      </c>
      <c r="J323" s="106" t="e">
        <v>#N/A</v>
      </c>
      <c r="K323" s="128" t="e">
        <v>#N/A</v>
      </c>
      <c r="L323" s="225"/>
      <c r="M323" s="124"/>
      <c r="N323" s="124"/>
      <c r="O323" s="124"/>
      <c r="P323" s="227"/>
      <c r="Q323" s="131" t="e">
        <v>#N/A</v>
      </c>
      <c r="R323" s="106" t="e">
        <v>#N/A</v>
      </c>
      <c r="S323" s="128" t="e">
        <v>#N/A</v>
      </c>
      <c r="T323" s="231" t="e">
        <v>#N/A</v>
      </c>
    </row>
    <row r="324" spans="1:20">
      <c r="A324" s="219"/>
      <c r="B324" s="220" t="e">
        <v>#N/A</v>
      </c>
      <c r="C324" s="220" t="e">
        <v>#N/A</v>
      </c>
      <c r="D324" s="220" t="e">
        <v>#N/A</v>
      </c>
      <c r="E324" s="220" t="e">
        <v>#N/A</v>
      </c>
      <c r="F324" s="220" t="e">
        <v>#N/A</v>
      </c>
      <c r="G324" s="220" t="e">
        <v>#N/A</v>
      </c>
      <c r="H324" s="213" t="e">
        <v>#N/A</v>
      </c>
      <c r="I324" s="219" t="e">
        <v>#N/A</v>
      </c>
      <c r="J324" s="220" t="e">
        <v>#N/A</v>
      </c>
      <c r="K324" s="213" t="e">
        <v>#N/A</v>
      </c>
      <c r="L324" s="219" t="e">
        <v>#N/A</v>
      </c>
      <c r="M324" s="220" t="e">
        <v>#N/A</v>
      </c>
      <c r="N324" s="220" t="e">
        <v>#N/A</v>
      </c>
      <c r="O324" s="220" t="e">
        <v>#N/A</v>
      </c>
      <c r="P324" s="213" t="e">
        <v>#N/A</v>
      </c>
      <c r="Q324" s="219" t="e">
        <v>#N/A</v>
      </c>
      <c r="R324" s="220" t="e">
        <v>#N/A</v>
      </c>
      <c r="S324" s="213" t="e">
        <v>#N/A</v>
      </c>
      <c r="T324" s="228" t="e">
        <v>#N/A</v>
      </c>
    </row>
    <row r="325" spans="1:20">
      <c r="A325" s="88"/>
      <c r="B325" s="39"/>
      <c r="C325" s="39"/>
      <c r="D325" s="39"/>
      <c r="E325" s="39"/>
      <c r="F325" s="39"/>
      <c r="G325" s="39"/>
      <c r="H325" s="214" t="e">
        <v>#N/A</v>
      </c>
      <c r="I325" s="134">
        <v>3</v>
      </c>
      <c r="J325" s="104">
        <v>33</v>
      </c>
      <c r="K325" s="208">
        <v>1</v>
      </c>
      <c r="L325" s="223"/>
      <c r="M325" s="222"/>
      <c r="N325" s="222"/>
      <c r="O325" s="222"/>
      <c r="P325" s="226"/>
      <c r="Q325" s="134" t="e">
        <v>#N/A</v>
      </c>
      <c r="R325" s="104" t="e">
        <v>#N/A</v>
      </c>
      <c r="S325" s="208" t="e">
        <v>#N/A</v>
      </c>
      <c r="T325" s="229" t="e">
        <v>#N/A</v>
      </c>
    </row>
    <row r="326" spans="1:20">
      <c r="A326" s="88" t="s">
        <v>321</v>
      </c>
      <c r="B326" s="42">
        <v>3</v>
      </c>
      <c r="C326" s="42">
        <v>13</v>
      </c>
      <c r="D326" s="42">
        <v>3</v>
      </c>
      <c r="E326" s="39"/>
      <c r="F326" s="39"/>
      <c r="G326" s="39"/>
      <c r="H326" s="214">
        <v>37</v>
      </c>
      <c r="I326" s="134" t="e">
        <v>#N/A</v>
      </c>
      <c r="J326" s="104" t="e">
        <v>#N/A</v>
      </c>
      <c r="K326" s="208" t="e">
        <v>#N/A</v>
      </c>
      <c r="L326" s="224">
        <v>44</v>
      </c>
      <c r="M326" s="118">
        <v>0</v>
      </c>
      <c r="N326" s="118">
        <v>27</v>
      </c>
      <c r="O326" s="118">
        <v>2</v>
      </c>
      <c r="P326" s="176">
        <v>23</v>
      </c>
      <c r="Q326" s="31">
        <f>L326+M326</f>
        <v>44</v>
      </c>
      <c r="R326" s="115">
        <f>N326+O326+P326</f>
        <v>52</v>
      </c>
      <c r="S326" s="127">
        <f>Q326-R326</f>
        <v>-8</v>
      </c>
      <c r="T326" s="230"/>
    </row>
    <row r="327" spans="1:20" ht="13.5" thickBot="1">
      <c r="A327" s="89"/>
      <c r="B327" s="87"/>
      <c r="C327" s="87"/>
      <c r="D327" s="87"/>
      <c r="E327" s="43">
        <v>2</v>
      </c>
      <c r="F327" s="43">
        <v>14</v>
      </c>
      <c r="G327" s="43">
        <v>2</v>
      </c>
      <c r="H327" s="215" t="e">
        <v>#N/A</v>
      </c>
      <c r="I327" s="131" t="e">
        <v>#N/A</v>
      </c>
      <c r="J327" s="106" t="e">
        <v>#N/A</v>
      </c>
      <c r="K327" s="128" t="e">
        <v>#N/A</v>
      </c>
      <c r="L327" s="225"/>
      <c r="M327" s="124"/>
      <c r="N327" s="124"/>
      <c r="O327" s="124"/>
      <c r="P327" s="227"/>
      <c r="Q327" s="131" t="e">
        <v>#N/A</v>
      </c>
      <c r="R327" s="106" t="e">
        <v>#N/A</v>
      </c>
      <c r="S327" s="128" t="e">
        <v>#N/A</v>
      </c>
      <c r="T327" s="231" t="e">
        <v>#N/A</v>
      </c>
    </row>
    <row r="328" spans="1:20">
      <c r="A328" s="219"/>
      <c r="B328" s="220" t="e">
        <v>#N/A</v>
      </c>
      <c r="C328" s="220" t="e">
        <v>#N/A</v>
      </c>
      <c r="D328" s="220" t="e">
        <v>#N/A</v>
      </c>
      <c r="E328" s="220" t="e">
        <v>#N/A</v>
      </c>
      <c r="F328" s="220" t="e">
        <v>#N/A</v>
      </c>
      <c r="G328" s="220" t="e">
        <v>#N/A</v>
      </c>
      <c r="H328" s="213" t="e">
        <v>#N/A</v>
      </c>
      <c r="I328" s="219" t="e">
        <v>#N/A</v>
      </c>
      <c r="J328" s="220" t="e">
        <v>#N/A</v>
      </c>
      <c r="K328" s="213" t="e">
        <v>#N/A</v>
      </c>
      <c r="L328" s="219" t="e">
        <v>#N/A</v>
      </c>
      <c r="M328" s="220" t="e">
        <v>#N/A</v>
      </c>
      <c r="N328" s="220" t="e">
        <v>#N/A</v>
      </c>
      <c r="O328" s="220" t="e">
        <v>#N/A</v>
      </c>
      <c r="P328" s="213" t="e">
        <v>#N/A</v>
      </c>
      <c r="Q328" s="219" t="e">
        <v>#N/A</v>
      </c>
      <c r="R328" s="220" t="e">
        <v>#N/A</v>
      </c>
      <c r="S328" s="213" t="e">
        <v>#N/A</v>
      </c>
      <c r="T328" s="228" t="e">
        <v>#N/A</v>
      </c>
    </row>
    <row r="329" spans="1:20">
      <c r="A329" s="88"/>
      <c r="B329" s="39"/>
      <c r="C329" s="39"/>
      <c r="D329" s="39"/>
      <c r="E329" s="39"/>
      <c r="F329" s="39"/>
      <c r="G329" s="39"/>
      <c r="H329" s="214" t="e">
        <v>#N/A</v>
      </c>
      <c r="I329" s="134">
        <v>4</v>
      </c>
      <c r="J329" s="104">
        <v>34</v>
      </c>
      <c r="K329" s="208">
        <v>1</v>
      </c>
      <c r="L329" s="223"/>
      <c r="M329" s="222"/>
      <c r="N329" s="222"/>
      <c r="O329" s="222"/>
      <c r="P329" s="226"/>
      <c r="Q329" s="134" t="e">
        <v>#N/A</v>
      </c>
      <c r="R329" s="104" t="e">
        <v>#N/A</v>
      </c>
      <c r="S329" s="208" t="e">
        <v>#N/A</v>
      </c>
      <c r="T329" s="229" t="e">
        <v>#N/A</v>
      </c>
    </row>
    <row r="330" spans="1:20">
      <c r="A330" s="88" t="s">
        <v>322</v>
      </c>
      <c r="B330" s="42">
        <v>3</v>
      </c>
      <c r="C330" s="42">
        <v>15</v>
      </c>
      <c r="D330" s="42">
        <v>5</v>
      </c>
      <c r="E330" s="39"/>
      <c r="F330" s="39"/>
      <c r="G330" s="39"/>
      <c r="H330" s="214">
        <v>42</v>
      </c>
      <c r="I330" s="134" t="e">
        <v>#N/A</v>
      </c>
      <c r="J330" s="104" t="e">
        <v>#N/A</v>
      </c>
      <c r="K330" s="208" t="e">
        <v>#N/A</v>
      </c>
      <c r="L330" s="224">
        <v>39</v>
      </c>
      <c r="M330" s="118">
        <v>1</v>
      </c>
      <c r="N330" s="118">
        <v>21</v>
      </c>
      <c r="O330" s="118">
        <v>3</v>
      </c>
      <c r="P330" s="176">
        <v>9</v>
      </c>
      <c r="Q330" s="31">
        <f>L330+M330</f>
        <v>40</v>
      </c>
      <c r="R330" s="115">
        <f>N330+O330+P330</f>
        <v>33</v>
      </c>
      <c r="S330" s="127">
        <f>Q330-R330</f>
        <v>7</v>
      </c>
      <c r="T330" s="230"/>
    </row>
    <row r="331" spans="1:20" ht="13.5" thickBot="1">
      <c r="A331" s="89"/>
      <c r="B331" s="87"/>
      <c r="C331" s="87"/>
      <c r="D331" s="87"/>
      <c r="E331" s="43">
        <v>2</v>
      </c>
      <c r="F331" s="43">
        <v>15</v>
      </c>
      <c r="G331" s="43">
        <v>2</v>
      </c>
      <c r="H331" s="215" t="e">
        <v>#N/A</v>
      </c>
      <c r="I331" s="131" t="e">
        <v>#N/A</v>
      </c>
      <c r="J331" s="106" t="e">
        <v>#N/A</v>
      </c>
      <c r="K331" s="128" t="e">
        <v>#N/A</v>
      </c>
      <c r="L331" s="225"/>
      <c r="M331" s="124"/>
      <c r="N331" s="124"/>
      <c r="O331" s="124"/>
      <c r="P331" s="227"/>
      <c r="Q331" s="131" t="e">
        <v>#N/A</v>
      </c>
      <c r="R331" s="106" t="e">
        <v>#N/A</v>
      </c>
      <c r="S331" s="128" t="e">
        <v>#N/A</v>
      </c>
      <c r="T331" s="231" t="e">
        <v>#N/A</v>
      </c>
    </row>
    <row r="332" spans="1:20">
      <c r="A332" s="219"/>
      <c r="B332" s="220" t="e">
        <v>#N/A</v>
      </c>
      <c r="C332" s="220" t="e">
        <v>#N/A</v>
      </c>
      <c r="D332" s="220" t="e">
        <v>#N/A</v>
      </c>
      <c r="E332" s="220" t="e">
        <v>#N/A</v>
      </c>
      <c r="F332" s="220" t="e">
        <v>#N/A</v>
      </c>
      <c r="G332" s="220" t="e">
        <v>#N/A</v>
      </c>
      <c r="H332" s="213" t="e">
        <v>#N/A</v>
      </c>
      <c r="I332" s="219" t="e">
        <v>#N/A</v>
      </c>
      <c r="J332" s="220" t="e">
        <v>#N/A</v>
      </c>
      <c r="K332" s="213" t="e">
        <v>#N/A</v>
      </c>
      <c r="L332" s="219" t="e">
        <v>#N/A</v>
      </c>
      <c r="M332" s="220" t="e">
        <v>#N/A</v>
      </c>
      <c r="N332" s="220" t="e">
        <v>#N/A</v>
      </c>
      <c r="O332" s="220" t="e">
        <v>#N/A</v>
      </c>
      <c r="P332" s="213" t="e">
        <v>#N/A</v>
      </c>
      <c r="Q332" s="219" t="e">
        <v>#N/A</v>
      </c>
      <c r="R332" s="220" t="e">
        <v>#N/A</v>
      </c>
      <c r="S332" s="213" t="e">
        <v>#N/A</v>
      </c>
      <c r="T332" s="228" t="e">
        <v>#N/A</v>
      </c>
    </row>
    <row r="333" spans="1:20">
      <c r="A333" s="88"/>
      <c r="B333" s="39"/>
      <c r="C333" s="39"/>
      <c r="D333" s="39"/>
      <c r="E333" s="39"/>
      <c r="F333" s="39"/>
      <c r="G333" s="39"/>
      <c r="H333" s="214" t="e">
        <v>#N/A</v>
      </c>
      <c r="I333" s="134">
        <v>11</v>
      </c>
      <c r="J333" s="104">
        <v>67</v>
      </c>
      <c r="K333" s="208">
        <v>2</v>
      </c>
      <c r="L333" s="223"/>
      <c r="M333" s="222"/>
      <c r="N333" s="222"/>
      <c r="O333" s="222"/>
      <c r="P333" s="226"/>
      <c r="Q333" s="134" t="e">
        <v>#N/A</v>
      </c>
      <c r="R333" s="104" t="e">
        <v>#N/A</v>
      </c>
      <c r="S333" s="208" t="e">
        <v>#N/A</v>
      </c>
      <c r="T333" s="229" t="e">
        <v>#N/A</v>
      </c>
    </row>
    <row r="334" spans="1:20">
      <c r="A334" s="88" t="s">
        <v>324</v>
      </c>
      <c r="B334" s="42">
        <v>5</v>
      </c>
      <c r="C334" s="42">
        <v>16</v>
      </c>
      <c r="D334" s="42">
        <v>5</v>
      </c>
      <c r="E334" s="39"/>
      <c r="F334" s="39"/>
      <c r="G334" s="39"/>
      <c r="H334" s="214">
        <v>47</v>
      </c>
      <c r="I334" s="134" t="e">
        <v>#N/A</v>
      </c>
      <c r="J334" s="104" t="e">
        <v>#N/A</v>
      </c>
      <c r="K334" s="208" t="e">
        <v>#N/A</v>
      </c>
      <c r="L334" s="224">
        <v>76</v>
      </c>
      <c r="M334" s="118">
        <v>2</v>
      </c>
      <c r="N334" s="118">
        <v>22</v>
      </c>
      <c r="O334" s="118">
        <v>0</v>
      </c>
      <c r="P334" s="176">
        <v>17</v>
      </c>
      <c r="Q334" s="31">
        <f>L334+M334</f>
        <v>78</v>
      </c>
      <c r="R334" s="115">
        <f>N334+O334+P334</f>
        <v>39</v>
      </c>
      <c r="S334" s="127">
        <f>Q334-R334</f>
        <v>39</v>
      </c>
      <c r="T334" s="230"/>
    </row>
    <row r="335" spans="1:20" ht="13.5" thickBot="1">
      <c r="A335" s="89"/>
      <c r="B335" s="87"/>
      <c r="C335" s="87"/>
      <c r="D335" s="87"/>
      <c r="E335" s="43">
        <v>2</v>
      </c>
      <c r="F335" s="43">
        <v>17</v>
      </c>
      <c r="G335" s="43">
        <v>2</v>
      </c>
      <c r="H335" s="215" t="e">
        <v>#N/A</v>
      </c>
      <c r="I335" s="131" t="e">
        <v>#N/A</v>
      </c>
      <c r="J335" s="106" t="e">
        <v>#N/A</v>
      </c>
      <c r="K335" s="128" t="e">
        <v>#N/A</v>
      </c>
      <c r="L335" s="225"/>
      <c r="M335" s="124"/>
      <c r="N335" s="124"/>
      <c r="O335" s="124"/>
      <c r="P335" s="227"/>
      <c r="Q335" s="131" t="e">
        <v>#N/A</v>
      </c>
      <c r="R335" s="106" t="e">
        <v>#N/A</v>
      </c>
      <c r="S335" s="128" t="e">
        <v>#N/A</v>
      </c>
      <c r="T335" s="231" t="e">
        <v>#N/A</v>
      </c>
    </row>
    <row r="336" spans="1:20">
      <c r="A336" s="219"/>
      <c r="B336" s="220" t="e">
        <v>#N/A</v>
      </c>
      <c r="C336" s="220" t="e">
        <v>#N/A</v>
      </c>
      <c r="D336" s="220" t="e">
        <v>#N/A</v>
      </c>
      <c r="E336" s="220" t="e">
        <v>#N/A</v>
      </c>
      <c r="F336" s="220" t="e">
        <v>#N/A</v>
      </c>
      <c r="G336" s="220" t="e">
        <v>#N/A</v>
      </c>
      <c r="H336" s="213" t="e">
        <v>#N/A</v>
      </c>
      <c r="I336" s="219" t="e">
        <v>#N/A</v>
      </c>
      <c r="J336" s="220" t="e">
        <v>#N/A</v>
      </c>
      <c r="K336" s="213" t="e">
        <v>#N/A</v>
      </c>
      <c r="L336" s="219" t="e">
        <v>#N/A</v>
      </c>
      <c r="M336" s="220" t="e">
        <v>#N/A</v>
      </c>
      <c r="N336" s="220" t="e">
        <v>#N/A</v>
      </c>
      <c r="O336" s="220" t="e">
        <v>#N/A</v>
      </c>
      <c r="P336" s="213" t="e">
        <v>#N/A</v>
      </c>
      <c r="Q336" s="219" t="e">
        <v>#N/A</v>
      </c>
      <c r="R336" s="220" t="e">
        <v>#N/A</v>
      </c>
      <c r="S336" s="213" t="e">
        <v>#N/A</v>
      </c>
      <c r="T336" s="228" t="e">
        <v>#N/A</v>
      </c>
    </row>
    <row r="337" spans="1:27">
      <c r="A337" s="88"/>
      <c r="B337" s="39"/>
      <c r="C337" s="39"/>
      <c r="D337" s="39"/>
      <c r="E337" s="39"/>
      <c r="F337" s="39"/>
      <c r="G337" s="39"/>
      <c r="H337" s="214" t="e">
        <v>#N/A</v>
      </c>
      <c r="I337" s="134">
        <v>11</v>
      </c>
      <c r="J337" s="104">
        <v>67</v>
      </c>
      <c r="K337" s="208">
        <v>3</v>
      </c>
      <c r="L337" s="223"/>
      <c r="M337" s="222"/>
      <c r="N337" s="222"/>
      <c r="O337" s="222"/>
      <c r="P337" s="226"/>
      <c r="Q337" s="134" t="e">
        <v>#N/A</v>
      </c>
      <c r="R337" s="104" t="e">
        <v>#N/A</v>
      </c>
      <c r="S337" s="208" t="e">
        <v>#N/A</v>
      </c>
      <c r="T337" s="229" t="e">
        <v>#N/A</v>
      </c>
    </row>
    <row r="338" spans="1:27">
      <c r="A338" s="88" t="s">
        <v>350</v>
      </c>
      <c r="B338" s="42">
        <v>3</v>
      </c>
      <c r="C338" s="42">
        <v>15</v>
      </c>
      <c r="D338" s="42">
        <v>5</v>
      </c>
      <c r="E338" s="39"/>
      <c r="F338" s="39"/>
      <c r="G338" s="39"/>
      <c r="H338" s="214">
        <v>44</v>
      </c>
      <c r="I338" s="134" t="e">
        <v>#N/A</v>
      </c>
      <c r="J338" s="104" t="e">
        <v>#N/A</v>
      </c>
      <c r="K338" s="208" t="e">
        <v>#N/A</v>
      </c>
      <c r="L338" s="224">
        <v>26</v>
      </c>
      <c r="M338" s="118">
        <v>1</v>
      </c>
      <c r="N338" s="118">
        <v>34</v>
      </c>
      <c r="O338" s="118">
        <v>1</v>
      </c>
      <c r="P338" s="176">
        <v>60</v>
      </c>
      <c r="Q338" s="31">
        <f>L338+M338</f>
        <v>27</v>
      </c>
      <c r="R338" s="115">
        <f>N338+O338+P338</f>
        <v>95</v>
      </c>
      <c r="S338" s="127">
        <f>Q338-R338</f>
        <v>-68</v>
      </c>
      <c r="T338" s="230"/>
    </row>
    <row r="339" spans="1:27" ht="13.5" thickBot="1">
      <c r="A339" s="89"/>
      <c r="B339" s="87"/>
      <c r="C339" s="87"/>
      <c r="D339" s="87"/>
      <c r="E339" s="43">
        <v>2</v>
      </c>
      <c r="F339" s="43">
        <v>17</v>
      </c>
      <c r="G339" s="43">
        <v>2</v>
      </c>
      <c r="H339" s="215" t="e">
        <v>#N/A</v>
      </c>
      <c r="I339" s="131" t="e">
        <v>#N/A</v>
      </c>
      <c r="J339" s="106" t="e">
        <v>#N/A</v>
      </c>
      <c r="K339" s="128" t="e">
        <v>#N/A</v>
      </c>
      <c r="L339" s="225"/>
      <c r="M339" s="124"/>
      <c r="N339" s="124"/>
      <c r="O339" s="124"/>
      <c r="P339" s="227"/>
      <c r="Q339" s="131" t="e">
        <v>#N/A</v>
      </c>
      <c r="R339" s="106" t="e">
        <v>#N/A</v>
      </c>
      <c r="S339" s="128" t="e">
        <v>#N/A</v>
      </c>
      <c r="T339" s="231" t="e">
        <v>#N/A</v>
      </c>
    </row>
    <row r="340" spans="1:27">
      <c r="A340" s="219"/>
      <c r="B340" s="220" t="e">
        <v>#N/A</v>
      </c>
      <c r="C340" s="220" t="e">
        <v>#N/A</v>
      </c>
      <c r="D340" s="220" t="e">
        <v>#N/A</v>
      </c>
      <c r="E340" s="220" t="e">
        <v>#N/A</v>
      </c>
      <c r="F340" s="220" t="e">
        <v>#N/A</v>
      </c>
      <c r="G340" s="220" t="e">
        <v>#N/A</v>
      </c>
      <c r="H340" s="213" t="e">
        <v>#N/A</v>
      </c>
      <c r="I340" s="219" t="e">
        <v>#N/A</v>
      </c>
      <c r="J340" s="220" t="e">
        <v>#N/A</v>
      </c>
      <c r="K340" s="213" t="e">
        <v>#N/A</v>
      </c>
      <c r="L340" s="219" t="e">
        <v>#N/A</v>
      </c>
      <c r="M340" s="220" t="e">
        <v>#N/A</v>
      </c>
      <c r="N340" s="220" t="e">
        <v>#N/A</v>
      </c>
      <c r="O340" s="220" t="e">
        <v>#N/A</v>
      </c>
      <c r="P340" s="213" t="e">
        <v>#N/A</v>
      </c>
      <c r="Q340" s="219" t="e">
        <v>#N/A</v>
      </c>
      <c r="R340" s="220" t="e">
        <v>#N/A</v>
      </c>
      <c r="S340" s="213" t="e">
        <v>#N/A</v>
      </c>
      <c r="T340" s="278" t="e">
        <v>#N/A</v>
      </c>
      <c r="U340" s="219" t="e">
        <v>#N/A</v>
      </c>
      <c r="V340" s="220" t="e">
        <v>#N/A</v>
      </c>
      <c r="W340" s="213" t="e">
        <v>#N/A</v>
      </c>
      <c r="X340" s="219" t="e">
        <v>#N/A</v>
      </c>
      <c r="Y340" s="220" t="e">
        <v>#N/A</v>
      </c>
      <c r="Z340" s="213" t="e">
        <v>#N/A</v>
      </c>
      <c r="AA340" s="228">
        <v>71</v>
      </c>
    </row>
    <row r="341" spans="1:27">
      <c r="A341" s="88"/>
      <c r="B341" s="39"/>
      <c r="C341" s="39"/>
      <c r="D341" s="39"/>
      <c r="E341" s="39">
        <v>0</v>
      </c>
      <c r="F341" s="39">
        <v>10</v>
      </c>
      <c r="G341" s="39">
        <v>2</v>
      </c>
      <c r="H341" s="214" t="e">
        <v>#N/A</v>
      </c>
      <c r="I341" s="134" t="e">
        <v>#N/A</v>
      </c>
      <c r="J341" s="104" t="e">
        <v>#N/A</v>
      </c>
      <c r="K341" s="208" t="e">
        <v>#N/A</v>
      </c>
      <c r="L341" s="223"/>
      <c r="M341" s="222"/>
      <c r="N341" s="222"/>
      <c r="O341" s="222"/>
      <c r="P341" s="226"/>
      <c r="Q341" s="134" t="e">
        <v>#N/A</v>
      </c>
      <c r="R341" s="104" t="e">
        <v>#N/A</v>
      </c>
      <c r="S341" s="208" t="e">
        <v>#N/A</v>
      </c>
      <c r="T341" s="279" t="e">
        <v>#N/A</v>
      </c>
      <c r="U341" s="31">
        <v>3</v>
      </c>
      <c r="V341" s="1">
        <v>15</v>
      </c>
      <c r="W341" s="283">
        <v>1</v>
      </c>
      <c r="X341" s="287" t="e">
        <v>#N/A</v>
      </c>
      <c r="Y341" s="246" t="e">
        <v>#N/A</v>
      </c>
      <c r="Z341" s="214" t="e">
        <v>#N/A</v>
      </c>
      <c r="AA341" s="289" t="e">
        <v>#N/A</v>
      </c>
    </row>
    <row r="342" spans="1:27">
      <c r="A342" s="88" t="s">
        <v>371</v>
      </c>
      <c r="B342" s="42">
        <v>1</v>
      </c>
      <c r="C342" s="42">
        <v>6</v>
      </c>
      <c r="D342" s="42">
        <v>3</v>
      </c>
      <c r="E342" s="39"/>
      <c r="F342" s="39"/>
      <c r="G342" s="39"/>
      <c r="H342" s="214">
        <v>22</v>
      </c>
      <c r="I342" s="134" t="e">
        <v>#N/A</v>
      </c>
      <c r="J342" s="104" t="e">
        <v>#N/A</v>
      </c>
      <c r="K342" s="208" t="e">
        <v>#N/A</v>
      </c>
      <c r="L342" s="224">
        <v>22</v>
      </c>
      <c r="M342" s="118">
        <v>2</v>
      </c>
      <c r="N342" s="118">
        <v>32</v>
      </c>
      <c r="O342" s="118">
        <v>5</v>
      </c>
      <c r="P342" s="176">
        <v>37</v>
      </c>
      <c r="Q342" s="31">
        <f>L342+M342</f>
        <v>24</v>
      </c>
      <c r="R342" s="115">
        <f>N342+O342+P342</f>
        <v>74</v>
      </c>
      <c r="S342" s="127">
        <f>Q342-R342</f>
        <v>-50</v>
      </c>
      <c r="T342" s="280"/>
      <c r="U342" s="287" t="e">
        <v>#N/A</v>
      </c>
      <c r="V342" s="246" t="e">
        <v>#N/A</v>
      </c>
      <c r="W342" s="214" t="e">
        <v>#N/A</v>
      </c>
      <c r="X342" s="31">
        <v>-4</v>
      </c>
      <c r="Y342" s="1">
        <v>-38</v>
      </c>
      <c r="Z342" s="283">
        <v>0</v>
      </c>
      <c r="AA342" s="289">
        <f>I343+J343+K343</f>
        <v>50</v>
      </c>
    </row>
    <row r="343" spans="1:27" ht="13.5" thickBot="1">
      <c r="A343" s="89"/>
      <c r="B343" s="87"/>
      <c r="C343" s="87"/>
      <c r="D343" s="87"/>
      <c r="E343" s="43"/>
      <c r="F343" s="43"/>
      <c r="G343" s="43"/>
      <c r="H343" s="215" t="e">
        <v>#N/A</v>
      </c>
      <c r="I343" s="134">
        <v>10</v>
      </c>
      <c r="J343" s="104">
        <v>36</v>
      </c>
      <c r="K343" s="208">
        <v>4</v>
      </c>
      <c r="L343" s="225"/>
      <c r="M343" s="124"/>
      <c r="N343" s="124"/>
      <c r="O343" s="124"/>
      <c r="P343" s="227"/>
      <c r="Q343" s="131" t="e">
        <v>#N/A</v>
      </c>
      <c r="R343" s="106" t="e">
        <v>#N/A</v>
      </c>
      <c r="S343" s="128" t="e">
        <v>#N/A</v>
      </c>
      <c r="T343" s="281" t="e">
        <v>#N/A</v>
      </c>
      <c r="U343" s="282" t="e">
        <v>#N/A</v>
      </c>
      <c r="V343" s="87" t="e">
        <v>#N/A</v>
      </c>
      <c r="W343" s="215" t="e">
        <v>#N/A</v>
      </c>
      <c r="X343" s="282" t="e">
        <v>#N/A</v>
      </c>
      <c r="Y343" s="87" t="e">
        <v>#N/A</v>
      </c>
      <c r="Z343" s="215" t="e">
        <v>#N/A</v>
      </c>
      <c r="AA343" s="290" t="e">
        <v>#N/A</v>
      </c>
    </row>
    <row r="344" spans="1:27">
      <c r="A344" s="219"/>
      <c r="B344" s="220" t="e">
        <v>#N/A</v>
      </c>
      <c r="C344" s="220" t="e">
        <v>#N/A</v>
      </c>
      <c r="D344" s="220" t="e">
        <v>#N/A</v>
      </c>
      <c r="E344" s="220" t="e">
        <v>#N/A</v>
      </c>
      <c r="F344" s="220" t="e">
        <v>#N/A</v>
      </c>
      <c r="G344" s="220" t="e">
        <v>#N/A</v>
      </c>
      <c r="H344" s="213" t="e">
        <v>#N/A</v>
      </c>
      <c r="I344" s="219" t="e">
        <v>#N/A</v>
      </c>
      <c r="J344" s="220" t="e">
        <v>#N/A</v>
      </c>
      <c r="K344" s="213" t="e">
        <v>#N/A</v>
      </c>
      <c r="L344" s="219" t="e">
        <v>#N/A</v>
      </c>
      <c r="M344" s="220" t="e">
        <v>#N/A</v>
      </c>
      <c r="N344" s="220" t="e">
        <v>#N/A</v>
      </c>
      <c r="O344" s="220" t="e">
        <v>#N/A</v>
      </c>
      <c r="P344" s="213" t="e">
        <v>#N/A</v>
      </c>
      <c r="Q344" s="219" t="e">
        <v>#N/A</v>
      </c>
      <c r="R344" s="220" t="e">
        <v>#N/A</v>
      </c>
      <c r="S344" s="213" t="e">
        <v>#N/A</v>
      </c>
      <c r="T344" s="228" t="e">
        <v>#N/A</v>
      </c>
      <c r="U344" s="285" t="e">
        <v>#N/A</v>
      </c>
      <c r="V344" s="286" t="e">
        <v>#N/A</v>
      </c>
      <c r="W344" s="286" t="e">
        <v>#N/A</v>
      </c>
      <c r="X344" s="285" t="e">
        <v>#N/A</v>
      </c>
      <c r="Y344" s="286" t="e">
        <v>#N/A</v>
      </c>
      <c r="Z344" s="288" t="e">
        <v>#N/A</v>
      </c>
      <c r="AA344" s="228" t="e">
        <v>#N/A</v>
      </c>
    </row>
    <row r="345" spans="1:27">
      <c r="A345" s="88" t="s">
        <v>372</v>
      </c>
      <c r="B345" s="39"/>
      <c r="C345" s="39"/>
      <c r="D345" s="39"/>
      <c r="E345" s="42">
        <v>2</v>
      </c>
      <c r="F345" s="42">
        <v>18</v>
      </c>
      <c r="G345" s="42">
        <v>2</v>
      </c>
      <c r="H345" s="214" t="e">
        <v>#N/A</v>
      </c>
      <c r="I345" s="134" t="e">
        <v>#N/A</v>
      </c>
      <c r="J345" s="104" t="e">
        <v>#N/A</v>
      </c>
      <c r="K345" s="208" t="e">
        <v>#N/A</v>
      </c>
      <c r="L345" s="223"/>
      <c r="M345" s="222"/>
      <c r="N345" s="222"/>
      <c r="O345" s="222"/>
      <c r="P345" s="226"/>
      <c r="Q345" s="134" t="e">
        <v>#N/A</v>
      </c>
      <c r="R345" s="104" t="e">
        <v>#N/A</v>
      </c>
      <c r="S345" s="208" t="e">
        <v>#N/A</v>
      </c>
      <c r="T345" s="229" t="e">
        <v>#N/A</v>
      </c>
      <c r="U345" s="31">
        <v>15</v>
      </c>
      <c r="V345" s="1">
        <v>82</v>
      </c>
      <c r="W345" s="1">
        <v>0</v>
      </c>
      <c r="X345" s="287" t="e">
        <v>#N/A</v>
      </c>
      <c r="Y345" s="246" t="e">
        <v>#N/A</v>
      </c>
      <c r="Z345" s="214" t="e">
        <v>#N/A</v>
      </c>
      <c r="AA345" s="289" t="e">
        <v>#N/A</v>
      </c>
    </row>
    <row r="346" spans="1:27">
      <c r="A346" s="88">
        <v>-3</v>
      </c>
      <c r="B346" s="42">
        <v>2</v>
      </c>
      <c r="C346" s="42">
        <v>7</v>
      </c>
      <c r="D346" s="42">
        <v>3</v>
      </c>
      <c r="E346" s="39"/>
      <c r="F346" s="39"/>
      <c r="G346" s="39"/>
      <c r="H346" s="214">
        <v>34</v>
      </c>
      <c r="I346" s="134" t="e">
        <v>#N/A</v>
      </c>
      <c r="J346" s="104" t="e">
        <v>#N/A</v>
      </c>
      <c r="K346" s="208" t="e">
        <v>#N/A</v>
      </c>
      <c r="L346" s="224">
        <v>109</v>
      </c>
      <c r="M346" s="118">
        <v>14</v>
      </c>
      <c r="N346" s="118">
        <v>17</v>
      </c>
      <c r="O346" s="118">
        <v>3</v>
      </c>
      <c r="P346" s="176">
        <v>15</v>
      </c>
      <c r="Q346" s="31">
        <f>L346+M346</f>
        <v>123</v>
      </c>
      <c r="R346" s="115">
        <f>N346+O346+P346</f>
        <v>35</v>
      </c>
      <c r="S346" s="127">
        <f>Q346-R346</f>
        <v>88</v>
      </c>
      <c r="T346" s="230"/>
      <c r="U346" s="287" t="e">
        <v>#N/A</v>
      </c>
      <c r="V346" s="246" t="e">
        <v>#N/A</v>
      </c>
      <c r="W346" s="214" t="e">
        <v>#N/A</v>
      </c>
      <c r="X346" s="31">
        <v>-11</v>
      </c>
      <c r="Y346" s="1">
        <v>-15</v>
      </c>
      <c r="Z346" s="283">
        <v>0</v>
      </c>
      <c r="AA346" s="289">
        <f>I347+J347+K347</f>
        <v>125</v>
      </c>
    </row>
    <row r="347" spans="1:27" ht="13.5" thickBot="1">
      <c r="A347" s="89"/>
      <c r="B347" s="87"/>
      <c r="C347" s="87"/>
      <c r="D347" s="87"/>
      <c r="E347" s="43"/>
      <c r="F347" s="43"/>
      <c r="G347" s="43"/>
      <c r="H347" s="215" t="e">
        <v>#N/A</v>
      </c>
      <c r="I347" s="134">
        <v>14</v>
      </c>
      <c r="J347" s="104">
        <v>107</v>
      </c>
      <c r="K347" s="208">
        <v>4</v>
      </c>
      <c r="L347" s="225"/>
      <c r="M347" s="124"/>
      <c r="N347" s="124"/>
      <c r="O347" s="124"/>
      <c r="P347" s="227"/>
      <c r="Q347" s="131" t="e">
        <v>#N/A</v>
      </c>
      <c r="R347" s="106" t="e">
        <v>#N/A</v>
      </c>
      <c r="S347" s="128" t="e">
        <v>#N/A</v>
      </c>
      <c r="T347" s="231" t="e">
        <v>#N/A</v>
      </c>
      <c r="U347" s="282" t="e">
        <v>#N/A</v>
      </c>
      <c r="V347" s="87" t="e">
        <v>#N/A</v>
      </c>
      <c r="W347" s="87" t="e">
        <v>#N/A</v>
      </c>
      <c r="X347" s="282" t="e">
        <v>#N/A</v>
      </c>
      <c r="Y347" s="87" t="e">
        <v>#N/A</v>
      </c>
      <c r="Z347" s="215" t="e">
        <v>#N/A</v>
      </c>
      <c r="AA347" s="290" t="e">
        <v>#N/A</v>
      </c>
    </row>
    <row r="348" spans="1:27">
      <c r="A348" s="219"/>
      <c r="B348" s="220" t="e">
        <v>#N/A</v>
      </c>
      <c r="C348" s="220" t="e">
        <v>#N/A</v>
      </c>
      <c r="D348" s="220" t="e">
        <v>#N/A</v>
      </c>
      <c r="E348" s="220" t="e">
        <v>#N/A</v>
      </c>
      <c r="F348" s="220" t="e">
        <v>#N/A</v>
      </c>
      <c r="G348" s="220" t="e">
        <v>#N/A</v>
      </c>
      <c r="H348" s="213" t="e">
        <v>#N/A</v>
      </c>
      <c r="I348" s="219" t="e">
        <v>#N/A</v>
      </c>
      <c r="J348" s="220" t="e">
        <v>#N/A</v>
      </c>
      <c r="K348" s="213" t="e">
        <v>#N/A</v>
      </c>
      <c r="L348" s="219" t="e">
        <v>#N/A</v>
      </c>
      <c r="M348" s="220" t="e">
        <v>#N/A</v>
      </c>
      <c r="N348" s="220" t="e">
        <v>#N/A</v>
      </c>
      <c r="O348" s="220" t="e">
        <v>#N/A</v>
      </c>
      <c r="P348" s="213" t="e">
        <v>#N/A</v>
      </c>
      <c r="Q348" s="219" t="e">
        <v>#N/A</v>
      </c>
      <c r="R348" s="220" t="e">
        <v>#N/A</v>
      </c>
      <c r="S348" s="213" t="e">
        <v>#N/A</v>
      </c>
      <c r="T348" s="228" t="e">
        <v>#N/A</v>
      </c>
      <c r="U348" s="219" t="e">
        <v>#N/A</v>
      </c>
      <c r="V348" s="220" t="e">
        <v>#N/A</v>
      </c>
      <c r="W348" s="220" t="e">
        <v>#N/A</v>
      </c>
      <c r="X348" s="219" t="e">
        <v>#N/A</v>
      </c>
      <c r="Y348" s="220" t="e">
        <v>#N/A</v>
      </c>
      <c r="Z348" s="213" t="e">
        <v>#N/A</v>
      </c>
      <c r="AA348" s="228" t="e">
        <v>#N/A</v>
      </c>
    </row>
    <row r="349" spans="1:27">
      <c r="A349" s="88"/>
      <c r="B349" s="39"/>
      <c r="C349" s="39"/>
      <c r="D349" s="39"/>
      <c r="E349" s="42">
        <v>2</v>
      </c>
      <c r="F349" s="42">
        <v>29</v>
      </c>
      <c r="G349" s="42">
        <v>2</v>
      </c>
      <c r="H349" s="214" t="e">
        <v>#N/A</v>
      </c>
      <c r="I349" s="134" t="e">
        <v>#N/A</v>
      </c>
      <c r="J349" s="104" t="e">
        <v>#N/A</v>
      </c>
      <c r="K349" s="208" t="e">
        <v>#N/A</v>
      </c>
      <c r="L349" s="223"/>
      <c r="M349" s="222"/>
      <c r="N349" s="222"/>
      <c r="O349" s="222"/>
      <c r="P349" s="226"/>
      <c r="Q349" s="134" t="e">
        <v>#N/A</v>
      </c>
      <c r="R349" s="104" t="e">
        <v>#N/A</v>
      </c>
      <c r="S349" s="208" t="e">
        <v>#N/A</v>
      </c>
      <c r="T349" s="229" t="e">
        <v>#N/A</v>
      </c>
      <c r="U349" s="31">
        <v>3</v>
      </c>
      <c r="V349" s="1">
        <v>9</v>
      </c>
      <c r="W349" s="1">
        <v>0</v>
      </c>
      <c r="X349" s="287" t="e">
        <v>#N/A</v>
      </c>
      <c r="Y349" s="246" t="e">
        <v>#N/A</v>
      </c>
      <c r="Z349" s="214" t="e">
        <v>#N/A</v>
      </c>
      <c r="AA349" s="289" t="e">
        <v>#N/A</v>
      </c>
    </row>
    <row r="350" spans="1:27">
      <c r="A350" s="88" t="s">
        <v>325</v>
      </c>
      <c r="B350" s="42">
        <v>2</v>
      </c>
      <c r="C350" s="42">
        <v>7</v>
      </c>
      <c r="D350" s="42">
        <v>3</v>
      </c>
      <c r="E350" s="39"/>
      <c r="F350" s="39"/>
      <c r="G350" s="39"/>
      <c r="H350" s="214">
        <v>45</v>
      </c>
      <c r="I350" s="134" t="e">
        <v>#N/A</v>
      </c>
      <c r="J350" s="104" t="e">
        <v>#N/A</v>
      </c>
      <c r="K350" s="208" t="e">
        <v>#N/A</v>
      </c>
      <c r="L350" s="224">
        <v>24</v>
      </c>
      <c r="M350" s="118">
        <v>6</v>
      </c>
      <c r="N350" s="118">
        <v>22</v>
      </c>
      <c r="O350" s="118">
        <v>1</v>
      </c>
      <c r="P350" s="176">
        <v>26</v>
      </c>
      <c r="Q350" s="31">
        <f>L350+M350</f>
        <v>30</v>
      </c>
      <c r="R350" s="115">
        <f>N350+O350+P350</f>
        <v>49</v>
      </c>
      <c r="S350" s="127">
        <f>Q350-R350</f>
        <v>-19</v>
      </c>
      <c r="T350" s="230"/>
      <c r="U350" s="287" t="e">
        <v>#N/A</v>
      </c>
      <c r="V350" s="246" t="e">
        <v>#N/A</v>
      </c>
      <c r="W350" s="214" t="e">
        <v>#N/A</v>
      </c>
      <c r="X350" s="31">
        <v>-5</v>
      </c>
      <c r="Y350" s="1">
        <v>-35</v>
      </c>
      <c r="Z350" s="283">
        <v>-1</v>
      </c>
      <c r="AA350" s="289">
        <f>I351+J351+K351</f>
        <v>96</v>
      </c>
    </row>
    <row r="351" spans="1:27" ht="13.5" thickBot="1">
      <c r="A351" s="89"/>
      <c r="B351" s="87"/>
      <c r="C351" s="87"/>
      <c r="D351" s="87"/>
      <c r="E351" s="43"/>
      <c r="F351" s="43"/>
      <c r="G351" s="43"/>
      <c r="H351" s="215" t="e">
        <v>#N/A</v>
      </c>
      <c r="I351" s="134">
        <v>11</v>
      </c>
      <c r="J351" s="104">
        <v>82</v>
      </c>
      <c r="K351" s="208">
        <v>3</v>
      </c>
      <c r="L351" s="225"/>
      <c r="M351" s="124"/>
      <c r="N351" s="124"/>
      <c r="O351" s="124"/>
      <c r="P351" s="227"/>
      <c r="Q351" s="131" t="e">
        <v>#N/A</v>
      </c>
      <c r="R351" s="106" t="e">
        <v>#N/A</v>
      </c>
      <c r="S351" s="128" t="e">
        <v>#N/A</v>
      </c>
      <c r="T351" s="231" t="e">
        <v>#N/A</v>
      </c>
      <c r="U351" s="282" t="e">
        <v>#N/A</v>
      </c>
      <c r="V351" s="87" t="e">
        <v>#N/A</v>
      </c>
      <c r="W351" s="87" t="e">
        <v>#N/A</v>
      </c>
      <c r="X351" s="282" t="e">
        <v>#N/A</v>
      </c>
      <c r="Y351" s="87" t="e">
        <v>#N/A</v>
      </c>
      <c r="Z351" s="215" t="e">
        <v>#N/A</v>
      </c>
      <c r="AA351" s="290" t="e">
        <v>#N/A</v>
      </c>
    </row>
    <row r="352" spans="1:27">
      <c r="A352" s="219"/>
      <c r="B352" s="220" t="e">
        <v>#N/A</v>
      </c>
      <c r="C352" s="220" t="e">
        <v>#N/A</v>
      </c>
      <c r="D352" s="220" t="e">
        <v>#N/A</v>
      </c>
      <c r="E352" s="220" t="e">
        <v>#N/A</v>
      </c>
      <c r="F352" s="220" t="e">
        <v>#N/A</v>
      </c>
      <c r="G352" s="220" t="e">
        <v>#N/A</v>
      </c>
      <c r="H352" s="213" t="e">
        <v>#N/A</v>
      </c>
      <c r="I352" s="219" t="e">
        <v>#N/A</v>
      </c>
      <c r="J352" s="220" t="e">
        <v>#N/A</v>
      </c>
      <c r="K352" s="213" t="e">
        <v>#N/A</v>
      </c>
      <c r="L352" s="219" t="e">
        <v>#N/A</v>
      </c>
      <c r="M352" s="220" t="e">
        <v>#N/A</v>
      </c>
      <c r="N352" s="220" t="e">
        <v>#N/A</v>
      </c>
      <c r="O352" s="220" t="e">
        <v>#N/A</v>
      </c>
      <c r="P352" s="213" t="e">
        <v>#N/A</v>
      </c>
      <c r="Q352" s="219" t="e">
        <v>#N/A</v>
      </c>
      <c r="R352" s="220" t="e">
        <v>#N/A</v>
      </c>
      <c r="S352" s="213" t="e">
        <v>#N/A</v>
      </c>
      <c r="T352" s="228" t="e">
        <v>#N/A</v>
      </c>
      <c r="U352" s="219" t="e">
        <v>#N/A</v>
      </c>
      <c r="V352" s="220" t="e">
        <v>#N/A</v>
      </c>
      <c r="W352" s="220" t="e">
        <v>#N/A</v>
      </c>
      <c r="X352" s="219" t="e">
        <v>#N/A</v>
      </c>
      <c r="Y352" s="220" t="e">
        <v>#N/A</v>
      </c>
      <c r="Z352" s="213" t="e">
        <v>#N/A</v>
      </c>
      <c r="AA352" s="228" t="e">
        <v>#N/A</v>
      </c>
    </row>
    <row r="353" spans="1:27">
      <c r="A353" s="88"/>
      <c r="B353" s="39"/>
      <c r="C353" s="39"/>
      <c r="D353" s="39"/>
      <c r="E353" s="42">
        <v>1</v>
      </c>
      <c r="F353" s="42">
        <v>24</v>
      </c>
      <c r="G353" s="42">
        <v>2</v>
      </c>
      <c r="H353" s="214" t="e">
        <v>#N/A</v>
      </c>
      <c r="I353" s="134" t="e">
        <v>#N/A</v>
      </c>
      <c r="J353" s="104" t="e">
        <v>#N/A</v>
      </c>
      <c r="K353" s="208" t="e">
        <v>#N/A</v>
      </c>
      <c r="L353" s="223"/>
      <c r="M353" s="222"/>
      <c r="N353" s="222"/>
      <c r="O353" s="222"/>
      <c r="P353" s="226"/>
      <c r="Q353" s="134" t="e">
        <v>#N/A</v>
      </c>
      <c r="R353" s="104" t="e">
        <v>#N/A</v>
      </c>
      <c r="S353" s="208" t="e">
        <v>#N/A</v>
      </c>
      <c r="T353" s="229" t="e">
        <v>#N/A</v>
      </c>
      <c r="U353" s="31">
        <v>5</v>
      </c>
      <c r="V353" s="1">
        <v>24</v>
      </c>
      <c r="W353" s="1">
        <v>0</v>
      </c>
      <c r="X353" s="287" t="e">
        <v>#N/A</v>
      </c>
      <c r="Y353" s="246" t="e">
        <v>#N/A</v>
      </c>
      <c r="Z353" s="214" t="e">
        <v>#N/A</v>
      </c>
      <c r="AA353" s="289" t="e">
        <v>#N/A</v>
      </c>
    </row>
    <row r="354" spans="1:27">
      <c r="A354" s="88" t="s">
        <v>326</v>
      </c>
      <c r="B354" s="42">
        <v>1</v>
      </c>
      <c r="C354" s="42">
        <v>7</v>
      </c>
      <c r="D354" s="42">
        <v>3</v>
      </c>
      <c r="E354" s="39"/>
      <c r="F354" s="39"/>
      <c r="G354" s="39"/>
      <c r="H354" s="214">
        <v>38</v>
      </c>
      <c r="I354" s="134" t="e">
        <v>#N/A</v>
      </c>
      <c r="J354" s="104" t="e">
        <v>#N/A</v>
      </c>
      <c r="K354" s="208" t="e">
        <v>#N/A</v>
      </c>
      <c r="L354" s="224">
        <v>35</v>
      </c>
      <c r="M354" s="118">
        <v>1</v>
      </c>
      <c r="N354" s="118">
        <v>33</v>
      </c>
      <c r="O354" s="118">
        <v>5</v>
      </c>
      <c r="P354" s="176">
        <v>38</v>
      </c>
      <c r="Q354" s="31">
        <f>L354+M354</f>
        <v>36</v>
      </c>
      <c r="R354" s="115">
        <f>N354+O354+P354</f>
        <v>76</v>
      </c>
      <c r="S354" s="127">
        <f>Q354-R354</f>
        <v>-40</v>
      </c>
      <c r="T354" s="230"/>
      <c r="U354" s="287" t="e">
        <v>#N/A</v>
      </c>
      <c r="V354" s="246" t="e">
        <v>#N/A</v>
      </c>
      <c r="W354" s="214" t="e">
        <v>#N/A</v>
      </c>
      <c r="X354" s="31">
        <v>-8</v>
      </c>
      <c r="Y354" s="1">
        <v>-54</v>
      </c>
      <c r="Z354" s="283">
        <v>0</v>
      </c>
      <c r="AA354" s="289">
        <f>I355+J355+K355</f>
        <v>61</v>
      </c>
    </row>
    <row r="355" spans="1:27" ht="13.5" thickBot="1">
      <c r="A355" s="89"/>
      <c r="B355" s="87"/>
      <c r="C355" s="87"/>
      <c r="D355" s="87"/>
      <c r="E355" s="43"/>
      <c r="F355" s="43"/>
      <c r="G355" s="43"/>
      <c r="H355" s="215" t="e">
        <v>#N/A</v>
      </c>
      <c r="I355" s="134">
        <v>8</v>
      </c>
      <c r="J355" s="104">
        <v>50</v>
      </c>
      <c r="K355" s="208">
        <v>3</v>
      </c>
      <c r="L355" s="225"/>
      <c r="M355" s="124"/>
      <c r="N355" s="124"/>
      <c r="O355" s="124"/>
      <c r="P355" s="227"/>
      <c r="Q355" s="131" t="e">
        <v>#N/A</v>
      </c>
      <c r="R355" s="106" t="e">
        <v>#N/A</v>
      </c>
      <c r="S355" s="128" t="e">
        <v>#N/A</v>
      </c>
      <c r="T355" s="231" t="e">
        <v>#N/A</v>
      </c>
      <c r="U355" s="282" t="e">
        <v>#N/A</v>
      </c>
      <c r="V355" s="87" t="e">
        <v>#N/A</v>
      </c>
      <c r="W355" s="87" t="e">
        <v>#N/A</v>
      </c>
      <c r="X355" s="282" t="e">
        <v>#N/A</v>
      </c>
      <c r="Y355" s="87" t="e">
        <v>#N/A</v>
      </c>
      <c r="Z355" s="215" t="e">
        <v>#N/A</v>
      </c>
      <c r="AA355" s="290" t="e">
        <v>#N/A</v>
      </c>
    </row>
    <row r="356" spans="1:27">
      <c r="A356" s="219"/>
      <c r="B356" s="220" t="e">
        <v>#N/A</v>
      </c>
      <c r="C356" s="220" t="e">
        <v>#N/A</v>
      </c>
      <c r="D356" s="220" t="e">
        <v>#N/A</v>
      </c>
      <c r="E356" s="220" t="e">
        <v>#N/A</v>
      </c>
      <c r="F356" s="220" t="e">
        <v>#N/A</v>
      </c>
      <c r="G356" s="220" t="e">
        <v>#N/A</v>
      </c>
      <c r="H356" s="213" t="e">
        <v>#N/A</v>
      </c>
      <c r="I356" s="219" t="e">
        <v>#N/A</v>
      </c>
      <c r="J356" s="220" t="e">
        <v>#N/A</v>
      </c>
      <c r="K356" s="213" t="e">
        <v>#N/A</v>
      </c>
      <c r="L356" s="219" t="e">
        <v>#N/A</v>
      </c>
      <c r="M356" s="220" t="e">
        <v>#N/A</v>
      </c>
      <c r="N356" s="220" t="e">
        <v>#N/A</v>
      </c>
      <c r="O356" s="220" t="e">
        <v>#N/A</v>
      </c>
      <c r="P356" s="213" t="e">
        <v>#N/A</v>
      </c>
      <c r="Q356" s="219" t="e">
        <v>#N/A</v>
      </c>
      <c r="R356" s="220" t="e">
        <v>#N/A</v>
      </c>
      <c r="S356" s="213" t="e">
        <v>#N/A</v>
      </c>
      <c r="T356" s="228" t="e">
        <v>#N/A</v>
      </c>
      <c r="U356" s="219" t="e">
        <v>#N/A</v>
      </c>
      <c r="V356" s="220" t="e">
        <v>#N/A</v>
      </c>
      <c r="W356" s="220" t="e">
        <v>#N/A</v>
      </c>
      <c r="X356" s="219" t="e">
        <v>#N/A</v>
      </c>
      <c r="Y356" s="220" t="e">
        <v>#N/A</v>
      </c>
      <c r="Z356" s="213" t="e">
        <v>#N/A</v>
      </c>
      <c r="AA356" s="228" t="e">
        <v>#N/A</v>
      </c>
    </row>
    <row r="357" spans="1:27">
      <c r="A357" s="88"/>
      <c r="B357" s="39"/>
      <c r="C357" s="39"/>
      <c r="D357" s="39"/>
      <c r="E357" s="42">
        <v>1</v>
      </c>
      <c r="F357" s="42">
        <v>23</v>
      </c>
      <c r="G357" s="42">
        <v>2</v>
      </c>
      <c r="H357" s="214" t="e">
        <v>#N/A</v>
      </c>
      <c r="I357" s="134" t="e">
        <v>#N/A</v>
      </c>
      <c r="J357" s="104" t="e">
        <v>#N/A</v>
      </c>
      <c r="K357" s="208" t="e">
        <v>#N/A</v>
      </c>
      <c r="L357" s="223"/>
      <c r="M357" s="222"/>
      <c r="N357" s="222"/>
      <c r="O357" s="222"/>
      <c r="P357" s="226"/>
      <c r="Q357" s="134" t="e">
        <v>#N/A</v>
      </c>
      <c r="R357" s="104" t="e">
        <v>#N/A</v>
      </c>
      <c r="S357" s="208" t="e">
        <v>#N/A</v>
      </c>
      <c r="T357" s="229" t="e">
        <v>#N/A</v>
      </c>
      <c r="U357" s="31">
        <v>8</v>
      </c>
      <c r="V357" s="1">
        <v>62</v>
      </c>
      <c r="W357" s="1">
        <v>0</v>
      </c>
      <c r="X357" s="287" t="e">
        <v>#N/A</v>
      </c>
      <c r="Y357" s="246" t="e">
        <v>#N/A</v>
      </c>
      <c r="Z357" s="214" t="e">
        <v>#N/A</v>
      </c>
      <c r="AA357" s="289" t="e">
        <v>#N/A</v>
      </c>
    </row>
    <row r="358" spans="1:27">
      <c r="A358" s="88" t="s">
        <v>327</v>
      </c>
      <c r="B358" s="42">
        <v>1</v>
      </c>
      <c r="C358" s="42">
        <v>7</v>
      </c>
      <c r="D358" s="42">
        <v>3</v>
      </c>
      <c r="E358" s="39"/>
      <c r="F358" s="39"/>
      <c r="G358" s="39"/>
      <c r="H358" s="214">
        <v>37</v>
      </c>
      <c r="I358" s="134" t="e">
        <v>#N/A</v>
      </c>
      <c r="J358" s="104" t="e">
        <v>#N/A</v>
      </c>
      <c r="K358" s="208" t="e">
        <v>#N/A</v>
      </c>
      <c r="L358" s="224">
        <v>72</v>
      </c>
      <c r="M358" s="118">
        <v>3</v>
      </c>
      <c r="N358" s="118">
        <v>43</v>
      </c>
      <c r="O358" s="118">
        <v>3</v>
      </c>
      <c r="P358" s="176">
        <v>26</v>
      </c>
      <c r="Q358" s="31">
        <f>L358+M358</f>
        <v>75</v>
      </c>
      <c r="R358" s="115">
        <f>N358+O358+P358</f>
        <v>72</v>
      </c>
      <c r="S358" s="127">
        <f>Q358-R358</f>
        <v>3</v>
      </c>
      <c r="T358" s="230"/>
      <c r="U358" s="287" t="e">
        <v>#N/A</v>
      </c>
      <c r="V358" s="246" t="e">
        <v>#N/A</v>
      </c>
      <c r="W358" s="214" t="e">
        <v>#N/A</v>
      </c>
      <c r="X358" s="31">
        <v>-5</v>
      </c>
      <c r="Y358" s="1">
        <v>-61</v>
      </c>
      <c r="Z358" s="283">
        <v>-1</v>
      </c>
      <c r="AA358" s="289">
        <f>I359+J359+K359</f>
        <v>64</v>
      </c>
    </row>
    <row r="359" spans="1:27" ht="13.5" thickBot="1">
      <c r="A359" s="89"/>
      <c r="B359" s="87"/>
      <c r="C359" s="87"/>
      <c r="D359" s="87"/>
      <c r="E359" s="43"/>
      <c r="F359" s="43"/>
      <c r="G359" s="43"/>
      <c r="H359" s="215" t="e">
        <v>#N/A</v>
      </c>
      <c r="I359" s="134">
        <v>11</v>
      </c>
      <c r="J359" s="104">
        <v>51</v>
      </c>
      <c r="K359" s="208">
        <v>2</v>
      </c>
      <c r="L359" s="225"/>
      <c r="M359" s="124"/>
      <c r="N359" s="124"/>
      <c r="O359" s="124"/>
      <c r="P359" s="227"/>
      <c r="Q359" s="131" t="e">
        <v>#N/A</v>
      </c>
      <c r="R359" s="106" t="e">
        <v>#N/A</v>
      </c>
      <c r="S359" s="128" t="e">
        <v>#N/A</v>
      </c>
      <c r="T359" s="231" t="e">
        <v>#N/A</v>
      </c>
      <c r="U359" s="282" t="e">
        <v>#N/A</v>
      </c>
      <c r="V359" s="87" t="e">
        <v>#N/A</v>
      </c>
      <c r="W359" s="87" t="e">
        <v>#N/A</v>
      </c>
      <c r="X359" s="282" t="e">
        <v>#N/A</v>
      </c>
      <c r="Y359" s="87" t="e">
        <v>#N/A</v>
      </c>
      <c r="Z359" s="215" t="e">
        <v>#N/A</v>
      </c>
      <c r="AA359" s="290" t="e">
        <v>#N/A</v>
      </c>
    </row>
    <row r="360" spans="1:27">
      <c r="A360" s="219"/>
      <c r="B360" s="220" t="e">
        <v>#N/A</v>
      </c>
      <c r="C360" s="220" t="e">
        <v>#N/A</v>
      </c>
      <c r="D360" s="220" t="e">
        <v>#N/A</v>
      </c>
      <c r="E360" s="220" t="e">
        <v>#N/A</v>
      </c>
      <c r="F360" s="220" t="e">
        <v>#N/A</v>
      </c>
      <c r="G360" s="220" t="e">
        <v>#N/A</v>
      </c>
      <c r="H360" s="213" t="e">
        <v>#N/A</v>
      </c>
      <c r="I360" s="219" t="e">
        <v>#N/A</v>
      </c>
      <c r="J360" s="220" t="e">
        <v>#N/A</v>
      </c>
      <c r="K360" s="213" t="e">
        <v>#N/A</v>
      </c>
      <c r="L360" s="219" t="e">
        <v>#N/A</v>
      </c>
      <c r="M360" s="220" t="e">
        <v>#N/A</v>
      </c>
      <c r="N360" s="220" t="e">
        <v>#N/A</v>
      </c>
      <c r="O360" s="220" t="e">
        <v>#N/A</v>
      </c>
      <c r="P360" s="213" t="e">
        <v>#N/A</v>
      </c>
      <c r="Q360" s="219" t="e">
        <v>#N/A</v>
      </c>
      <c r="R360" s="220" t="e">
        <v>#N/A</v>
      </c>
      <c r="S360" s="213" t="e">
        <v>#N/A</v>
      </c>
      <c r="T360" s="228" t="e">
        <v>#N/A</v>
      </c>
      <c r="U360" s="219" t="e">
        <v>#N/A</v>
      </c>
      <c r="V360" s="220" t="e">
        <v>#N/A</v>
      </c>
      <c r="W360" s="220" t="e">
        <v>#N/A</v>
      </c>
      <c r="X360" s="219" t="e">
        <v>#N/A</v>
      </c>
      <c r="Y360" s="220" t="e">
        <v>#N/A</v>
      </c>
      <c r="Z360" s="213" t="e">
        <v>#N/A</v>
      </c>
      <c r="AA360" s="228" t="e">
        <v>#N/A</v>
      </c>
    </row>
    <row r="361" spans="1:27">
      <c r="A361" s="88"/>
      <c r="B361" s="39"/>
      <c r="C361" s="39"/>
      <c r="D361" s="39"/>
      <c r="E361" s="42">
        <v>1</v>
      </c>
      <c r="F361" s="42">
        <v>21</v>
      </c>
      <c r="G361" s="42">
        <v>2</v>
      </c>
      <c r="H361" s="214" t="e">
        <v>#N/A</v>
      </c>
      <c r="I361" s="134" t="e">
        <v>#N/A</v>
      </c>
      <c r="J361" s="104" t="e">
        <v>#N/A</v>
      </c>
      <c r="K361" s="208" t="e">
        <v>#N/A</v>
      </c>
      <c r="L361" s="223"/>
      <c r="M361" s="222"/>
      <c r="N361" s="222"/>
      <c r="O361" s="222"/>
      <c r="P361" s="226"/>
      <c r="Q361" s="134" t="e">
        <v>#N/A</v>
      </c>
      <c r="R361" s="104" t="e">
        <v>#N/A</v>
      </c>
      <c r="S361" s="208" t="e">
        <v>#N/A</v>
      </c>
      <c r="T361" s="229" t="e">
        <v>#N/A</v>
      </c>
      <c r="U361" s="31">
        <v>2</v>
      </c>
      <c r="V361" s="1">
        <v>29</v>
      </c>
      <c r="W361" s="1">
        <v>0</v>
      </c>
      <c r="X361" s="287" t="e">
        <v>#N/A</v>
      </c>
      <c r="Y361" s="246" t="e">
        <v>#N/A</v>
      </c>
      <c r="Z361" s="214" t="e">
        <v>#N/A</v>
      </c>
      <c r="AA361" s="289" t="e">
        <v>#N/A</v>
      </c>
    </row>
    <row r="362" spans="1:27">
      <c r="A362" s="88" t="s">
        <v>331</v>
      </c>
      <c r="B362" s="42">
        <v>1</v>
      </c>
      <c r="C362" s="42">
        <v>7</v>
      </c>
      <c r="D362" s="42">
        <v>4</v>
      </c>
      <c r="E362" s="39"/>
      <c r="F362" s="39"/>
      <c r="G362" s="39"/>
      <c r="H362" s="214">
        <v>36</v>
      </c>
      <c r="I362" s="134" t="e">
        <v>#N/A</v>
      </c>
      <c r="J362" s="104" t="e">
        <v>#N/A</v>
      </c>
      <c r="K362" s="208" t="e">
        <v>#N/A</v>
      </c>
      <c r="L362" s="224">
        <v>32</v>
      </c>
      <c r="M362" s="118">
        <v>2</v>
      </c>
      <c r="N362" s="118">
        <v>40</v>
      </c>
      <c r="O362" s="118">
        <v>1</v>
      </c>
      <c r="P362" s="176">
        <v>8</v>
      </c>
      <c r="Q362" s="31">
        <f>L362+M362</f>
        <v>34</v>
      </c>
      <c r="R362" s="115">
        <f>N362+O362+P362</f>
        <v>49</v>
      </c>
      <c r="S362" s="127">
        <f>Q362-R362</f>
        <v>-15</v>
      </c>
      <c r="T362" s="230"/>
      <c r="U362" s="287" t="e">
        <v>#N/A</v>
      </c>
      <c r="V362" s="246" t="e">
        <v>#N/A</v>
      </c>
      <c r="W362" s="214" t="e">
        <v>#N/A</v>
      </c>
      <c r="X362" s="31">
        <v>-6</v>
      </c>
      <c r="Y362" s="1">
        <v>-36</v>
      </c>
      <c r="Z362" s="283">
        <v>0</v>
      </c>
      <c r="AA362" s="289">
        <f>I363+J363+K363</f>
        <v>50</v>
      </c>
    </row>
    <row r="363" spans="1:27" ht="13.5" thickBot="1">
      <c r="A363" s="89"/>
      <c r="B363" s="87"/>
      <c r="C363" s="87"/>
      <c r="D363" s="87"/>
      <c r="E363" s="43"/>
      <c r="F363" s="43"/>
      <c r="G363" s="43"/>
      <c r="H363" s="215" t="e">
        <v>#N/A</v>
      </c>
      <c r="I363" s="134">
        <v>7</v>
      </c>
      <c r="J363" s="104">
        <v>41</v>
      </c>
      <c r="K363" s="208">
        <v>2</v>
      </c>
      <c r="L363" s="225"/>
      <c r="M363" s="124"/>
      <c r="N363" s="124"/>
      <c r="O363" s="124"/>
      <c r="P363" s="227"/>
      <c r="Q363" s="131" t="e">
        <v>#N/A</v>
      </c>
      <c r="R363" s="106" t="e">
        <v>#N/A</v>
      </c>
      <c r="S363" s="128" t="e">
        <v>#N/A</v>
      </c>
      <c r="T363" s="231" t="e">
        <v>#N/A</v>
      </c>
      <c r="U363" s="282" t="e">
        <v>#N/A</v>
      </c>
      <c r="V363" s="87" t="e">
        <v>#N/A</v>
      </c>
      <c r="W363" s="87" t="e">
        <v>#N/A</v>
      </c>
      <c r="X363" s="282" t="e">
        <v>#N/A</v>
      </c>
      <c r="Y363" s="87" t="e">
        <v>#N/A</v>
      </c>
      <c r="Z363" s="215" t="e">
        <v>#N/A</v>
      </c>
      <c r="AA363" s="290" t="e">
        <v>#N/A</v>
      </c>
    </row>
    <row r="364" spans="1:27">
      <c r="A364" s="219"/>
      <c r="B364" s="220" t="e">
        <v>#N/A</v>
      </c>
      <c r="C364" s="220" t="e">
        <v>#N/A</v>
      </c>
      <c r="D364" s="220" t="e">
        <v>#N/A</v>
      </c>
      <c r="E364" s="220" t="e">
        <v>#N/A</v>
      </c>
      <c r="F364" s="220" t="e">
        <v>#N/A</v>
      </c>
      <c r="G364" s="220" t="e">
        <v>#N/A</v>
      </c>
      <c r="H364" s="213" t="e">
        <v>#N/A</v>
      </c>
      <c r="I364" s="219" t="e">
        <v>#N/A</v>
      </c>
      <c r="J364" s="220" t="e">
        <v>#N/A</v>
      </c>
      <c r="K364" s="213" t="e">
        <v>#N/A</v>
      </c>
      <c r="L364" s="219" t="e">
        <v>#N/A</v>
      </c>
      <c r="M364" s="220" t="e">
        <v>#N/A</v>
      </c>
      <c r="N364" s="220" t="e">
        <v>#N/A</v>
      </c>
      <c r="O364" s="220" t="e">
        <v>#N/A</v>
      </c>
      <c r="P364" s="213" t="e">
        <v>#N/A</v>
      </c>
      <c r="Q364" s="219" t="e">
        <v>#N/A</v>
      </c>
      <c r="R364" s="220" t="e">
        <v>#N/A</v>
      </c>
      <c r="S364" s="213" t="e">
        <v>#N/A</v>
      </c>
      <c r="T364" s="228" t="e">
        <v>#N/A</v>
      </c>
      <c r="U364" s="219" t="e">
        <v>#N/A</v>
      </c>
      <c r="V364" s="220" t="e">
        <v>#N/A</v>
      </c>
      <c r="W364" s="220" t="e">
        <v>#N/A</v>
      </c>
      <c r="X364" s="219" t="e">
        <v>#N/A</v>
      </c>
      <c r="Y364" s="220" t="e">
        <v>#N/A</v>
      </c>
      <c r="Z364" s="213" t="e">
        <v>#N/A</v>
      </c>
      <c r="AA364" s="228" t="e">
        <v>#N/A</v>
      </c>
    </row>
    <row r="365" spans="1:27">
      <c r="A365" s="88"/>
      <c r="B365" s="39"/>
      <c r="C365" s="39"/>
      <c r="D365" s="39"/>
      <c r="E365" s="42">
        <v>3</v>
      </c>
      <c r="F365" s="42">
        <v>13</v>
      </c>
      <c r="G365" s="42">
        <v>2</v>
      </c>
      <c r="H365" s="214" t="e">
        <v>#N/A</v>
      </c>
      <c r="I365" s="134" t="e">
        <v>#N/A</v>
      </c>
      <c r="J365" s="104" t="e">
        <v>#N/A</v>
      </c>
      <c r="K365" s="208" t="e">
        <v>#N/A</v>
      </c>
      <c r="L365" s="223"/>
      <c r="M365" s="222"/>
      <c r="N365" s="222"/>
      <c r="O365" s="222"/>
      <c r="P365" s="226"/>
      <c r="Q365" s="134" t="e">
        <v>#N/A</v>
      </c>
      <c r="R365" s="104" t="e">
        <v>#N/A</v>
      </c>
      <c r="S365" s="208" t="e">
        <v>#N/A</v>
      </c>
      <c r="T365" s="229" t="e">
        <v>#N/A</v>
      </c>
      <c r="U365" s="31">
        <v>2</v>
      </c>
      <c r="V365" s="1">
        <v>74</v>
      </c>
      <c r="W365" s="1">
        <v>0</v>
      </c>
      <c r="X365" s="287" t="e">
        <v>#N/A</v>
      </c>
      <c r="Y365" s="246" t="e">
        <v>#N/A</v>
      </c>
      <c r="Z365" s="214" t="e">
        <v>#N/A</v>
      </c>
      <c r="AA365" s="289" t="e">
        <v>#N/A</v>
      </c>
    </row>
    <row r="366" spans="1:27">
      <c r="A366" s="88" t="s">
        <v>332</v>
      </c>
      <c r="B366" s="42">
        <v>1</v>
      </c>
      <c r="C366" s="42">
        <v>7</v>
      </c>
      <c r="D366" s="42">
        <v>4</v>
      </c>
      <c r="E366" s="39"/>
      <c r="F366" s="39"/>
      <c r="G366" s="39"/>
      <c r="H366" s="214">
        <v>30</v>
      </c>
      <c r="I366" s="134" t="e">
        <v>#N/A</v>
      </c>
      <c r="J366" s="104" t="e">
        <v>#N/A</v>
      </c>
      <c r="K366" s="208" t="e">
        <v>#N/A</v>
      </c>
      <c r="L366" s="224">
        <v>87</v>
      </c>
      <c r="M366" s="118">
        <v>0</v>
      </c>
      <c r="N366" s="118">
        <v>42</v>
      </c>
      <c r="O366" s="118">
        <v>4</v>
      </c>
      <c r="P366" s="176">
        <v>28</v>
      </c>
      <c r="Q366" s="31">
        <f>L366+M366</f>
        <v>87</v>
      </c>
      <c r="R366" s="115">
        <f>N366+O366+P366</f>
        <v>74</v>
      </c>
      <c r="S366" s="127">
        <f>Q366-R366</f>
        <v>13</v>
      </c>
      <c r="T366" s="230"/>
      <c r="U366" s="287" t="e">
        <v>#N/A</v>
      </c>
      <c r="V366" s="246" t="e">
        <v>#N/A</v>
      </c>
      <c r="W366" s="214" t="e">
        <v>#N/A</v>
      </c>
      <c r="X366" s="31">
        <v>-5</v>
      </c>
      <c r="Y366" s="1">
        <v>-52</v>
      </c>
      <c r="Z366" s="283">
        <v>-1</v>
      </c>
      <c r="AA366" s="289">
        <f>I367+J367+K367</f>
        <v>70</v>
      </c>
    </row>
    <row r="367" spans="1:27" ht="13.5" thickBot="1">
      <c r="A367" s="89"/>
      <c r="B367" s="87"/>
      <c r="C367" s="87"/>
      <c r="D367" s="87"/>
      <c r="E367" s="43"/>
      <c r="F367" s="43"/>
      <c r="G367" s="43"/>
      <c r="H367" s="215" t="e">
        <v>#N/A</v>
      </c>
      <c r="I367" s="134">
        <v>4</v>
      </c>
      <c r="J367" s="104">
        <v>65</v>
      </c>
      <c r="K367" s="208">
        <v>1</v>
      </c>
      <c r="L367" s="225"/>
      <c r="M367" s="124"/>
      <c r="N367" s="124"/>
      <c r="O367" s="124"/>
      <c r="P367" s="227"/>
      <c r="Q367" s="131" t="e">
        <v>#N/A</v>
      </c>
      <c r="R367" s="106" t="e">
        <v>#N/A</v>
      </c>
      <c r="S367" s="128" t="e">
        <v>#N/A</v>
      </c>
      <c r="T367" s="231" t="e">
        <v>#N/A</v>
      </c>
      <c r="U367" s="282" t="e">
        <v>#N/A</v>
      </c>
      <c r="V367" s="87" t="e">
        <v>#N/A</v>
      </c>
      <c r="W367" s="87" t="e">
        <v>#N/A</v>
      </c>
      <c r="X367" s="282" t="e">
        <v>#N/A</v>
      </c>
      <c r="Y367" s="87" t="e">
        <v>#N/A</v>
      </c>
      <c r="Z367" s="215" t="e">
        <v>#N/A</v>
      </c>
      <c r="AA367" s="290" t="e">
        <v>#N/A</v>
      </c>
    </row>
    <row r="368" spans="1:27">
      <c r="A368" s="219"/>
      <c r="B368" s="220" t="e">
        <v>#N/A</v>
      </c>
      <c r="C368" s="220" t="e">
        <v>#N/A</v>
      </c>
      <c r="D368" s="220" t="e">
        <v>#N/A</v>
      </c>
      <c r="E368" s="220" t="e">
        <v>#N/A</v>
      </c>
      <c r="F368" s="220" t="e">
        <v>#N/A</v>
      </c>
      <c r="G368" s="220" t="e">
        <v>#N/A</v>
      </c>
      <c r="H368" s="213" t="e">
        <v>#N/A</v>
      </c>
      <c r="I368" s="219" t="e">
        <v>#N/A</v>
      </c>
      <c r="J368" s="220" t="e">
        <v>#N/A</v>
      </c>
      <c r="K368" s="213" t="e">
        <v>#N/A</v>
      </c>
      <c r="L368" s="219" t="e">
        <v>#N/A</v>
      </c>
      <c r="M368" s="220" t="e">
        <v>#N/A</v>
      </c>
      <c r="N368" s="220" t="e">
        <v>#N/A</v>
      </c>
      <c r="O368" s="220" t="e">
        <v>#N/A</v>
      </c>
      <c r="P368" s="213" t="e">
        <v>#N/A</v>
      </c>
      <c r="Q368" s="219" t="e">
        <v>#N/A</v>
      </c>
      <c r="R368" s="220" t="e">
        <v>#N/A</v>
      </c>
      <c r="S368" s="213" t="e">
        <v>#N/A</v>
      </c>
      <c r="T368" s="228" t="e">
        <v>#N/A</v>
      </c>
      <c r="U368" s="219" t="e">
        <v>#N/A</v>
      </c>
      <c r="V368" s="220" t="e">
        <v>#N/A</v>
      </c>
      <c r="W368" s="220" t="e">
        <v>#N/A</v>
      </c>
      <c r="X368" s="219" t="e">
        <v>#N/A</v>
      </c>
      <c r="Y368" s="220" t="e">
        <v>#N/A</v>
      </c>
      <c r="Z368" s="213" t="e">
        <v>#N/A</v>
      </c>
      <c r="AA368" s="228" t="e">
        <v>#N/A</v>
      </c>
    </row>
    <row r="369" spans="1:27">
      <c r="A369" s="88"/>
      <c r="B369" s="39"/>
      <c r="C369" s="39"/>
      <c r="D369" s="39"/>
      <c r="E369" s="42">
        <v>1</v>
      </c>
      <c r="F369" s="42">
        <v>11</v>
      </c>
      <c r="G369" s="42">
        <v>2</v>
      </c>
      <c r="H369" s="214" t="e">
        <v>#N/A</v>
      </c>
      <c r="I369" s="134" t="e">
        <v>#N/A</v>
      </c>
      <c r="J369" s="104" t="e">
        <v>#N/A</v>
      </c>
      <c r="K369" s="208" t="e">
        <v>#N/A</v>
      </c>
      <c r="L369" s="223"/>
      <c r="M369" s="222"/>
      <c r="N369" s="222"/>
      <c r="O369" s="222"/>
      <c r="P369" s="226"/>
      <c r="Q369" s="134" t="e">
        <v>#N/A</v>
      </c>
      <c r="R369" s="104" t="e">
        <v>#N/A</v>
      </c>
      <c r="S369" s="208" t="e">
        <v>#N/A</v>
      </c>
      <c r="T369" s="229" t="e">
        <v>#N/A</v>
      </c>
      <c r="U369" s="31">
        <v>1</v>
      </c>
      <c r="V369" s="1">
        <v>35</v>
      </c>
      <c r="W369" s="1">
        <v>0</v>
      </c>
      <c r="X369" s="287" t="e">
        <v>#N/A</v>
      </c>
      <c r="Y369" s="246" t="e">
        <v>#N/A</v>
      </c>
      <c r="Z369" s="214" t="e">
        <v>#N/A</v>
      </c>
      <c r="AA369" s="289" t="e">
        <v>#N/A</v>
      </c>
    </row>
    <row r="370" spans="1:27">
      <c r="A370" s="88" t="s">
        <v>333</v>
      </c>
      <c r="B370" s="42">
        <v>1</v>
      </c>
      <c r="C370" s="42">
        <v>8</v>
      </c>
      <c r="D370" s="42">
        <v>4</v>
      </c>
      <c r="E370" s="39"/>
      <c r="F370" s="39"/>
      <c r="G370" s="39"/>
      <c r="H370" s="214">
        <v>27</v>
      </c>
      <c r="I370" s="134" t="e">
        <v>#N/A</v>
      </c>
      <c r="J370" s="104" t="e">
        <v>#N/A</v>
      </c>
      <c r="K370" s="208" t="e">
        <v>#N/A</v>
      </c>
      <c r="L370" s="224">
        <v>36</v>
      </c>
      <c r="M370" s="118">
        <v>3</v>
      </c>
      <c r="N370" s="118">
        <v>14</v>
      </c>
      <c r="O370" s="118">
        <v>2</v>
      </c>
      <c r="P370" s="176">
        <v>17</v>
      </c>
      <c r="Q370" s="31">
        <f>L370+M370</f>
        <v>39</v>
      </c>
      <c r="R370" s="115">
        <f>N370+O370+P370</f>
        <v>33</v>
      </c>
      <c r="S370" s="127">
        <f>Q370-R370</f>
        <v>6</v>
      </c>
      <c r="T370" s="230"/>
      <c r="U370" s="287" t="e">
        <v>#N/A</v>
      </c>
      <c r="V370" s="246" t="e">
        <v>#N/A</v>
      </c>
      <c r="W370" s="214" t="e">
        <v>#N/A</v>
      </c>
      <c r="X370" s="31">
        <v>0</v>
      </c>
      <c r="Y370" s="1">
        <v>-29</v>
      </c>
      <c r="Z370" s="284">
        <v>0</v>
      </c>
      <c r="AA370" s="289">
        <f>I371+J371+K371</f>
        <v>77</v>
      </c>
    </row>
    <row r="371" spans="1:27" ht="13.5" thickBot="1">
      <c r="A371" s="89"/>
      <c r="B371" s="87"/>
      <c r="C371" s="87"/>
      <c r="D371" s="87"/>
      <c r="E371" s="43"/>
      <c r="F371" s="43"/>
      <c r="G371" s="43"/>
      <c r="H371" s="215" t="e">
        <v>#N/A</v>
      </c>
      <c r="I371" s="134">
        <v>5</v>
      </c>
      <c r="J371" s="104">
        <v>71</v>
      </c>
      <c r="K371" s="208">
        <v>1</v>
      </c>
      <c r="L371" s="225"/>
      <c r="M371" s="124"/>
      <c r="N371" s="124"/>
      <c r="O371" s="124"/>
      <c r="P371" s="227"/>
      <c r="Q371" s="131" t="e">
        <v>#N/A</v>
      </c>
      <c r="R371" s="106" t="e">
        <v>#N/A</v>
      </c>
      <c r="S371" s="128" t="e">
        <v>#N/A</v>
      </c>
      <c r="T371" s="231" t="e">
        <v>#N/A</v>
      </c>
      <c r="U371" s="282" t="e">
        <v>#N/A</v>
      </c>
      <c r="V371" s="87" t="e">
        <v>#N/A</v>
      </c>
      <c r="W371" s="87" t="e">
        <v>#N/A</v>
      </c>
      <c r="X371" s="282" t="e">
        <v>#N/A</v>
      </c>
      <c r="Y371" s="87" t="e">
        <v>#N/A</v>
      </c>
      <c r="Z371" s="215" t="e">
        <v>#N/A</v>
      </c>
      <c r="AA371" s="290" t="e">
        <v>#N/A</v>
      </c>
    </row>
    <row r="372" spans="1:27">
      <c r="A372" s="219"/>
      <c r="B372" s="220" t="e">
        <v>#N/A</v>
      </c>
      <c r="C372" s="220" t="e">
        <v>#N/A</v>
      </c>
      <c r="D372" s="220" t="e">
        <v>#N/A</v>
      </c>
      <c r="E372" s="220" t="e">
        <v>#N/A</v>
      </c>
      <c r="F372" s="220" t="e">
        <v>#N/A</v>
      </c>
      <c r="G372" s="220" t="e">
        <v>#N/A</v>
      </c>
      <c r="H372" s="213" t="e">
        <v>#N/A</v>
      </c>
      <c r="I372" s="219" t="e">
        <v>#N/A</v>
      </c>
      <c r="J372" s="220" t="e">
        <v>#N/A</v>
      </c>
      <c r="K372" s="213" t="e">
        <v>#N/A</v>
      </c>
      <c r="L372" s="219" t="e">
        <v>#N/A</v>
      </c>
      <c r="M372" s="220" t="e">
        <v>#N/A</v>
      </c>
      <c r="N372" s="220" t="e">
        <v>#N/A</v>
      </c>
      <c r="O372" s="220" t="e">
        <v>#N/A</v>
      </c>
      <c r="P372" s="213" t="e">
        <v>#N/A</v>
      </c>
      <c r="Q372" s="219" t="e">
        <v>#N/A</v>
      </c>
      <c r="R372" s="220" t="e">
        <v>#N/A</v>
      </c>
      <c r="S372" s="213" t="e">
        <v>#N/A</v>
      </c>
      <c r="T372" s="228" t="e">
        <v>#N/A</v>
      </c>
      <c r="U372" s="219" t="e">
        <v>#N/A</v>
      </c>
      <c r="V372" s="220" t="e">
        <v>#N/A</v>
      </c>
      <c r="W372" s="220" t="e">
        <v>#N/A</v>
      </c>
      <c r="X372" s="219" t="e">
        <v>#N/A</v>
      </c>
      <c r="Y372" s="220" t="e">
        <v>#N/A</v>
      </c>
      <c r="Z372" s="213" t="e">
        <v>#N/A</v>
      </c>
      <c r="AA372" s="228" t="e">
        <v>#N/A</v>
      </c>
    </row>
    <row r="373" spans="1:27">
      <c r="A373" s="88"/>
      <c r="B373" s="39"/>
      <c r="C373" s="39"/>
      <c r="D373" s="39"/>
      <c r="E373" s="42">
        <v>0</v>
      </c>
      <c r="F373" s="42">
        <v>12</v>
      </c>
      <c r="G373" s="42">
        <v>2</v>
      </c>
      <c r="H373" s="214" t="e">
        <v>#N/A</v>
      </c>
      <c r="I373" s="134" t="e">
        <v>#N/A</v>
      </c>
      <c r="J373" s="104" t="e">
        <v>#N/A</v>
      </c>
      <c r="K373" s="208" t="e">
        <v>#N/A</v>
      </c>
      <c r="L373" s="223"/>
      <c r="M373" s="222"/>
      <c r="N373" s="222"/>
      <c r="O373" s="222"/>
      <c r="P373" s="226"/>
      <c r="Q373" s="134" t="e">
        <v>#N/A</v>
      </c>
      <c r="R373" s="104" t="e">
        <v>#N/A</v>
      </c>
      <c r="S373" s="208" t="e">
        <v>#N/A</v>
      </c>
      <c r="T373" s="229" t="e">
        <v>#N/A</v>
      </c>
      <c r="U373" s="31">
        <v>12</v>
      </c>
      <c r="V373" s="1">
        <v>30</v>
      </c>
      <c r="W373" s="1">
        <v>0</v>
      </c>
      <c r="X373" s="287" t="e">
        <v>#N/A</v>
      </c>
      <c r="Y373" s="246" t="e">
        <v>#N/A</v>
      </c>
      <c r="Z373" s="214" t="e">
        <v>#N/A</v>
      </c>
      <c r="AA373" s="289" t="e">
        <v>#N/A</v>
      </c>
    </row>
    <row r="374" spans="1:27">
      <c r="A374" s="88" t="s">
        <v>334</v>
      </c>
      <c r="B374" s="42">
        <v>1</v>
      </c>
      <c r="C374" s="42">
        <v>8</v>
      </c>
      <c r="D374" s="42">
        <v>4</v>
      </c>
      <c r="E374" s="39"/>
      <c r="F374" s="39"/>
      <c r="G374" s="39"/>
      <c r="H374" s="214">
        <v>27</v>
      </c>
      <c r="I374" s="134" t="e">
        <v>#N/A</v>
      </c>
      <c r="J374" s="104" t="e">
        <v>#N/A</v>
      </c>
      <c r="K374" s="208" t="e">
        <v>#N/A</v>
      </c>
      <c r="L374" s="224">
        <v>42</v>
      </c>
      <c r="M374" s="118">
        <v>1</v>
      </c>
      <c r="N374" s="118">
        <v>19</v>
      </c>
      <c r="O374" s="118">
        <v>0</v>
      </c>
      <c r="P374" s="176">
        <v>22</v>
      </c>
      <c r="Q374" s="31">
        <f>L374+M374</f>
        <v>43</v>
      </c>
      <c r="R374" s="115">
        <f>N374+O374+P374</f>
        <v>41</v>
      </c>
      <c r="S374" s="127">
        <f>Q374-R374</f>
        <v>2</v>
      </c>
      <c r="T374" s="230"/>
      <c r="U374" s="287" t="e">
        <v>#N/A</v>
      </c>
      <c r="V374" s="246" t="e">
        <v>#N/A</v>
      </c>
      <c r="W374" s="214" t="e">
        <v>#N/A</v>
      </c>
      <c r="X374" s="31">
        <v>-6</v>
      </c>
      <c r="Y374" s="1">
        <v>-32</v>
      </c>
      <c r="Z374" s="283">
        <v>0</v>
      </c>
      <c r="AA374" s="289">
        <f>I375+J375+K375</f>
        <v>80</v>
      </c>
    </row>
    <row r="375" spans="1:27" ht="13.5" thickBot="1">
      <c r="A375" s="89"/>
      <c r="B375" s="87"/>
      <c r="C375" s="87"/>
      <c r="D375" s="87"/>
      <c r="E375" s="43"/>
      <c r="F375" s="43"/>
      <c r="G375" s="43"/>
      <c r="H375" s="215" t="e">
        <v>#N/A</v>
      </c>
      <c r="I375" s="134">
        <v>10</v>
      </c>
      <c r="J375" s="104">
        <v>69</v>
      </c>
      <c r="K375" s="208">
        <v>1</v>
      </c>
      <c r="L375" s="225"/>
      <c r="M375" s="124"/>
      <c r="N375" s="124"/>
      <c r="O375" s="124"/>
      <c r="P375" s="227"/>
      <c r="Q375" s="131" t="e">
        <v>#N/A</v>
      </c>
      <c r="R375" s="106" t="e">
        <v>#N/A</v>
      </c>
      <c r="S375" s="128" t="e">
        <v>#N/A</v>
      </c>
      <c r="T375" s="231" t="e">
        <v>#N/A</v>
      </c>
      <c r="U375" s="282" t="e">
        <v>#N/A</v>
      </c>
      <c r="V375" s="87" t="e">
        <v>#N/A</v>
      </c>
      <c r="W375" s="87" t="e">
        <v>#N/A</v>
      </c>
      <c r="X375" s="282" t="e">
        <v>#N/A</v>
      </c>
      <c r="Y375" s="87" t="e">
        <v>#N/A</v>
      </c>
      <c r="Z375" s="215" t="e">
        <v>#N/A</v>
      </c>
      <c r="AA375" s="290" t="e">
        <v>#N/A</v>
      </c>
    </row>
    <row r="376" spans="1:27">
      <c r="A376" s="219"/>
      <c r="B376" s="220" t="e">
        <v>#N/A</v>
      </c>
      <c r="C376" s="220" t="e">
        <v>#N/A</v>
      </c>
      <c r="D376" s="220" t="e">
        <v>#N/A</v>
      </c>
      <c r="E376" s="220" t="e">
        <v>#N/A</v>
      </c>
      <c r="F376" s="220" t="e">
        <v>#N/A</v>
      </c>
      <c r="G376" s="220" t="e">
        <v>#N/A</v>
      </c>
      <c r="H376" s="213" t="e">
        <v>#N/A</v>
      </c>
      <c r="I376" s="219" t="e">
        <v>#N/A</v>
      </c>
      <c r="J376" s="220" t="e">
        <v>#N/A</v>
      </c>
      <c r="K376" s="213" t="e">
        <v>#N/A</v>
      </c>
      <c r="L376" s="219" t="e">
        <v>#N/A</v>
      </c>
      <c r="M376" s="220" t="e">
        <v>#N/A</v>
      </c>
      <c r="N376" s="220" t="e">
        <v>#N/A</v>
      </c>
      <c r="O376" s="220" t="e">
        <v>#N/A</v>
      </c>
      <c r="P376" s="213" t="e">
        <v>#N/A</v>
      </c>
      <c r="Q376" s="219" t="e">
        <v>#N/A</v>
      </c>
      <c r="R376" s="220" t="e">
        <v>#N/A</v>
      </c>
      <c r="S376" s="213" t="e">
        <v>#N/A</v>
      </c>
      <c r="T376" s="228" t="e">
        <v>#N/A</v>
      </c>
      <c r="U376" s="219" t="e">
        <v>#N/A</v>
      </c>
      <c r="V376" s="220" t="e">
        <v>#N/A</v>
      </c>
      <c r="W376" s="220" t="e">
        <v>#N/A</v>
      </c>
      <c r="X376" s="219" t="e">
        <v>#N/A</v>
      </c>
      <c r="Y376" s="220" t="e">
        <v>#N/A</v>
      </c>
      <c r="Z376" s="213" t="e">
        <v>#N/A</v>
      </c>
      <c r="AA376" s="228" t="e">
        <v>#N/A</v>
      </c>
    </row>
    <row r="377" spans="1:27">
      <c r="A377" s="88"/>
      <c r="B377" s="39"/>
      <c r="C377" s="39"/>
      <c r="D377" s="39"/>
      <c r="E377" s="42">
        <v>0</v>
      </c>
      <c r="F377" s="42">
        <v>10</v>
      </c>
      <c r="G377" s="42">
        <v>2</v>
      </c>
      <c r="H377" s="214" t="e">
        <v>#N/A</v>
      </c>
      <c r="I377" s="134" t="e">
        <v>#N/A</v>
      </c>
      <c r="J377" s="104" t="e">
        <v>#N/A</v>
      </c>
      <c r="K377" s="208" t="e">
        <v>#N/A</v>
      </c>
      <c r="L377" s="223"/>
      <c r="M377" s="222"/>
      <c r="N377" s="222"/>
      <c r="O377" s="222"/>
      <c r="P377" s="226"/>
      <c r="Q377" s="134" t="e">
        <v>#N/A</v>
      </c>
      <c r="R377" s="104" t="e">
        <v>#N/A</v>
      </c>
      <c r="S377" s="208" t="e">
        <v>#N/A</v>
      </c>
      <c r="T377" s="229" t="e">
        <v>#N/A</v>
      </c>
      <c r="U377" s="31">
        <v>6</v>
      </c>
      <c r="V377" s="1">
        <v>33</v>
      </c>
      <c r="W377" s="1">
        <v>1</v>
      </c>
      <c r="X377" s="287" t="e">
        <v>#N/A</v>
      </c>
      <c r="Y377" s="246" t="e">
        <v>#N/A</v>
      </c>
      <c r="Z377" s="214" t="e">
        <v>#N/A</v>
      </c>
      <c r="AA377" s="289" t="e">
        <v>#N/A</v>
      </c>
    </row>
    <row r="378" spans="1:27">
      <c r="A378" s="88" t="s">
        <v>335</v>
      </c>
      <c r="B378" s="42">
        <v>1</v>
      </c>
      <c r="C378" s="42">
        <v>8</v>
      </c>
      <c r="D378" s="42">
        <v>3</v>
      </c>
      <c r="E378" s="39"/>
      <c r="F378" s="39"/>
      <c r="G378" s="39"/>
      <c r="H378" s="214">
        <v>24</v>
      </c>
      <c r="I378" s="134" t="e">
        <v>#N/A</v>
      </c>
      <c r="J378" s="104" t="e">
        <v>#N/A</v>
      </c>
      <c r="K378" s="208" t="e">
        <v>#N/A</v>
      </c>
      <c r="L378" s="224">
        <v>42</v>
      </c>
      <c r="M378" s="118">
        <v>1</v>
      </c>
      <c r="N378" s="118">
        <v>30</v>
      </c>
      <c r="O378" s="118">
        <v>4</v>
      </c>
      <c r="P378" s="176">
        <v>28</v>
      </c>
      <c r="Q378" s="31">
        <f>L378+M378</f>
        <v>43</v>
      </c>
      <c r="R378" s="115">
        <f>N378+O378+P378</f>
        <v>62</v>
      </c>
      <c r="S378" s="127">
        <f>Q378-R378</f>
        <v>-19</v>
      </c>
      <c r="T378" s="230"/>
      <c r="U378" s="287" t="e">
        <v>#N/A</v>
      </c>
      <c r="V378" s="246" t="e">
        <v>#N/A</v>
      </c>
      <c r="W378" s="214" t="e">
        <v>#N/A</v>
      </c>
      <c r="X378" s="31">
        <v>-7</v>
      </c>
      <c r="Y378" s="1">
        <v>-47</v>
      </c>
      <c r="Z378" s="283">
        <v>-1</v>
      </c>
      <c r="AA378" s="289">
        <f>I379+J379+K379</f>
        <v>62</v>
      </c>
    </row>
    <row r="379" spans="1:27" ht="13.5" thickBot="1">
      <c r="A379" s="89"/>
      <c r="B379" s="87"/>
      <c r="C379" s="87"/>
      <c r="D379" s="87"/>
      <c r="E379" s="43"/>
      <c r="F379" s="43"/>
      <c r="G379" s="43"/>
      <c r="H379" s="215" t="e">
        <v>#N/A</v>
      </c>
      <c r="I379" s="134">
        <v>8</v>
      </c>
      <c r="J379" s="104">
        <v>53</v>
      </c>
      <c r="K379" s="208">
        <v>1</v>
      </c>
      <c r="L379" s="225"/>
      <c r="M379" s="124"/>
      <c r="N379" s="124"/>
      <c r="O379" s="124"/>
      <c r="P379" s="227"/>
      <c r="Q379" s="131" t="e">
        <v>#N/A</v>
      </c>
      <c r="R379" s="106" t="e">
        <v>#N/A</v>
      </c>
      <c r="S379" s="128" t="e">
        <v>#N/A</v>
      </c>
      <c r="T379" s="231" t="e">
        <v>#N/A</v>
      </c>
      <c r="U379" s="282" t="e">
        <v>#N/A</v>
      </c>
      <c r="V379" s="87" t="e">
        <v>#N/A</v>
      </c>
      <c r="W379" s="87" t="e">
        <v>#N/A</v>
      </c>
      <c r="X379" s="282" t="e">
        <v>#N/A</v>
      </c>
      <c r="Y379" s="87" t="e">
        <v>#N/A</v>
      </c>
      <c r="Z379" s="215" t="e">
        <v>#N/A</v>
      </c>
      <c r="AA379" s="290" t="e">
        <v>#N/A</v>
      </c>
    </row>
    <row r="380" spans="1:27">
      <c r="A380" s="219"/>
      <c r="B380" s="220" t="e">
        <v>#N/A</v>
      </c>
      <c r="C380" s="220" t="e">
        <v>#N/A</v>
      </c>
      <c r="D380" s="220" t="e">
        <v>#N/A</v>
      </c>
      <c r="E380" s="220" t="e">
        <v>#N/A</v>
      </c>
      <c r="F380" s="220" t="e">
        <v>#N/A</v>
      </c>
      <c r="G380" s="220" t="e">
        <v>#N/A</v>
      </c>
      <c r="H380" s="213" t="e">
        <v>#N/A</v>
      </c>
      <c r="I380" s="219" t="e">
        <v>#N/A</v>
      </c>
      <c r="J380" s="220" t="e">
        <v>#N/A</v>
      </c>
      <c r="K380" s="213" t="e">
        <v>#N/A</v>
      </c>
      <c r="L380" s="219" t="e">
        <v>#N/A</v>
      </c>
      <c r="M380" s="220" t="e">
        <v>#N/A</v>
      </c>
      <c r="N380" s="220" t="e">
        <v>#N/A</v>
      </c>
      <c r="O380" s="220" t="e">
        <v>#N/A</v>
      </c>
      <c r="P380" s="213" t="e">
        <v>#N/A</v>
      </c>
      <c r="Q380" s="219" t="e">
        <v>#N/A</v>
      </c>
      <c r="R380" s="220" t="e">
        <v>#N/A</v>
      </c>
      <c r="S380" s="213" t="e">
        <v>#N/A</v>
      </c>
      <c r="T380" s="228" t="e">
        <v>#N/A</v>
      </c>
      <c r="U380" s="219" t="e">
        <v>#N/A</v>
      </c>
      <c r="V380" s="220" t="e">
        <v>#N/A</v>
      </c>
      <c r="W380" s="220" t="e">
        <v>#N/A</v>
      </c>
      <c r="X380" s="219" t="e">
        <v>#N/A</v>
      </c>
      <c r="Y380" s="220" t="e">
        <v>#N/A</v>
      </c>
      <c r="Z380" s="213" t="e">
        <v>#N/A</v>
      </c>
      <c r="AA380" s="228" t="e">
        <v>#N/A</v>
      </c>
    </row>
    <row r="381" spans="1:27">
      <c r="A381" s="88"/>
      <c r="B381" s="39"/>
      <c r="C381" s="39"/>
      <c r="D381" s="39"/>
      <c r="E381" s="42">
        <v>0</v>
      </c>
      <c r="F381" s="42">
        <v>13</v>
      </c>
      <c r="G381" s="42">
        <v>2</v>
      </c>
      <c r="H381" s="214" t="e">
        <v>#N/A</v>
      </c>
      <c r="I381" s="134" t="e">
        <v>#N/A</v>
      </c>
      <c r="J381" s="104" t="e">
        <v>#N/A</v>
      </c>
      <c r="K381" s="208" t="e">
        <v>#N/A</v>
      </c>
      <c r="L381" s="223"/>
      <c r="M381" s="222"/>
      <c r="N381" s="222"/>
      <c r="O381" s="222"/>
      <c r="P381" s="226"/>
      <c r="Q381" s="134" t="e">
        <v>#N/A</v>
      </c>
      <c r="R381" s="104" t="e">
        <v>#N/A</v>
      </c>
      <c r="S381" s="208" t="e">
        <v>#N/A</v>
      </c>
      <c r="T381" s="229" t="e">
        <v>#N/A</v>
      </c>
      <c r="U381" s="31">
        <v>4</v>
      </c>
      <c r="V381" s="1">
        <v>75</v>
      </c>
      <c r="W381" s="1">
        <v>0</v>
      </c>
      <c r="X381" s="287" t="e">
        <v>#N/A</v>
      </c>
      <c r="Y381" s="246" t="e">
        <v>#N/A</v>
      </c>
      <c r="Z381" s="214" t="e">
        <v>#N/A</v>
      </c>
      <c r="AA381" s="289" t="e">
        <v>#N/A</v>
      </c>
    </row>
    <row r="382" spans="1:27">
      <c r="A382" s="88" t="s">
        <v>380</v>
      </c>
      <c r="B382" s="42">
        <v>2</v>
      </c>
      <c r="C382" s="42">
        <v>8</v>
      </c>
      <c r="D382" s="42">
        <v>3</v>
      </c>
      <c r="E382" s="39"/>
      <c r="F382" s="39"/>
      <c r="G382" s="39"/>
      <c r="H382" s="214">
        <v>28</v>
      </c>
      <c r="I382" s="134" t="e">
        <v>#N/A</v>
      </c>
      <c r="J382" s="104" t="e">
        <v>#N/A</v>
      </c>
      <c r="K382" s="208" t="e">
        <v>#N/A</v>
      </c>
      <c r="L382" s="224">
        <v>84</v>
      </c>
      <c r="M382" s="118">
        <v>4</v>
      </c>
      <c r="N382" s="118">
        <v>53</v>
      </c>
      <c r="O382" s="118">
        <v>0</v>
      </c>
      <c r="P382" s="176">
        <v>15</v>
      </c>
      <c r="Q382" s="31">
        <f>L382+M382</f>
        <v>88</v>
      </c>
      <c r="R382" s="115">
        <f>N382+O382+P382</f>
        <v>68</v>
      </c>
      <c r="S382" s="127">
        <f>Q382-R382</f>
        <v>20</v>
      </c>
      <c r="T382" s="230"/>
      <c r="U382" s="287" t="e">
        <v>#N/A</v>
      </c>
      <c r="V382" s="246" t="e">
        <v>#N/A</v>
      </c>
      <c r="W382" s="214" t="e">
        <v>#N/A</v>
      </c>
      <c r="X382" s="31">
        <v>-6</v>
      </c>
      <c r="Y382" s="1">
        <v>-56</v>
      </c>
      <c r="Z382" s="283">
        <v>-1</v>
      </c>
      <c r="AA382" s="289">
        <f>I383+J383+K383</f>
        <v>78</v>
      </c>
    </row>
    <row r="383" spans="1:27" ht="13.5" thickBot="1">
      <c r="A383" s="89"/>
      <c r="B383" s="87"/>
      <c r="C383" s="87"/>
      <c r="D383" s="87"/>
      <c r="E383" s="43"/>
      <c r="F383" s="43"/>
      <c r="G383" s="43"/>
      <c r="H383" s="215" t="e">
        <v>#N/A</v>
      </c>
      <c r="I383" s="134">
        <v>7</v>
      </c>
      <c r="J383" s="104">
        <v>71</v>
      </c>
      <c r="K383" s="208">
        <v>0</v>
      </c>
      <c r="L383" s="225"/>
      <c r="M383" s="124"/>
      <c r="N383" s="124"/>
      <c r="O383" s="124"/>
      <c r="P383" s="227"/>
      <c r="Q383" s="131" t="e">
        <v>#N/A</v>
      </c>
      <c r="R383" s="106" t="e">
        <v>#N/A</v>
      </c>
      <c r="S383" s="128" t="e">
        <v>#N/A</v>
      </c>
      <c r="T383" s="231" t="e">
        <v>#N/A</v>
      </c>
      <c r="U383" s="282" t="e">
        <v>#N/A</v>
      </c>
      <c r="V383" s="87" t="e">
        <v>#N/A</v>
      </c>
      <c r="W383" s="87" t="e">
        <v>#N/A</v>
      </c>
      <c r="X383" s="282" t="e">
        <v>#N/A</v>
      </c>
      <c r="Y383" s="87" t="e">
        <v>#N/A</v>
      </c>
      <c r="Z383" s="215" t="e">
        <v>#N/A</v>
      </c>
      <c r="AA383" s="290" t="e">
        <v>#N/A</v>
      </c>
    </row>
    <row r="384" spans="1:27">
      <c r="A384" s="219"/>
      <c r="B384" s="220" t="e">
        <v>#N/A</v>
      </c>
      <c r="C384" s="220" t="e">
        <v>#N/A</v>
      </c>
      <c r="D384" s="220" t="e">
        <v>#N/A</v>
      </c>
      <c r="E384" s="220" t="e">
        <v>#N/A</v>
      </c>
      <c r="F384" s="220" t="e">
        <v>#N/A</v>
      </c>
      <c r="G384" s="220" t="e">
        <v>#N/A</v>
      </c>
      <c r="H384" s="213" t="e">
        <v>#N/A</v>
      </c>
      <c r="I384" s="219" t="e">
        <v>#N/A</v>
      </c>
      <c r="J384" s="220" t="e">
        <v>#N/A</v>
      </c>
      <c r="K384" s="213" t="e">
        <v>#N/A</v>
      </c>
      <c r="L384" s="219" t="e">
        <v>#N/A</v>
      </c>
      <c r="M384" s="220" t="e">
        <v>#N/A</v>
      </c>
      <c r="N384" s="220" t="e">
        <v>#N/A</v>
      </c>
      <c r="O384" s="220" t="e">
        <v>#N/A</v>
      </c>
      <c r="P384" s="213" t="e">
        <v>#N/A</v>
      </c>
      <c r="Q384" s="219" t="e">
        <v>#N/A</v>
      </c>
      <c r="R384" s="220" t="e">
        <v>#N/A</v>
      </c>
      <c r="S384" s="213" t="e">
        <v>#N/A</v>
      </c>
      <c r="T384" s="228" t="e">
        <v>#N/A</v>
      </c>
      <c r="U384" s="219" t="e">
        <v>#N/A</v>
      </c>
      <c r="V384" s="220" t="e">
        <v>#N/A</v>
      </c>
      <c r="W384" s="220" t="e">
        <v>#N/A</v>
      </c>
      <c r="X384" s="219" t="e">
        <v>#N/A</v>
      </c>
      <c r="Y384" s="220" t="e">
        <v>#N/A</v>
      </c>
      <c r="Z384" s="213" t="e">
        <v>#N/A</v>
      </c>
      <c r="AA384" s="228" t="e">
        <v>#N/A</v>
      </c>
    </row>
    <row r="385" spans="1:27">
      <c r="A385" s="88"/>
      <c r="B385" s="39"/>
      <c r="C385" s="39"/>
      <c r="D385" s="39"/>
      <c r="E385" s="42">
        <v>1</v>
      </c>
      <c r="F385" s="42">
        <v>13</v>
      </c>
      <c r="G385" s="42">
        <v>2</v>
      </c>
      <c r="H385" s="214" t="e">
        <v>#N/A</v>
      </c>
      <c r="I385" s="134" t="e">
        <v>#N/A</v>
      </c>
      <c r="J385" s="104" t="e">
        <v>#N/A</v>
      </c>
      <c r="K385" s="208" t="e">
        <v>#N/A</v>
      </c>
      <c r="L385" s="223"/>
      <c r="M385" s="222"/>
      <c r="N385" s="222"/>
      <c r="O385" s="222"/>
      <c r="P385" s="226"/>
      <c r="Q385" s="134" t="e">
        <v>#N/A</v>
      </c>
      <c r="R385" s="104" t="e">
        <v>#N/A</v>
      </c>
      <c r="S385" s="208" t="e">
        <v>#N/A</v>
      </c>
      <c r="T385" s="229" t="e">
        <v>#N/A</v>
      </c>
      <c r="U385" s="31">
        <v>3</v>
      </c>
      <c r="V385" s="1">
        <v>28</v>
      </c>
      <c r="W385" s="1">
        <v>0</v>
      </c>
      <c r="X385" s="287" t="e">
        <v>#N/A</v>
      </c>
      <c r="Y385" s="246" t="e">
        <v>#N/A</v>
      </c>
      <c r="Z385" s="214" t="e">
        <v>#N/A</v>
      </c>
      <c r="AA385" s="289" t="e">
        <v>#N/A</v>
      </c>
    </row>
    <row r="386" spans="1:27">
      <c r="A386" s="88" t="s">
        <v>381</v>
      </c>
      <c r="B386" s="42">
        <v>1</v>
      </c>
      <c r="C386" s="42">
        <v>7</v>
      </c>
      <c r="D386" s="42">
        <v>3</v>
      </c>
      <c r="E386" s="39"/>
      <c r="F386" s="39"/>
      <c r="G386" s="39"/>
      <c r="H386" s="214">
        <v>27</v>
      </c>
      <c r="I386" s="134" t="e">
        <v>#N/A</v>
      </c>
      <c r="J386" s="104" t="e">
        <v>#N/A</v>
      </c>
      <c r="K386" s="208" t="e">
        <v>#N/A</v>
      </c>
      <c r="L386" s="224">
        <v>33</v>
      </c>
      <c r="M386" s="118">
        <v>2</v>
      </c>
      <c r="N386" s="118">
        <v>29</v>
      </c>
      <c r="O386" s="118">
        <v>0</v>
      </c>
      <c r="P386" s="176">
        <v>14</v>
      </c>
      <c r="Q386" s="31">
        <f>L386+M386</f>
        <v>35</v>
      </c>
      <c r="R386" s="115">
        <f>N386+O386+P386</f>
        <v>43</v>
      </c>
      <c r="S386" s="127">
        <f>Q386-R386</f>
        <v>-8</v>
      </c>
      <c r="T386" s="230"/>
      <c r="U386" s="287" t="e">
        <v>#N/A</v>
      </c>
      <c r="V386" s="246" t="e">
        <v>#N/A</v>
      </c>
      <c r="W386" s="214" t="e">
        <v>#N/A</v>
      </c>
      <c r="X386" s="31">
        <v>-4</v>
      </c>
      <c r="Y386" s="1">
        <v>-34</v>
      </c>
      <c r="Z386" s="283">
        <v>0</v>
      </c>
      <c r="AA386" s="289">
        <f>I387+J387+K387</f>
        <v>71</v>
      </c>
    </row>
    <row r="387" spans="1:27" ht="13.5" thickBot="1">
      <c r="A387" s="89"/>
      <c r="B387" s="87"/>
      <c r="C387" s="87"/>
      <c r="D387" s="87"/>
      <c r="E387" s="43"/>
      <c r="F387" s="43"/>
      <c r="G387" s="43"/>
      <c r="H387" s="215" t="e">
        <v>#N/A</v>
      </c>
      <c r="I387" s="134">
        <v>7</v>
      </c>
      <c r="J387" s="104">
        <v>64</v>
      </c>
      <c r="K387" s="208">
        <v>0</v>
      </c>
      <c r="L387" s="225"/>
      <c r="M387" s="124"/>
      <c r="N387" s="124"/>
      <c r="O387" s="124"/>
      <c r="P387" s="227"/>
      <c r="Q387" s="131" t="e">
        <v>#N/A</v>
      </c>
      <c r="R387" s="106" t="e">
        <v>#N/A</v>
      </c>
      <c r="S387" s="128" t="e">
        <v>#N/A</v>
      </c>
      <c r="T387" s="231" t="e">
        <v>#N/A</v>
      </c>
      <c r="U387" s="282" t="e">
        <v>#N/A</v>
      </c>
      <c r="V387" s="87" t="e">
        <v>#N/A</v>
      </c>
      <c r="W387" s="87" t="e">
        <v>#N/A</v>
      </c>
      <c r="X387" s="282" t="e">
        <v>#N/A</v>
      </c>
      <c r="Y387" s="87" t="e">
        <v>#N/A</v>
      </c>
      <c r="Z387" s="215" t="e">
        <v>#N/A</v>
      </c>
      <c r="AA387" s="290" t="e">
        <v>#N/A</v>
      </c>
    </row>
    <row r="388" spans="1:27">
      <c r="A388" s="219"/>
      <c r="B388" s="220" t="e">
        <v>#N/A</v>
      </c>
      <c r="C388" s="220" t="e">
        <v>#N/A</v>
      </c>
      <c r="D388" s="220" t="e">
        <v>#N/A</v>
      </c>
      <c r="E388" s="220" t="e">
        <v>#N/A</v>
      </c>
      <c r="F388" s="220" t="e">
        <v>#N/A</v>
      </c>
      <c r="G388" s="220" t="e">
        <v>#N/A</v>
      </c>
      <c r="H388" s="213" t="e">
        <v>#N/A</v>
      </c>
      <c r="I388" s="219" t="e">
        <v>#N/A</v>
      </c>
      <c r="J388" s="220" t="e">
        <v>#N/A</v>
      </c>
      <c r="K388" s="213" t="e">
        <v>#N/A</v>
      </c>
      <c r="L388" s="219" t="e">
        <v>#N/A</v>
      </c>
      <c r="M388" s="220" t="e">
        <v>#N/A</v>
      </c>
      <c r="N388" s="220" t="e">
        <v>#N/A</v>
      </c>
      <c r="O388" s="220" t="e">
        <v>#N/A</v>
      </c>
      <c r="P388" s="213" t="e">
        <v>#N/A</v>
      </c>
      <c r="Q388" s="219" t="e">
        <v>#N/A</v>
      </c>
      <c r="R388" s="220" t="e">
        <v>#N/A</v>
      </c>
      <c r="S388" s="213" t="e">
        <v>#N/A</v>
      </c>
      <c r="T388" s="228" t="e">
        <v>#N/A</v>
      </c>
      <c r="U388" s="219" t="e">
        <v>#N/A</v>
      </c>
      <c r="V388" s="220" t="e">
        <v>#N/A</v>
      </c>
      <c r="W388" s="220" t="e">
        <v>#N/A</v>
      </c>
      <c r="X388" s="219" t="e">
        <v>#N/A</v>
      </c>
      <c r="Y388" s="220" t="e">
        <v>#N/A</v>
      </c>
      <c r="Z388" s="213" t="e">
        <v>#N/A</v>
      </c>
      <c r="AA388" s="228" t="e">
        <v>#N/A</v>
      </c>
    </row>
    <row r="389" spans="1:27">
      <c r="A389" s="301" t="s">
        <v>336</v>
      </c>
      <c r="B389" s="39"/>
      <c r="C389" s="39"/>
      <c r="D389" s="39"/>
      <c r="E389" s="42">
        <v>0</v>
      </c>
      <c r="F389" s="42">
        <v>11</v>
      </c>
      <c r="G389" s="42">
        <v>2</v>
      </c>
      <c r="H389" s="214" t="e">
        <v>#N/A</v>
      </c>
      <c r="I389" s="134" t="e">
        <v>#N/A</v>
      </c>
      <c r="J389" s="104" t="e">
        <v>#N/A</v>
      </c>
      <c r="K389" s="208" t="e">
        <v>#N/A</v>
      </c>
      <c r="L389" s="223"/>
      <c r="M389" s="222"/>
      <c r="N389" s="222"/>
      <c r="O389" s="222"/>
      <c r="P389" s="226"/>
      <c r="Q389" s="134" t="e">
        <v>#N/A</v>
      </c>
      <c r="R389" s="104" t="e">
        <v>#N/A</v>
      </c>
      <c r="S389" s="208" t="e">
        <v>#N/A</v>
      </c>
      <c r="T389" s="229" t="e">
        <v>#N/A</v>
      </c>
      <c r="U389" s="31">
        <v>6</v>
      </c>
      <c r="V389" s="1">
        <v>60</v>
      </c>
      <c r="W389" s="1">
        <v>0</v>
      </c>
      <c r="X389" s="287" t="e">
        <v>#N/A</v>
      </c>
      <c r="Y389" s="246" t="e">
        <v>#N/A</v>
      </c>
      <c r="Z389" s="214" t="e">
        <v>#N/A</v>
      </c>
      <c r="AA389" s="289" t="e">
        <v>#N/A</v>
      </c>
    </row>
    <row r="390" spans="1:27">
      <c r="A390" s="88">
        <v>-15</v>
      </c>
      <c r="B390" s="42">
        <v>1</v>
      </c>
      <c r="C390" s="42">
        <v>7</v>
      </c>
      <c r="D390" s="42">
        <v>3</v>
      </c>
      <c r="E390" s="39"/>
      <c r="F390" s="39"/>
      <c r="G390" s="39"/>
      <c r="H390" s="214">
        <v>24</v>
      </c>
      <c r="I390" s="134" t="e">
        <v>#N/A</v>
      </c>
      <c r="J390" s="104" t="e">
        <v>#N/A</v>
      </c>
      <c r="K390" s="208" t="e">
        <v>#N/A</v>
      </c>
      <c r="L390" s="224">
        <v>62</v>
      </c>
      <c r="M390" s="118">
        <v>8</v>
      </c>
      <c r="N390" s="118">
        <v>37</v>
      </c>
      <c r="O390" s="118">
        <v>1</v>
      </c>
      <c r="P390" s="176">
        <v>44</v>
      </c>
      <c r="Q390" s="31">
        <f>L390+M390</f>
        <v>70</v>
      </c>
      <c r="R390" s="115">
        <f>N390+O390+P390</f>
        <v>82</v>
      </c>
      <c r="S390" s="127">
        <f>Q390-R390</f>
        <v>-12</v>
      </c>
      <c r="T390" s="230"/>
      <c r="U390" s="287" t="e">
        <v>#N/A</v>
      </c>
      <c r="V390" s="246" t="e">
        <v>#N/A</v>
      </c>
      <c r="W390" s="214" t="e">
        <v>#N/A</v>
      </c>
      <c r="X390" s="31">
        <v>-6</v>
      </c>
      <c r="Y390" s="1">
        <v>-69</v>
      </c>
      <c r="Z390" s="283">
        <v>0</v>
      </c>
      <c r="AA390" s="289">
        <f>I391+J391+K391</f>
        <v>62</v>
      </c>
    </row>
    <row r="391" spans="1:27" ht="13.5" thickBot="1">
      <c r="A391" s="89"/>
      <c r="B391" s="87"/>
      <c r="C391" s="87"/>
      <c r="D391" s="87"/>
      <c r="E391" s="43"/>
      <c r="F391" s="43"/>
      <c r="G391" s="43"/>
      <c r="H391" s="215" t="e">
        <v>#N/A</v>
      </c>
      <c r="I391" s="134">
        <v>7</v>
      </c>
      <c r="J391" s="104">
        <v>55</v>
      </c>
      <c r="K391" s="208">
        <v>0</v>
      </c>
      <c r="L391" s="225"/>
      <c r="M391" s="124"/>
      <c r="N391" s="124"/>
      <c r="O391" s="124"/>
      <c r="P391" s="227"/>
      <c r="Q391" s="131" t="e">
        <v>#N/A</v>
      </c>
      <c r="R391" s="106" t="e">
        <v>#N/A</v>
      </c>
      <c r="S391" s="128" t="e">
        <v>#N/A</v>
      </c>
      <c r="T391" s="231" t="e">
        <v>#N/A</v>
      </c>
      <c r="U391" s="282" t="e">
        <v>#N/A</v>
      </c>
      <c r="V391" s="87" t="e">
        <v>#N/A</v>
      </c>
      <c r="W391" s="87" t="e">
        <v>#N/A</v>
      </c>
      <c r="X391" s="282" t="e">
        <v>#N/A</v>
      </c>
      <c r="Y391" s="87" t="e">
        <v>#N/A</v>
      </c>
      <c r="Z391" s="215" t="e">
        <v>#N/A</v>
      </c>
      <c r="AA391" s="290" t="e">
        <v>#N/A</v>
      </c>
    </row>
    <row r="392" spans="1:27">
      <c r="A392" s="219"/>
      <c r="B392" s="220" t="e">
        <v>#N/A</v>
      </c>
      <c r="C392" s="220" t="e">
        <v>#N/A</v>
      </c>
      <c r="D392" s="220" t="e">
        <v>#N/A</v>
      </c>
      <c r="E392" s="220" t="e">
        <v>#N/A</v>
      </c>
      <c r="F392" s="220" t="e">
        <v>#N/A</v>
      </c>
      <c r="G392" s="220" t="e">
        <v>#N/A</v>
      </c>
      <c r="H392" s="213" t="e">
        <v>#N/A</v>
      </c>
      <c r="I392" s="219" t="e">
        <v>#N/A</v>
      </c>
      <c r="J392" s="220" t="e">
        <v>#N/A</v>
      </c>
      <c r="K392" s="213" t="e">
        <v>#N/A</v>
      </c>
      <c r="L392" s="219" t="e">
        <v>#N/A</v>
      </c>
      <c r="M392" s="220" t="e">
        <v>#N/A</v>
      </c>
      <c r="N392" s="220" t="e">
        <v>#N/A</v>
      </c>
      <c r="O392" s="220" t="e">
        <v>#N/A</v>
      </c>
      <c r="P392" s="213" t="e">
        <v>#N/A</v>
      </c>
      <c r="Q392" s="219" t="e">
        <v>#N/A</v>
      </c>
      <c r="R392" s="220" t="e">
        <v>#N/A</v>
      </c>
      <c r="S392" s="213" t="e">
        <v>#N/A</v>
      </c>
      <c r="T392" s="228" t="e">
        <v>#N/A</v>
      </c>
      <c r="U392" s="219" t="e">
        <v>#N/A</v>
      </c>
      <c r="V392" s="220" t="e">
        <v>#N/A</v>
      </c>
      <c r="W392" s="220" t="e">
        <v>#N/A</v>
      </c>
      <c r="X392" s="219" t="e">
        <v>#N/A</v>
      </c>
      <c r="Y392" s="220" t="e">
        <v>#N/A</v>
      </c>
      <c r="Z392" s="213" t="e">
        <v>#N/A</v>
      </c>
      <c r="AA392" s="228" t="e">
        <v>#N/A</v>
      </c>
    </row>
    <row r="393" spans="1:27">
      <c r="A393" s="88"/>
      <c r="B393" s="39"/>
      <c r="C393" s="39"/>
      <c r="D393" s="39"/>
      <c r="E393" s="42">
        <v>0</v>
      </c>
      <c r="F393" s="42">
        <v>11</v>
      </c>
      <c r="G393" s="42">
        <v>2</v>
      </c>
      <c r="H393" s="214" t="e">
        <v>#N/A</v>
      </c>
      <c r="I393" s="134" t="e">
        <v>#N/A</v>
      </c>
      <c r="J393" s="104" t="e">
        <v>#N/A</v>
      </c>
      <c r="K393" s="208" t="e">
        <v>#N/A</v>
      </c>
      <c r="L393" s="223"/>
      <c r="M393" s="222"/>
      <c r="N393" s="222"/>
      <c r="O393" s="222"/>
      <c r="P393" s="226"/>
      <c r="Q393" s="134" t="e">
        <v>#N/A</v>
      </c>
      <c r="R393" s="104" t="e">
        <v>#N/A</v>
      </c>
      <c r="S393" s="208" t="e">
        <v>#N/A</v>
      </c>
      <c r="T393" s="229" t="e">
        <v>#N/A</v>
      </c>
      <c r="U393" s="31">
        <v>4</v>
      </c>
      <c r="V393" s="1">
        <v>26</v>
      </c>
      <c r="W393" s="1">
        <v>0</v>
      </c>
      <c r="X393" s="287" t="e">
        <v>#N/A</v>
      </c>
      <c r="Y393" s="246" t="e">
        <v>#N/A</v>
      </c>
      <c r="Z393" s="214" t="e">
        <v>#N/A</v>
      </c>
      <c r="AA393" s="289" t="e">
        <v>#N/A</v>
      </c>
    </row>
    <row r="394" spans="1:27">
      <c r="A394" s="88" t="s">
        <v>338</v>
      </c>
      <c r="B394" s="42">
        <v>1</v>
      </c>
      <c r="C394" s="42">
        <v>6</v>
      </c>
      <c r="D394" s="42">
        <v>3</v>
      </c>
      <c r="E394" s="39"/>
      <c r="F394" s="39"/>
      <c r="G394" s="39"/>
      <c r="H394" s="214">
        <v>23</v>
      </c>
      <c r="I394" s="134" t="e">
        <v>#N/A</v>
      </c>
      <c r="J394" s="104" t="e">
        <v>#N/A</v>
      </c>
      <c r="K394" s="208" t="e">
        <v>#N/A</v>
      </c>
      <c r="L394" s="224">
        <v>32</v>
      </c>
      <c r="M394" s="118">
        <v>0</v>
      </c>
      <c r="N394" s="118">
        <v>15</v>
      </c>
      <c r="O394" s="118">
        <v>1</v>
      </c>
      <c r="P394" s="176">
        <v>16</v>
      </c>
      <c r="Q394" s="31">
        <f>L394+M394</f>
        <v>32</v>
      </c>
      <c r="R394" s="115">
        <f>N394+O394+P394</f>
        <v>32</v>
      </c>
      <c r="S394" s="127">
        <f>Q394-R394</f>
        <v>0</v>
      </c>
      <c r="T394" s="230"/>
      <c r="U394" s="287" t="e">
        <v>#N/A</v>
      </c>
      <c r="V394" s="246" t="e">
        <v>#N/A</v>
      </c>
      <c r="W394" s="214" t="e">
        <v>#N/A</v>
      </c>
      <c r="X394" s="31">
        <v>-6</v>
      </c>
      <c r="Y394" s="1">
        <v>-23</v>
      </c>
      <c r="Z394" s="283">
        <v>0</v>
      </c>
      <c r="AA394" s="289">
        <f>I395+J395+K395</f>
        <v>64</v>
      </c>
    </row>
    <row r="395" spans="1:27" ht="13.5" thickBot="1">
      <c r="A395" s="89"/>
      <c r="B395" s="87"/>
      <c r="C395" s="87"/>
      <c r="D395" s="87"/>
      <c r="E395" s="43"/>
      <c r="F395" s="43"/>
      <c r="G395" s="43"/>
      <c r="H395" s="215" t="e">
        <v>#N/A</v>
      </c>
      <c r="I395" s="134">
        <v>5</v>
      </c>
      <c r="J395" s="104">
        <v>59</v>
      </c>
      <c r="K395" s="208">
        <v>0</v>
      </c>
      <c r="L395" s="225"/>
      <c r="M395" s="124"/>
      <c r="N395" s="124"/>
      <c r="O395" s="124"/>
      <c r="P395" s="227"/>
      <c r="Q395" s="131" t="e">
        <v>#N/A</v>
      </c>
      <c r="R395" s="106" t="e">
        <v>#N/A</v>
      </c>
      <c r="S395" s="128" t="e">
        <v>#N/A</v>
      </c>
      <c r="T395" s="231" t="e">
        <v>#N/A</v>
      </c>
      <c r="U395" s="282" t="e">
        <v>#N/A</v>
      </c>
      <c r="V395" s="87" t="e">
        <v>#N/A</v>
      </c>
      <c r="W395" s="87" t="e">
        <v>#N/A</v>
      </c>
      <c r="X395" s="282" t="e">
        <v>#N/A</v>
      </c>
      <c r="Y395" s="87" t="e">
        <v>#N/A</v>
      </c>
      <c r="Z395" s="215" t="e">
        <v>#N/A</v>
      </c>
      <c r="AA395" s="290" t="e">
        <v>#N/A</v>
      </c>
    </row>
    <row r="396" spans="1:27">
      <c r="A396" s="219"/>
      <c r="B396" s="220" t="e">
        <v>#N/A</v>
      </c>
      <c r="C396" s="220" t="e">
        <v>#N/A</v>
      </c>
      <c r="D396" s="220" t="e">
        <v>#N/A</v>
      </c>
      <c r="E396" s="220" t="e">
        <v>#N/A</v>
      </c>
      <c r="F396" s="220" t="e">
        <v>#N/A</v>
      </c>
      <c r="G396" s="220" t="e">
        <v>#N/A</v>
      </c>
      <c r="H396" s="213" t="e">
        <v>#N/A</v>
      </c>
      <c r="I396" s="219" t="e">
        <v>#N/A</v>
      </c>
      <c r="J396" s="220" t="e">
        <v>#N/A</v>
      </c>
      <c r="K396" s="213" t="e">
        <v>#N/A</v>
      </c>
      <c r="L396" s="219" t="e">
        <v>#N/A</v>
      </c>
      <c r="M396" s="220" t="e">
        <v>#N/A</v>
      </c>
      <c r="N396" s="220" t="e">
        <v>#N/A</v>
      </c>
      <c r="O396" s="220" t="e">
        <v>#N/A</v>
      </c>
      <c r="P396" s="213" t="e">
        <v>#N/A</v>
      </c>
      <c r="Q396" s="219" t="e">
        <v>#N/A</v>
      </c>
      <c r="R396" s="220" t="e">
        <v>#N/A</v>
      </c>
      <c r="S396" s="213" t="e">
        <v>#N/A</v>
      </c>
      <c r="T396" s="228" t="e">
        <v>#N/A</v>
      </c>
      <c r="U396" s="219" t="e">
        <v>#N/A</v>
      </c>
      <c r="V396" s="220" t="e">
        <v>#N/A</v>
      </c>
      <c r="W396" s="220" t="e">
        <v>#N/A</v>
      </c>
      <c r="X396" s="219" t="e">
        <v>#N/A</v>
      </c>
      <c r="Y396" s="220" t="e">
        <v>#N/A</v>
      </c>
      <c r="Z396" s="213" t="e">
        <v>#N/A</v>
      </c>
      <c r="AA396" s="228" t="e">
        <v>#N/A</v>
      </c>
    </row>
    <row r="397" spans="1:27">
      <c r="A397" s="88"/>
      <c r="B397" s="39"/>
      <c r="C397" s="39"/>
      <c r="D397" s="39"/>
      <c r="E397" s="42">
        <v>1</v>
      </c>
      <c r="F397" s="42">
        <v>12</v>
      </c>
      <c r="G397" s="42">
        <v>2</v>
      </c>
      <c r="H397" s="214" t="e">
        <v>#N/A</v>
      </c>
      <c r="I397" s="134" t="e">
        <v>#N/A</v>
      </c>
      <c r="J397" s="104" t="e">
        <v>#N/A</v>
      </c>
      <c r="K397" s="208" t="e">
        <v>#N/A</v>
      </c>
      <c r="L397" s="223"/>
      <c r="M397" s="222"/>
      <c r="N397" s="222"/>
      <c r="O397" s="222"/>
      <c r="P397" s="226"/>
      <c r="Q397" s="134" t="e">
        <v>#N/A</v>
      </c>
      <c r="R397" s="104" t="e">
        <v>#N/A</v>
      </c>
      <c r="S397" s="208" t="e">
        <v>#N/A</v>
      </c>
      <c r="T397" s="229" t="e">
        <v>#N/A</v>
      </c>
      <c r="U397" s="31">
        <v>3</v>
      </c>
      <c r="V397" s="1">
        <v>22</v>
      </c>
      <c r="W397" s="1">
        <v>0</v>
      </c>
      <c r="X397" s="287" t="e">
        <v>#N/A</v>
      </c>
      <c r="Y397" s="246" t="e">
        <v>#N/A</v>
      </c>
      <c r="Z397" s="214" t="e">
        <v>#N/A</v>
      </c>
      <c r="AA397" s="289" t="e">
        <v>#N/A</v>
      </c>
    </row>
    <row r="398" spans="1:27">
      <c r="A398" s="88" t="s">
        <v>339</v>
      </c>
      <c r="B398" s="42">
        <v>1</v>
      </c>
      <c r="C398" s="42">
        <v>6</v>
      </c>
      <c r="D398" s="42">
        <v>3</v>
      </c>
      <c r="E398" s="39"/>
      <c r="F398" s="39"/>
      <c r="G398" s="39"/>
      <c r="H398" s="214">
        <v>25</v>
      </c>
      <c r="I398" s="134" t="e">
        <v>#N/A</v>
      </c>
      <c r="J398" s="104" t="e">
        <v>#N/A</v>
      </c>
      <c r="K398" s="208" t="e">
        <v>#N/A</v>
      </c>
      <c r="L398" s="224">
        <v>26</v>
      </c>
      <c r="M398" s="118">
        <v>1</v>
      </c>
      <c r="N398" s="118">
        <v>19</v>
      </c>
      <c r="O398" s="118">
        <v>0</v>
      </c>
      <c r="P398" s="176">
        <v>10</v>
      </c>
      <c r="Q398" s="31">
        <f>L398+M398</f>
        <v>27</v>
      </c>
      <c r="R398" s="115">
        <f>N398+O398+P398</f>
        <v>29</v>
      </c>
      <c r="S398" s="127">
        <f>Q398-R398</f>
        <v>-2</v>
      </c>
      <c r="T398" s="230"/>
      <c r="U398" s="287" t="e">
        <v>#N/A</v>
      </c>
      <c r="V398" s="246" t="e">
        <v>#N/A</v>
      </c>
      <c r="W398" s="214" t="e">
        <v>#N/A</v>
      </c>
      <c r="X398" s="31">
        <v>0</v>
      </c>
      <c r="Y398" s="1">
        <v>-29</v>
      </c>
      <c r="Z398" s="283">
        <v>0</v>
      </c>
      <c r="AA398" s="289">
        <f>I399+J399+K399</f>
        <v>61</v>
      </c>
    </row>
    <row r="399" spans="1:27" ht="13.5" thickBot="1">
      <c r="A399" s="89"/>
      <c r="B399" s="87"/>
      <c r="C399" s="87"/>
      <c r="D399" s="87"/>
      <c r="E399" s="43"/>
      <c r="F399" s="43"/>
      <c r="G399" s="43"/>
      <c r="H399" s="215" t="e">
        <v>#N/A</v>
      </c>
      <c r="I399" s="134">
        <v>8</v>
      </c>
      <c r="J399" s="104">
        <v>53</v>
      </c>
      <c r="K399" s="208">
        <v>0</v>
      </c>
      <c r="L399" s="225"/>
      <c r="M399" s="124"/>
      <c r="N399" s="124"/>
      <c r="O399" s="124"/>
      <c r="P399" s="227"/>
      <c r="Q399" s="131" t="e">
        <v>#N/A</v>
      </c>
      <c r="R399" s="106" t="e">
        <v>#N/A</v>
      </c>
      <c r="S399" s="128" t="e">
        <v>#N/A</v>
      </c>
      <c r="T399" s="231" t="e">
        <v>#N/A</v>
      </c>
      <c r="U399" s="282" t="e">
        <v>#N/A</v>
      </c>
      <c r="V399" s="87" t="e">
        <v>#N/A</v>
      </c>
      <c r="W399" s="87" t="e">
        <v>#N/A</v>
      </c>
      <c r="X399" s="282" t="e">
        <v>#N/A</v>
      </c>
      <c r="Y399" s="87" t="e">
        <v>#N/A</v>
      </c>
      <c r="Z399" s="215" t="e">
        <v>#N/A</v>
      </c>
      <c r="AA399" s="290" t="e">
        <v>#N/A</v>
      </c>
    </row>
    <row r="400" spans="1:27">
      <c r="A400" s="219"/>
      <c r="B400" s="220" t="e">
        <v>#N/A</v>
      </c>
      <c r="C400" s="220" t="e">
        <v>#N/A</v>
      </c>
      <c r="D400" s="220" t="e">
        <v>#N/A</v>
      </c>
      <c r="E400" s="220" t="e">
        <v>#N/A</v>
      </c>
      <c r="F400" s="220" t="e">
        <v>#N/A</v>
      </c>
      <c r="G400" s="220" t="e">
        <v>#N/A</v>
      </c>
      <c r="H400" s="213" t="e">
        <v>#N/A</v>
      </c>
      <c r="I400" s="219" t="e">
        <v>#N/A</v>
      </c>
      <c r="J400" s="220" t="e">
        <v>#N/A</v>
      </c>
      <c r="K400" s="213" t="e">
        <v>#N/A</v>
      </c>
      <c r="L400" s="219" t="e">
        <v>#N/A</v>
      </c>
      <c r="M400" s="220" t="e">
        <v>#N/A</v>
      </c>
      <c r="N400" s="220" t="e">
        <v>#N/A</v>
      </c>
      <c r="O400" s="220" t="e">
        <v>#N/A</v>
      </c>
      <c r="P400" s="213" t="e">
        <v>#N/A</v>
      </c>
      <c r="Q400" s="219" t="e">
        <v>#N/A</v>
      </c>
      <c r="R400" s="220" t="e">
        <v>#N/A</v>
      </c>
      <c r="S400" s="213" t="e">
        <v>#N/A</v>
      </c>
      <c r="T400" s="228" t="e">
        <v>#N/A</v>
      </c>
      <c r="U400" s="219" t="e">
        <v>#N/A</v>
      </c>
      <c r="V400" s="220" t="e">
        <v>#N/A</v>
      </c>
      <c r="W400" s="220" t="e">
        <v>#N/A</v>
      </c>
      <c r="X400" s="219" t="e">
        <v>#N/A</v>
      </c>
      <c r="Y400" s="220" t="e">
        <v>#N/A</v>
      </c>
      <c r="Z400" s="213" t="e">
        <v>#N/A</v>
      </c>
      <c r="AA400" s="228" t="e">
        <v>#N/A</v>
      </c>
    </row>
    <row r="401" spans="1:27">
      <c r="A401" s="88"/>
      <c r="B401" s="39"/>
      <c r="C401" s="39"/>
      <c r="D401" s="39"/>
      <c r="E401" s="42">
        <v>1</v>
      </c>
      <c r="F401" s="42">
        <v>10</v>
      </c>
      <c r="G401" s="42">
        <v>2</v>
      </c>
      <c r="H401" s="214" t="e">
        <v>#N/A</v>
      </c>
      <c r="I401" s="134" t="e">
        <v>#N/A</v>
      </c>
      <c r="J401" s="104" t="e">
        <v>#N/A</v>
      </c>
      <c r="K401" s="208" t="e">
        <v>#N/A</v>
      </c>
      <c r="L401" s="223"/>
      <c r="M401" s="222"/>
      <c r="N401" s="222"/>
      <c r="O401" s="222"/>
      <c r="P401" s="226"/>
      <c r="Q401" s="134" t="e">
        <v>#N/A</v>
      </c>
      <c r="R401" s="104" t="e">
        <v>#N/A</v>
      </c>
      <c r="S401" s="208" t="e">
        <v>#N/A</v>
      </c>
      <c r="T401" s="229" t="e">
        <v>#N/A</v>
      </c>
      <c r="U401" s="31">
        <v>12</v>
      </c>
      <c r="V401" s="1">
        <v>63</v>
      </c>
      <c r="W401" s="1">
        <v>2</v>
      </c>
      <c r="X401" s="287" t="e">
        <v>#N/A</v>
      </c>
      <c r="Y401" s="246" t="e">
        <v>#N/A</v>
      </c>
      <c r="Z401" s="214" t="e">
        <v>#N/A</v>
      </c>
      <c r="AA401" s="289" t="e">
        <v>#N/A</v>
      </c>
    </row>
    <row r="402" spans="1:27">
      <c r="A402" s="88" t="s">
        <v>340</v>
      </c>
      <c r="B402" s="42">
        <v>1</v>
      </c>
      <c r="C402" s="42">
        <v>6</v>
      </c>
      <c r="D402" s="42">
        <v>3</v>
      </c>
      <c r="E402" s="39"/>
      <c r="F402" s="39"/>
      <c r="G402" s="39"/>
      <c r="H402" s="214">
        <v>23</v>
      </c>
      <c r="I402" s="134" t="e">
        <v>#N/A</v>
      </c>
      <c r="J402" s="104" t="e">
        <v>#N/A</v>
      </c>
      <c r="K402" s="208" t="e">
        <v>#N/A</v>
      </c>
      <c r="L402" s="224">
        <v>76</v>
      </c>
      <c r="M402" s="118">
        <v>2</v>
      </c>
      <c r="N402" s="118">
        <v>32</v>
      </c>
      <c r="O402" s="118">
        <v>1</v>
      </c>
      <c r="P402" s="176">
        <v>26</v>
      </c>
      <c r="Q402" s="31">
        <f>L402+M402</f>
        <v>78</v>
      </c>
      <c r="R402" s="115">
        <f>N402+O402+P402</f>
        <v>59</v>
      </c>
      <c r="S402" s="127">
        <f>Q402-R402</f>
        <v>19</v>
      </c>
      <c r="T402" s="230"/>
      <c r="U402" s="287" t="e">
        <v>#N/A</v>
      </c>
      <c r="V402" s="246" t="e">
        <v>#N/A</v>
      </c>
      <c r="W402" s="214" t="e">
        <v>#N/A</v>
      </c>
      <c r="X402" s="31">
        <v>-10</v>
      </c>
      <c r="Y402" s="1">
        <v>-44</v>
      </c>
      <c r="Z402" s="283">
        <v>-1</v>
      </c>
      <c r="AA402" s="289">
        <f>I403+J403+K403</f>
        <v>86</v>
      </c>
    </row>
    <row r="403" spans="1:27" ht="13.5" thickBot="1">
      <c r="A403" s="89"/>
      <c r="B403" s="87"/>
      <c r="C403" s="87"/>
      <c r="D403" s="87"/>
      <c r="E403" s="43"/>
      <c r="F403" s="43"/>
      <c r="G403" s="43"/>
      <c r="H403" s="215" t="e">
        <v>#N/A</v>
      </c>
      <c r="I403" s="134">
        <v>10</v>
      </c>
      <c r="J403" s="104">
        <v>75</v>
      </c>
      <c r="K403" s="208">
        <v>1</v>
      </c>
      <c r="L403" s="225"/>
      <c r="M403" s="124"/>
      <c r="N403" s="124"/>
      <c r="O403" s="124"/>
      <c r="P403" s="227"/>
      <c r="Q403" s="131" t="e">
        <v>#N/A</v>
      </c>
      <c r="R403" s="106" t="e">
        <v>#N/A</v>
      </c>
      <c r="S403" s="128" t="e">
        <v>#N/A</v>
      </c>
      <c r="T403" s="231" t="e">
        <v>#N/A</v>
      </c>
      <c r="U403" s="282" t="e">
        <v>#N/A</v>
      </c>
      <c r="V403" s="87" t="e">
        <v>#N/A</v>
      </c>
      <c r="W403" s="87" t="e">
        <v>#N/A</v>
      </c>
      <c r="X403" s="282" t="e">
        <v>#N/A</v>
      </c>
      <c r="Y403" s="87" t="e">
        <v>#N/A</v>
      </c>
      <c r="Z403" s="215" t="e">
        <v>#N/A</v>
      </c>
      <c r="AA403" s="290" t="e">
        <v>#N/A</v>
      </c>
    </row>
    <row r="404" spans="1:27">
      <c r="A404" s="219"/>
      <c r="B404" s="220" t="e">
        <v>#N/A</v>
      </c>
      <c r="C404" s="220" t="e">
        <v>#N/A</v>
      </c>
      <c r="D404" s="220" t="e">
        <v>#N/A</v>
      </c>
      <c r="E404" s="220" t="e">
        <v>#N/A</v>
      </c>
      <c r="F404" s="220" t="e">
        <v>#N/A</v>
      </c>
      <c r="G404" s="220" t="e">
        <v>#N/A</v>
      </c>
      <c r="H404" s="213" t="e">
        <v>#N/A</v>
      </c>
      <c r="I404" s="219" t="e">
        <v>#N/A</v>
      </c>
      <c r="J404" s="220" t="e">
        <v>#N/A</v>
      </c>
      <c r="K404" s="213" t="e">
        <v>#N/A</v>
      </c>
      <c r="L404" s="219" t="e">
        <v>#N/A</v>
      </c>
      <c r="M404" s="220" t="e">
        <v>#N/A</v>
      </c>
      <c r="N404" s="220" t="e">
        <v>#N/A</v>
      </c>
      <c r="O404" s="220" t="e">
        <v>#N/A</v>
      </c>
      <c r="P404" s="213" t="e">
        <v>#N/A</v>
      </c>
      <c r="Q404" s="219" t="e">
        <v>#N/A</v>
      </c>
      <c r="R404" s="220" t="e">
        <v>#N/A</v>
      </c>
      <c r="S404" s="213" t="e">
        <v>#N/A</v>
      </c>
      <c r="T404" s="228" t="e">
        <v>#N/A</v>
      </c>
      <c r="U404" s="219" t="e">
        <v>#N/A</v>
      </c>
      <c r="V404" s="220" t="e">
        <v>#N/A</v>
      </c>
      <c r="W404" s="220" t="e">
        <v>#N/A</v>
      </c>
      <c r="X404" s="219" t="e">
        <v>#N/A</v>
      </c>
      <c r="Y404" s="220" t="e">
        <v>#N/A</v>
      </c>
      <c r="Z404" s="213" t="e">
        <v>#N/A</v>
      </c>
      <c r="AA404" s="228" t="e">
        <v>#N/A</v>
      </c>
    </row>
    <row r="405" spans="1:27">
      <c r="A405" s="88"/>
      <c r="B405" s="39"/>
      <c r="C405" s="39"/>
      <c r="D405" s="39"/>
      <c r="E405" s="42">
        <v>1</v>
      </c>
      <c r="F405" s="42">
        <v>9</v>
      </c>
      <c r="G405" s="42">
        <v>2</v>
      </c>
      <c r="H405" s="214" t="e">
        <v>#N/A</v>
      </c>
      <c r="I405" s="134" t="e">
        <v>#N/A</v>
      </c>
      <c r="J405" s="104" t="e">
        <v>#N/A</v>
      </c>
      <c r="K405" s="208" t="e">
        <v>#N/A</v>
      </c>
      <c r="L405" s="223"/>
      <c r="M405" s="222"/>
      <c r="N405" s="222"/>
      <c r="O405" s="222"/>
      <c r="P405" s="226"/>
      <c r="Q405" s="134" t="e">
        <v>#N/A</v>
      </c>
      <c r="R405" s="104" t="e">
        <v>#N/A</v>
      </c>
      <c r="S405" s="208" t="e">
        <v>#N/A</v>
      </c>
      <c r="T405" s="229" t="e">
        <v>#N/A</v>
      </c>
      <c r="U405" s="31">
        <v>8</v>
      </c>
      <c r="V405" s="1">
        <v>18</v>
      </c>
      <c r="W405" s="1">
        <v>0</v>
      </c>
      <c r="X405" s="287" t="e">
        <v>#N/A</v>
      </c>
      <c r="Y405" s="246" t="e">
        <v>#N/A</v>
      </c>
      <c r="Z405" s="214" t="e">
        <v>#N/A</v>
      </c>
      <c r="AA405" s="289" t="e">
        <v>#N/A</v>
      </c>
    </row>
    <row r="406" spans="1:27">
      <c r="A406" s="88" t="s">
        <v>341</v>
      </c>
      <c r="B406" s="42">
        <v>1</v>
      </c>
      <c r="C406" s="42">
        <v>5</v>
      </c>
      <c r="D406" s="42">
        <v>3</v>
      </c>
      <c r="E406" s="39"/>
      <c r="F406" s="39"/>
      <c r="G406" s="39"/>
      <c r="H406" s="214">
        <v>21</v>
      </c>
      <c r="I406" s="134" t="e">
        <v>#N/A</v>
      </c>
      <c r="J406" s="104" t="e">
        <v>#N/A</v>
      </c>
      <c r="K406" s="208" t="e">
        <v>#N/A</v>
      </c>
      <c r="L406" s="224">
        <v>18</v>
      </c>
      <c r="M406" s="118">
        <v>8</v>
      </c>
      <c r="N406" s="118">
        <v>17</v>
      </c>
      <c r="O406" s="118">
        <v>0</v>
      </c>
      <c r="P406" s="176">
        <v>6</v>
      </c>
      <c r="Q406" s="31">
        <f>L406+M406</f>
        <v>26</v>
      </c>
      <c r="R406" s="115">
        <f>N406+O406+P406</f>
        <v>23</v>
      </c>
      <c r="S406" s="127">
        <f>Q406-R406</f>
        <v>3</v>
      </c>
      <c r="T406" s="230"/>
      <c r="U406" s="287" t="e">
        <v>#N/A</v>
      </c>
      <c r="V406" s="246" t="e">
        <v>#N/A</v>
      </c>
      <c r="W406" s="214" t="e">
        <v>#N/A</v>
      </c>
      <c r="X406" s="31">
        <v>-6</v>
      </c>
      <c r="Y406" s="1">
        <v>-15</v>
      </c>
      <c r="Z406" s="283">
        <v>0</v>
      </c>
      <c r="AA406" s="289">
        <f>I407+J407+K407</f>
        <v>89</v>
      </c>
    </row>
    <row r="407" spans="1:27" ht="13.5" thickBot="1">
      <c r="A407" s="89"/>
      <c r="B407" s="87"/>
      <c r="C407" s="87"/>
      <c r="D407" s="87"/>
      <c r="E407" s="43"/>
      <c r="F407" s="43"/>
      <c r="G407" s="43"/>
      <c r="H407" s="215" t="e">
        <v>#N/A</v>
      </c>
      <c r="I407" s="134">
        <v>11</v>
      </c>
      <c r="J407" s="104">
        <v>77</v>
      </c>
      <c r="K407" s="208">
        <v>1</v>
      </c>
      <c r="L407" s="225"/>
      <c r="M407" s="124"/>
      <c r="N407" s="124"/>
      <c r="O407" s="124"/>
      <c r="P407" s="227"/>
      <c r="Q407" s="131" t="e">
        <v>#N/A</v>
      </c>
      <c r="R407" s="106" t="e">
        <v>#N/A</v>
      </c>
      <c r="S407" s="128" t="e">
        <v>#N/A</v>
      </c>
      <c r="T407" s="231" t="e">
        <v>#N/A</v>
      </c>
      <c r="U407" s="282" t="e">
        <v>#N/A</v>
      </c>
      <c r="V407" s="87" t="e">
        <v>#N/A</v>
      </c>
      <c r="W407" s="87" t="e">
        <v>#N/A</v>
      </c>
      <c r="X407" s="282" t="e">
        <v>#N/A</v>
      </c>
      <c r="Y407" s="87" t="e">
        <v>#N/A</v>
      </c>
      <c r="Z407" s="215" t="e">
        <v>#N/A</v>
      </c>
      <c r="AA407" s="290" t="e">
        <v>#N/A</v>
      </c>
    </row>
    <row r="408" spans="1:27">
      <c r="A408" s="219"/>
      <c r="B408" s="220" t="e">
        <v>#N/A</v>
      </c>
      <c r="C408" s="220" t="e">
        <v>#N/A</v>
      </c>
      <c r="D408" s="220" t="e">
        <v>#N/A</v>
      </c>
      <c r="E408" s="220" t="e">
        <v>#N/A</v>
      </c>
      <c r="F408" s="220" t="e">
        <v>#N/A</v>
      </c>
      <c r="G408" s="220" t="e">
        <v>#N/A</v>
      </c>
      <c r="H408" s="213" t="e">
        <v>#N/A</v>
      </c>
      <c r="I408" s="219" t="e">
        <v>#N/A</v>
      </c>
      <c r="J408" s="220" t="e">
        <v>#N/A</v>
      </c>
      <c r="K408" s="213" t="e">
        <v>#N/A</v>
      </c>
      <c r="L408" s="219" t="e">
        <v>#N/A</v>
      </c>
      <c r="M408" s="220" t="e">
        <v>#N/A</v>
      </c>
      <c r="N408" s="220" t="e">
        <v>#N/A</v>
      </c>
      <c r="O408" s="220" t="e">
        <v>#N/A</v>
      </c>
      <c r="P408" s="213" t="e">
        <v>#N/A</v>
      </c>
      <c r="Q408" s="219" t="e">
        <v>#N/A</v>
      </c>
      <c r="R408" s="220" t="e">
        <v>#N/A</v>
      </c>
      <c r="S408" s="213" t="e">
        <v>#N/A</v>
      </c>
      <c r="T408" s="228" t="e">
        <v>#N/A</v>
      </c>
      <c r="U408" s="219" t="e">
        <v>#N/A</v>
      </c>
      <c r="V408" s="220" t="e">
        <v>#N/A</v>
      </c>
      <c r="W408" s="220" t="e">
        <v>#N/A</v>
      </c>
      <c r="X408" s="219" t="e">
        <v>#N/A</v>
      </c>
      <c r="Y408" s="220" t="e">
        <v>#N/A</v>
      </c>
      <c r="Z408" s="213" t="e">
        <v>#N/A</v>
      </c>
      <c r="AA408" s="228" t="e">
        <v>#N/A</v>
      </c>
    </row>
    <row r="409" spans="1:27">
      <c r="A409" s="88"/>
      <c r="B409" s="39"/>
      <c r="C409" s="39"/>
      <c r="D409" s="39"/>
      <c r="E409" s="42">
        <v>1</v>
      </c>
      <c r="F409" s="42">
        <v>9</v>
      </c>
      <c r="G409" s="42">
        <v>2</v>
      </c>
      <c r="H409" s="214" t="e">
        <v>#N/A</v>
      </c>
      <c r="I409" s="134" t="e">
        <v>#N/A</v>
      </c>
      <c r="J409" s="104" t="e">
        <v>#N/A</v>
      </c>
      <c r="K409" s="208" t="e">
        <v>#N/A</v>
      </c>
      <c r="L409" s="223"/>
      <c r="M409" s="222"/>
      <c r="N409" s="222"/>
      <c r="O409" s="222"/>
      <c r="P409" s="226"/>
      <c r="Q409" s="134" t="e">
        <v>#N/A</v>
      </c>
      <c r="R409" s="104" t="e">
        <v>#N/A</v>
      </c>
      <c r="S409" s="208" t="e">
        <v>#N/A</v>
      </c>
      <c r="T409" s="229" t="e">
        <v>#N/A</v>
      </c>
      <c r="U409" s="31">
        <v>6</v>
      </c>
      <c r="V409" s="1">
        <v>119</v>
      </c>
      <c r="W409" s="1">
        <v>0</v>
      </c>
      <c r="X409" s="287" t="e">
        <v>#N/A</v>
      </c>
      <c r="Y409" s="246" t="e">
        <v>#N/A</v>
      </c>
      <c r="Z409" s="214" t="e">
        <v>#N/A</v>
      </c>
      <c r="AA409" s="289" t="e">
        <v>#N/A</v>
      </c>
    </row>
    <row r="410" spans="1:27">
      <c r="A410" s="88" t="s">
        <v>342</v>
      </c>
      <c r="B410" s="42">
        <v>1</v>
      </c>
      <c r="C410" s="42">
        <v>6</v>
      </c>
      <c r="D410" s="42">
        <v>3</v>
      </c>
      <c r="E410" s="39"/>
      <c r="F410" s="39"/>
      <c r="G410" s="39"/>
      <c r="H410" s="214">
        <v>22</v>
      </c>
      <c r="I410" s="134" t="e">
        <v>#N/A</v>
      </c>
      <c r="J410" s="104" t="e">
        <v>#N/A</v>
      </c>
      <c r="K410" s="208" t="e">
        <v>#N/A</v>
      </c>
      <c r="L410" s="224">
        <v>122</v>
      </c>
      <c r="M410" s="118">
        <v>4</v>
      </c>
      <c r="N410" s="118">
        <v>33</v>
      </c>
      <c r="O410" s="118">
        <v>7</v>
      </c>
      <c r="P410" s="176">
        <v>57</v>
      </c>
      <c r="Q410" s="31">
        <f>L410+M410</f>
        <v>126</v>
      </c>
      <c r="R410" s="115">
        <f>N410+O410+P410</f>
        <v>97</v>
      </c>
      <c r="S410" s="127">
        <f>Q410-R410</f>
        <v>29</v>
      </c>
      <c r="T410" s="230"/>
      <c r="U410" s="287" t="e">
        <v>#N/A</v>
      </c>
      <c r="V410" s="246" t="e">
        <v>#N/A</v>
      </c>
      <c r="W410" s="214" t="e">
        <v>#N/A</v>
      </c>
      <c r="X410" s="31">
        <v>-8</v>
      </c>
      <c r="Y410" s="1">
        <v>-89</v>
      </c>
      <c r="Z410" s="283">
        <v>0</v>
      </c>
      <c r="AA410" s="289">
        <f>I411+J411+K411</f>
        <v>117</v>
      </c>
    </row>
    <row r="411" spans="1:27" ht="13.5" thickBot="1">
      <c r="A411" s="89"/>
      <c r="B411" s="87"/>
      <c r="C411" s="87"/>
      <c r="D411" s="87"/>
      <c r="E411" s="43"/>
      <c r="F411" s="43"/>
      <c r="G411" s="43"/>
      <c r="H411" s="215" t="e">
        <v>#N/A</v>
      </c>
      <c r="I411" s="134">
        <v>7</v>
      </c>
      <c r="J411" s="104">
        <v>109</v>
      </c>
      <c r="K411" s="208">
        <v>1</v>
      </c>
      <c r="L411" s="225"/>
      <c r="M411" s="124"/>
      <c r="N411" s="124"/>
      <c r="O411" s="124"/>
      <c r="P411" s="227"/>
      <c r="Q411" s="131" t="e">
        <v>#N/A</v>
      </c>
      <c r="R411" s="106" t="e">
        <v>#N/A</v>
      </c>
      <c r="S411" s="128" t="e">
        <v>#N/A</v>
      </c>
      <c r="T411" s="231" t="e">
        <v>#N/A</v>
      </c>
      <c r="U411" s="282" t="e">
        <v>#N/A</v>
      </c>
      <c r="V411" s="87" t="e">
        <v>#N/A</v>
      </c>
      <c r="W411" s="87" t="e">
        <v>#N/A</v>
      </c>
      <c r="X411" s="282" t="e">
        <v>#N/A</v>
      </c>
      <c r="Y411" s="87" t="e">
        <v>#N/A</v>
      </c>
      <c r="Z411" s="215" t="e">
        <v>#N/A</v>
      </c>
      <c r="AA411" s="290" t="e">
        <v>#N/A</v>
      </c>
    </row>
    <row r="412" spans="1:27">
      <c r="A412" s="219"/>
      <c r="B412" s="220" t="e">
        <v>#N/A</v>
      </c>
      <c r="C412" s="220" t="e">
        <v>#N/A</v>
      </c>
      <c r="D412" s="220" t="e">
        <v>#N/A</v>
      </c>
      <c r="E412" s="220" t="e">
        <v>#N/A</v>
      </c>
      <c r="F412" s="220" t="e">
        <v>#N/A</v>
      </c>
      <c r="G412" s="220" t="e">
        <v>#N/A</v>
      </c>
      <c r="H412" s="213" t="e">
        <v>#N/A</v>
      </c>
      <c r="I412" s="219" t="e">
        <v>#N/A</v>
      </c>
      <c r="J412" s="220" t="e">
        <v>#N/A</v>
      </c>
      <c r="K412" s="213" t="e">
        <v>#N/A</v>
      </c>
      <c r="L412" s="219" t="e">
        <v>#N/A</v>
      </c>
      <c r="M412" s="220" t="e">
        <v>#N/A</v>
      </c>
      <c r="N412" s="220" t="e">
        <v>#N/A</v>
      </c>
      <c r="O412" s="220" t="e">
        <v>#N/A</v>
      </c>
      <c r="P412" s="213" t="e">
        <v>#N/A</v>
      </c>
      <c r="Q412" s="219" t="e">
        <v>#N/A</v>
      </c>
      <c r="R412" s="220" t="e">
        <v>#N/A</v>
      </c>
      <c r="S412" s="213" t="e">
        <v>#N/A</v>
      </c>
      <c r="T412" s="228" t="e">
        <v>#N/A</v>
      </c>
      <c r="U412" s="219" t="e">
        <v>#N/A</v>
      </c>
      <c r="V412" s="220" t="e">
        <v>#N/A</v>
      </c>
      <c r="W412" s="220" t="e">
        <v>#N/A</v>
      </c>
      <c r="X412" s="219" t="e">
        <v>#N/A</v>
      </c>
      <c r="Y412" s="220" t="e">
        <v>#N/A</v>
      </c>
      <c r="Z412" s="213" t="e">
        <v>#N/A</v>
      </c>
      <c r="AA412" s="228" t="e">
        <v>#N/A</v>
      </c>
    </row>
    <row r="413" spans="1:27">
      <c r="A413" s="88"/>
      <c r="B413" s="39"/>
      <c r="C413" s="39"/>
      <c r="D413" s="39"/>
      <c r="E413" s="42">
        <v>0</v>
      </c>
      <c r="F413" s="42">
        <v>9</v>
      </c>
      <c r="G413" s="42">
        <v>2</v>
      </c>
      <c r="H413" s="214" t="e">
        <v>#N/A</v>
      </c>
      <c r="I413" s="134" t="e">
        <v>#N/A</v>
      </c>
      <c r="J413" s="104" t="e">
        <v>#N/A</v>
      </c>
      <c r="K413" s="208" t="e">
        <v>#N/A</v>
      </c>
      <c r="L413" s="223"/>
      <c r="M413" s="222"/>
      <c r="N413" s="222"/>
      <c r="O413" s="222"/>
      <c r="P413" s="226"/>
      <c r="Q413" s="134" t="e">
        <v>#N/A</v>
      </c>
      <c r="R413" s="104" t="e">
        <v>#N/A</v>
      </c>
      <c r="S413" s="208" t="e">
        <v>#N/A</v>
      </c>
      <c r="T413" s="229" t="e">
        <v>#N/A</v>
      </c>
      <c r="U413" s="31">
        <v>4</v>
      </c>
      <c r="V413" s="1">
        <v>55</v>
      </c>
      <c r="W413" s="1">
        <v>0</v>
      </c>
      <c r="X413" s="287" t="e">
        <v>#N/A</v>
      </c>
      <c r="Y413" s="246" t="e">
        <v>#N/A</v>
      </c>
      <c r="Z413" s="214" t="e">
        <v>#N/A</v>
      </c>
      <c r="AA413" s="289" t="e">
        <v>#N/A</v>
      </c>
    </row>
    <row r="414" spans="1:27">
      <c r="A414" s="88" t="s">
        <v>343</v>
      </c>
      <c r="B414" s="42">
        <v>1</v>
      </c>
      <c r="C414" s="42">
        <v>7</v>
      </c>
      <c r="D414" s="42">
        <v>3</v>
      </c>
      <c r="E414" s="39"/>
      <c r="F414" s="39"/>
      <c r="G414" s="39"/>
      <c r="H414" s="214">
        <v>22</v>
      </c>
      <c r="I414" s="134" t="e">
        <v>#N/A</v>
      </c>
      <c r="J414" s="104" t="e">
        <v>#N/A</v>
      </c>
      <c r="K414" s="208" t="e">
        <v>#N/A</v>
      </c>
      <c r="L414" s="224">
        <v>56</v>
      </c>
      <c r="M414" s="118">
        <v>4</v>
      </c>
      <c r="N414" s="118">
        <v>47</v>
      </c>
      <c r="O414" s="118">
        <v>2</v>
      </c>
      <c r="P414" s="176">
        <v>37</v>
      </c>
      <c r="Q414" s="31">
        <f>L414+M414</f>
        <v>60</v>
      </c>
      <c r="R414" s="115">
        <f>N414+O414+P414</f>
        <v>86</v>
      </c>
      <c r="S414" s="127">
        <f>Q414-R414</f>
        <v>-26</v>
      </c>
      <c r="T414" s="230"/>
      <c r="U414" s="287" t="e">
        <v>#N/A</v>
      </c>
      <c r="V414" s="246" t="e">
        <v>#N/A</v>
      </c>
      <c r="W414" s="214" t="e">
        <v>#N/A</v>
      </c>
      <c r="X414" s="31">
        <v>-5</v>
      </c>
      <c r="Y414" s="1">
        <v>-80</v>
      </c>
      <c r="Z414" s="283">
        <v>0</v>
      </c>
      <c r="AA414" s="289">
        <f>I415+J415+K415</f>
        <v>91</v>
      </c>
    </row>
    <row r="415" spans="1:27" ht="13.5" thickBot="1">
      <c r="A415" s="89"/>
      <c r="B415" s="87"/>
      <c r="C415" s="87"/>
      <c r="D415" s="87"/>
      <c r="E415" s="43"/>
      <c r="F415" s="43"/>
      <c r="G415" s="43"/>
      <c r="H415" s="215" t="e">
        <v>#N/A</v>
      </c>
      <c r="I415" s="134">
        <v>6</v>
      </c>
      <c r="J415" s="104">
        <v>84</v>
      </c>
      <c r="K415" s="208">
        <v>1</v>
      </c>
      <c r="L415" s="225"/>
      <c r="M415" s="124"/>
      <c r="N415" s="124"/>
      <c r="O415" s="124"/>
      <c r="P415" s="227"/>
      <c r="Q415" s="131" t="e">
        <v>#N/A</v>
      </c>
      <c r="R415" s="106" t="e">
        <v>#N/A</v>
      </c>
      <c r="S415" s="128" t="e">
        <v>#N/A</v>
      </c>
      <c r="T415" s="231" t="e">
        <v>#N/A</v>
      </c>
      <c r="U415" s="282" t="e">
        <v>#N/A</v>
      </c>
      <c r="V415" s="87" t="e">
        <v>#N/A</v>
      </c>
      <c r="W415" s="87" t="e">
        <v>#N/A</v>
      </c>
      <c r="X415" s="282" t="e">
        <v>#N/A</v>
      </c>
      <c r="Y415" s="87" t="e">
        <v>#N/A</v>
      </c>
      <c r="Z415" s="215" t="e">
        <v>#N/A</v>
      </c>
      <c r="AA415" s="290" t="e">
        <v>#N/A</v>
      </c>
    </row>
    <row r="416" spans="1:27">
      <c r="A416" s="219"/>
      <c r="B416" s="220" t="e">
        <v>#N/A</v>
      </c>
      <c r="C416" s="220" t="e">
        <v>#N/A</v>
      </c>
      <c r="D416" s="220" t="e">
        <v>#N/A</v>
      </c>
      <c r="E416" s="220" t="e">
        <v>#N/A</v>
      </c>
      <c r="F416" s="220" t="e">
        <v>#N/A</v>
      </c>
      <c r="G416" s="220" t="e">
        <v>#N/A</v>
      </c>
      <c r="H416" s="213" t="e">
        <v>#N/A</v>
      </c>
      <c r="I416" s="219" t="e">
        <v>#N/A</v>
      </c>
      <c r="J416" s="220" t="e">
        <v>#N/A</v>
      </c>
      <c r="K416" s="213" t="e">
        <v>#N/A</v>
      </c>
      <c r="L416" s="219" t="e">
        <v>#N/A</v>
      </c>
      <c r="M416" s="220" t="e">
        <v>#N/A</v>
      </c>
      <c r="N416" s="220" t="e">
        <v>#N/A</v>
      </c>
      <c r="O416" s="220" t="e">
        <v>#N/A</v>
      </c>
      <c r="P416" s="213" t="e">
        <v>#N/A</v>
      </c>
      <c r="Q416" s="219" t="e">
        <v>#N/A</v>
      </c>
      <c r="R416" s="220" t="e">
        <v>#N/A</v>
      </c>
      <c r="S416" s="213" t="e">
        <v>#N/A</v>
      </c>
      <c r="T416" s="228" t="e">
        <v>#N/A</v>
      </c>
      <c r="U416" s="219" t="e">
        <v>#N/A</v>
      </c>
      <c r="V416" s="220" t="e">
        <v>#N/A</v>
      </c>
      <c r="W416" s="220" t="e">
        <v>#N/A</v>
      </c>
      <c r="X416" s="219" t="e">
        <v>#N/A</v>
      </c>
      <c r="Y416" s="220" t="e">
        <v>#N/A</v>
      </c>
      <c r="Z416" s="213" t="e">
        <v>#N/A</v>
      </c>
      <c r="AA416" s="228" t="e">
        <v>#N/A</v>
      </c>
    </row>
    <row r="417" spans="1:27">
      <c r="A417" s="88"/>
      <c r="B417" s="39"/>
      <c r="C417" s="39"/>
      <c r="D417" s="39"/>
      <c r="E417" s="42">
        <v>0</v>
      </c>
      <c r="F417" s="42">
        <v>9</v>
      </c>
      <c r="G417" s="42">
        <v>2</v>
      </c>
      <c r="H417" s="214" t="e">
        <v>#N/A</v>
      </c>
      <c r="I417" s="134" t="e">
        <v>#N/A</v>
      </c>
      <c r="J417" s="104" t="e">
        <v>#N/A</v>
      </c>
      <c r="K417" s="208" t="e">
        <v>#N/A</v>
      </c>
      <c r="L417" s="223"/>
      <c r="M417" s="222"/>
      <c r="N417" s="222"/>
      <c r="O417" s="222"/>
      <c r="P417" s="226"/>
      <c r="Q417" s="134" t="e">
        <v>#N/A</v>
      </c>
      <c r="R417" s="104" t="e">
        <v>#N/A</v>
      </c>
      <c r="S417" s="208" t="e">
        <v>#N/A</v>
      </c>
      <c r="T417" s="229" t="e">
        <v>#N/A</v>
      </c>
      <c r="U417" s="31">
        <v>3</v>
      </c>
      <c r="V417" s="1">
        <v>51</v>
      </c>
      <c r="W417" s="1">
        <v>1</v>
      </c>
      <c r="X417" s="287" t="e">
        <v>#N/A</v>
      </c>
      <c r="Y417" s="246" t="e">
        <v>#N/A</v>
      </c>
      <c r="Z417" s="214" t="e">
        <v>#N/A</v>
      </c>
      <c r="AA417" s="289" t="e">
        <v>#N/A</v>
      </c>
    </row>
    <row r="418" spans="1:27">
      <c r="A418" s="88" t="s">
        <v>344</v>
      </c>
      <c r="B418" s="42">
        <v>1</v>
      </c>
      <c r="C418" s="42">
        <v>7</v>
      </c>
      <c r="D418" s="42">
        <v>3</v>
      </c>
      <c r="E418" s="39"/>
      <c r="F418" s="39"/>
      <c r="G418" s="39"/>
      <c r="H418" s="214">
        <v>22</v>
      </c>
      <c r="I418" s="134" t="e">
        <v>#N/A</v>
      </c>
      <c r="J418" s="104" t="e">
        <v>#N/A</v>
      </c>
      <c r="K418" s="208" t="e">
        <v>#N/A</v>
      </c>
      <c r="L418" s="224">
        <v>55</v>
      </c>
      <c r="M418" s="118">
        <v>0</v>
      </c>
      <c r="N418" s="118">
        <v>24</v>
      </c>
      <c r="O418" s="118">
        <v>1</v>
      </c>
      <c r="P418" s="176">
        <v>18</v>
      </c>
      <c r="Q418" s="31">
        <f>L418+M418</f>
        <v>55</v>
      </c>
      <c r="R418" s="115">
        <f>N418+O418+P418</f>
        <v>43</v>
      </c>
      <c r="S418" s="127">
        <f>Q418-R418</f>
        <v>12</v>
      </c>
      <c r="T418" s="230"/>
      <c r="U418" s="287" t="e">
        <v>#N/A</v>
      </c>
      <c r="V418" s="246" t="e">
        <v>#N/A</v>
      </c>
      <c r="W418" s="214" t="e">
        <v>#N/A</v>
      </c>
      <c r="X418" s="31">
        <v>-3</v>
      </c>
      <c r="Y418" s="1">
        <v>-39</v>
      </c>
      <c r="Z418" s="283">
        <v>-1</v>
      </c>
      <c r="AA418" s="289">
        <f>I419+J419+K419</f>
        <v>103</v>
      </c>
    </row>
    <row r="419" spans="1:27" ht="13.5" thickBot="1">
      <c r="A419" s="89"/>
      <c r="B419" s="87"/>
      <c r="C419" s="87"/>
      <c r="D419" s="87"/>
      <c r="E419" s="43"/>
      <c r="F419" s="43"/>
      <c r="G419" s="43"/>
      <c r="H419" s="215" t="e">
        <v>#N/A</v>
      </c>
      <c r="I419" s="134">
        <v>6</v>
      </c>
      <c r="J419" s="104">
        <v>96</v>
      </c>
      <c r="K419" s="208">
        <v>1</v>
      </c>
      <c r="L419" s="225"/>
      <c r="M419" s="124"/>
      <c r="N419" s="124"/>
      <c r="O419" s="124"/>
      <c r="P419" s="227"/>
      <c r="Q419" s="131" t="e">
        <v>#N/A</v>
      </c>
      <c r="R419" s="106" t="e">
        <v>#N/A</v>
      </c>
      <c r="S419" s="128" t="e">
        <v>#N/A</v>
      </c>
      <c r="T419" s="231" t="e">
        <v>#N/A</v>
      </c>
      <c r="U419" s="282" t="e">
        <v>#N/A</v>
      </c>
      <c r="V419" s="87" t="e">
        <v>#N/A</v>
      </c>
      <c r="W419" s="87" t="e">
        <v>#N/A</v>
      </c>
      <c r="X419" s="282" t="e">
        <v>#N/A</v>
      </c>
      <c r="Y419" s="87" t="e">
        <v>#N/A</v>
      </c>
      <c r="Z419" s="215" t="e">
        <v>#N/A</v>
      </c>
      <c r="AA419" s="290" t="e">
        <v>#N/A</v>
      </c>
    </row>
    <row r="420" spans="1:27">
      <c r="A420" s="219"/>
      <c r="B420" s="220" t="e">
        <v>#N/A</v>
      </c>
      <c r="C420" s="220" t="e">
        <v>#N/A</v>
      </c>
      <c r="D420" s="220" t="e">
        <v>#N/A</v>
      </c>
      <c r="E420" s="220" t="e">
        <v>#N/A</v>
      </c>
      <c r="F420" s="220" t="e">
        <v>#N/A</v>
      </c>
      <c r="G420" s="220" t="e">
        <v>#N/A</v>
      </c>
      <c r="H420" s="213" t="e">
        <v>#N/A</v>
      </c>
      <c r="I420" s="219" t="e">
        <v>#N/A</v>
      </c>
      <c r="J420" s="220" t="e">
        <v>#N/A</v>
      </c>
      <c r="K420" s="213" t="e">
        <v>#N/A</v>
      </c>
      <c r="L420" s="219" t="e">
        <v>#N/A</v>
      </c>
      <c r="M420" s="220" t="e">
        <v>#N/A</v>
      </c>
      <c r="N420" s="220" t="e">
        <v>#N/A</v>
      </c>
      <c r="O420" s="220" t="e">
        <v>#N/A</v>
      </c>
      <c r="P420" s="213" t="e">
        <v>#N/A</v>
      </c>
      <c r="Q420" s="219" t="e">
        <v>#N/A</v>
      </c>
      <c r="R420" s="220" t="e">
        <v>#N/A</v>
      </c>
      <c r="S420" s="213" t="e">
        <v>#N/A</v>
      </c>
      <c r="T420" s="228" t="e">
        <v>#N/A</v>
      </c>
      <c r="U420" s="219" t="e">
        <v>#N/A</v>
      </c>
      <c r="V420" s="220" t="e">
        <v>#N/A</v>
      </c>
      <c r="W420" s="220" t="e">
        <v>#N/A</v>
      </c>
      <c r="X420" s="219" t="e">
        <v>#N/A</v>
      </c>
      <c r="Y420" s="220" t="e">
        <v>#N/A</v>
      </c>
      <c r="Z420" s="213" t="e">
        <v>#N/A</v>
      </c>
      <c r="AA420" s="228" t="e">
        <v>#N/A</v>
      </c>
    </row>
    <row r="421" spans="1:27">
      <c r="A421" s="88"/>
      <c r="B421" s="39"/>
      <c r="C421" s="39"/>
      <c r="D421" s="39"/>
      <c r="E421" s="42">
        <v>0</v>
      </c>
      <c r="F421" s="42">
        <v>8</v>
      </c>
      <c r="G421" s="42">
        <v>2</v>
      </c>
      <c r="H421" s="214" t="e">
        <v>#N/A</v>
      </c>
      <c r="I421" s="134" t="e">
        <v>#N/A</v>
      </c>
      <c r="J421" s="104" t="e">
        <v>#N/A</v>
      </c>
      <c r="K421" s="208" t="e">
        <v>#N/A</v>
      </c>
      <c r="L421" s="223"/>
      <c r="M421" s="222"/>
      <c r="N421" s="222"/>
      <c r="O421" s="222"/>
      <c r="P421" s="226"/>
      <c r="Q421" s="134" t="e">
        <v>#N/A</v>
      </c>
      <c r="R421" s="104" t="e">
        <v>#N/A</v>
      </c>
      <c r="S421" s="208" t="e">
        <v>#N/A</v>
      </c>
      <c r="T421" s="229" t="e">
        <v>#N/A</v>
      </c>
      <c r="U421" s="31">
        <v>4</v>
      </c>
      <c r="V421" s="1">
        <v>19</v>
      </c>
      <c r="W421" s="1">
        <v>3</v>
      </c>
      <c r="X421" s="287" t="e">
        <v>#N/A</v>
      </c>
      <c r="Y421" s="246" t="e">
        <v>#N/A</v>
      </c>
      <c r="Z421" s="214" t="e">
        <v>#N/A</v>
      </c>
      <c r="AA421" s="289" t="e">
        <v>#N/A</v>
      </c>
    </row>
    <row r="422" spans="1:27">
      <c r="A422" s="88" t="s">
        <v>345</v>
      </c>
      <c r="B422" s="42">
        <v>1</v>
      </c>
      <c r="C422" s="42">
        <v>5</v>
      </c>
      <c r="D422" s="42">
        <v>3</v>
      </c>
      <c r="E422" s="39"/>
      <c r="F422" s="39"/>
      <c r="G422" s="39"/>
      <c r="H422" s="214">
        <v>19</v>
      </c>
      <c r="I422" s="134" t="e">
        <v>#N/A</v>
      </c>
      <c r="J422" s="104" t="e">
        <v>#N/A</v>
      </c>
      <c r="K422" s="208" t="e">
        <v>#N/A</v>
      </c>
      <c r="L422" s="224">
        <v>25</v>
      </c>
      <c r="M422" s="118">
        <v>2</v>
      </c>
      <c r="N422" s="118">
        <v>18</v>
      </c>
      <c r="O422" s="118">
        <v>1</v>
      </c>
      <c r="P422" s="176">
        <v>22</v>
      </c>
      <c r="Q422" s="31">
        <f>L422+M422</f>
        <v>27</v>
      </c>
      <c r="R422" s="115">
        <f>N422+O422+P422</f>
        <v>41</v>
      </c>
      <c r="S422" s="127">
        <f>Q422-R422</f>
        <v>-14</v>
      </c>
      <c r="T422" s="230"/>
      <c r="U422" s="287" t="e">
        <v>#N/A</v>
      </c>
      <c r="V422" s="246" t="e">
        <v>#N/A</v>
      </c>
      <c r="W422" s="214" t="e">
        <v>#N/A</v>
      </c>
      <c r="X422" s="31">
        <v>-5</v>
      </c>
      <c r="Y422" s="1">
        <v>-31</v>
      </c>
      <c r="Z422" s="283">
        <v>-2</v>
      </c>
      <c r="AA422" s="289">
        <f>I423+J423+K423</f>
        <v>93</v>
      </c>
    </row>
    <row r="423" spans="1:27" ht="13.5" thickBot="1">
      <c r="A423" s="89"/>
      <c r="B423" s="87"/>
      <c r="C423" s="87"/>
      <c r="D423" s="87"/>
      <c r="E423" s="43"/>
      <c r="F423" s="43"/>
      <c r="G423" s="43"/>
      <c r="H423" s="215" t="e">
        <v>#N/A</v>
      </c>
      <c r="I423" s="134">
        <v>5</v>
      </c>
      <c r="J423" s="104">
        <v>86</v>
      </c>
      <c r="K423" s="208">
        <v>2</v>
      </c>
      <c r="L423" s="225"/>
      <c r="M423" s="124"/>
      <c r="N423" s="124"/>
      <c r="O423" s="124"/>
      <c r="P423" s="227"/>
      <c r="Q423" s="131" t="e">
        <v>#N/A</v>
      </c>
      <c r="R423" s="106" t="e">
        <v>#N/A</v>
      </c>
      <c r="S423" s="128" t="e">
        <v>#N/A</v>
      </c>
      <c r="T423" s="231" t="e">
        <v>#N/A</v>
      </c>
      <c r="U423" s="282" t="e">
        <v>#N/A</v>
      </c>
      <c r="V423" s="87" t="e">
        <v>#N/A</v>
      </c>
      <c r="W423" s="87" t="e">
        <v>#N/A</v>
      </c>
      <c r="X423" s="282" t="e">
        <v>#N/A</v>
      </c>
      <c r="Y423" s="87" t="e">
        <v>#N/A</v>
      </c>
      <c r="Z423" s="215" t="e">
        <v>#N/A</v>
      </c>
      <c r="AA423" s="290" t="e">
        <v>#N/A</v>
      </c>
    </row>
    <row r="424" spans="1:27">
      <c r="A424" s="219"/>
      <c r="B424" s="220" t="e">
        <v>#N/A</v>
      </c>
      <c r="C424" s="220" t="e">
        <v>#N/A</v>
      </c>
      <c r="D424" s="220" t="e">
        <v>#N/A</v>
      </c>
      <c r="E424" s="220" t="e">
        <v>#N/A</v>
      </c>
      <c r="F424" s="220" t="e">
        <v>#N/A</v>
      </c>
      <c r="G424" s="220" t="e">
        <v>#N/A</v>
      </c>
      <c r="H424" s="213" t="e">
        <v>#N/A</v>
      </c>
      <c r="I424" s="219" t="e">
        <v>#N/A</v>
      </c>
      <c r="J424" s="220" t="e">
        <v>#N/A</v>
      </c>
      <c r="K424" s="213" t="e">
        <v>#N/A</v>
      </c>
      <c r="L424" s="219" t="e">
        <v>#N/A</v>
      </c>
      <c r="M424" s="220" t="e">
        <v>#N/A</v>
      </c>
      <c r="N424" s="220" t="e">
        <v>#N/A</v>
      </c>
      <c r="O424" s="220" t="e">
        <v>#N/A</v>
      </c>
      <c r="P424" s="213" t="e">
        <v>#N/A</v>
      </c>
      <c r="Q424" s="219" t="e">
        <v>#N/A</v>
      </c>
      <c r="R424" s="220" t="e">
        <v>#N/A</v>
      </c>
      <c r="S424" s="213" t="e">
        <v>#N/A</v>
      </c>
      <c r="T424" s="228" t="e">
        <v>#N/A</v>
      </c>
      <c r="U424" s="219" t="e">
        <v>#N/A</v>
      </c>
      <c r="V424" s="220" t="e">
        <v>#N/A</v>
      </c>
      <c r="W424" s="220" t="e">
        <v>#N/A</v>
      </c>
      <c r="X424" s="219" t="e">
        <v>#N/A</v>
      </c>
      <c r="Y424" s="220" t="e">
        <v>#N/A</v>
      </c>
      <c r="Z424" s="213" t="e">
        <v>#N/A</v>
      </c>
      <c r="AA424" s="228" t="e">
        <v>#N/A</v>
      </c>
    </row>
    <row r="425" spans="1:27">
      <c r="A425" s="88"/>
      <c r="B425" s="39"/>
      <c r="C425" s="39"/>
      <c r="D425" s="39"/>
      <c r="E425" s="39">
        <v>0</v>
      </c>
      <c r="F425" s="39">
        <v>8</v>
      </c>
      <c r="G425" s="39">
        <v>2</v>
      </c>
      <c r="H425" s="214" t="e">
        <v>#N/A</v>
      </c>
      <c r="I425" s="134" t="e">
        <v>#N/A</v>
      </c>
      <c r="J425" s="104" t="e">
        <v>#N/A</v>
      </c>
      <c r="K425" s="208" t="e">
        <v>#N/A</v>
      </c>
      <c r="L425" s="223"/>
      <c r="M425" s="222"/>
      <c r="N425" s="222"/>
      <c r="O425" s="222"/>
      <c r="P425" s="226"/>
      <c r="Q425" s="134" t="e">
        <v>#N/A</v>
      </c>
      <c r="R425" s="104" t="e">
        <v>#N/A</v>
      </c>
      <c r="S425" s="208" t="e">
        <v>#N/A</v>
      </c>
      <c r="T425" s="229" t="e">
        <v>#N/A</v>
      </c>
      <c r="U425" s="287">
        <v>6</v>
      </c>
      <c r="V425" s="246">
        <v>13</v>
      </c>
      <c r="W425" s="214">
        <v>1</v>
      </c>
      <c r="X425" s="31"/>
      <c r="Y425" s="1"/>
      <c r="Z425" s="283"/>
      <c r="AA425" s="289" t="e">
        <v>#N/A</v>
      </c>
    </row>
    <row r="426" spans="1:27">
      <c r="A426" s="88" t="s">
        <v>328</v>
      </c>
      <c r="B426" s="42">
        <v>1</v>
      </c>
      <c r="C426" s="42">
        <v>5</v>
      </c>
      <c r="D426" s="42">
        <v>3</v>
      </c>
      <c r="E426" s="39"/>
      <c r="F426" s="39"/>
      <c r="G426" s="39"/>
      <c r="H426" s="214">
        <v>19</v>
      </c>
      <c r="I426" s="134" t="e">
        <v>#N/A</v>
      </c>
      <c r="J426" s="104" t="e">
        <v>#N/A</v>
      </c>
      <c r="K426" s="208" t="e">
        <v>#N/A</v>
      </c>
      <c r="L426" s="224">
        <v>17</v>
      </c>
      <c r="M426" s="118">
        <v>3</v>
      </c>
      <c r="N426" s="118">
        <v>7</v>
      </c>
      <c r="O426" s="118">
        <v>2</v>
      </c>
      <c r="P426" s="176">
        <v>13</v>
      </c>
      <c r="Q426" s="31">
        <f>L426+M426</f>
        <v>20</v>
      </c>
      <c r="R426" s="115">
        <f>N426+O426+P426</f>
        <v>22</v>
      </c>
      <c r="S426" s="127">
        <f>Q426-R426</f>
        <v>-2</v>
      </c>
      <c r="T426" s="230"/>
      <c r="U426" s="31"/>
      <c r="V426" s="1"/>
      <c r="W426" s="1"/>
      <c r="X426" s="287">
        <v>-4</v>
      </c>
      <c r="Y426" s="246">
        <v>-18</v>
      </c>
      <c r="Z426" s="214">
        <v>0</v>
      </c>
      <c r="AA426" s="289">
        <f>I427+J427+K427</f>
        <v>93</v>
      </c>
    </row>
    <row r="427" spans="1:27" ht="13.5" thickBot="1">
      <c r="A427" s="89"/>
      <c r="B427" s="87"/>
      <c r="C427" s="87"/>
      <c r="D427" s="87"/>
      <c r="E427" s="43"/>
      <c r="F427" s="43"/>
      <c r="G427" s="43"/>
      <c r="H427" s="215" t="e">
        <v>#N/A</v>
      </c>
      <c r="I427" s="131">
        <v>8</v>
      </c>
      <c r="J427" s="106">
        <v>82</v>
      </c>
      <c r="K427" s="128">
        <v>3</v>
      </c>
      <c r="L427" s="225"/>
      <c r="M427" s="124"/>
      <c r="N427" s="124"/>
      <c r="O427" s="124"/>
      <c r="P427" s="227"/>
      <c r="Q427" s="131" t="e">
        <v>#N/A</v>
      </c>
      <c r="R427" s="106" t="e">
        <v>#N/A</v>
      </c>
      <c r="S427" s="128" t="e">
        <v>#N/A</v>
      </c>
      <c r="T427" s="231" t="e">
        <v>#N/A</v>
      </c>
      <c r="U427" s="282" t="e">
        <v>#N/A</v>
      </c>
      <c r="V427" s="87" t="e">
        <v>#N/A</v>
      </c>
      <c r="W427" s="87" t="e">
        <v>#N/A</v>
      </c>
      <c r="X427" s="282" t="e">
        <v>#N/A</v>
      </c>
      <c r="Y427" s="87" t="e">
        <v>#N/A</v>
      </c>
      <c r="Z427" s="215" t="e">
        <v>#N/A</v>
      </c>
      <c r="AA427" s="290" t="e">
        <v>#N/A</v>
      </c>
    </row>
    <row r="428" spans="1:27">
      <c r="A428" s="219"/>
      <c r="B428" s="220" t="e">
        <v>#N/A</v>
      </c>
      <c r="C428" s="220" t="e">
        <v>#N/A</v>
      </c>
      <c r="D428" s="220" t="e">
        <v>#N/A</v>
      </c>
      <c r="E428" s="220" t="e">
        <v>#N/A</v>
      </c>
      <c r="F428" s="220" t="e">
        <v>#N/A</v>
      </c>
      <c r="G428" s="220" t="e">
        <v>#N/A</v>
      </c>
      <c r="H428" s="213" t="e">
        <v>#N/A</v>
      </c>
      <c r="I428" s="219" t="e">
        <v>#N/A</v>
      </c>
      <c r="J428" s="220" t="e">
        <v>#N/A</v>
      </c>
      <c r="K428" s="213" t="e">
        <v>#N/A</v>
      </c>
      <c r="L428" s="219" t="e">
        <v>#N/A</v>
      </c>
      <c r="M428" s="220" t="e">
        <v>#N/A</v>
      </c>
      <c r="N428" s="220" t="e">
        <v>#N/A</v>
      </c>
      <c r="O428" s="220" t="e">
        <v>#N/A</v>
      </c>
      <c r="P428" s="213" t="e">
        <v>#N/A</v>
      </c>
      <c r="Q428" s="219" t="e">
        <v>#N/A</v>
      </c>
      <c r="R428" s="220" t="e">
        <v>#N/A</v>
      </c>
      <c r="S428" s="213" t="e">
        <v>#N/A</v>
      </c>
      <c r="T428" s="228" t="e">
        <v>#N/A</v>
      </c>
      <c r="U428" s="219" t="e">
        <v>#N/A</v>
      </c>
      <c r="V428" s="220" t="e">
        <v>#N/A</v>
      </c>
      <c r="W428" s="220" t="e">
        <v>#N/A</v>
      </c>
      <c r="X428" s="219" t="e">
        <v>#N/A</v>
      </c>
      <c r="Y428" s="220" t="e">
        <v>#N/A</v>
      </c>
      <c r="Z428" s="213" t="e">
        <v>#N/A</v>
      </c>
      <c r="AA428" s="228" t="e">
        <v>#N/A</v>
      </c>
    </row>
    <row r="429" spans="1:27">
      <c r="A429" s="88"/>
      <c r="B429" s="39"/>
      <c r="C429" s="39"/>
      <c r="D429" s="39"/>
      <c r="E429" s="39">
        <v>0</v>
      </c>
      <c r="F429" s="39">
        <v>8</v>
      </c>
      <c r="G429" s="39">
        <v>2</v>
      </c>
      <c r="H429" s="214" t="e">
        <v>#N/A</v>
      </c>
      <c r="I429" s="134" t="e">
        <v>#N/A</v>
      </c>
      <c r="J429" s="104" t="e">
        <v>#N/A</v>
      </c>
      <c r="K429" s="208" t="e">
        <v>#N/A</v>
      </c>
      <c r="L429" s="223"/>
      <c r="M429" s="222"/>
      <c r="N429" s="222"/>
      <c r="O429" s="222"/>
      <c r="P429" s="226"/>
      <c r="Q429" s="134" t="e">
        <v>#N/A</v>
      </c>
      <c r="R429" s="104" t="e">
        <v>#N/A</v>
      </c>
      <c r="S429" s="208" t="e">
        <v>#N/A</v>
      </c>
      <c r="T429" s="229" t="e">
        <v>#N/A</v>
      </c>
      <c r="U429" s="287">
        <v>1</v>
      </c>
      <c r="V429" s="246">
        <v>35</v>
      </c>
      <c r="W429" s="214">
        <v>3</v>
      </c>
      <c r="X429" s="31"/>
      <c r="Y429" s="1"/>
      <c r="Z429" s="283"/>
      <c r="AA429" s="289" t="e">
        <v>#N/A</v>
      </c>
    </row>
    <row r="430" spans="1:27">
      <c r="A430" s="88" t="s">
        <v>329</v>
      </c>
      <c r="B430" s="42">
        <v>1</v>
      </c>
      <c r="C430" s="42">
        <v>5</v>
      </c>
      <c r="D430" s="42">
        <v>3</v>
      </c>
      <c r="E430" s="39"/>
      <c r="F430" s="39"/>
      <c r="G430" s="39"/>
      <c r="H430" s="214">
        <v>19</v>
      </c>
      <c r="I430" s="134" t="e">
        <v>#N/A</v>
      </c>
      <c r="J430" s="104" t="e">
        <v>#N/A</v>
      </c>
      <c r="K430" s="208" t="e">
        <v>#N/A</v>
      </c>
      <c r="L430" s="224">
        <v>37</v>
      </c>
      <c r="M430" s="118">
        <v>6</v>
      </c>
      <c r="N430" s="118">
        <v>19</v>
      </c>
      <c r="O430" s="118">
        <v>3</v>
      </c>
      <c r="P430" s="176">
        <v>26</v>
      </c>
      <c r="Q430" s="31">
        <f>L430+M430</f>
        <v>43</v>
      </c>
      <c r="R430" s="115">
        <f>N430+O430+P430</f>
        <v>48</v>
      </c>
      <c r="S430" s="127">
        <f>Q430-R430</f>
        <v>-5</v>
      </c>
      <c r="T430" s="230"/>
      <c r="U430" s="31"/>
      <c r="V430" s="1"/>
      <c r="W430" s="1"/>
      <c r="X430" s="287">
        <v>-2</v>
      </c>
      <c r="Y430" s="246">
        <v>-41</v>
      </c>
      <c r="Z430" s="214">
        <v>-1</v>
      </c>
      <c r="AA430" s="289">
        <f>I431+J431+K431</f>
        <v>88</v>
      </c>
    </row>
    <row r="431" spans="1:27" ht="13.5" thickBot="1">
      <c r="A431" s="89"/>
      <c r="B431" s="87"/>
      <c r="C431" s="87"/>
      <c r="D431" s="87"/>
      <c r="E431" s="43"/>
      <c r="F431" s="43"/>
      <c r="G431" s="43"/>
      <c r="H431" s="215" t="e">
        <v>#N/A</v>
      </c>
      <c r="I431" s="131">
        <v>7</v>
      </c>
      <c r="J431" s="106">
        <v>76</v>
      </c>
      <c r="K431" s="128">
        <v>5</v>
      </c>
      <c r="L431" s="225"/>
      <c r="M431" s="124"/>
      <c r="N431" s="124"/>
      <c r="O431" s="124"/>
      <c r="P431" s="227"/>
      <c r="Q431" s="131" t="e">
        <v>#N/A</v>
      </c>
      <c r="R431" s="106" t="e">
        <v>#N/A</v>
      </c>
      <c r="S431" s="128" t="e">
        <v>#N/A</v>
      </c>
      <c r="T431" s="231" t="e">
        <v>#N/A</v>
      </c>
      <c r="U431" s="282" t="e">
        <v>#N/A</v>
      </c>
      <c r="V431" s="87" t="e">
        <v>#N/A</v>
      </c>
      <c r="W431" s="87" t="e">
        <v>#N/A</v>
      </c>
      <c r="X431" s="282" t="e">
        <v>#N/A</v>
      </c>
      <c r="Y431" s="87" t="e">
        <v>#N/A</v>
      </c>
      <c r="Z431" s="215" t="e">
        <v>#N/A</v>
      </c>
      <c r="AA431" s="290" t="e">
        <v>#N/A</v>
      </c>
    </row>
    <row r="432" spans="1:27">
      <c r="A432" s="219"/>
      <c r="B432" s="220" t="e">
        <v>#N/A</v>
      </c>
      <c r="C432" s="220" t="e">
        <v>#N/A</v>
      </c>
      <c r="D432" s="220" t="e">
        <v>#N/A</v>
      </c>
      <c r="E432" s="220" t="e">
        <v>#N/A</v>
      </c>
      <c r="F432" s="220" t="e">
        <v>#N/A</v>
      </c>
      <c r="G432" s="220" t="e">
        <v>#N/A</v>
      </c>
      <c r="H432" s="213" t="e">
        <v>#N/A</v>
      </c>
      <c r="I432" s="219" t="e">
        <v>#N/A</v>
      </c>
      <c r="J432" s="220" t="e">
        <v>#N/A</v>
      </c>
      <c r="K432" s="213" t="e">
        <v>#N/A</v>
      </c>
      <c r="L432" s="219" t="e">
        <v>#N/A</v>
      </c>
      <c r="M432" s="220" t="e">
        <v>#N/A</v>
      </c>
      <c r="N432" s="220" t="e">
        <v>#N/A</v>
      </c>
      <c r="O432" s="220" t="e">
        <v>#N/A</v>
      </c>
      <c r="P432" s="213" t="e">
        <v>#N/A</v>
      </c>
      <c r="Q432" s="219" t="e">
        <v>#N/A</v>
      </c>
      <c r="R432" s="220" t="e">
        <v>#N/A</v>
      </c>
      <c r="S432" s="213" t="e">
        <v>#N/A</v>
      </c>
      <c r="T432" s="228" t="e">
        <v>#N/A</v>
      </c>
      <c r="U432" s="219" t="e">
        <v>#N/A</v>
      </c>
      <c r="V432" s="220" t="e">
        <v>#N/A</v>
      </c>
      <c r="W432" s="220" t="e">
        <v>#N/A</v>
      </c>
      <c r="X432" s="219" t="e">
        <v>#N/A</v>
      </c>
      <c r="Y432" s="220" t="e">
        <v>#N/A</v>
      </c>
      <c r="Z432" s="213" t="e">
        <v>#N/A</v>
      </c>
      <c r="AA432" s="228" t="e">
        <v>#N/A</v>
      </c>
    </row>
    <row r="433" spans="1:27">
      <c r="A433" s="88"/>
      <c r="B433" s="39"/>
      <c r="C433" s="39"/>
      <c r="D433" s="39"/>
      <c r="E433" s="39">
        <v>0</v>
      </c>
      <c r="F433" s="39">
        <v>8</v>
      </c>
      <c r="G433" s="39">
        <v>2</v>
      </c>
      <c r="H433" s="214" t="e">
        <v>#N/A</v>
      </c>
      <c r="I433" s="134" t="e">
        <v>#N/A</v>
      </c>
      <c r="J433" s="104" t="e">
        <v>#N/A</v>
      </c>
      <c r="K433" s="208" t="e">
        <v>#N/A</v>
      </c>
      <c r="L433" s="223"/>
      <c r="M433" s="222"/>
      <c r="N433" s="222"/>
      <c r="O433" s="222"/>
      <c r="P433" s="226"/>
      <c r="Q433" s="134" t="e">
        <v>#N/A</v>
      </c>
      <c r="R433" s="104" t="e">
        <v>#N/A</v>
      </c>
      <c r="S433" s="208" t="e">
        <v>#N/A</v>
      </c>
      <c r="T433" s="229" t="e">
        <v>#N/A</v>
      </c>
      <c r="U433" s="287">
        <v>6</v>
      </c>
      <c r="V433" s="246">
        <v>39</v>
      </c>
      <c r="W433" s="214">
        <v>3</v>
      </c>
      <c r="X433" s="31"/>
      <c r="Y433" s="1"/>
      <c r="Z433" s="283"/>
      <c r="AA433" s="289" t="e">
        <v>#N/A</v>
      </c>
    </row>
    <row r="434" spans="1:27">
      <c r="A434" s="88" t="s">
        <v>382</v>
      </c>
      <c r="B434" s="42">
        <v>1</v>
      </c>
      <c r="C434" s="42">
        <v>5</v>
      </c>
      <c r="D434" s="42">
        <v>3</v>
      </c>
      <c r="E434" s="39"/>
      <c r="F434" s="39"/>
      <c r="G434" s="39"/>
      <c r="H434" s="214">
        <v>19</v>
      </c>
      <c r="I434" s="134" t="e">
        <v>#N/A</v>
      </c>
      <c r="J434" s="104" t="e">
        <v>#N/A</v>
      </c>
      <c r="K434" s="208" t="e">
        <v>#N/A</v>
      </c>
      <c r="L434" s="224">
        <v>45</v>
      </c>
      <c r="M434" s="118">
        <v>3</v>
      </c>
      <c r="N434" s="118">
        <v>0</v>
      </c>
      <c r="O434" s="118">
        <v>0</v>
      </c>
      <c r="P434" s="176">
        <v>0</v>
      </c>
      <c r="Q434" s="31">
        <f>L434+M434</f>
        <v>48</v>
      </c>
      <c r="R434" s="115">
        <f>N434+O434+P434</f>
        <v>0</v>
      </c>
      <c r="S434" s="127">
        <f>Q434-R434</f>
        <v>48</v>
      </c>
      <c r="T434" s="230"/>
      <c r="U434" s="31"/>
      <c r="V434" s="1"/>
      <c r="W434" s="1"/>
      <c r="X434" s="287">
        <v>0</v>
      </c>
      <c r="Y434" s="246">
        <v>0</v>
      </c>
      <c r="Z434" s="214">
        <v>0</v>
      </c>
      <c r="AA434" s="289">
        <f>I435+J435+K435</f>
        <v>135</v>
      </c>
    </row>
    <row r="435" spans="1:27" ht="13.5" thickBot="1">
      <c r="A435" s="89"/>
      <c r="B435" s="87"/>
      <c r="C435" s="87"/>
      <c r="D435" s="87"/>
      <c r="E435" s="43"/>
      <c r="F435" s="43"/>
      <c r="G435" s="43"/>
      <c r="H435" s="215" t="e">
        <v>#N/A</v>
      </c>
      <c r="I435" s="131">
        <v>12</v>
      </c>
      <c r="J435" s="106">
        <v>115</v>
      </c>
      <c r="K435" s="128">
        <v>8</v>
      </c>
      <c r="L435" s="225"/>
      <c r="M435" s="124"/>
      <c r="N435" s="124"/>
      <c r="O435" s="124"/>
      <c r="P435" s="227"/>
      <c r="Q435" s="131" t="e">
        <v>#N/A</v>
      </c>
      <c r="R435" s="106" t="e">
        <v>#N/A</v>
      </c>
      <c r="S435" s="128" t="e">
        <v>#N/A</v>
      </c>
      <c r="T435" s="231" t="e">
        <v>#N/A</v>
      </c>
      <c r="U435" s="282" t="e">
        <v>#N/A</v>
      </c>
      <c r="V435" s="87" t="e">
        <v>#N/A</v>
      </c>
      <c r="W435" s="87" t="e">
        <v>#N/A</v>
      </c>
      <c r="X435" s="282" t="e">
        <v>#N/A</v>
      </c>
      <c r="Y435" s="87" t="e">
        <v>#N/A</v>
      </c>
      <c r="Z435" s="215" t="e">
        <v>#N/A</v>
      </c>
      <c r="AA435" s="290" t="e">
        <v>#N/A</v>
      </c>
    </row>
    <row r="436" spans="1:27">
      <c r="A436" s="219"/>
      <c r="B436" s="220" t="e">
        <v>#N/A</v>
      </c>
      <c r="C436" s="220" t="e">
        <v>#N/A</v>
      </c>
      <c r="D436" s="220" t="e">
        <v>#N/A</v>
      </c>
      <c r="E436" s="220" t="e">
        <v>#N/A</v>
      </c>
      <c r="F436" s="220" t="e">
        <v>#N/A</v>
      </c>
      <c r="G436" s="220" t="e">
        <v>#N/A</v>
      </c>
      <c r="H436" s="213" t="e">
        <v>#N/A</v>
      </c>
      <c r="I436" s="219" t="e">
        <v>#N/A</v>
      </c>
      <c r="J436" s="220" t="e">
        <v>#N/A</v>
      </c>
      <c r="K436" s="213" t="e">
        <v>#N/A</v>
      </c>
      <c r="L436" s="219" t="e">
        <v>#N/A</v>
      </c>
      <c r="M436" s="220" t="e">
        <v>#N/A</v>
      </c>
      <c r="N436" s="220" t="e">
        <v>#N/A</v>
      </c>
      <c r="O436" s="220" t="e">
        <v>#N/A</v>
      </c>
      <c r="P436" s="213" t="e">
        <v>#N/A</v>
      </c>
      <c r="Q436" s="219" t="e">
        <v>#N/A</v>
      </c>
      <c r="R436" s="220" t="e">
        <v>#N/A</v>
      </c>
      <c r="S436" s="213" t="e">
        <v>#N/A</v>
      </c>
      <c r="T436" s="228" t="e">
        <v>#N/A</v>
      </c>
      <c r="U436" s="219" t="e">
        <v>#N/A</v>
      </c>
      <c r="V436" s="220" t="e">
        <v>#N/A</v>
      </c>
      <c r="W436" s="220" t="e">
        <v>#N/A</v>
      </c>
      <c r="X436" s="219" t="e">
        <v>#N/A</v>
      </c>
      <c r="Y436" s="220" t="e">
        <v>#N/A</v>
      </c>
      <c r="Z436" s="213" t="e">
        <v>#N/A</v>
      </c>
      <c r="AA436" s="228" t="e">
        <v>#N/A</v>
      </c>
    </row>
    <row r="437" spans="1:27">
      <c r="A437" s="88"/>
      <c r="B437" s="39"/>
      <c r="C437" s="39"/>
      <c r="D437" s="39"/>
      <c r="E437" s="39">
        <v>0</v>
      </c>
      <c r="F437" s="39">
        <v>8</v>
      </c>
      <c r="G437" s="39">
        <v>2</v>
      </c>
      <c r="H437" s="214" t="e">
        <v>#N/A</v>
      </c>
      <c r="I437" s="134" t="e">
        <v>#N/A</v>
      </c>
      <c r="J437" s="104" t="e">
        <v>#N/A</v>
      </c>
      <c r="K437" s="208" t="e">
        <v>#N/A</v>
      </c>
      <c r="L437" s="223"/>
      <c r="M437" s="222"/>
      <c r="N437" s="222"/>
      <c r="O437" s="222"/>
      <c r="P437" s="226"/>
      <c r="Q437" s="134" t="e">
        <v>#N/A</v>
      </c>
      <c r="R437" s="104" t="e">
        <v>#N/A</v>
      </c>
      <c r="S437" s="208" t="e">
        <v>#N/A</v>
      </c>
      <c r="T437" s="229" t="e">
        <v>#N/A</v>
      </c>
      <c r="U437" s="287">
        <v>2</v>
      </c>
      <c r="V437" s="246">
        <v>108</v>
      </c>
      <c r="W437" s="214">
        <v>0</v>
      </c>
      <c r="X437" s="31"/>
      <c r="Y437" s="1"/>
      <c r="Z437" s="283"/>
      <c r="AA437" s="289" t="e">
        <v>#N/A</v>
      </c>
    </row>
    <row r="438" spans="1:27">
      <c r="A438" s="88" t="s">
        <v>383</v>
      </c>
      <c r="B438" s="42">
        <v>1</v>
      </c>
      <c r="C438" s="42">
        <v>5</v>
      </c>
      <c r="D438" s="42">
        <v>3</v>
      </c>
      <c r="E438" s="39"/>
      <c r="F438" s="39"/>
      <c r="G438" s="39"/>
      <c r="H438" s="214">
        <v>19</v>
      </c>
      <c r="I438" s="134" t="e">
        <v>#N/A</v>
      </c>
      <c r="J438" s="104" t="e">
        <v>#N/A</v>
      </c>
      <c r="K438" s="208" t="e">
        <v>#N/A</v>
      </c>
      <c r="L438" s="224">
        <v>108</v>
      </c>
      <c r="M438" s="118">
        <v>2</v>
      </c>
      <c r="N438" s="118">
        <v>9</v>
      </c>
      <c r="O438" s="118">
        <v>0</v>
      </c>
      <c r="P438" s="176">
        <v>3</v>
      </c>
      <c r="Q438" s="31">
        <f>L438+M438</f>
        <v>110</v>
      </c>
      <c r="R438" s="115">
        <f>N438+O438+P438</f>
        <v>12</v>
      </c>
      <c r="S438" s="127">
        <f>Q438-R438</f>
        <v>98</v>
      </c>
      <c r="T438" s="230"/>
      <c r="U438" s="31"/>
      <c r="V438" s="1"/>
      <c r="W438" s="1"/>
      <c r="X438" s="287">
        <v>-3</v>
      </c>
      <c r="Y438" s="246">
        <v>-9</v>
      </c>
      <c r="Z438" s="214">
        <v>0</v>
      </c>
      <c r="AA438" s="289">
        <f>I439+J439+K439</f>
        <v>231</v>
      </c>
    </row>
    <row r="439" spans="1:27" ht="13.5" thickBot="1">
      <c r="A439" s="89"/>
      <c r="B439" s="87"/>
      <c r="C439" s="87"/>
      <c r="D439" s="87"/>
      <c r="E439" s="43"/>
      <c r="F439" s="43"/>
      <c r="G439" s="43"/>
      <c r="H439" s="215" t="e">
        <v>#N/A</v>
      </c>
      <c r="I439" s="131">
        <v>11</v>
      </c>
      <c r="J439" s="106">
        <v>212</v>
      </c>
      <c r="K439" s="128">
        <v>8</v>
      </c>
      <c r="L439" s="225"/>
      <c r="M439" s="124"/>
      <c r="N439" s="124"/>
      <c r="O439" s="124"/>
      <c r="P439" s="227"/>
      <c r="Q439" s="131" t="e">
        <v>#N/A</v>
      </c>
      <c r="R439" s="106" t="e">
        <v>#N/A</v>
      </c>
      <c r="S439" s="128" t="e">
        <v>#N/A</v>
      </c>
      <c r="T439" s="231" t="e">
        <v>#N/A</v>
      </c>
      <c r="U439" s="282" t="e">
        <v>#N/A</v>
      </c>
      <c r="V439" s="87" t="e">
        <v>#N/A</v>
      </c>
      <c r="W439" s="87" t="e">
        <v>#N/A</v>
      </c>
      <c r="X439" s="282" t="e">
        <v>#N/A</v>
      </c>
      <c r="Y439" s="87" t="e">
        <v>#N/A</v>
      </c>
      <c r="Z439" s="215" t="e">
        <v>#N/A</v>
      </c>
      <c r="AA439" s="290" t="e">
        <v>#N/A</v>
      </c>
    </row>
    <row r="440" spans="1:27">
      <c r="A440" s="219"/>
      <c r="B440" s="220" t="e">
        <v>#N/A</v>
      </c>
      <c r="C440" s="220" t="e">
        <v>#N/A</v>
      </c>
      <c r="D440" s="220" t="e">
        <v>#N/A</v>
      </c>
      <c r="E440" s="220" t="e">
        <v>#N/A</v>
      </c>
      <c r="F440" s="220" t="e">
        <v>#N/A</v>
      </c>
      <c r="G440" s="220" t="e">
        <v>#N/A</v>
      </c>
      <c r="H440" s="213" t="e">
        <v>#N/A</v>
      </c>
      <c r="I440" s="219" t="e">
        <v>#N/A</v>
      </c>
      <c r="J440" s="220" t="e">
        <v>#N/A</v>
      </c>
      <c r="K440" s="213" t="e">
        <v>#N/A</v>
      </c>
      <c r="L440" s="219" t="e">
        <v>#N/A</v>
      </c>
      <c r="M440" s="220" t="e">
        <v>#N/A</v>
      </c>
      <c r="N440" s="220" t="e">
        <v>#N/A</v>
      </c>
      <c r="O440" s="220" t="e">
        <v>#N/A</v>
      </c>
      <c r="P440" s="213" t="e">
        <v>#N/A</v>
      </c>
      <c r="Q440" s="219" t="e">
        <v>#N/A</v>
      </c>
      <c r="R440" s="220" t="e">
        <v>#N/A</v>
      </c>
      <c r="S440" s="213" t="e">
        <v>#N/A</v>
      </c>
      <c r="T440" s="228" t="e">
        <v>#N/A</v>
      </c>
      <c r="U440" s="219" t="e">
        <v>#N/A</v>
      </c>
      <c r="V440" s="220" t="e">
        <v>#N/A</v>
      </c>
      <c r="W440" s="220" t="e">
        <v>#N/A</v>
      </c>
      <c r="X440" s="219" t="e">
        <v>#N/A</v>
      </c>
      <c r="Y440" s="220" t="e">
        <v>#N/A</v>
      </c>
      <c r="Z440" s="213" t="e">
        <v>#N/A</v>
      </c>
      <c r="AA440" s="228" t="e">
        <v>#N/A</v>
      </c>
    </row>
    <row r="441" spans="1:27">
      <c r="A441" s="88"/>
      <c r="B441" s="39"/>
      <c r="C441" s="39"/>
      <c r="D441" s="39"/>
      <c r="E441" s="39">
        <v>0</v>
      </c>
      <c r="F441" s="39">
        <v>9</v>
      </c>
      <c r="G441" s="39">
        <v>2</v>
      </c>
      <c r="H441" s="214" t="e">
        <v>#N/A</v>
      </c>
      <c r="I441" s="134" t="e">
        <v>#N/A</v>
      </c>
      <c r="J441" s="104" t="e">
        <v>#N/A</v>
      </c>
      <c r="K441" s="208" t="e">
        <v>#N/A</v>
      </c>
      <c r="L441" s="223"/>
      <c r="M441" s="222"/>
      <c r="N441" s="222"/>
      <c r="O441" s="222"/>
      <c r="P441" s="226"/>
      <c r="Q441" s="134" t="e">
        <v>#N/A</v>
      </c>
      <c r="R441" s="104" t="e">
        <v>#N/A</v>
      </c>
      <c r="S441" s="208" t="e">
        <v>#N/A</v>
      </c>
      <c r="T441" s="229" t="e">
        <v>#N/A</v>
      </c>
      <c r="U441" s="287">
        <v>1</v>
      </c>
      <c r="V441" s="246">
        <v>14</v>
      </c>
      <c r="W441" s="214">
        <v>0</v>
      </c>
      <c r="X441" s="31"/>
      <c r="Y441" s="1"/>
      <c r="Z441" s="283"/>
      <c r="AA441" s="289" t="e">
        <v>#N/A</v>
      </c>
    </row>
    <row r="442" spans="1:27">
      <c r="A442" s="88" t="s">
        <v>384</v>
      </c>
      <c r="B442" s="42">
        <v>1</v>
      </c>
      <c r="C442" s="42">
        <v>5</v>
      </c>
      <c r="D442" s="42">
        <v>3</v>
      </c>
      <c r="E442" s="39"/>
      <c r="F442" s="39"/>
      <c r="G442" s="39"/>
      <c r="H442" s="214">
        <v>20</v>
      </c>
      <c r="I442" s="134" t="e">
        <v>#N/A</v>
      </c>
      <c r="J442" s="104" t="e">
        <v>#N/A</v>
      </c>
      <c r="K442" s="208" t="e">
        <v>#N/A</v>
      </c>
      <c r="L442" s="224">
        <v>15</v>
      </c>
      <c r="M442" s="118">
        <v>0</v>
      </c>
      <c r="N442" s="118">
        <v>22</v>
      </c>
      <c r="O442" s="118">
        <v>0</v>
      </c>
      <c r="P442" s="176">
        <v>0</v>
      </c>
      <c r="Q442" s="31">
        <f>L442+M442</f>
        <v>15</v>
      </c>
      <c r="R442" s="115">
        <f>N442+O442+P442</f>
        <v>22</v>
      </c>
      <c r="S442" s="127">
        <f>Q442-R442</f>
        <v>-7</v>
      </c>
      <c r="T442" s="230"/>
      <c r="U442" s="31"/>
      <c r="V442" s="1"/>
      <c r="W442" s="1"/>
      <c r="X442" s="287">
        <v>-4</v>
      </c>
      <c r="Y442" s="246">
        <v>-18</v>
      </c>
      <c r="Z442" s="214">
        <v>0</v>
      </c>
      <c r="AA442" s="289">
        <f>I443+J443+K443</f>
        <v>224</v>
      </c>
    </row>
    <row r="443" spans="1:27" ht="13.5" thickBot="1">
      <c r="A443" s="89"/>
      <c r="B443" s="87"/>
      <c r="C443" s="87"/>
      <c r="D443" s="87"/>
      <c r="E443" s="43"/>
      <c r="F443" s="43"/>
      <c r="G443" s="43"/>
      <c r="H443" s="215" t="e">
        <v>#N/A</v>
      </c>
      <c r="I443" s="131">
        <v>8</v>
      </c>
      <c r="J443" s="106">
        <v>208</v>
      </c>
      <c r="K443" s="128">
        <v>8</v>
      </c>
      <c r="L443" s="225"/>
      <c r="M443" s="124"/>
      <c r="N443" s="124"/>
      <c r="O443" s="124"/>
      <c r="P443" s="227"/>
      <c r="Q443" s="131" t="e">
        <v>#N/A</v>
      </c>
      <c r="R443" s="106" t="e">
        <v>#N/A</v>
      </c>
      <c r="S443" s="128" t="e">
        <v>#N/A</v>
      </c>
      <c r="T443" s="231" t="e">
        <v>#N/A</v>
      </c>
      <c r="U443" s="282" t="e">
        <v>#N/A</v>
      </c>
      <c r="V443" s="87" t="e">
        <v>#N/A</v>
      </c>
      <c r="W443" s="87" t="e">
        <v>#N/A</v>
      </c>
      <c r="X443" s="282" t="e">
        <v>#N/A</v>
      </c>
      <c r="Y443" s="87" t="e">
        <v>#N/A</v>
      </c>
      <c r="Z443" s="215" t="e">
        <v>#N/A</v>
      </c>
      <c r="AA443" s="290" t="e">
        <v>#N/A</v>
      </c>
    </row>
    <row r="444" spans="1:27">
      <c r="A444" s="219"/>
      <c r="B444" s="220" t="e">
        <v>#N/A</v>
      </c>
      <c r="C444" s="220" t="e">
        <v>#N/A</v>
      </c>
      <c r="D444" s="220" t="e">
        <v>#N/A</v>
      </c>
      <c r="E444" s="220" t="e">
        <v>#N/A</v>
      </c>
      <c r="F444" s="220" t="e">
        <v>#N/A</v>
      </c>
      <c r="G444" s="220" t="e">
        <v>#N/A</v>
      </c>
      <c r="H444" s="213" t="e">
        <v>#N/A</v>
      </c>
      <c r="I444" s="219" t="e">
        <v>#N/A</v>
      </c>
      <c r="J444" s="220" t="e">
        <v>#N/A</v>
      </c>
      <c r="K444" s="213" t="e">
        <v>#N/A</v>
      </c>
      <c r="L444" s="219" t="e">
        <v>#N/A</v>
      </c>
      <c r="M444" s="220" t="e">
        <v>#N/A</v>
      </c>
      <c r="N444" s="220" t="e">
        <v>#N/A</v>
      </c>
      <c r="O444" s="220" t="e">
        <v>#N/A</v>
      </c>
      <c r="P444" s="213" t="e">
        <v>#N/A</v>
      </c>
      <c r="Q444" s="219" t="e">
        <v>#N/A</v>
      </c>
      <c r="R444" s="220" t="e">
        <v>#N/A</v>
      </c>
      <c r="S444" s="213" t="e">
        <v>#N/A</v>
      </c>
      <c r="T444" s="228" t="e">
        <v>#N/A</v>
      </c>
      <c r="U444" s="219" t="e">
        <v>#N/A</v>
      </c>
      <c r="V444" s="220" t="e">
        <v>#N/A</v>
      </c>
      <c r="W444" s="220" t="e">
        <v>#N/A</v>
      </c>
      <c r="X444" s="219" t="e">
        <v>#N/A</v>
      </c>
      <c r="Y444" s="220" t="e">
        <v>#N/A</v>
      </c>
      <c r="Z444" s="213" t="e">
        <v>#N/A</v>
      </c>
      <c r="AA444" s="228" t="e">
        <v>#N/A</v>
      </c>
    </row>
    <row r="445" spans="1:27">
      <c r="A445" s="88"/>
      <c r="B445" s="39"/>
      <c r="C445" s="39"/>
      <c r="D445" s="39"/>
      <c r="E445" s="39">
        <v>0</v>
      </c>
      <c r="F445" s="39">
        <v>1</v>
      </c>
      <c r="G445" s="39">
        <v>0</v>
      </c>
      <c r="H445" s="214" t="e">
        <v>#N/A</v>
      </c>
      <c r="I445" s="134" t="e">
        <v>#N/A</v>
      </c>
      <c r="J445" s="104" t="e">
        <v>#N/A</v>
      </c>
      <c r="K445" s="208" t="e">
        <v>#N/A</v>
      </c>
      <c r="L445" s="223"/>
      <c r="M445" s="222"/>
      <c r="N445" s="222"/>
      <c r="O445" s="222"/>
      <c r="P445" s="226"/>
      <c r="Q445" s="134" t="e">
        <v>#N/A</v>
      </c>
      <c r="R445" s="104" t="e">
        <v>#N/A</v>
      </c>
      <c r="S445" s="208" t="e">
        <v>#N/A</v>
      </c>
      <c r="T445" s="229" t="e">
        <v>#N/A</v>
      </c>
      <c r="U445" s="287">
        <v>5</v>
      </c>
      <c r="V445" s="246">
        <v>44</v>
      </c>
      <c r="W445" s="214">
        <v>0</v>
      </c>
      <c r="X445" s="31"/>
      <c r="Y445" s="1"/>
      <c r="Z445" s="283"/>
      <c r="AA445" s="289" t="e">
        <v>#N/A</v>
      </c>
    </row>
    <row r="446" spans="1:27">
      <c r="A446" s="88" t="s">
        <v>385</v>
      </c>
      <c r="B446" s="42">
        <v>0</v>
      </c>
      <c r="C446" s="42">
        <v>1</v>
      </c>
      <c r="D446" s="42">
        <v>0</v>
      </c>
      <c r="E446" s="39"/>
      <c r="F446" s="39"/>
      <c r="G446" s="39"/>
      <c r="H446" s="214">
        <v>2</v>
      </c>
      <c r="I446" s="134" t="e">
        <v>#N/A</v>
      </c>
      <c r="J446" s="104" t="e">
        <v>#N/A</v>
      </c>
      <c r="K446" s="208" t="e">
        <v>#N/A</v>
      </c>
      <c r="L446" s="224">
        <v>44</v>
      </c>
      <c r="M446" s="118">
        <v>5</v>
      </c>
      <c r="N446" s="118">
        <v>28</v>
      </c>
      <c r="O446" s="118">
        <v>2</v>
      </c>
      <c r="P446" s="176">
        <v>68</v>
      </c>
      <c r="Q446" s="31">
        <f>L446+M446</f>
        <v>49</v>
      </c>
      <c r="R446" s="115">
        <f>N446+O446+P446</f>
        <v>98</v>
      </c>
      <c r="S446" s="127">
        <f>Q446-R446</f>
        <v>-49</v>
      </c>
      <c r="T446" s="230"/>
      <c r="U446" s="31"/>
      <c r="V446" s="1"/>
      <c r="W446" s="1"/>
      <c r="X446" s="287">
        <v>-4</v>
      </c>
      <c r="Y446" s="246">
        <v>-90</v>
      </c>
      <c r="Z446" s="214">
        <v>-4</v>
      </c>
      <c r="AA446" s="289">
        <f>I447+J447+K447</f>
        <v>170</v>
      </c>
    </row>
    <row r="447" spans="1:27" ht="13.5" thickBot="1">
      <c r="A447" s="89"/>
      <c r="B447" s="87"/>
      <c r="C447" s="87"/>
      <c r="D447" s="87"/>
      <c r="E447" s="43"/>
      <c r="F447" s="43"/>
      <c r="G447" s="43"/>
      <c r="H447" s="215" t="e">
        <v>#N/A</v>
      </c>
      <c r="I447" s="131">
        <v>7</v>
      </c>
      <c r="J447" s="106">
        <v>159</v>
      </c>
      <c r="K447" s="128">
        <v>4</v>
      </c>
      <c r="L447" s="225"/>
      <c r="M447" s="124"/>
      <c r="N447" s="124"/>
      <c r="O447" s="124"/>
      <c r="P447" s="227"/>
      <c r="Q447" s="131" t="e">
        <v>#N/A</v>
      </c>
      <c r="R447" s="106" t="e">
        <v>#N/A</v>
      </c>
      <c r="S447" s="128" t="e">
        <v>#N/A</v>
      </c>
      <c r="T447" s="231" t="e">
        <v>#N/A</v>
      </c>
      <c r="U447" s="282" t="e">
        <v>#N/A</v>
      </c>
      <c r="V447" s="87" t="e">
        <v>#N/A</v>
      </c>
      <c r="W447" s="87" t="e">
        <v>#N/A</v>
      </c>
      <c r="X447" s="282" t="e">
        <v>#N/A</v>
      </c>
      <c r="Y447" s="87" t="e">
        <v>#N/A</v>
      </c>
      <c r="Z447" s="215" t="e">
        <v>#N/A</v>
      </c>
      <c r="AA447" s="290" t="e">
        <v>#N/A</v>
      </c>
    </row>
    <row r="448" spans="1:27">
      <c r="A448" s="219"/>
      <c r="B448" s="220" t="e">
        <v>#N/A</v>
      </c>
      <c r="C448" s="220" t="e">
        <v>#N/A</v>
      </c>
      <c r="D448" s="220" t="e">
        <v>#N/A</v>
      </c>
      <c r="E448" s="220" t="e">
        <v>#N/A</v>
      </c>
      <c r="F448" s="220" t="e">
        <v>#N/A</v>
      </c>
      <c r="G448" s="220" t="e">
        <v>#N/A</v>
      </c>
      <c r="H448" s="213" t="e">
        <v>#N/A</v>
      </c>
      <c r="I448" s="219" t="e">
        <v>#N/A</v>
      </c>
      <c r="J448" s="220" t="e">
        <v>#N/A</v>
      </c>
      <c r="K448" s="213" t="e">
        <v>#N/A</v>
      </c>
      <c r="L448" s="219" t="e">
        <v>#N/A</v>
      </c>
      <c r="M448" s="220" t="e">
        <v>#N/A</v>
      </c>
      <c r="N448" s="220" t="e">
        <v>#N/A</v>
      </c>
      <c r="O448" s="220" t="e">
        <v>#N/A</v>
      </c>
      <c r="P448" s="213" t="e">
        <v>#N/A</v>
      </c>
      <c r="Q448" s="219" t="e">
        <v>#N/A</v>
      </c>
      <c r="R448" s="220" t="e">
        <v>#N/A</v>
      </c>
      <c r="S448" s="213" t="e">
        <v>#N/A</v>
      </c>
      <c r="T448" s="228" t="e">
        <v>#N/A</v>
      </c>
      <c r="U448" s="219" t="e">
        <v>#N/A</v>
      </c>
      <c r="V448" s="220" t="e">
        <v>#N/A</v>
      </c>
      <c r="W448" s="220" t="e">
        <v>#N/A</v>
      </c>
      <c r="X448" s="219" t="e">
        <v>#N/A</v>
      </c>
      <c r="Y448" s="220" t="e">
        <v>#N/A</v>
      </c>
      <c r="Z448" s="213" t="e">
        <v>#N/A</v>
      </c>
      <c r="AA448" s="228" t="e">
        <v>#N/A</v>
      </c>
    </row>
    <row r="449" spans="1:27">
      <c r="A449" s="88"/>
      <c r="B449" s="39"/>
      <c r="C449" s="39"/>
      <c r="D449" s="39"/>
      <c r="E449" s="39">
        <v>0</v>
      </c>
      <c r="F449" s="39">
        <v>2</v>
      </c>
      <c r="G449" s="39">
        <v>0</v>
      </c>
      <c r="H449" s="214" t="e">
        <v>#N/A</v>
      </c>
      <c r="I449" s="134" t="e">
        <v>#N/A</v>
      </c>
      <c r="J449" s="104" t="e">
        <v>#N/A</v>
      </c>
      <c r="K449" s="208" t="e">
        <v>#N/A</v>
      </c>
      <c r="L449" s="223"/>
      <c r="M449" s="222"/>
      <c r="N449" s="222"/>
      <c r="O449" s="222"/>
      <c r="P449" s="226"/>
      <c r="Q449" s="134" t="e">
        <v>#N/A</v>
      </c>
      <c r="R449" s="104" t="e">
        <v>#N/A</v>
      </c>
      <c r="S449" s="208" t="e">
        <v>#N/A</v>
      </c>
      <c r="T449" s="229" t="e">
        <v>#N/A</v>
      </c>
      <c r="U449" s="287">
        <v>8</v>
      </c>
      <c r="V449" s="246">
        <v>13</v>
      </c>
      <c r="W449" s="214">
        <v>0</v>
      </c>
      <c r="X449" s="31"/>
      <c r="Y449" s="1"/>
      <c r="Z449" s="283"/>
      <c r="AA449" s="289" t="e">
        <v>#N/A</v>
      </c>
    </row>
    <row r="450" spans="1:27">
      <c r="A450" s="88" t="s">
        <v>386</v>
      </c>
      <c r="B450" s="42">
        <v>0</v>
      </c>
      <c r="C450" s="42">
        <v>1</v>
      </c>
      <c r="D450" s="42">
        <v>0</v>
      </c>
      <c r="E450" s="39"/>
      <c r="F450" s="39"/>
      <c r="G450" s="39"/>
      <c r="H450" s="214">
        <v>3</v>
      </c>
      <c r="I450" s="134" t="e">
        <v>#N/A</v>
      </c>
      <c r="J450" s="104" t="e">
        <v>#N/A</v>
      </c>
      <c r="K450" s="208" t="e">
        <v>#N/A</v>
      </c>
      <c r="L450" s="224">
        <v>21</v>
      </c>
      <c r="M450" s="118">
        <v>1</v>
      </c>
      <c r="N450" s="118">
        <v>7</v>
      </c>
      <c r="O450" s="118">
        <v>3</v>
      </c>
      <c r="P450" s="176">
        <v>17</v>
      </c>
      <c r="Q450" s="31">
        <f>L450+M450</f>
        <v>22</v>
      </c>
      <c r="R450" s="115">
        <f>N450+O450+P450</f>
        <v>27</v>
      </c>
      <c r="S450" s="127">
        <f>Q450-R450</f>
        <v>-5</v>
      </c>
      <c r="T450" s="230"/>
      <c r="U450" s="31"/>
      <c r="V450" s="1"/>
      <c r="W450" s="1"/>
      <c r="X450" s="287">
        <v>-8</v>
      </c>
      <c r="Y450" s="246">
        <v>-18</v>
      </c>
      <c r="Z450" s="214">
        <v>0</v>
      </c>
      <c r="AA450" s="289">
        <f>I451+J451+K451</f>
        <v>164</v>
      </c>
    </row>
    <row r="451" spans="1:27" ht="13.5" thickBot="1">
      <c r="A451" s="89"/>
      <c r="B451" s="87"/>
      <c r="C451" s="87"/>
      <c r="D451" s="87"/>
      <c r="E451" s="43"/>
      <c r="F451" s="43"/>
      <c r="G451" s="43"/>
      <c r="H451" s="215" t="e">
        <v>#N/A</v>
      </c>
      <c r="I451" s="131">
        <v>8</v>
      </c>
      <c r="J451" s="106">
        <v>152</v>
      </c>
      <c r="K451" s="128">
        <v>4</v>
      </c>
      <c r="L451" s="225"/>
      <c r="M451" s="124"/>
      <c r="N451" s="124"/>
      <c r="O451" s="124"/>
      <c r="P451" s="227"/>
      <c r="Q451" s="131" t="e">
        <v>#N/A</v>
      </c>
      <c r="R451" s="106" t="e">
        <v>#N/A</v>
      </c>
      <c r="S451" s="128" t="e">
        <v>#N/A</v>
      </c>
      <c r="T451" s="231" t="e">
        <v>#N/A</v>
      </c>
      <c r="U451" s="282" t="e">
        <v>#N/A</v>
      </c>
      <c r="V451" s="87" t="e">
        <v>#N/A</v>
      </c>
      <c r="W451" s="87" t="e">
        <v>#N/A</v>
      </c>
      <c r="X451" s="282" t="e">
        <v>#N/A</v>
      </c>
      <c r="Y451" s="87" t="e">
        <v>#N/A</v>
      </c>
      <c r="Z451" s="215" t="e">
        <v>#N/A</v>
      </c>
      <c r="AA451" s="290" t="e">
        <v>#N/A</v>
      </c>
    </row>
    <row r="452" spans="1:27">
      <c r="A452" s="219"/>
      <c r="B452" s="220" t="e">
        <v>#N/A</v>
      </c>
      <c r="C452" s="220" t="e">
        <v>#N/A</v>
      </c>
      <c r="D452" s="220" t="e">
        <v>#N/A</v>
      </c>
      <c r="E452" s="220" t="e">
        <v>#N/A</v>
      </c>
      <c r="F452" s="220" t="e">
        <v>#N/A</v>
      </c>
      <c r="G452" s="220" t="e">
        <v>#N/A</v>
      </c>
      <c r="H452" s="213" t="e">
        <v>#N/A</v>
      </c>
      <c r="I452" s="219" t="e">
        <v>#N/A</v>
      </c>
      <c r="J452" s="220" t="e">
        <v>#N/A</v>
      </c>
      <c r="K452" s="213" t="e">
        <v>#N/A</v>
      </c>
      <c r="L452" s="219" t="e">
        <v>#N/A</v>
      </c>
      <c r="M452" s="220" t="e">
        <v>#N/A</v>
      </c>
      <c r="N452" s="220" t="e">
        <v>#N/A</v>
      </c>
      <c r="O452" s="220" t="e">
        <v>#N/A</v>
      </c>
      <c r="P452" s="213" t="e">
        <v>#N/A</v>
      </c>
      <c r="Q452" s="219" t="e">
        <v>#N/A</v>
      </c>
      <c r="R452" s="220" t="e">
        <v>#N/A</v>
      </c>
      <c r="S452" s="213" t="e">
        <v>#N/A</v>
      </c>
      <c r="T452" s="228" t="e">
        <v>#N/A</v>
      </c>
      <c r="U452" s="219" t="e">
        <v>#N/A</v>
      </c>
      <c r="V452" s="220" t="e">
        <v>#N/A</v>
      </c>
      <c r="W452" s="220" t="e">
        <v>#N/A</v>
      </c>
      <c r="X452" s="219" t="e">
        <v>#N/A</v>
      </c>
      <c r="Y452" s="220" t="e">
        <v>#N/A</v>
      </c>
      <c r="Z452" s="213" t="e">
        <v>#N/A</v>
      </c>
      <c r="AA452" s="228" t="e">
        <v>#N/A</v>
      </c>
    </row>
    <row r="453" spans="1:27">
      <c r="A453" s="88"/>
      <c r="B453" s="39"/>
      <c r="C453" s="39"/>
      <c r="D453" s="39"/>
      <c r="E453" s="39">
        <v>0</v>
      </c>
      <c r="F453" s="39">
        <v>2</v>
      </c>
      <c r="G453" s="39">
        <v>0</v>
      </c>
      <c r="H453" s="214" t="e">
        <v>#N/A</v>
      </c>
      <c r="I453" s="134" t="e">
        <v>#N/A</v>
      </c>
      <c r="J453" s="104" t="e">
        <v>#N/A</v>
      </c>
      <c r="K453" s="208" t="e">
        <v>#N/A</v>
      </c>
      <c r="L453" s="223"/>
      <c r="M453" s="222"/>
      <c r="N453" s="222"/>
      <c r="O453" s="222"/>
      <c r="P453" s="226"/>
      <c r="Q453" s="134" t="e">
        <v>#N/A</v>
      </c>
      <c r="R453" s="104" t="e">
        <v>#N/A</v>
      </c>
      <c r="S453" s="208" t="e">
        <v>#N/A</v>
      </c>
      <c r="T453" s="229" t="e">
        <v>#N/A</v>
      </c>
      <c r="U453" s="287">
        <v>4</v>
      </c>
      <c r="V453" s="246">
        <v>10</v>
      </c>
      <c r="W453" s="214">
        <v>9</v>
      </c>
      <c r="X453" s="31"/>
      <c r="Y453" s="1"/>
      <c r="Z453" s="283"/>
      <c r="AA453" s="289" t="e">
        <v>#N/A</v>
      </c>
    </row>
    <row r="454" spans="1:27">
      <c r="A454" s="88" t="s">
        <v>330</v>
      </c>
      <c r="B454" s="42">
        <v>0</v>
      </c>
      <c r="C454" s="42">
        <v>1</v>
      </c>
      <c r="D454" s="42">
        <v>0</v>
      </c>
      <c r="E454" s="39"/>
      <c r="F454" s="39"/>
      <c r="G454" s="39"/>
      <c r="H454" s="214">
        <v>3</v>
      </c>
      <c r="I454" s="134" t="e">
        <v>#N/A</v>
      </c>
      <c r="J454" s="104" t="e">
        <v>#N/A</v>
      </c>
      <c r="K454" s="208" t="e">
        <v>#N/A</v>
      </c>
      <c r="L454" s="224">
        <v>23</v>
      </c>
      <c r="M454" s="118">
        <v>2</v>
      </c>
      <c r="N454" s="118">
        <v>9</v>
      </c>
      <c r="O454" s="118">
        <v>4</v>
      </c>
      <c r="P454" s="176">
        <v>24</v>
      </c>
      <c r="Q454" s="31">
        <f>L454+M454</f>
        <v>25</v>
      </c>
      <c r="R454" s="115">
        <f>N454+O454+P454</f>
        <v>37</v>
      </c>
      <c r="S454" s="127">
        <f>Q454-R454</f>
        <v>-12</v>
      </c>
      <c r="T454" s="230"/>
      <c r="U454" s="31"/>
      <c r="V454" s="1"/>
      <c r="W454" s="1"/>
      <c r="X454" s="287">
        <v>-1</v>
      </c>
      <c r="Y454" s="246">
        <v>-27</v>
      </c>
      <c r="Z454" s="214">
        <v>-7</v>
      </c>
      <c r="AA454" s="289">
        <f>I455+J455+K455</f>
        <v>150</v>
      </c>
    </row>
    <row r="455" spans="1:27" ht="13.5" thickBot="1">
      <c r="A455" s="89"/>
      <c r="B455" s="87"/>
      <c r="C455" s="87"/>
      <c r="D455" s="87"/>
      <c r="E455" s="43"/>
      <c r="F455" s="43"/>
      <c r="G455" s="43"/>
      <c r="H455" s="215" t="e">
        <v>#N/A</v>
      </c>
      <c r="I455" s="131">
        <v>9</v>
      </c>
      <c r="J455" s="106">
        <v>135</v>
      </c>
      <c r="K455" s="128">
        <v>6</v>
      </c>
      <c r="L455" s="225"/>
      <c r="M455" s="124"/>
      <c r="N455" s="124"/>
      <c r="O455" s="124"/>
      <c r="P455" s="227"/>
      <c r="Q455" s="131" t="e">
        <v>#N/A</v>
      </c>
      <c r="R455" s="106" t="e">
        <v>#N/A</v>
      </c>
      <c r="S455" s="128" t="e">
        <v>#N/A</v>
      </c>
      <c r="T455" s="231" t="e">
        <v>#N/A</v>
      </c>
      <c r="U455" s="282" t="e">
        <v>#N/A</v>
      </c>
      <c r="V455" s="87" t="e">
        <v>#N/A</v>
      </c>
      <c r="W455" s="87" t="e">
        <v>#N/A</v>
      </c>
      <c r="X455" s="282" t="e">
        <v>#N/A</v>
      </c>
      <c r="Y455" s="87" t="e">
        <v>#N/A</v>
      </c>
      <c r="Z455" s="215" t="e">
        <v>#N/A</v>
      </c>
      <c r="AA455" s="290" t="e">
        <v>#N/A</v>
      </c>
    </row>
    <row r="456" spans="1:27">
      <c r="A456" s="219"/>
      <c r="B456" s="220" t="e">
        <v>#N/A</v>
      </c>
      <c r="C456" s="220" t="e">
        <v>#N/A</v>
      </c>
      <c r="D456" s="220" t="e">
        <v>#N/A</v>
      </c>
      <c r="E456" s="220" t="e">
        <v>#N/A</v>
      </c>
      <c r="F456" s="220" t="e">
        <v>#N/A</v>
      </c>
      <c r="G456" s="220" t="e">
        <v>#N/A</v>
      </c>
      <c r="H456" s="213" t="e">
        <v>#N/A</v>
      </c>
      <c r="I456" s="219" t="e">
        <v>#N/A</v>
      </c>
      <c r="J456" s="220" t="e">
        <v>#N/A</v>
      </c>
      <c r="K456" s="213" t="e">
        <v>#N/A</v>
      </c>
      <c r="L456" s="219" t="e">
        <v>#N/A</v>
      </c>
      <c r="M456" s="220" t="e">
        <v>#N/A</v>
      </c>
      <c r="N456" s="220" t="e">
        <v>#N/A</v>
      </c>
      <c r="O456" s="220" t="e">
        <v>#N/A</v>
      </c>
      <c r="P456" s="213" t="e">
        <v>#N/A</v>
      </c>
      <c r="Q456" s="219" t="e">
        <v>#N/A</v>
      </c>
      <c r="R456" s="220" t="e">
        <v>#N/A</v>
      </c>
      <c r="S456" s="213" t="e">
        <v>#N/A</v>
      </c>
      <c r="T456" s="228" t="e">
        <v>#N/A</v>
      </c>
      <c r="U456" s="219" t="e">
        <v>#N/A</v>
      </c>
      <c r="V456" s="220" t="e">
        <v>#N/A</v>
      </c>
      <c r="W456" s="220" t="e">
        <v>#N/A</v>
      </c>
      <c r="X456" s="219" t="e">
        <v>#N/A</v>
      </c>
      <c r="Y456" s="220" t="e">
        <v>#N/A</v>
      </c>
      <c r="Z456" s="213" t="e">
        <v>#N/A</v>
      </c>
      <c r="AA456" s="228" t="e">
        <v>#N/A</v>
      </c>
    </row>
    <row r="457" spans="1:27">
      <c r="A457" s="88"/>
      <c r="B457" s="39"/>
      <c r="C457" s="39"/>
      <c r="D457" s="39"/>
      <c r="E457" s="39">
        <v>0</v>
      </c>
      <c r="F457" s="39">
        <v>3</v>
      </c>
      <c r="G457" s="39">
        <v>0</v>
      </c>
      <c r="H457" s="214" t="e">
        <v>#N/A</v>
      </c>
      <c r="I457" s="134" t="e">
        <v>#N/A</v>
      </c>
      <c r="J457" s="104" t="e">
        <v>#N/A</v>
      </c>
      <c r="K457" s="208" t="e">
        <v>#N/A</v>
      </c>
      <c r="L457" s="223"/>
      <c r="M457" s="222"/>
      <c r="N457" s="222"/>
      <c r="O457" s="222"/>
      <c r="P457" s="226"/>
      <c r="Q457" s="134" t="e">
        <v>#N/A</v>
      </c>
      <c r="R457" s="104" t="e">
        <v>#N/A</v>
      </c>
      <c r="S457" s="208" t="e">
        <v>#N/A</v>
      </c>
      <c r="T457" s="229" t="e">
        <v>#N/A</v>
      </c>
      <c r="U457" s="287">
        <v>1</v>
      </c>
      <c r="V457" s="246">
        <v>22</v>
      </c>
      <c r="W457" s="214">
        <v>9</v>
      </c>
      <c r="X457" s="31"/>
      <c r="Y457" s="1"/>
      <c r="Z457" s="283"/>
      <c r="AA457" s="289" t="e">
        <v>#N/A</v>
      </c>
    </row>
    <row r="458" spans="1:27">
      <c r="A458" s="88" t="s">
        <v>387</v>
      </c>
      <c r="B458" s="42">
        <v>0</v>
      </c>
      <c r="C458" s="42">
        <v>1</v>
      </c>
      <c r="D458" s="42">
        <v>0</v>
      </c>
      <c r="E458" s="39"/>
      <c r="F458" s="39"/>
      <c r="G458" s="39"/>
      <c r="H458" s="214">
        <v>4</v>
      </c>
      <c r="I458" s="134" t="e">
        <v>#N/A</v>
      </c>
      <c r="J458" s="104" t="e">
        <v>#N/A</v>
      </c>
      <c r="K458" s="208" t="e">
        <v>#N/A</v>
      </c>
      <c r="L458" s="224">
        <v>31</v>
      </c>
      <c r="M458" s="118">
        <v>2</v>
      </c>
      <c r="N458" s="118">
        <v>18</v>
      </c>
      <c r="O458" s="118">
        <v>2</v>
      </c>
      <c r="P458" s="176">
        <v>31</v>
      </c>
      <c r="Q458" s="31">
        <f>L458+M458</f>
        <v>33</v>
      </c>
      <c r="R458" s="115">
        <f>N458+O458+P458</f>
        <v>51</v>
      </c>
      <c r="S458" s="127">
        <f>Q458-R458</f>
        <v>-18</v>
      </c>
      <c r="T458" s="230"/>
      <c r="U458" s="31"/>
      <c r="V458" s="1"/>
      <c r="W458" s="1"/>
      <c r="X458" s="287">
        <v>-6</v>
      </c>
      <c r="Y458" s="246">
        <v>-36</v>
      </c>
      <c r="Z458" s="214">
        <v>-9</v>
      </c>
      <c r="AA458" s="289">
        <f>I459+J459+K459</f>
        <v>132</v>
      </c>
    </row>
    <row r="459" spans="1:27" ht="13.5" thickBot="1">
      <c r="A459" s="89"/>
      <c r="B459" s="87"/>
      <c r="C459" s="87"/>
      <c r="D459" s="87"/>
      <c r="E459" s="43"/>
      <c r="F459" s="43"/>
      <c r="G459" s="43"/>
      <c r="H459" s="215" t="e">
        <v>#N/A</v>
      </c>
      <c r="I459" s="131">
        <v>4</v>
      </c>
      <c r="J459" s="106">
        <v>122</v>
      </c>
      <c r="K459" s="128">
        <v>6</v>
      </c>
      <c r="L459" s="225"/>
      <c r="M459" s="124"/>
      <c r="N459" s="124"/>
      <c r="O459" s="124"/>
      <c r="P459" s="227"/>
      <c r="Q459" s="131" t="e">
        <v>#N/A</v>
      </c>
      <c r="R459" s="106" t="e">
        <v>#N/A</v>
      </c>
      <c r="S459" s="128" t="e">
        <v>#N/A</v>
      </c>
      <c r="T459" s="231" t="e">
        <v>#N/A</v>
      </c>
      <c r="U459" s="282" t="e">
        <v>#N/A</v>
      </c>
      <c r="V459" s="87" t="e">
        <v>#N/A</v>
      </c>
      <c r="W459" s="87" t="e">
        <v>#N/A</v>
      </c>
      <c r="X459" s="282" t="e">
        <v>#N/A</v>
      </c>
      <c r="Y459" s="87" t="e">
        <v>#N/A</v>
      </c>
      <c r="Z459" s="215" t="e">
        <v>#N/A</v>
      </c>
      <c r="AA459" s="290" t="e">
        <v>#N/A</v>
      </c>
    </row>
    <row r="460" spans="1:27">
      <c r="A460" s="219"/>
      <c r="B460" s="220" t="e">
        <v>#N/A</v>
      </c>
      <c r="C460" s="220" t="e">
        <v>#N/A</v>
      </c>
      <c r="D460" s="220" t="e">
        <v>#N/A</v>
      </c>
      <c r="E460" s="220" t="e">
        <v>#N/A</v>
      </c>
      <c r="F460" s="220" t="e">
        <v>#N/A</v>
      </c>
      <c r="G460" s="220" t="e">
        <v>#N/A</v>
      </c>
      <c r="H460" s="213" t="e">
        <v>#N/A</v>
      </c>
      <c r="I460" s="219" t="e">
        <v>#N/A</v>
      </c>
      <c r="J460" s="220" t="e">
        <v>#N/A</v>
      </c>
      <c r="K460" s="213" t="e">
        <v>#N/A</v>
      </c>
      <c r="L460" s="219" t="e">
        <v>#N/A</v>
      </c>
      <c r="M460" s="220" t="e">
        <v>#N/A</v>
      </c>
      <c r="N460" s="220" t="e">
        <v>#N/A</v>
      </c>
      <c r="O460" s="220" t="e">
        <v>#N/A</v>
      </c>
      <c r="P460" s="213" t="e">
        <v>#N/A</v>
      </c>
      <c r="Q460" s="219" t="e">
        <v>#N/A</v>
      </c>
      <c r="R460" s="220" t="e">
        <v>#N/A</v>
      </c>
      <c r="S460" s="213" t="e">
        <v>#N/A</v>
      </c>
      <c r="T460" s="228" t="e">
        <v>#N/A</v>
      </c>
      <c r="U460" s="219" t="e">
        <v>#N/A</v>
      </c>
      <c r="V460" s="220" t="e">
        <v>#N/A</v>
      </c>
      <c r="W460" s="220" t="e">
        <v>#N/A</v>
      </c>
      <c r="X460" s="219" t="e">
        <v>#N/A</v>
      </c>
      <c r="Y460" s="220" t="e">
        <v>#N/A</v>
      </c>
      <c r="Z460" s="213" t="e">
        <v>#N/A</v>
      </c>
      <c r="AA460" s="228" t="e">
        <v>#N/A</v>
      </c>
    </row>
    <row r="461" spans="1:27">
      <c r="A461" s="356" t="s">
        <v>388</v>
      </c>
      <c r="B461" s="39"/>
      <c r="C461" s="39"/>
      <c r="D461" s="39"/>
      <c r="E461" s="39">
        <v>0</v>
      </c>
      <c r="F461" s="39">
        <v>2</v>
      </c>
      <c r="G461" s="39">
        <v>0</v>
      </c>
      <c r="H461" s="214" t="e">
        <v>#N/A</v>
      </c>
      <c r="I461" s="134" t="e">
        <v>#N/A</v>
      </c>
      <c r="J461" s="104" t="e">
        <v>#N/A</v>
      </c>
      <c r="K461" s="208" t="e">
        <v>#N/A</v>
      </c>
      <c r="L461" s="223"/>
      <c r="M461" s="222"/>
      <c r="N461" s="222"/>
      <c r="O461" s="222"/>
      <c r="P461" s="226"/>
      <c r="Q461" s="134" t="e">
        <v>#N/A</v>
      </c>
      <c r="R461" s="104" t="e">
        <v>#N/A</v>
      </c>
      <c r="S461" s="208" t="e">
        <v>#N/A</v>
      </c>
      <c r="T461" s="229" t="e">
        <v>#N/A</v>
      </c>
      <c r="U461" s="287">
        <v>7</v>
      </c>
      <c r="V461" s="246">
        <v>44</v>
      </c>
      <c r="W461" s="214">
        <v>5</v>
      </c>
      <c r="X461" s="31"/>
      <c r="Y461" s="1"/>
      <c r="Z461" s="283"/>
      <c r="AA461" s="289" t="e">
        <v>#N/A</v>
      </c>
    </row>
    <row r="462" spans="1:27">
      <c r="A462" s="88">
        <v>-34</v>
      </c>
      <c r="B462" s="42">
        <v>0</v>
      </c>
      <c r="C462" s="42">
        <v>1</v>
      </c>
      <c r="D462" s="42">
        <v>0</v>
      </c>
      <c r="E462" s="39"/>
      <c r="F462" s="39"/>
      <c r="G462" s="39"/>
      <c r="H462" s="214">
        <v>3</v>
      </c>
      <c r="I462" s="134" t="e">
        <v>#N/A</v>
      </c>
      <c r="J462" s="104" t="e">
        <v>#N/A</v>
      </c>
      <c r="K462" s="208" t="e">
        <v>#N/A</v>
      </c>
      <c r="L462" s="224">
        <v>46</v>
      </c>
      <c r="M462" s="118">
        <v>12</v>
      </c>
      <c r="N462" s="118">
        <v>31</v>
      </c>
      <c r="O462" s="118">
        <v>4</v>
      </c>
      <c r="P462" s="176">
        <v>27</v>
      </c>
      <c r="Q462" s="31">
        <f>L462+M462</f>
        <v>58</v>
      </c>
      <c r="R462" s="115">
        <f>N462+O462+P462</f>
        <v>62</v>
      </c>
      <c r="S462" s="127">
        <f>Q462-R462</f>
        <v>-4</v>
      </c>
      <c r="T462" s="230"/>
      <c r="U462" s="31"/>
      <c r="V462" s="1"/>
      <c r="W462" s="1"/>
      <c r="X462" s="287">
        <v>-2</v>
      </c>
      <c r="Y462" s="246">
        <v>-56</v>
      </c>
      <c r="Z462" s="214">
        <v>-1</v>
      </c>
      <c r="AA462" s="289">
        <f>I463+J463+K463</f>
        <v>129</v>
      </c>
    </row>
    <row r="463" spans="1:27" ht="13.5" thickBot="1">
      <c r="A463" s="89"/>
      <c r="B463" s="87"/>
      <c r="C463" s="87"/>
      <c r="D463" s="87"/>
      <c r="E463" s="43"/>
      <c r="F463" s="43"/>
      <c r="G463" s="43"/>
      <c r="H463" s="215" t="e">
        <v>#N/A</v>
      </c>
      <c r="I463" s="131">
        <v>9</v>
      </c>
      <c r="J463" s="106">
        <v>110</v>
      </c>
      <c r="K463" s="128">
        <v>10</v>
      </c>
      <c r="L463" s="225"/>
      <c r="M463" s="124"/>
      <c r="N463" s="124"/>
      <c r="O463" s="124"/>
      <c r="P463" s="227"/>
      <c r="Q463" s="131" t="e">
        <v>#N/A</v>
      </c>
      <c r="R463" s="106" t="e">
        <v>#N/A</v>
      </c>
      <c r="S463" s="128" t="e">
        <v>#N/A</v>
      </c>
      <c r="T463" s="231" t="e">
        <v>#N/A</v>
      </c>
      <c r="U463" s="282" t="e">
        <v>#N/A</v>
      </c>
      <c r="V463" s="87" t="e">
        <v>#N/A</v>
      </c>
      <c r="W463" s="87" t="e">
        <v>#N/A</v>
      </c>
      <c r="X463" s="282" t="e">
        <v>#N/A</v>
      </c>
      <c r="Y463" s="87" t="e">
        <v>#N/A</v>
      </c>
      <c r="Z463" s="215" t="e">
        <v>#N/A</v>
      </c>
      <c r="AA463" s="290" t="e">
        <v>#N/A</v>
      </c>
    </row>
    <row r="464" spans="1:27">
      <c r="A464" s="219"/>
      <c r="B464" s="220" t="e">
        <v>#N/A</v>
      </c>
      <c r="C464" s="220" t="e">
        <v>#N/A</v>
      </c>
      <c r="D464" s="220" t="e">
        <v>#N/A</v>
      </c>
      <c r="E464" s="220" t="e">
        <v>#N/A</v>
      </c>
      <c r="F464" s="220" t="e">
        <v>#N/A</v>
      </c>
      <c r="G464" s="220" t="e">
        <v>#N/A</v>
      </c>
      <c r="H464" s="213" t="e">
        <v>#N/A</v>
      </c>
      <c r="I464" s="219" t="e">
        <v>#N/A</v>
      </c>
      <c r="J464" s="220" t="e">
        <v>#N/A</v>
      </c>
      <c r="K464" s="213" t="e">
        <v>#N/A</v>
      </c>
      <c r="L464" s="219" t="e">
        <v>#N/A</v>
      </c>
      <c r="M464" s="220" t="e">
        <v>#N/A</v>
      </c>
      <c r="N464" s="220" t="e">
        <v>#N/A</v>
      </c>
      <c r="O464" s="220" t="e">
        <v>#N/A</v>
      </c>
      <c r="P464" s="213" t="e">
        <v>#N/A</v>
      </c>
      <c r="Q464" s="219" t="e">
        <v>#N/A</v>
      </c>
      <c r="R464" s="220" t="e">
        <v>#N/A</v>
      </c>
      <c r="S464" s="213" t="e">
        <v>#N/A</v>
      </c>
      <c r="T464" s="228" t="e">
        <v>#N/A</v>
      </c>
      <c r="U464" s="219" t="e">
        <v>#N/A</v>
      </c>
      <c r="V464" s="220" t="e">
        <v>#N/A</v>
      </c>
      <c r="W464" s="220" t="e">
        <v>#N/A</v>
      </c>
      <c r="X464" s="219" t="e">
        <v>#N/A</v>
      </c>
      <c r="Y464" s="220" t="e">
        <v>#N/A</v>
      </c>
      <c r="Z464" s="213" t="e">
        <v>#N/A</v>
      </c>
      <c r="AA464" s="228" t="e">
        <v>#N/A</v>
      </c>
    </row>
    <row r="465" spans="1:27">
      <c r="A465" s="356"/>
      <c r="B465" s="39"/>
      <c r="C465" s="39"/>
      <c r="D465" s="39"/>
      <c r="E465" s="39">
        <v>0</v>
      </c>
      <c r="F465" s="39">
        <v>1</v>
      </c>
      <c r="G465" s="39">
        <v>0</v>
      </c>
      <c r="H465" s="214" t="e">
        <v>#N/A</v>
      </c>
      <c r="I465" s="134" t="e">
        <v>#N/A</v>
      </c>
      <c r="J465" s="104" t="e">
        <v>#N/A</v>
      </c>
      <c r="K465" s="208" t="e">
        <v>#N/A</v>
      </c>
      <c r="L465" s="223"/>
      <c r="M465" s="222"/>
      <c r="N465" s="222"/>
      <c r="O465" s="222"/>
      <c r="P465" s="226"/>
      <c r="Q465" s="134" t="e">
        <v>#N/A</v>
      </c>
      <c r="R465" s="104" t="e">
        <v>#N/A</v>
      </c>
      <c r="S465" s="208" t="e">
        <v>#N/A</v>
      </c>
      <c r="T465" s="229" t="e">
        <v>#N/A</v>
      </c>
      <c r="U465" s="287">
        <v>2</v>
      </c>
      <c r="V465" s="246">
        <v>15</v>
      </c>
      <c r="W465" s="214">
        <v>4</v>
      </c>
      <c r="X465" s="31"/>
      <c r="Y465" s="1"/>
      <c r="Z465" s="283"/>
      <c r="AA465" s="289" t="e">
        <v>#N/A</v>
      </c>
    </row>
    <row r="466" spans="1:27">
      <c r="A466" s="88" t="s">
        <v>348</v>
      </c>
      <c r="B466" s="42">
        <v>0</v>
      </c>
      <c r="C466" s="42">
        <v>1</v>
      </c>
      <c r="D466" s="42">
        <v>0</v>
      </c>
      <c r="E466" s="39"/>
      <c r="F466" s="39"/>
      <c r="G466" s="39"/>
      <c r="H466" s="214">
        <v>2</v>
      </c>
      <c r="I466" s="134" t="e">
        <v>#N/A</v>
      </c>
      <c r="J466" s="104" t="e">
        <v>#N/A</v>
      </c>
      <c r="K466" s="208" t="e">
        <v>#N/A</v>
      </c>
      <c r="L466" s="224">
        <v>20</v>
      </c>
      <c r="M466" s="118">
        <v>1</v>
      </c>
      <c r="N466" s="118">
        <v>6</v>
      </c>
      <c r="O466" s="118">
        <v>1</v>
      </c>
      <c r="P466" s="176">
        <v>14</v>
      </c>
      <c r="Q466" s="31">
        <f>L466+M466</f>
        <v>21</v>
      </c>
      <c r="R466" s="115">
        <f>N466+O466+P466</f>
        <v>21</v>
      </c>
      <c r="S466" s="127">
        <f>Q466-R466</f>
        <v>0</v>
      </c>
      <c r="T466" s="230"/>
      <c r="U466" s="31"/>
      <c r="V466" s="1"/>
      <c r="W466" s="1"/>
      <c r="X466" s="287">
        <v>-2</v>
      </c>
      <c r="Y466" s="246">
        <v>-17</v>
      </c>
      <c r="Z466" s="214">
        <v>-1</v>
      </c>
      <c r="AA466" s="289">
        <f>I467+J467+K467</f>
        <v>129</v>
      </c>
    </row>
    <row r="467" spans="1:27" ht="13.5" thickBot="1">
      <c r="A467" s="89"/>
      <c r="B467" s="87"/>
      <c r="C467" s="87"/>
      <c r="D467" s="87"/>
      <c r="E467" s="43"/>
      <c r="F467" s="43"/>
      <c r="G467" s="43"/>
      <c r="H467" s="215" t="e">
        <v>#N/A</v>
      </c>
      <c r="I467" s="131">
        <v>9</v>
      </c>
      <c r="J467" s="106">
        <v>107</v>
      </c>
      <c r="K467" s="128">
        <v>13</v>
      </c>
      <c r="L467" s="225"/>
      <c r="M467" s="124"/>
      <c r="N467" s="124"/>
      <c r="O467" s="124"/>
      <c r="P467" s="227"/>
      <c r="Q467" s="131" t="e">
        <v>#N/A</v>
      </c>
      <c r="R467" s="106" t="e">
        <v>#N/A</v>
      </c>
      <c r="S467" s="128" t="e">
        <v>#N/A</v>
      </c>
      <c r="T467" s="231" t="e">
        <v>#N/A</v>
      </c>
      <c r="U467" s="282" t="e">
        <v>#N/A</v>
      </c>
      <c r="V467" s="87" t="e">
        <v>#N/A</v>
      </c>
      <c r="W467" s="87" t="e">
        <v>#N/A</v>
      </c>
      <c r="X467" s="282" t="e">
        <v>#N/A</v>
      </c>
      <c r="Y467" s="87" t="e">
        <v>#N/A</v>
      </c>
      <c r="Z467" s="215" t="e">
        <v>#N/A</v>
      </c>
      <c r="AA467" s="290" t="e">
        <v>#N/A</v>
      </c>
    </row>
    <row r="468" spans="1:27">
      <c r="A468" s="219"/>
      <c r="B468" s="220" t="e">
        <v>#N/A</v>
      </c>
      <c r="C468" s="220" t="e">
        <v>#N/A</v>
      </c>
      <c r="D468" s="220" t="e">
        <v>#N/A</v>
      </c>
      <c r="E468" s="220" t="e">
        <v>#N/A</v>
      </c>
      <c r="F468" s="220" t="e">
        <v>#N/A</v>
      </c>
      <c r="G468" s="220" t="e">
        <v>#N/A</v>
      </c>
      <c r="H468" s="213" t="e">
        <v>#N/A</v>
      </c>
      <c r="I468" s="219" t="e">
        <v>#N/A</v>
      </c>
      <c r="J468" s="220" t="e">
        <v>#N/A</v>
      </c>
      <c r="K468" s="213" t="e">
        <v>#N/A</v>
      </c>
      <c r="L468" s="219" t="e">
        <v>#N/A</v>
      </c>
      <c r="M468" s="220" t="e">
        <v>#N/A</v>
      </c>
      <c r="N468" s="220" t="e">
        <v>#N/A</v>
      </c>
      <c r="O468" s="220" t="e">
        <v>#N/A</v>
      </c>
      <c r="P468" s="213" t="e">
        <v>#N/A</v>
      </c>
      <c r="Q468" s="219" t="e">
        <v>#N/A</v>
      </c>
      <c r="R468" s="220" t="e">
        <v>#N/A</v>
      </c>
      <c r="S468" s="213" t="e">
        <v>#N/A</v>
      </c>
      <c r="T468" s="228" t="e">
        <v>#N/A</v>
      </c>
      <c r="U468" s="219" t="e">
        <v>#N/A</v>
      </c>
      <c r="V468" s="220" t="e">
        <v>#N/A</v>
      </c>
      <c r="W468" s="220" t="e">
        <v>#N/A</v>
      </c>
      <c r="X468" s="219" t="e">
        <v>#N/A</v>
      </c>
      <c r="Y468" s="220" t="e">
        <v>#N/A</v>
      </c>
      <c r="Z468" s="213" t="e">
        <v>#N/A</v>
      </c>
      <c r="AA468" s="228" t="e">
        <v>#N/A</v>
      </c>
    </row>
    <row r="469" spans="1:27">
      <c r="A469" s="356"/>
      <c r="B469" s="39"/>
      <c r="C469" s="39"/>
      <c r="D469" s="39"/>
      <c r="E469" s="39">
        <v>0</v>
      </c>
      <c r="F469" s="39">
        <v>1</v>
      </c>
      <c r="G469" s="39">
        <v>0</v>
      </c>
      <c r="H469" s="214" t="e">
        <v>#N/A</v>
      </c>
      <c r="I469" s="134" t="e">
        <v>#N/A</v>
      </c>
      <c r="J469" s="104" t="e">
        <v>#N/A</v>
      </c>
      <c r="K469" s="208" t="e">
        <v>#N/A</v>
      </c>
      <c r="L469" s="223"/>
      <c r="M469" s="222"/>
      <c r="N469" s="222"/>
      <c r="O469" s="222"/>
      <c r="P469" s="226"/>
      <c r="Q469" s="134" t="e">
        <v>#N/A</v>
      </c>
      <c r="R469" s="104" t="e">
        <v>#N/A</v>
      </c>
      <c r="S469" s="208" t="e">
        <v>#N/A</v>
      </c>
      <c r="T469" s="229" t="e">
        <v>#N/A</v>
      </c>
      <c r="U469" s="287">
        <v>4</v>
      </c>
      <c r="V469" s="246">
        <v>30</v>
      </c>
      <c r="W469" s="214">
        <v>3</v>
      </c>
      <c r="X469" s="31"/>
      <c r="Y469" s="1"/>
      <c r="Z469" s="283"/>
      <c r="AA469" s="289" t="e">
        <v>#N/A</v>
      </c>
    </row>
    <row r="470" spans="1:27">
      <c r="A470" s="88" t="s">
        <v>369</v>
      </c>
      <c r="B470" s="42">
        <v>0</v>
      </c>
      <c r="C470" s="42">
        <v>1</v>
      </c>
      <c r="D470" s="42">
        <v>0</v>
      </c>
      <c r="E470" s="39"/>
      <c r="F470" s="39"/>
      <c r="G470" s="39"/>
      <c r="H470" s="214">
        <v>2</v>
      </c>
      <c r="I470" s="134" t="e">
        <v>#N/A</v>
      </c>
      <c r="J470" s="104" t="e">
        <v>#N/A</v>
      </c>
      <c r="K470" s="208" t="e">
        <v>#N/A</v>
      </c>
      <c r="L470" s="224">
        <v>30</v>
      </c>
      <c r="M470" s="118">
        <v>8</v>
      </c>
      <c r="N470" s="118">
        <v>6</v>
      </c>
      <c r="O470" s="118">
        <v>2</v>
      </c>
      <c r="P470" s="176">
        <v>24</v>
      </c>
      <c r="Q470" s="31">
        <f>L470+M470</f>
        <v>38</v>
      </c>
      <c r="R470" s="115">
        <f>N470+O470+P470</f>
        <v>32</v>
      </c>
      <c r="S470" s="127">
        <f>Q470-R470</f>
        <v>6</v>
      </c>
      <c r="T470" s="230"/>
      <c r="U470" s="31"/>
      <c r="V470" s="1"/>
      <c r="W470" s="1"/>
      <c r="X470" s="287">
        <v>-2</v>
      </c>
      <c r="Y470" s="246">
        <v>-27</v>
      </c>
      <c r="Z470" s="214">
        <v>-2</v>
      </c>
      <c r="AA470" s="289">
        <f>I471+J471+K471</f>
        <v>132</v>
      </c>
    </row>
    <row r="471" spans="1:27" ht="13.5" thickBot="1">
      <c r="A471" s="89"/>
      <c r="B471" s="87"/>
      <c r="C471" s="87"/>
      <c r="D471" s="87"/>
      <c r="E471" s="43"/>
      <c r="F471" s="43"/>
      <c r="G471" s="43"/>
      <c r="H471" s="215" t="e">
        <v>#N/A</v>
      </c>
      <c r="I471" s="131">
        <v>11</v>
      </c>
      <c r="J471" s="106">
        <v>107</v>
      </c>
      <c r="K471" s="128">
        <v>14</v>
      </c>
      <c r="L471" s="225"/>
      <c r="M471" s="124"/>
      <c r="N471" s="124"/>
      <c r="O471" s="124"/>
      <c r="P471" s="227"/>
      <c r="Q471" s="131" t="e">
        <v>#N/A</v>
      </c>
      <c r="R471" s="106" t="e">
        <v>#N/A</v>
      </c>
      <c r="S471" s="128" t="e">
        <v>#N/A</v>
      </c>
      <c r="T471" s="231" t="e">
        <v>#N/A</v>
      </c>
      <c r="U471" s="282" t="e">
        <v>#N/A</v>
      </c>
      <c r="V471" s="87" t="e">
        <v>#N/A</v>
      </c>
      <c r="W471" s="87" t="e">
        <v>#N/A</v>
      </c>
      <c r="X471" s="282" t="e">
        <v>#N/A</v>
      </c>
      <c r="Y471" s="87" t="e">
        <v>#N/A</v>
      </c>
      <c r="Z471" s="215" t="e">
        <v>#N/A</v>
      </c>
      <c r="AA471" s="290" t="e">
        <v>#N/A</v>
      </c>
    </row>
    <row r="472" spans="1:27">
      <c r="A472" s="219"/>
      <c r="B472" s="220" t="e">
        <v>#N/A</v>
      </c>
      <c r="C472" s="220" t="e">
        <v>#N/A</v>
      </c>
      <c r="D472" s="220" t="e">
        <v>#N/A</v>
      </c>
      <c r="E472" s="220" t="e">
        <v>#N/A</v>
      </c>
      <c r="F472" s="220" t="e">
        <v>#N/A</v>
      </c>
      <c r="G472" s="220" t="e">
        <v>#N/A</v>
      </c>
      <c r="H472" s="213" t="e">
        <v>#N/A</v>
      </c>
      <c r="I472" s="219" t="e">
        <v>#N/A</v>
      </c>
      <c r="J472" s="220" t="e">
        <v>#N/A</v>
      </c>
      <c r="K472" s="213" t="e">
        <v>#N/A</v>
      </c>
      <c r="L472" s="219" t="e">
        <v>#N/A</v>
      </c>
      <c r="M472" s="220" t="e">
        <v>#N/A</v>
      </c>
      <c r="N472" s="220" t="e">
        <v>#N/A</v>
      </c>
      <c r="O472" s="220" t="e">
        <v>#N/A</v>
      </c>
      <c r="P472" s="213" t="e">
        <v>#N/A</v>
      </c>
      <c r="Q472" s="219" t="e">
        <v>#N/A</v>
      </c>
      <c r="R472" s="220" t="e">
        <v>#N/A</v>
      </c>
      <c r="S472" s="213" t="e">
        <v>#N/A</v>
      </c>
      <c r="T472" s="228" t="e">
        <v>#N/A</v>
      </c>
      <c r="U472" s="219" t="e">
        <v>#N/A</v>
      </c>
      <c r="V472" s="220" t="e">
        <v>#N/A</v>
      </c>
      <c r="W472" s="220" t="e">
        <v>#N/A</v>
      </c>
      <c r="X472" s="219" t="e">
        <v>#N/A</v>
      </c>
      <c r="Y472" s="220" t="e">
        <v>#N/A</v>
      </c>
      <c r="Z472" s="213" t="e">
        <v>#N/A</v>
      </c>
      <c r="AA472" s="228" t="e">
        <v>#N/A</v>
      </c>
    </row>
    <row r="473" spans="1:27">
      <c r="A473" s="356"/>
      <c r="B473" s="39"/>
      <c r="C473" s="39"/>
      <c r="D473" s="39"/>
      <c r="E473" s="39">
        <v>0</v>
      </c>
      <c r="F473" s="39">
        <v>1</v>
      </c>
      <c r="G473" s="39">
        <v>0</v>
      </c>
      <c r="H473" s="214" t="e">
        <v>#N/A</v>
      </c>
      <c r="I473" s="134" t="e">
        <v>#N/A</v>
      </c>
      <c r="J473" s="104" t="e">
        <v>#N/A</v>
      </c>
      <c r="K473" s="208" t="e">
        <v>#N/A</v>
      </c>
      <c r="L473" s="223"/>
      <c r="M473" s="222"/>
      <c r="N473" s="222"/>
      <c r="O473" s="222"/>
      <c r="P473" s="226"/>
      <c r="Q473" s="134" t="e">
        <v>#N/A</v>
      </c>
      <c r="R473" s="104" t="e">
        <v>#N/A</v>
      </c>
      <c r="S473" s="208" t="e">
        <v>#N/A</v>
      </c>
      <c r="T473" s="229" t="e">
        <v>#N/A</v>
      </c>
      <c r="U473" s="287">
        <v>4</v>
      </c>
      <c r="V473" s="246">
        <v>122</v>
      </c>
      <c r="W473" s="214">
        <v>1</v>
      </c>
      <c r="X473" s="31"/>
      <c r="Y473" s="1"/>
      <c r="Z473" s="283"/>
      <c r="AA473" s="289" t="e">
        <v>#N/A</v>
      </c>
    </row>
    <row r="474" spans="1:27">
      <c r="A474" s="88" t="s">
        <v>374</v>
      </c>
      <c r="B474" s="42">
        <v>0</v>
      </c>
      <c r="C474" s="42">
        <v>1</v>
      </c>
      <c r="D474" s="42">
        <v>0</v>
      </c>
      <c r="E474" s="39"/>
      <c r="F474" s="39"/>
      <c r="G474" s="39"/>
      <c r="H474" s="214">
        <v>2</v>
      </c>
      <c r="I474" s="134" t="e">
        <v>#N/A</v>
      </c>
      <c r="J474" s="104" t="e">
        <v>#N/A</v>
      </c>
      <c r="K474" s="208" t="e">
        <v>#N/A</v>
      </c>
      <c r="L474" s="224">
        <v>126</v>
      </c>
      <c r="M474" s="118">
        <v>1</v>
      </c>
      <c r="N474" s="118">
        <v>40</v>
      </c>
      <c r="O474" s="118">
        <v>0</v>
      </c>
      <c r="P474" s="176">
        <v>36</v>
      </c>
      <c r="Q474" s="31">
        <f>L474+M474</f>
        <v>127</v>
      </c>
      <c r="R474" s="115">
        <f>N474+O474+P474</f>
        <v>76</v>
      </c>
      <c r="S474" s="127">
        <f>Q474-R474</f>
        <v>51</v>
      </c>
      <c r="T474" s="230"/>
      <c r="U474" s="31"/>
      <c r="V474" s="1"/>
      <c r="W474" s="1"/>
      <c r="X474" s="287">
        <v>-3</v>
      </c>
      <c r="Y474" s="246">
        <v>-67</v>
      </c>
      <c r="Z474" s="214">
        <v>-6</v>
      </c>
      <c r="AA474" s="289">
        <f>I475+J475+K475</f>
        <v>188</v>
      </c>
    </row>
    <row r="475" spans="1:27" ht="13.5" thickBot="1">
      <c r="A475" s="89"/>
      <c r="B475" s="87"/>
      <c r="C475" s="87"/>
      <c r="D475" s="87"/>
      <c r="E475" s="43"/>
      <c r="F475" s="43"/>
      <c r="G475" s="43"/>
      <c r="H475" s="215" t="e">
        <v>#N/A</v>
      </c>
      <c r="I475" s="131">
        <v>12</v>
      </c>
      <c r="J475" s="106">
        <v>167</v>
      </c>
      <c r="K475" s="128">
        <v>9</v>
      </c>
      <c r="L475" s="225"/>
      <c r="M475" s="124"/>
      <c r="N475" s="124"/>
      <c r="O475" s="124"/>
      <c r="P475" s="227"/>
      <c r="Q475" s="131" t="e">
        <v>#N/A</v>
      </c>
      <c r="R475" s="106" t="e">
        <v>#N/A</v>
      </c>
      <c r="S475" s="128" t="e">
        <v>#N/A</v>
      </c>
      <c r="T475" s="231" t="e">
        <v>#N/A</v>
      </c>
      <c r="U475" s="282" t="e">
        <v>#N/A</v>
      </c>
      <c r="V475" s="87" t="e">
        <v>#N/A</v>
      </c>
      <c r="W475" s="87" t="e">
        <v>#N/A</v>
      </c>
      <c r="X475" s="282" t="e">
        <v>#N/A</v>
      </c>
      <c r="Y475" s="87" t="e">
        <v>#N/A</v>
      </c>
      <c r="Z475" s="215" t="e">
        <v>#N/A</v>
      </c>
      <c r="AA475" s="290" t="e">
        <v>#N/A</v>
      </c>
    </row>
    <row r="476" spans="1:27">
      <c r="A476" s="219"/>
      <c r="B476" s="220" t="e">
        <v>#N/A</v>
      </c>
      <c r="C476" s="220" t="e">
        <v>#N/A</v>
      </c>
      <c r="D476" s="220" t="e">
        <v>#N/A</v>
      </c>
      <c r="E476" s="220" t="e">
        <v>#N/A</v>
      </c>
      <c r="F476" s="220" t="e">
        <v>#N/A</v>
      </c>
      <c r="G476" s="220" t="e">
        <v>#N/A</v>
      </c>
      <c r="H476" s="213" t="e">
        <v>#N/A</v>
      </c>
      <c r="I476" s="219" t="e">
        <v>#N/A</v>
      </c>
      <c r="J476" s="220" t="e">
        <v>#N/A</v>
      </c>
      <c r="K476" s="213" t="e">
        <v>#N/A</v>
      </c>
      <c r="L476" s="219" t="e">
        <v>#N/A</v>
      </c>
      <c r="M476" s="220" t="e">
        <v>#N/A</v>
      </c>
      <c r="N476" s="220" t="e">
        <v>#N/A</v>
      </c>
      <c r="O476" s="220" t="e">
        <v>#N/A</v>
      </c>
      <c r="P476" s="213" t="e">
        <v>#N/A</v>
      </c>
      <c r="Q476" s="219" t="e">
        <v>#N/A</v>
      </c>
      <c r="R476" s="220" t="e">
        <v>#N/A</v>
      </c>
      <c r="S476" s="213" t="e">
        <v>#N/A</v>
      </c>
      <c r="T476" s="228" t="e">
        <v>#N/A</v>
      </c>
      <c r="U476" s="219" t="e">
        <v>#N/A</v>
      </c>
      <c r="V476" s="220" t="e">
        <v>#N/A</v>
      </c>
      <c r="W476" s="220" t="e">
        <v>#N/A</v>
      </c>
      <c r="X476" s="219" t="e">
        <v>#N/A</v>
      </c>
      <c r="Y476" s="220" t="e">
        <v>#N/A</v>
      </c>
      <c r="Z476" s="213" t="e">
        <v>#N/A</v>
      </c>
      <c r="AA476" s="228" t="e">
        <v>#N/A</v>
      </c>
    </row>
    <row r="477" spans="1:27">
      <c r="A477" s="356"/>
      <c r="B477" s="39"/>
      <c r="C477" s="39"/>
      <c r="D477" s="39"/>
      <c r="E477" s="39">
        <v>0</v>
      </c>
      <c r="F477" s="39">
        <v>1</v>
      </c>
      <c r="G477" s="39">
        <v>0</v>
      </c>
      <c r="H477" s="214" t="e">
        <v>#N/A</v>
      </c>
      <c r="I477" s="134" t="e">
        <v>#N/A</v>
      </c>
      <c r="J477" s="104" t="e">
        <v>#N/A</v>
      </c>
      <c r="K477" s="208" t="e">
        <v>#N/A</v>
      </c>
      <c r="L477" s="223"/>
      <c r="M477" s="222"/>
      <c r="N477" s="222"/>
      <c r="O477" s="222"/>
      <c r="P477" s="226"/>
      <c r="Q477" s="134" t="e">
        <v>#N/A</v>
      </c>
      <c r="R477" s="104" t="e">
        <v>#N/A</v>
      </c>
      <c r="S477" s="208" t="e">
        <v>#N/A</v>
      </c>
      <c r="T477" s="229" t="e">
        <v>#N/A</v>
      </c>
      <c r="U477" s="287">
        <v>3</v>
      </c>
      <c r="V477" s="246">
        <v>22</v>
      </c>
      <c r="W477" s="214">
        <v>2</v>
      </c>
      <c r="X477" s="31"/>
      <c r="Y477" s="1"/>
      <c r="Z477" s="283"/>
      <c r="AA477" s="289" t="e">
        <v>#N/A</v>
      </c>
    </row>
    <row r="478" spans="1:27">
      <c r="A478" s="88" t="s">
        <v>378</v>
      </c>
      <c r="B478" s="42">
        <v>0</v>
      </c>
      <c r="C478" s="42">
        <v>1</v>
      </c>
      <c r="D478" s="42">
        <v>0</v>
      </c>
      <c r="E478" s="39"/>
      <c r="F478" s="39"/>
      <c r="G478" s="39"/>
      <c r="H478" s="214">
        <v>2</v>
      </c>
      <c r="I478" s="134" t="e">
        <v>#N/A</v>
      </c>
      <c r="J478" s="104" t="e">
        <v>#N/A</v>
      </c>
      <c r="K478" s="208" t="e">
        <v>#N/A</v>
      </c>
      <c r="L478" s="224">
        <v>23</v>
      </c>
      <c r="M478" s="118">
        <v>4</v>
      </c>
      <c r="N478" s="118">
        <v>25</v>
      </c>
      <c r="O478" s="118">
        <v>4</v>
      </c>
      <c r="P478" s="176">
        <v>59</v>
      </c>
      <c r="Q478" s="31">
        <f>L478+M478</f>
        <v>27</v>
      </c>
      <c r="R478" s="115">
        <f>N478+O478+P478</f>
        <v>88</v>
      </c>
      <c r="S478" s="127">
        <f>Q478-R478</f>
        <v>-61</v>
      </c>
      <c r="T478" s="230"/>
      <c r="U478" s="31"/>
      <c r="V478" s="1"/>
      <c r="W478" s="1"/>
      <c r="X478" s="287">
        <v>-5</v>
      </c>
      <c r="Y478" s="246">
        <v>-80</v>
      </c>
      <c r="Z478" s="214">
        <v>-3</v>
      </c>
      <c r="AA478" s="289">
        <f>I479+J479+K479</f>
        <v>127</v>
      </c>
    </row>
    <row r="479" spans="1:27" ht="13.5" thickBot="1">
      <c r="A479" s="89"/>
      <c r="B479" s="87"/>
      <c r="C479" s="87"/>
      <c r="D479" s="87"/>
      <c r="E479" s="43"/>
      <c r="F479" s="43"/>
      <c r="G479" s="43"/>
      <c r="H479" s="215" t="e">
        <v>#N/A</v>
      </c>
      <c r="I479" s="131">
        <v>10</v>
      </c>
      <c r="J479" s="106">
        <v>109</v>
      </c>
      <c r="K479" s="128">
        <v>8</v>
      </c>
      <c r="L479" s="225"/>
      <c r="M479" s="124"/>
      <c r="N479" s="124"/>
      <c r="O479" s="124"/>
      <c r="P479" s="227"/>
      <c r="Q479" s="131" t="e">
        <v>#N/A</v>
      </c>
      <c r="R479" s="106" t="e">
        <v>#N/A</v>
      </c>
      <c r="S479" s="128" t="e">
        <v>#N/A</v>
      </c>
      <c r="T479" s="231" t="e">
        <v>#N/A</v>
      </c>
      <c r="U479" s="282" t="e">
        <v>#N/A</v>
      </c>
      <c r="V479" s="87" t="e">
        <v>#N/A</v>
      </c>
      <c r="W479" s="87" t="e">
        <v>#N/A</v>
      </c>
      <c r="X479" s="282" t="e">
        <v>#N/A</v>
      </c>
      <c r="Y479" s="87" t="e">
        <v>#N/A</v>
      </c>
      <c r="Z479" s="215" t="e">
        <v>#N/A</v>
      </c>
      <c r="AA479" s="290" t="e">
        <v>#N/A</v>
      </c>
    </row>
    <row r="480" spans="1:27">
      <c r="A480" s="219"/>
      <c r="B480" s="220" t="e">
        <v>#N/A</v>
      </c>
      <c r="C480" s="220" t="e">
        <v>#N/A</v>
      </c>
      <c r="D480" s="220" t="e">
        <v>#N/A</v>
      </c>
      <c r="E480" s="220" t="e">
        <v>#N/A</v>
      </c>
      <c r="F480" s="220" t="e">
        <v>#N/A</v>
      </c>
      <c r="G480" s="220" t="e">
        <v>#N/A</v>
      </c>
      <c r="H480" s="213" t="e">
        <v>#N/A</v>
      </c>
      <c r="I480" s="219" t="e">
        <v>#N/A</v>
      </c>
      <c r="J480" s="220" t="e">
        <v>#N/A</v>
      </c>
      <c r="K480" s="213" t="e">
        <v>#N/A</v>
      </c>
      <c r="L480" s="219" t="e">
        <v>#N/A</v>
      </c>
      <c r="M480" s="220" t="e">
        <v>#N/A</v>
      </c>
      <c r="N480" s="220" t="e">
        <v>#N/A</v>
      </c>
      <c r="O480" s="220" t="e">
        <v>#N/A</v>
      </c>
      <c r="P480" s="213" t="e">
        <v>#N/A</v>
      </c>
      <c r="Q480" s="219" t="e">
        <v>#N/A</v>
      </c>
      <c r="R480" s="220" t="e">
        <v>#N/A</v>
      </c>
      <c r="S480" s="213" t="e">
        <v>#N/A</v>
      </c>
      <c r="T480" s="228" t="e">
        <v>#N/A</v>
      </c>
      <c r="U480" s="219" t="e">
        <v>#N/A</v>
      </c>
      <c r="V480" s="220" t="e">
        <v>#N/A</v>
      </c>
      <c r="W480" s="220" t="e">
        <v>#N/A</v>
      </c>
      <c r="X480" s="219" t="e">
        <v>#N/A</v>
      </c>
      <c r="Y480" s="220" t="e">
        <v>#N/A</v>
      </c>
      <c r="Z480" s="213" t="e">
        <v>#N/A</v>
      </c>
      <c r="AA480" s="228" t="e">
        <v>#N/A</v>
      </c>
    </row>
    <row r="481" spans="1:27">
      <c r="A481" s="356"/>
      <c r="B481" s="39"/>
      <c r="C481" s="39"/>
      <c r="D481" s="39"/>
      <c r="E481" s="39">
        <v>0</v>
      </c>
      <c r="F481" s="39">
        <v>1</v>
      </c>
      <c r="G481" s="39">
        <v>0</v>
      </c>
      <c r="H481" s="214" t="e">
        <v>#N/A</v>
      </c>
      <c r="I481" s="134" t="e">
        <v>#N/A</v>
      </c>
      <c r="J481" s="104" t="e">
        <v>#N/A</v>
      </c>
      <c r="K481" s="208" t="e">
        <v>#N/A</v>
      </c>
      <c r="L481" s="223"/>
      <c r="M481" s="222"/>
      <c r="N481" s="222"/>
      <c r="O481" s="222"/>
      <c r="P481" s="226"/>
      <c r="Q481" s="134" t="e">
        <v>#N/A</v>
      </c>
      <c r="R481" s="104" t="e">
        <v>#N/A</v>
      </c>
      <c r="S481" s="208" t="e">
        <v>#N/A</v>
      </c>
      <c r="T481" s="229" t="e">
        <v>#N/A</v>
      </c>
      <c r="U481" s="287">
        <v>19</v>
      </c>
      <c r="V481" s="246">
        <v>127</v>
      </c>
      <c r="W481" s="214">
        <v>13</v>
      </c>
      <c r="X481" s="31"/>
      <c r="Y481" s="1"/>
      <c r="Z481" s="283"/>
      <c r="AA481" s="289" t="e">
        <v>#N/A</v>
      </c>
    </row>
    <row r="482" spans="1:27">
      <c r="A482" s="88" t="s">
        <v>355</v>
      </c>
      <c r="B482" s="42">
        <v>0</v>
      </c>
      <c r="C482" s="42">
        <v>1</v>
      </c>
      <c r="D482" s="42">
        <v>0</v>
      </c>
      <c r="E482" s="39"/>
      <c r="F482" s="39"/>
      <c r="G482" s="39"/>
      <c r="H482" s="214">
        <v>2</v>
      </c>
      <c r="I482" s="134" t="e">
        <v>#N/A</v>
      </c>
      <c r="J482" s="104" t="e">
        <v>#N/A</v>
      </c>
      <c r="K482" s="208" t="e">
        <v>#N/A</v>
      </c>
      <c r="L482" s="224">
        <v>31</v>
      </c>
      <c r="M482" s="118">
        <v>1</v>
      </c>
      <c r="N482" s="118">
        <v>15</v>
      </c>
      <c r="O482" s="118">
        <v>2</v>
      </c>
      <c r="P482" s="176">
        <v>14</v>
      </c>
      <c r="Q482" s="31">
        <f>L482+M482</f>
        <v>32</v>
      </c>
      <c r="R482" s="115">
        <f>N482+O482+P482</f>
        <v>31</v>
      </c>
      <c r="S482" s="127">
        <f>Q482-R482</f>
        <v>1</v>
      </c>
      <c r="T482" s="230"/>
      <c r="U482" s="31"/>
      <c r="V482" s="1"/>
      <c r="W482" s="1"/>
      <c r="X482" s="287">
        <v>-6</v>
      </c>
      <c r="Y482" s="246">
        <v>-80</v>
      </c>
      <c r="Z482" s="214">
        <v>0</v>
      </c>
      <c r="AA482" s="289">
        <f>I483+J483+K483</f>
        <v>128</v>
      </c>
    </row>
    <row r="483" spans="1:27" ht="13.5" thickBot="1">
      <c r="A483" s="89"/>
      <c r="B483" s="87"/>
      <c r="C483" s="87"/>
      <c r="D483" s="87"/>
      <c r="E483" s="43"/>
      <c r="F483" s="43"/>
      <c r="G483" s="43"/>
      <c r="H483" s="215" t="e">
        <v>#N/A</v>
      </c>
      <c r="I483" s="131">
        <v>9</v>
      </c>
      <c r="J483" s="106">
        <v>108</v>
      </c>
      <c r="K483" s="128">
        <v>11</v>
      </c>
      <c r="L483" s="225"/>
      <c r="M483" s="124"/>
      <c r="N483" s="124"/>
      <c r="O483" s="124"/>
      <c r="P483" s="227"/>
      <c r="Q483" s="131" t="e">
        <v>#N/A</v>
      </c>
      <c r="R483" s="106" t="e">
        <v>#N/A</v>
      </c>
      <c r="S483" s="128" t="e">
        <v>#N/A</v>
      </c>
      <c r="T483" s="231" t="e">
        <v>#N/A</v>
      </c>
      <c r="U483" s="282" t="e">
        <v>#N/A</v>
      </c>
      <c r="V483" s="87" t="e">
        <v>#N/A</v>
      </c>
      <c r="W483" s="87" t="e">
        <v>#N/A</v>
      </c>
      <c r="X483" s="282" t="e">
        <v>#N/A</v>
      </c>
      <c r="Y483" s="87" t="e">
        <v>#N/A</v>
      </c>
      <c r="Z483" s="215" t="e">
        <v>#N/A</v>
      </c>
      <c r="AA483" s="290" t="e">
        <v>#N/A</v>
      </c>
    </row>
    <row r="484" spans="1:27">
      <c r="A484" s="219"/>
      <c r="B484" s="220" t="e">
        <v>#N/A</v>
      </c>
      <c r="C484" s="220" t="e">
        <v>#N/A</v>
      </c>
      <c r="D484" s="220" t="e">
        <v>#N/A</v>
      </c>
      <c r="E484" s="220" t="e">
        <v>#N/A</v>
      </c>
      <c r="F484" s="220" t="e">
        <v>#N/A</v>
      </c>
      <c r="G484" s="220" t="e">
        <v>#N/A</v>
      </c>
      <c r="H484" s="213" t="e">
        <v>#N/A</v>
      </c>
      <c r="I484" s="219" t="e">
        <v>#N/A</v>
      </c>
      <c r="J484" s="220" t="e">
        <v>#N/A</v>
      </c>
      <c r="K484" s="213" t="e">
        <v>#N/A</v>
      </c>
      <c r="L484" s="219" t="e">
        <v>#N/A</v>
      </c>
      <c r="M484" s="220" t="e">
        <v>#N/A</v>
      </c>
      <c r="N484" s="220" t="e">
        <v>#N/A</v>
      </c>
      <c r="O484" s="220" t="e">
        <v>#N/A</v>
      </c>
      <c r="P484" s="213" t="e">
        <v>#N/A</v>
      </c>
      <c r="Q484" s="219" t="e">
        <v>#N/A</v>
      </c>
      <c r="R484" s="220" t="e">
        <v>#N/A</v>
      </c>
      <c r="S484" s="213" t="e">
        <v>#N/A</v>
      </c>
      <c r="T484" s="228" t="e">
        <v>#N/A</v>
      </c>
      <c r="U484" s="219" t="e">
        <v>#N/A</v>
      </c>
      <c r="V484" s="220" t="e">
        <v>#N/A</v>
      </c>
      <c r="W484" s="220" t="e">
        <v>#N/A</v>
      </c>
      <c r="X484" s="219" t="e">
        <v>#N/A</v>
      </c>
      <c r="Y484" s="220" t="e">
        <v>#N/A</v>
      </c>
      <c r="Z484" s="213" t="e">
        <v>#N/A</v>
      </c>
      <c r="AA484" s="228" t="e">
        <v>#N/A</v>
      </c>
    </row>
    <row r="485" spans="1:27">
      <c r="A485" s="390" t="s">
        <v>354</v>
      </c>
      <c r="B485" s="39"/>
      <c r="C485" s="39"/>
      <c r="D485" s="39"/>
      <c r="E485" s="39">
        <v>0</v>
      </c>
      <c r="F485" s="39">
        <v>2</v>
      </c>
      <c r="G485" s="39">
        <v>0</v>
      </c>
      <c r="H485" s="214" t="e">
        <v>#N/A</v>
      </c>
      <c r="I485" s="134" t="e">
        <v>#N/A</v>
      </c>
      <c r="J485" s="104" t="e">
        <v>#N/A</v>
      </c>
      <c r="K485" s="208" t="e">
        <v>#N/A</v>
      </c>
      <c r="L485" s="223"/>
      <c r="M485" s="222"/>
      <c r="N485" s="222"/>
      <c r="O485" s="222"/>
      <c r="P485" s="226"/>
      <c r="Q485" s="134" t="e">
        <v>#N/A</v>
      </c>
      <c r="R485" s="104" t="e">
        <v>#N/A</v>
      </c>
      <c r="S485" s="208" t="e">
        <v>#N/A</v>
      </c>
      <c r="T485" s="229" t="e">
        <v>#N/A</v>
      </c>
      <c r="U485" s="287">
        <v>16</v>
      </c>
      <c r="V485" s="246">
        <v>110</v>
      </c>
      <c r="W485" s="214">
        <v>11</v>
      </c>
      <c r="X485" s="31"/>
      <c r="Y485" s="1"/>
      <c r="Z485" s="283"/>
      <c r="AA485" s="289" t="e">
        <v>#N/A</v>
      </c>
    </row>
    <row r="486" spans="1:27">
      <c r="A486" s="88">
        <v>-41</v>
      </c>
      <c r="B486" s="42">
        <v>0</v>
      </c>
      <c r="C486" s="42">
        <v>1</v>
      </c>
      <c r="D486" s="42">
        <v>0</v>
      </c>
      <c r="E486" s="39"/>
      <c r="F486" s="39"/>
      <c r="G486" s="39"/>
      <c r="H486" s="214">
        <v>3</v>
      </c>
      <c r="I486" s="134" t="e">
        <v>#N/A</v>
      </c>
      <c r="J486" s="104" t="e">
        <v>#N/A</v>
      </c>
      <c r="K486" s="208" t="e">
        <v>#N/A</v>
      </c>
      <c r="L486" s="224">
        <v>137</v>
      </c>
      <c r="M486" s="118">
        <v>1</v>
      </c>
      <c r="N486" s="118">
        <v>5</v>
      </c>
      <c r="O486" s="118">
        <v>0</v>
      </c>
      <c r="P486" s="176">
        <v>12</v>
      </c>
      <c r="Q486" s="31">
        <f>L486+M486</f>
        <v>138</v>
      </c>
      <c r="R486" s="115">
        <f>N486+O486+P486</f>
        <v>17</v>
      </c>
      <c r="S486" s="127">
        <f>Q486-R486</f>
        <v>121</v>
      </c>
      <c r="T486" s="230"/>
      <c r="U486" s="31"/>
      <c r="V486" s="1"/>
      <c r="W486" s="1"/>
      <c r="X486" s="287">
        <v>-2</v>
      </c>
      <c r="Y486" s="246">
        <v>-17</v>
      </c>
      <c r="Z486" s="214">
        <v>0</v>
      </c>
      <c r="AA486" s="289">
        <f>I487+J487+K487</f>
        <v>246</v>
      </c>
    </row>
    <row r="487" spans="1:27" ht="13.5" thickBot="1">
      <c r="A487" s="89"/>
      <c r="B487" s="87"/>
      <c r="C487" s="87"/>
      <c r="D487" s="87"/>
      <c r="E487" s="43"/>
      <c r="F487" s="43"/>
      <c r="G487" s="43"/>
      <c r="H487" s="215" t="e">
        <v>#N/A</v>
      </c>
      <c r="I487" s="131">
        <v>23</v>
      </c>
      <c r="J487" s="106">
        <v>200</v>
      </c>
      <c r="K487" s="128">
        <v>23</v>
      </c>
      <c r="L487" s="225"/>
      <c r="M487" s="124"/>
      <c r="N487" s="124"/>
      <c r="O487" s="124"/>
      <c r="P487" s="227"/>
      <c r="Q487" s="131" t="e">
        <v>#N/A</v>
      </c>
      <c r="R487" s="106" t="e">
        <v>#N/A</v>
      </c>
      <c r="S487" s="128" t="e">
        <v>#N/A</v>
      </c>
      <c r="T487" s="231" t="e">
        <v>#N/A</v>
      </c>
      <c r="U487" s="282" t="e">
        <v>#N/A</v>
      </c>
      <c r="V487" s="87" t="e">
        <v>#N/A</v>
      </c>
      <c r="W487" s="87" t="e">
        <v>#N/A</v>
      </c>
      <c r="X487" s="282" t="e">
        <v>#N/A</v>
      </c>
      <c r="Y487" s="87" t="e">
        <v>#N/A</v>
      </c>
      <c r="Z487" s="215" t="e">
        <v>#N/A</v>
      </c>
      <c r="AA487" s="290" t="e">
        <v>#N/A</v>
      </c>
    </row>
    <row r="488" spans="1:27">
      <c r="A488" s="219"/>
      <c r="B488" s="220" t="e">
        <v>#N/A</v>
      </c>
      <c r="C488" s="220" t="e">
        <v>#N/A</v>
      </c>
      <c r="D488" s="220" t="e">
        <v>#N/A</v>
      </c>
      <c r="E488" s="220" t="e">
        <v>#N/A</v>
      </c>
      <c r="F488" s="220" t="e">
        <v>#N/A</v>
      </c>
      <c r="G488" s="220" t="e">
        <v>#N/A</v>
      </c>
      <c r="H488" s="213" t="e">
        <v>#N/A</v>
      </c>
      <c r="I488" s="219" t="e">
        <v>#N/A</v>
      </c>
      <c r="J488" s="220" t="e">
        <v>#N/A</v>
      </c>
      <c r="K488" s="213" t="e">
        <v>#N/A</v>
      </c>
      <c r="L488" s="219" t="e">
        <v>#N/A</v>
      </c>
      <c r="M488" s="220" t="e">
        <v>#N/A</v>
      </c>
      <c r="N488" s="220" t="e">
        <v>#N/A</v>
      </c>
      <c r="O488" s="220" t="e">
        <v>#N/A</v>
      </c>
      <c r="P488" s="213" t="e">
        <v>#N/A</v>
      </c>
      <c r="Q488" s="219" t="e">
        <v>#N/A</v>
      </c>
      <c r="R488" s="220" t="e">
        <v>#N/A</v>
      </c>
      <c r="S488" s="213" t="e">
        <v>#N/A</v>
      </c>
      <c r="T488" s="228" t="e">
        <v>#N/A</v>
      </c>
      <c r="U488" s="219" t="e">
        <v>#N/A</v>
      </c>
      <c r="V488" s="220" t="e">
        <v>#N/A</v>
      </c>
      <c r="W488" s="220" t="e">
        <v>#N/A</v>
      </c>
      <c r="X488" s="219" t="e">
        <v>#N/A</v>
      </c>
      <c r="Y488" s="220" t="e">
        <v>#N/A</v>
      </c>
      <c r="Z488" s="213" t="e">
        <v>#N/A</v>
      </c>
      <c r="AA488" s="228" t="e">
        <v>#N/A</v>
      </c>
    </row>
    <row r="489" spans="1:27">
      <c r="A489" s="356"/>
      <c r="B489" s="39"/>
      <c r="C489" s="39"/>
      <c r="D489" s="39"/>
      <c r="E489" s="39">
        <v>0</v>
      </c>
      <c r="F489" s="39">
        <v>1</v>
      </c>
      <c r="G489" s="39">
        <v>0</v>
      </c>
      <c r="H489" s="214" t="e">
        <v>#N/A</v>
      </c>
      <c r="I489" s="134" t="e">
        <v>#N/A</v>
      </c>
      <c r="J489" s="104" t="e">
        <v>#N/A</v>
      </c>
      <c r="K489" s="208" t="e">
        <v>#N/A</v>
      </c>
      <c r="L489" s="223"/>
      <c r="M489" s="222"/>
      <c r="N489" s="222"/>
      <c r="O489" s="222"/>
      <c r="P489" s="226"/>
      <c r="Q489" s="134" t="e">
        <v>#N/A</v>
      </c>
      <c r="R489" s="104" t="e">
        <v>#N/A</v>
      </c>
      <c r="S489" s="208" t="e">
        <v>#N/A</v>
      </c>
      <c r="T489" s="229" t="e">
        <v>#N/A</v>
      </c>
      <c r="U489" s="287">
        <v>1</v>
      </c>
      <c r="V489" s="246">
        <v>20</v>
      </c>
      <c r="W489" s="214">
        <v>1</v>
      </c>
      <c r="X489" s="31"/>
      <c r="Y489" s="1"/>
      <c r="Z489" s="283"/>
      <c r="AA489" s="289" t="e">
        <v>#N/A</v>
      </c>
    </row>
    <row r="490" spans="1:27">
      <c r="A490" s="88" t="s">
        <v>352</v>
      </c>
      <c r="B490" s="42">
        <v>0</v>
      </c>
      <c r="C490" s="42">
        <v>1</v>
      </c>
      <c r="D490" s="42">
        <v>0</v>
      </c>
      <c r="E490" s="39"/>
      <c r="F490" s="39"/>
      <c r="G490" s="39"/>
      <c r="H490" s="214">
        <v>2</v>
      </c>
      <c r="I490" s="134" t="e">
        <v>#N/A</v>
      </c>
      <c r="J490" s="104" t="e">
        <v>#N/A</v>
      </c>
      <c r="K490" s="208" t="e">
        <v>#N/A</v>
      </c>
      <c r="L490" s="224">
        <v>22</v>
      </c>
      <c r="M490" s="118">
        <v>1</v>
      </c>
      <c r="N490" s="118">
        <v>45</v>
      </c>
      <c r="O490" s="118">
        <v>0</v>
      </c>
      <c r="P490" s="176">
        <v>29</v>
      </c>
      <c r="Q490" s="31">
        <f>L490+M490</f>
        <v>23</v>
      </c>
      <c r="R490" s="115">
        <f>N490+O490+P490</f>
        <v>74</v>
      </c>
      <c r="S490" s="127">
        <f>Q490-R490</f>
        <v>-51</v>
      </c>
      <c r="T490" s="230"/>
      <c r="U490" s="31"/>
      <c r="V490" s="1"/>
      <c r="W490" s="1"/>
      <c r="X490" s="287">
        <v>-15</v>
      </c>
      <c r="Y490" s="246">
        <v>-56</v>
      </c>
      <c r="Z490" s="214">
        <v>-1</v>
      </c>
      <c r="AA490" s="289">
        <f>I491+J491+K491</f>
        <v>198</v>
      </c>
    </row>
    <row r="491" spans="1:27" ht="13.5" thickBot="1">
      <c r="A491" s="89"/>
      <c r="B491" s="87"/>
      <c r="C491" s="87"/>
      <c r="D491" s="87"/>
      <c r="E491" s="43"/>
      <c r="F491" s="43"/>
      <c r="G491" s="43"/>
      <c r="H491" s="215" t="e">
        <v>#N/A</v>
      </c>
      <c r="I491" s="131">
        <v>11</v>
      </c>
      <c r="J491" s="106">
        <v>165</v>
      </c>
      <c r="K491" s="128">
        <v>22</v>
      </c>
      <c r="L491" s="225"/>
      <c r="M491" s="124"/>
      <c r="N491" s="124"/>
      <c r="O491" s="124"/>
      <c r="P491" s="227"/>
      <c r="Q491" s="131" t="e">
        <v>#N/A</v>
      </c>
      <c r="R491" s="106" t="e">
        <v>#N/A</v>
      </c>
      <c r="S491" s="128" t="e">
        <v>#N/A</v>
      </c>
      <c r="T491" s="231" t="e">
        <v>#N/A</v>
      </c>
      <c r="U491" s="282" t="e">
        <v>#N/A</v>
      </c>
      <c r="V491" s="87" t="e">
        <v>#N/A</v>
      </c>
      <c r="W491" s="87" t="e">
        <v>#N/A</v>
      </c>
      <c r="X491" s="282" t="e">
        <v>#N/A</v>
      </c>
      <c r="Y491" s="87" t="e">
        <v>#N/A</v>
      </c>
      <c r="Z491" s="215" t="e">
        <v>#N/A</v>
      </c>
      <c r="AA491" s="290" t="e">
        <v>#N/A</v>
      </c>
    </row>
    <row r="492" spans="1:27">
      <c r="A492" s="219"/>
      <c r="B492" s="220" t="e">
        <v>#N/A</v>
      </c>
      <c r="C492" s="220" t="e">
        <v>#N/A</v>
      </c>
      <c r="D492" s="220" t="e">
        <v>#N/A</v>
      </c>
      <c r="E492" s="220" t="e">
        <v>#N/A</v>
      </c>
      <c r="F492" s="220" t="e">
        <v>#N/A</v>
      </c>
      <c r="G492" s="220" t="e">
        <v>#N/A</v>
      </c>
      <c r="H492" s="213" t="e">
        <v>#N/A</v>
      </c>
      <c r="I492" s="219" t="e">
        <v>#N/A</v>
      </c>
      <c r="J492" s="220" t="e">
        <v>#N/A</v>
      </c>
      <c r="K492" s="213" t="e">
        <v>#N/A</v>
      </c>
      <c r="L492" s="219" t="e">
        <v>#N/A</v>
      </c>
      <c r="M492" s="220" t="e">
        <v>#N/A</v>
      </c>
      <c r="N492" s="220" t="e">
        <v>#N/A</v>
      </c>
      <c r="O492" s="220" t="e">
        <v>#N/A</v>
      </c>
      <c r="P492" s="213" t="e">
        <v>#N/A</v>
      </c>
      <c r="Q492" s="219" t="e">
        <v>#N/A</v>
      </c>
      <c r="R492" s="220" t="e">
        <v>#N/A</v>
      </c>
      <c r="S492" s="213" t="e">
        <v>#N/A</v>
      </c>
      <c r="T492" s="228" t="e">
        <v>#N/A</v>
      </c>
      <c r="U492" s="219" t="e">
        <v>#N/A</v>
      </c>
      <c r="V492" s="220" t="e">
        <v>#N/A</v>
      </c>
      <c r="W492" s="220" t="e">
        <v>#N/A</v>
      </c>
      <c r="X492" s="219" t="e">
        <v>#N/A</v>
      </c>
      <c r="Y492" s="220" t="e">
        <v>#N/A</v>
      </c>
      <c r="Z492" s="213" t="e">
        <v>#N/A</v>
      </c>
      <c r="AA492" s="228" t="e">
        <v>#N/A</v>
      </c>
    </row>
    <row r="493" spans="1:27">
      <c r="A493" s="356"/>
      <c r="B493" s="39"/>
      <c r="C493" s="39"/>
      <c r="D493" s="39"/>
      <c r="E493" s="39">
        <v>0</v>
      </c>
      <c r="F493" s="39">
        <v>0</v>
      </c>
      <c r="G493" s="39">
        <v>0</v>
      </c>
      <c r="H493" s="214" t="e">
        <v>#N/A</v>
      </c>
      <c r="I493" s="134" t="e">
        <v>#N/A</v>
      </c>
      <c r="J493" s="104" t="e">
        <v>#N/A</v>
      </c>
      <c r="K493" s="208" t="e">
        <v>#N/A</v>
      </c>
      <c r="L493" s="223"/>
      <c r="M493" s="222"/>
      <c r="N493" s="222"/>
      <c r="O493" s="222"/>
      <c r="P493" s="226"/>
      <c r="Q493" s="134" t="e">
        <v>#N/A</v>
      </c>
      <c r="R493" s="104" t="e">
        <v>#N/A</v>
      </c>
      <c r="S493" s="208" t="e">
        <v>#N/A</v>
      </c>
      <c r="T493" s="229" t="e">
        <v>#N/A</v>
      </c>
      <c r="U493" s="287">
        <v>0</v>
      </c>
      <c r="V493" s="246">
        <v>15</v>
      </c>
      <c r="W493" s="214">
        <v>0</v>
      </c>
      <c r="X493" s="31"/>
      <c r="Y493" s="1"/>
      <c r="Z493" s="283"/>
      <c r="AA493" s="289" t="e">
        <v>#N/A</v>
      </c>
    </row>
    <row r="494" spans="1:27">
      <c r="A494" s="88" t="s">
        <v>351</v>
      </c>
      <c r="B494" s="42">
        <v>0</v>
      </c>
      <c r="C494" s="42">
        <v>0</v>
      </c>
      <c r="D494" s="42">
        <v>0</v>
      </c>
      <c r="E494" s="39"/>
      <c r="F494" s="39"/>
      <c r="G494" s="39"/>
      <c r="H494" s="214">
        <v>0</v>
      </c>
      <c r="I494" s="134" t="e">
        <v>#N/A</v>
      </c>
      <c r="J494" s="104" t="e">
        <v>#N/A</v>
      </c>
      <c r="K494" s="208" t="e">
        <v>#N/A</v>
      </c>
      <c r="L494" s="224">
        <v>14</v>
      </c>
      <c r="M494" s="118">
        <v>1</v>
      </c>
      <c r="N494" s="118">
        <v>37</v>
      </c>
      <c r="O494" s="118">
        <v>3</v>
      </c>
      <c r="P494" s="176">
        <v>30</v>
      </c>
      <c r="Q494" s="31">
        <f>L494+M494</f>
        <v>15</v>
      </c>
      <c r="R494" s="115">
        <f>N494+O494+P494</f>
        <v>70</v>
      </c>
      <c r="S494" s="127">
        <f>Q494-R494</f>
        <v>-55</v>
      </c>
      <c r="T494" s="230"/>
      <c r="U494" s="31"/>
      <c r="V494" s="1"/>
      <c r="W494" s="1"/>
      <c r="X494" s="287">
        <v>-10</v>
      </c>
      <c r="Y494" s="246">
        <v>-54</v>
      </c>
      <c r="Z494" s="214">
        <v>-4</v>
      </c>
      <c r="AA494" s="289">
        <f>I495+J495+K495</f>
        <v>151</v>
      </c>
    </row>
    <row r="495" spans="1:27" ht="13.5" thickBot="1">
      <c r="A495" s="89"/>
      <c r="B495" s="87"/>
      <c r="C495" s="87"/>
      <c r="D495" s="87"/>
      <c r="E495" s="43"/>
      <c r="F495" s="43"/>
      <c r="G495" s="43"/>
      <c r="H495" s="215" t="e">
        <v>#N/A</v>
      </c>
      <c r="I495" s="131">
        <v>2</v>
      </c>
      <c r="J495" s="106">
        <v>131</v>
      </c>
      <c r="K495" s="128">
        <v>18</v>
      </c>
      <c r="L495" s="225"/>
      <c r="M495" s="124"/>
      <c r="N495" s="124"/>
      <c r="O495" s="124"/>
      <c r="P495" s="227"/>
      <c r="Q495" s="131" t="e">
        <v>#N/A</v>
      </c>
      <c r="R495" s="106" t="e">
        <v>#N/A</v>
      </c>
      <c r="S495" s="128" t="e">
        <v>#N/A</v>
      </c>
      <c r="T495" s="231" t="e">
        <v>#N/A</v>
      </c>
      <c r="U495" s="282" t="e">
        <v>#N/A</v>
      </c>
      <c r="V495" s="87" t="e">
        <v>#N/A</v>
      </c>
      <c r="W495" s="87" t="e">
        <v>#N/A</v>
      </c>
      <c r="X495" s="282" t="e">
        <v>#N/A</v>
      </c>
      <c r="Y495" s="87" t="e">
        <v>#N/A</v>
      </c>
      <c r="Z495" s="215" t="e">
        <v>#N/A</v>
      </c>
      <c r="AA495" s="290" t="e">
        <v>#N/A</v>
      </c>
    </row>
    <row r="496" spans="1:27">
      <c r="A496" s="219"/>
      <c r="B496" s="220" t="e">
        <v>#N/A</v>
      </c>
      <c r="C496" s="220" t="e">
        <v>#N/A</v>
      </c>
      <c r="D496" s="220" t="e">
        <v>#N/A</v>
      </c>
      <c r="E496" s="220" t="e">
        <v>#N/A</v>
      </c>
      <c r="F496" s="220" t="e">
        <v>#N/A</v>
      </c>
      <c r="G496" s="220" t="e">
        <v>#N/A</v>
      </c>
      <c r="H496" s="213" t="e">
        <v>#N/A</v>
      </c>
      <c r="I496" s="219" t="e">
        <v>#N/A</v>
      </c>
      <c r="J496" s="220" t="e">
        <v>#N/A</v>
      </c>
      <c r="K496" s="213" t="e">
        <v>#N/A</v>
      </c>
      <c r="L496" s="219" t="e">
        <v>#N/A</v>
      </c>
      <c r="M496" s="220" t="e">
        <v>#N/A</v>
      </c>
      <c r="N496" s="220" t="e">
        <v>#N/A</v>
      </c>
      <c r="O496" s="220" t="e">
        <v>#N/A</v>
      </c>
      <c r="P496" s="213" t="e">
        <v>#N/A</v>
      </c>
      <c r="Q496" s="219" t="e">
        <v>#N/A</v>
      </c>
      <c r="R496" s="220" t="e">
        <v>#N/A</v>
      </c>
      <c r="S496" s="213" t="e">
        <v>#N/A</v>
      </c>
      <c r="T496" s="228" t="e">
        <v>#N/A</v>
      </c>
      <c r="U496" s="219" t="e">
        <v>#N/A</v>
      </c>
      <c r="V496" s="220" t="e">
        <v>#N/A</v>
      </c>
      <c r="W496" s="220" t="e">
        <v>#N/A</v>
      </c>
      <c r="X496" s="219" t="e">
        <v>#N/A</v>
      </c>
      <c r="Y496" s="220" t="e">
        <v>#N/A</v>
      </c>
      <c r="Z496" s="213" t="e">
        <v>#N/A</v>
      </c>
      <c r="AA496" s="228" t="e">
        <v>#N/A</v>
      </c>
    </row>
    <row r="497" spans="1:27">
      <c r="A497" s="356"/>
      <c r="B497" s="39"/>
      <c r="C497" s="39"/>
      <c r="D497" s="39"/>
      <c r="E497" s="39">
        <v>0</v>
      </c>
      <c r="F497" s="39">
        <v>0</v>
      </c>
      <c r="G497" s="39">
        <v>0</v>
      </c>
      <c r="H497" s="214" t="e">
        <v>#N/A</v>
      </c>
      <c r="I497" s="134" t="e">
        <v>#N/A</v>
      </c>
      <c r="J497" s="104" t="e">
        <v>#N/A</v>
      </c>
      <c r="K497" s="208" t="e">
        <v>#N/A</v>
      </c>
      <c r="L497" s="223"/>
      <c r="M497" s="222"/>
      <c r="N497" s="222"/>
      <c r="O497" s="222"/>
      <c r="P497" s="226"/>
      <c r="Q497" s="134" t="e">
        <v>#N/A</v>
      </c>
      <c r="R497" s="104" t="e">
        <v>#N/A</v>
      </c>
      <c r="S497" s="208" t="e">
        <v>#N/A</v>
      </c>
      <c r="T497" s="229" t="e">
        <v>#N/A</v>
      </c>
      <c r="U497" s="287">
        <v>3</v>
      </c>
      <c r="V497" s="246">
        <v>54</v>
      </c>
      <c r="W497" s="214">
        <v>4</v>
      </c>
      <c r="X497" s="31"/>
      <c r="Y497" s="1"/>
      <c r="Z497" s="283"/>
      <c r="AA497" s="289" t="e">
        <v>#N/A</v>
      </c>
    </row>
    <row r="498" spans="1:27">
      <c r="A498" s="88" t="s">
        <v>317</v>
      </c>
      <c r="B498" s="42">
        <v>0</v>
      </c>
      <c r="C498" s="42">
        <v>0</v>
      </c>
      <c r="D498" s="42">
        <v>0</v>
      </c>
      <c r="E498" s="39"/>
      <c r="F498" s="39"/>
      <c r="G498" s="39"/>
      <c r="H498" s="214">
        <v>0</v>
      </c>
      <c r="I498" s="134" t="e">
        <v>#N/A</v>
      </c>
      <c r="J498" s="104" t="e">
        <v>#N/A</v>
      </c>
      <c r="K498" s="208" t="e">
        <v>#N/A</v>
      </c>
      <c r="L498" s="224">
        <v>60</v>
      </c>
      <c r="M498" s="118">
        <v>1</v>
      </c>
      <c r="N498" s="118">
        <v>12</v>
      </c>
      <c r="O498" s="118">
        <v>1</v>
      </c>
      <c r="P498" s="176">
        <v>37</v>
      </c>
      <c r="Q498" s="31">
        <f>L498+M498</f>
        <v>61</v>
      </c>
      <c r="R498" s="115">
        <f>N498+O498+P498</f>
        <v>50</v>
      </c>
      <c r="S498" s="127">
        <f>Q498-R498</f>
        <v>11</v>
      </c>
      <c r="T498" s="230"/>
      <c r="U498" s="31"/>
      <c r="V498" s="1"/>
      <c r="W498" s="1"/>
      <c r="X498" s="287">
        <v>0</v>
      </c>
      <c r="Y498" s="246">
        <v>-49</v>
      </c>
      <c r="Z498" s="214">
        <v>-1</v>
      </c>
      <c r="AA498" s="289">
        <f>I499+J499+K499</f>
        <v>164</v>
      </c>
    </row>
    <row r="499" spans="1:27" ht="13.5" thickBot="1">
      <c r="A499" s="89"/>
      <c r="B499" s="87"/>
      <c r="C499" s="87"/>
      <c r="D499" s="87"/>
      <c r="E499" s="43"/>
      <c r="F499" s="43"/>
      <c r="G499" s="43"/>
      <c r="H499" s="215" t="e">
        <v>#N/A</v>
      </c>
      <c r="I499" s="131">
        <v>5</v>
      </c>
      <c r="J499" s="106">
        <v>138</v>
      </c>
      <c r="K499" s="128">
        <v>21</v>
      </c>
      <c r="L499" s="225"/>
      <c r="M499" s="124"/>
      <c r="N499" s="124"/>
      <c r="O499" s="124"/>
      <c r="P499" s="227"/>
      <c r="Q499" s="131" t="e">
        <v>#N/A</v>
      </c>
      <c r="R499" s="106" t="e">
        <v>#N/A</v>
      </c>
      <c r="S499" s="128" t="e">
        <v>#N/A</v>
      </c>
      <c r="T499" s="231" t="e">
        <v>#N/A</v>
      </c>
      <c r="U499" s="282" t="e">
        <v>#N/A</v>
      </c>
      <c r="V499" s="87" t="e">
        <v>#N/A</v>
      </c>
      <c r="W499" s="87" t="e">
        <v>#N/A</v>
      </c>
      <c r="X499" s="282" t="e">
        <v>#N/A</v>
      </c>
      <c r="Y499" s="87" t="e">
        <v>#N/A</v>
      </c>
      <c r="Z499" s="215" t="e">
        <v>#N/A</v>
      </c>
      <c r="AA499" s="290" t="e">
        <v>#N/A</v>
      </c>
    </row>
    <row r="500" spans="1:27">
      <c r="A500" s="219"/>
      <c r="B500" s="220" t="e">
        <v>#N/A</v>
      </c>
      <c r="C500" s="220" t="e">
        <v>#N/A</v>
      </c>
      <c r="D500" s="220" t="e">
        <v>#N/A</v>
      </c>
      <c r="E500" s="220" t="e">
        <v>#N/A</v>
      </c>
      <c r="F500" s="220" t="e">
        <v>#N/A</v>
      </c>
      <c r="G500" s="220" t="e">
        <v>#N/A</v>
      </c>
      <c r="H500" s="213" t="e">
        <v>#N/A</v>
      </c>
      <c r="I500" s="219" t="e">
        <v>#N/A</v>
      </c>
      <c r="J500" s="220" t="e">
        <v>#N/A</v>
      </c>
      <c r="K500" s="213" t="e">
        <v>#N/A</v>
      </c>
      <c r="L500" s="219" t="e">
        <v>#N/A</v>
      </c>
      <c r="M500" s="220" t="e">
        <v>#N/A</v>
      </c>
      <c r="N500" s="220" t="e">
        <v>#N/A</v>
      </c>
      <c r="O500" s="220" t="e">
        <v>#N/A</v>
      </c>
      <c r="P500" s="213" t="e">
        <v>#N/A</v>
      </c>
      <c r="Q500" s="219" t="e">
        <v>#N/A</v>
      </c>
      <c r="R500" s="220" t="e">
        <v>#N/A</v>
      </c>
      <c r="S500" s="213" t="e">
        <v>#N/A</v>
      </c>
      <c r="T500" s="228" t="e">
        <v>#N/A</v>
      </c>
      <c r="U500" s="219" t="e">
        <v>#N/A</v>
      </c>
      <c r="V500" s="220" t="e">
        <v>#N/A</v>
      </c>
      <c r="W500" s="220" t="e">
        <v>#N/A</v>
      </c>
      <c r="X500" s="219" t="e">
        <v>#N/A</v>
      </c>
      <c r="Y500" s="220" t="e">
        <v>#N/A</v>
      </c>
      <c r="Z500" s="213" t="e">
        <v>#N/A</v>
      </c>
      <c r="AA500" s="228" t="e">
        <v>#N/A</v>
      </c>
    </row>
    <row r="501" spans="1:27">
      <c r="A501" s="356"/>
      <c r="B501" s="39"/>
      <c r="C501" s="39"/>
      <c r="D501" s="39"/>
      <c r="E501" s="39">
        <v>0</v>
      </c>
      <c r="F501" s="39">
        <v>0</v>
      </c>
      <c r="G501" s="39">
        <v>0</v>
      </c>
      <c r="H501" s="214" t="e">
        <v>#N/A</v>
      </c>
      <c r="I501" s="134" t="e">
        <v>#N/A</v>
      </c>
      <c r="J501" s="104" t="e">
        <v>#N/A</v>
      </c>
      <c r="K501" s="208" t="e">
        <v>#N/A</v>
      </c>
      <c r="L501" s="223"/>
      <c r="M501" s="222"/>
      <c r="N501" s="222"/>
      <c r="O501" s="222"/>
      <c r="P501" s="226"/>
      <c r="Q501" s="134" t="e">
        <v>#N/A</v>
      </c>
      <c r="R501" s="104" t="e">
        <v>#N/A</v>
      </c>
      <c r="S501" s="208" t="e">
        <v>#N/A</v>
      </c>
      <c r="T501" s="229" t="e">
        <v>#N/A</v>
      </c>
      <c r="U501" s="287">
        <v>6</v>
      </c>
      <c r="V501" s="246">
        <v>19</v>
      </c>
      <c r="W501" s="214">
        <v>0</v>
      </c>
      <c r="X501" s="31"/>
      <c r="Y501" s="1"/>
      <c r="Z501" s="283"/>
      <c r="AA501" s="289" t="e">
        <v>#N/A</v>
      </c>
    </row>
    <row r="502" spans="1:27">
      <c r="A502" s="88" t="s">
        <v>318</v>
      </c>
      <c r="B502" s="42">
        <v>0</v>
      </c>
      <c r="C502" s="42">
        <v>0</v>
      </c>
      <c r="D502" s="42">
        <v>0</v>
      </c>
      <c r="E502" s="39"/>
      <c r="F502" s="39"/>
      <c r="G502" s="39"/>
      <c r="H502" s="214">
        <v>0</v>
      </c>
      <c r="I502" s="134" t="e">
        <v>#N/A</v>
      </c>
      <c r="J502" s="104" t="e">
        <v>#N/A</v>
      </c>
      <c r="K502" s="208" t="e">
        <v>#N/A</v>
      </c>
      <c r="L502" s="224">
        <v>25</v>
      </c>
      <c r="M502" s="118">
        <v>0</v>
      </c>
      <c r="N502" s="118">
        <v>8</v>
      </c>
      <c r="O502" s="118">
        <v>1</v>
      </c>
      <c r="P502" s="176">
        <v>24</v>
      </c>
      <c r="Q502" s="31">
        <f>L502+M502</f>
        <v>25</v>
      </c>
      <c r="R502" s="115">
        <f>N502+O502+P502</f>
        <v>33</v>
      </c>
      <c r="S502" s="127">
        <f>Q502-R502</f>
        <v>-8</v>
      </c>
      <c r="T502" s="230"/>
      <c r="U502" s="31"/>
      <c r="V502" s="1"/>
      <c r="W502" s="1"/>
      <c r="X502" s="287">
        <v>-3</v>
      </c>
      <c r="Y502" s="246">
        <v>-29</v>
      </c>
      <c r="Z502" s="214">
        <v>-1</v>
      </c>
      <c r="AA502" s="289">
        <f>I503+J503+K503</f>
        <v>158</v>
      </c>
    </row>
    <row r="503" spans="1:27" ht="13.5" thickBot="1">
      <c r="A503" s="89"/>
      <c r="B503" s="87"/>
      <c r="C503" s="87"/>
      <c r="D503" s="87"/>
      <c r="E503" s="43"/>
      <c r="F503" s="43"/>
      <c r="G503" s="43"/>
      <c r="H503" s="215" t="e">
        <v>#N/A</v>
      </c>
      <c r="I503" s="131">
        <v>10</v>
      </c>
      <c r="J503" s="106">
        <v>128</v>
      </c>
      <c r="K503" s="128">
        <v>20</v>
      </c>
      <c r="L503" s="225"/>
      <c r="M503" s="124"/>
      <c r="N503" s="124"/>
      <c r="O503" s="124"/>
      <c r="P503" s="227"/>
      <c r="Q503" s="131" t="e">
        <v>#N/A</v>
      </c>
      <c r="R503" s="106" t="e">
        <v>#N/A</v>
      </c>
      <c r="S503" s="128" t="e">
        <v>#N/A</v>
      </c>
      <c r="T503" s="231" t="e">
        <v>#N/A</v>
      </c>
      <c r="U503" s="282" t="e">
        <v>#N/A</v>
      </c>
      <c r="V503" s="87" t="e">
        <v>#N/A</v>
      </c>
      <c r="W503" s="87" t="e">
        <v>#N/A</v>
      </c>
      <c r="X503" s="282" t="e">
        <v>#N/A</v>
      </c>
      <c r="Y503" s="87" t="e">
        <v>#N/A</v>
      </c>
      <c r="Z503" s="215" t="e">
        <v>#N/A</v>
      </c>
      <c r="AA503" s="290" t="e">
        <v>#N/A</v>
      </c>
    </row>
    <row r="504" spans="1:27">
      <c r="A504" s="219"/>
      <c r="B504" s="220" t="e">
        <v>#N/A</v>
      </c>
      <c r="C504" s="220" t="e">
        <v>#N/A</v>
      </c>
      <c r="D504" s="220" t="e">
        <v>#N/A</v>
      </c>
      <c r="E504" s="220" t="e">
        <v>#N/A</v>
      </c>
      <c r="F504" s="220" t="e">
        <v>#N/A</v>
      </c>
      <c r="G504" s="220" t="e">
        <v>#N/A</v>
      </c>
      <c r="H504" s="213" t="e">
        <v>#N/A</v>
      </c>
      <c r="I504" s="219" t="e">
        <v>#N/A</v>
      </c>
      <c r="J504" s="220" t="e">
        <v>#N/A</v>
      </c>
      <c r="K504" s="213" t="e">
        <v>#N/A</v>
      </c>
      <c r="L504" s="219" t="e">
        <v>#N/A</v>
      </c>
      <c r="M504" s="220" t="e">
        <v>#N/A</v>
      </c>
      <c r="N504" s="220" t="e">
        <v>#N/A</v>
      </c>
      <c r="O504" s="220" t="e">
        <v>#N/A</v>
      </c>
      <c r="P504" s="213" t="e">
        <v>#N/A</v>
      </c>
      <c r="Q504" s="219" t="e">
        <v>#N/A</v>
      </c>
      <c r="R504" s="220" t="e">
        <v>#N/A</v>
      </c>
      <c r="S504" s="213" t="e">
        <v>#N/A</v>
      </c>
      <c r="T504" s="228" t="e">
        <v>#N/A</v>
      </c>
      <c r="U504" s="219" t="e">
        <v>#N/A</v>
      </c>
      <c r="V504" s="220" t="e">
        <v>#N/A</v>
      </c>
      <c r="W504" s="220" t="e">
        <v>#N/A</v>
      </c>
      <c r="X504" s="219" t="e">
        <v>#N/A</v>
      </c>
      <c r="Y504" s="220" t="e">
        <v>#N/A</v>
      </c>
      <c r="Z504" s="213" t="e">
        <v>#N/A</v>
      </c>
      <c r="AA504" s="228" t="e">
        <v>#N/A</v>
      </c>
    </row>
    <row r="505" spans="1:27">
      <c r="A505" s="356"/>
      <c r="B505" s="39"/>
      <c r="C505" s="39"/>
      <c r="D505" s="39"/>
      <c r="E505" s="39">
        <v>0</v>
      </c>
      <c r="F505" s="39">
        <v>0</v>
      </c>
      <c r="G505" s="39">
        <v>0</v>
      </c>
      <c r="H505" s="214" t="e">
        <v>#N/A</v>
      </c>
      <c r="I505" s="134" t="e">
        <v>#N/A</v>
      </c>
      <c r="J505" s="104" t="e">
        <v>#N/A</v>
      </c>
      <c r="K505" s="208" t="e">
        <v>#N/A</v>
      </c>
      <c r="L505" s="223"/>
      <c r="M505" s="222"/>
      <c r="N505" s="222"/>
      <c r="O505" s="222"/>
      <c r="P505" s="226"/>
      <c r="Q505" s="134" t="e">
        <v>#N/A</v>
      </c>
      <c r="R505" s="104" t="e">
        <v>#N/A</v>
      </c>
      <c r="S505" s="208" t="e">
        <v>#N/A</v>
      </c>
      <c r="T505" s="229" t="e">
        <v>#N/A</v>
      </c>
      <c r="U505" s="287">
        <v>4</v>
      </c>
      <c r="V505" s="246">
        <v>36</v>
      </c>
      <c r="W505" s="214">
        <v>2</v>
      </c>
      <c r="X505" s="31"/>
      <c r="Y505" s="1"/>
      <c r="Z505" s="283"/>
      <c r="AA505" s="289" t="e">
        <v>#N/A</v>
      </c>
    </row>
    <row r="506" spans="1:27">
      <c r="A506" s="88" t="s">
        <v>319</v>
      </c>
      <c r="B506" s="42">
        <v>0</v>
      </c>
      <c r="C506" s="42">
        <v>0</v>
      </c>
      <c r="D506" s="42">
        <v>0</v>
      </c>
      <c r="E506" s="39"/>
      <c r="F506" s="39"/>
      <c r="G506" s="39"/>
      <c r="H506" s="214">
        <v>0</v>
      </c>
      <c r="I506" s="134" t="e">
        <v>#N/A</v>
      </c>
      <c r="J506" s="104" t="e">
        <v>#N/A</v>
      </c>
      <c r="K506" s="208" t="e">
        <v>#N/A</v>
      </c>
      <c r="L506" s="224">
        <v>41</v>
      </c>
      <c r="M506" s="118">
        <v>2</v>
      </c>
      <c r="N506" s="118">
        <v>23</v>
      </c>
      <c r="O506" s="118">
        <v>5</v>
      </c>
      <c r="P506" s="176">
        <v>25</v>
      </c>
      <c r="Q506" s="31">
        <f>L506+M506</f>
        <v>43</v>
      </c>
      <c r="R506" s="115">
        <f>N506+O506+P506</f>
        <v>53</v>
      </c>
      <c r="S506" s="127">
        <f>Q506-R506</f>
        <v>-10</v>
      </c>
      <c r="T506" s="230"/>
      <c r="U506" s="31"/>
      <c r="V506" s="1"/>
      <c r="W506" s="1"/>
      <c r="X506" s="287">
        <v>-2</v>
      </c>
      <c r="Y506" s="246">
        <v>-49</v>
      </c>
      <c r="Z506" s="214">
        <v>-1</v>
      </c>
      <c r="AA506" s="289">
        <f>I507+J507+K507</f>
        <v>147</v>
      </c>
    </row>
    <row r="507" spans="1:27" ht="13.5" thickBot="1">
      <c r="A507" s="89"/>
      <c r="B507" s="87"/>
      <c r="C507" s="87"/>
      <c r="D507" s="87"/>
      <c r="E507" s="43"/>
      <c r="F507" s="43"/>
      <c r="G507" s="43"/>
      <c r="H507" s="215" t="e">
        <v>#N/A</v>
      </c>
      <c r="I507" s="131">
        <v>12</v>
      </c>
      <c r="J507" s="106">
        <v>113</v>
      </c>
      <c r="K507" s="128">
        <v>22</v>
      </c>
      <c r="L507" s="225"/>
      <c r="M507" s="124"/>
      <c r="N507" s="124"/>
      <c r="O507" s="124"/>
      <c r="P507" s="227"/>
      <c r="Q507" s="131" t="e">
        <v>#N/A</v>
      </c>
      <c r="R507" s="106" t="e">
        <v>#N/A</v>
      </c>
      <c r="S507" s="128" t="e">
        <v>#N/A</v>
      </c>
      <c r="T507" s="231" t="e">
        <v>#N/A</v>
      </c>
      <c r="U507" s="282" t="e">
        <v>#N/A</v>
      </c>
      <c r="V507" s="87" t="e">
        <v>#N/A</v>
      </c>
      <c r="W507" s="87" t="e">
        <v>#N/A</v>
      </c>
      <c r="X507" s="282" t="e">
        <v>#N/A</v>
      </c>
      <c r="Y507" s="87" t="e">
        <v>#N/A</v>
      </c>
      <c r="Z507" s="215" t="e">
        <v>#N/A</v>
      </c>
      <c r="AA507" s="290" t="e">
        <v>#N/A</v>
      </c>
    </row>
    <row r="508" spans="1:27">
      <c r="A508" s="219"/>
      <c r="B508" s="220" t="e">
        <v>#N/A</v>
      </c>
      <c r="C508" s="220" t="e">
        <v>#N/A</v>
      </c>
      <c r="D508" s="220" t="e">
        <v>#N/A</v>
      </c>
      <c r="E508" s="220" t="e">
        <v>#N/A</v>
      </c>
      <c r="F508" s="220" t="e">
        <v>#N/A</v>
      </c>
      <c r="G508" s="220" t="e">
        <v>#N/A</v>
      </c>
      <c r="H508" s="213" t="e">
        <v>#N/A</v>
      </c>
      <c r="I508" s="219" t="e">
        <v>#N/A</v>
      </c>
      <c r="J508" s="220" t="e">
        <v>#N/A</v>
      </c>
      <c r="K508" s="213" t="e">
        <v>#N/A</v>
      </c>
      <c r="L508" s="219" t="e">
        <v>#N/A</v>
      </c>
      <c r="M508" s="220" t="e">
        <v>#N/A</v>
      </c>
      <c r="N508" s="220" t="e">
        <v>#N/A</v>
      </c>
      <c r="O508" s="220" t="e">
        <v>#N/A</v>
      </c>
      <c r="P508" s="213" t="e">
        <v>#N/A</v>
      </c>
      <c r="Q508" s="219" t="e">
        <v>#N/A</v>
      </c>
      <c r="R508" s="220" t="e">
        <v>#N/A</v>
      </c>
      <c r="S508" s="213" t="e">
        <v>#N/A</v>
      </c>
      <c r="T508" s="228" t="e">
        <v>#N/A</v>
      </c>
      <c r="U508" s="219" t="e">
        <v>#N/A</v>
      </c>
      <c r="V508" s="220" t="e">
        <v>#N/A</v>
      </c>
      <c r="W508" s="220" t="e">
        <v>#N/A</v>
      </c>
      <c r="X508" s="219" t="e">
        <v>#N/A</v>
      </c>
      <c r="Y508" s="220" t="e">
        <v>#N/A</v>
      </c>
      <c r="Z508" s="213" t="e">
        <v>#N/A</v>
      </c>
      <c r="AA508" s="228" t="e">
        <v>#N/A</v>
      </c>
    </row>
    <row r="509" spans="1:27">
      <c r="A509" s="356"/>
      <c r="B509" s="39"/>
      <c r="C509" s="39"/>
      <c r="D509" s="39"/>
      <c r="E509" s="39">
        <v>0</v>
      </c>
      <c r="F509" s="39">
        <v>0</v>
      </c>
      <c r="G509" s="39">
        <v>0</v>
      </c>
      <c r="H509" s="214" t="e">
        <v>#N/A</v>
      </c>
      <c r="I509" s="134" t="e">
        <v>#N/A</v>
      </c>
      <c r="J509" s="104" t="e">
        <v>#N/A</v>
      </c>
      <c r="K509" s="208" t="e">
        <v>#N/A</v>
      </c>
      <c r="L509" s="223"/>
      <c r="M509" s="222"/>
      <c r="N509" s="222"/>
      <c r="O509" s="222"/>
      <c r="P509" s="226"/>
      <c r="Q509" s="134" t="e">
        <v>#N/A</v>
      </c>
      <c r="R509" s="104" t="e">
        <v>#N/A</v>
      </c>
      <c r="S509" s="208" t="e">
        <v>#N/A</v>
      </c>
      <c r="T509" s="229" t="e">
        <v>#N/A</v>
      </c>
      <c r="U509" s="287">
        <v>3</v>
      </c>
      <c r="V509" s="246">
        <v>75</v>
      </c>
      <c r="W509" s="214">
        <v>3</v>
      </c>
      <c r="X509" s="31"/>
      <c r="Y509" s="1"/>
      <c r="Z509" s="283"/>
      <c r="AA509" s="289" t="e">
        <v>#N/A</v>
      </c>
    </row>
    <row r="510" spans="1:27">
      <c r="A510" s="88" t="s">
        <v>320</v>
      </c>
      <c r="B510" s="42">
        <v>0</v>
      </c>
      <c r="C510" s="42">
        <v>0</v>
      </c>
      <c r="D510" s="42">
        <v>0</v>
      </c>
      <c r="E510" s="39"/>
      <c r="F510" s="39"/>
      <c r="G510" s="39"/>
      <c r="H510" s="214">
        <v>0</v>
      </c>
      <c r="I510" s="134" t="e">
        <v>#N/A</v>
      </c>
      <c r="J510" s="104" t="e">
        <v>#N/A</v>
      </c>
      <c r="K510" s="208" t="e">
        <v>#N/A</v>
      </c>
      <c r="L510" s="224">
        <v>74</v>
      </c>
      <c r="M510" s="118">
        <v>7</v>
      </c>
      <c r="N510" s="118">
        <v>24</v>
      </c>
      <c r="O510" s="118">
        <v>1</v>
      </c>
      <c r="P510" s="176">
        <v>35</v>
      </c>
      <c r="Q510" s="31">
        <f>L510+M510</f>
        <v>81</v>
      </c>
      <c r="R510" s="115">
        <f>N510+O510+P510</f>
        <v>60</v>
      </c>
      <c r="S510" s="127">
        <f>Q510-R510</f>
        <v>21</v>
      </c>
      <c r="T510" s="230"/>
      <c r="U510" s="31"/>
      <c r="V510" s="1"/>
      <c r="W510" s="1"/>
      <c r="X510" s="287">
        <v>-7</v>
      </c>
      <c r="Y510" s="246">
        <v>-52</v>
      </c>
      <c r="Z510" s="214">
        <v>-1</v>
      </c>
      <c r="AA510" s="289">
        <f>I511+J511+K511</f>
        <v>167</v>
      </c>
    </row>
    <row r="511" spans="1:27" ht="13.5" thickBot="1">
      <c r="A511" s="89"/>
      <c r="B511" s="87"/>
      <c r="C511" s="87"/>
      <c r="D511" s="87"/>
      <c r="E511" s="43"/>
      <c r="F511" s="43"/>
      <c r="G511" s="43"/>
      <c r="H511" s="215" t="e">
        <v>#N/A</v>
      </c>
      <c r="I511" s="131">
        <v>9</v>
      </c>
      <c r="J511" s="106">
        <v>134</v>
      </c>
      <c r="K511" s="128">
        <v>24</v>
      </c>
      <c r="L511" s="225"/>
      <c r="M511" s="124"/>
      <c r="N511" s="124"/>
      <c r="O511" s="124"/>
      <c r="P511" s="227"/>
      <c r="Q511" s="131" t="e">
        <v>#N/A</v>
      </c>
      <c r="R511" s="106" t="e">
        <v>#N/A</v>
      </c>
      <c r="S511" s="128" t="e">
        <v>#N/A</v>
      </c>
      <c r="T511" s="231" t="e">
        <v>#N/A</v>
      </c>
      <c r="U511" s="282" t="e">
        <v>#N/A</v>
      </c>
      <c r="V511" s="87" t="e">
        <v>#N/A</v>
      </c>
      <c r="W511" s="87" t="e">
        <v>#N/A</v>
      </c>
      <c r="X511" s="282" t="e">
        <v>#N/A</v>
      </c>
      <c r="Y511" s="87" t="e">
        <v>#N/A</v>
      </c>
      <c r="Z511" s="215" t="e">
        <v>#N/A</v>
      </c>
      <c r="AA511" s="290" t="e">
        <v>#N/A</v>
      </c>
    </row>
    <row r="512" spans="1:27">
      <c r="A512" s="219"/>
      <c r="B512" s="220" t="e">
        <v>#N/A</v>
      </c>
      <c r="C512" s="220" t="e">
        <v>#N/A</v>
      </c>
      <c r="D512" s="220" t="e">
        <v>#N/A</v>
      </c>
      <c r="E512" s="220" t="e">
        <v>#N/A</v>
      </c>
      <c r="F512" s="220" t="e">
        <v>#N/A</v>
      </c>
      <c r="G512" s="220" t="e">
        <v>#N/A</v>
      </c>
      <c r="H512" s="213" t="e">
        <v>#N/A</v>
      </c>
      <c r="I512" s="219" t="e">
        <v>#N/A</v>
      </c>
      <c r="J512" s="220" t="e">
        <v>#N/A</v>
      </c>
      <c r="K512" s="213" t="e">
        <v>#N/A</v>
      </c>
      <c r="L512" s="219" t="e">
        <v>#N/A</v>
      </c>
      <c r="M512" s="220" t="e">
        <v>#N/A</v>
      </c>
      <c r="N512" s="220" t="e">
        <v>#N/A</v>
      </c>
      <c r="O512" s="220" t="e">
        <v>#N/A</v>
      </c>
      <c r="P512" s="213" t="e">
        <v>#N/A</v>
      </c>
      <c r="Q512" s="219" t="e">
        <v>#N/A</v>
      </c>
      <c r="R512" s="220" t="e">
        <v>#N/A</v>
      </c>
      <c r="S512" s="213" t="e">
        <v>#N/A</v>
      </c>
      <c r="T512" s="228" t="e">
        <v>#N/A</v>
      </c>
      <c r="U512" s="219" t="e">
        <v>#N/A</v>
      </c>
      <c r="V512" s="220" t="e">
        <v>#N/A</v>
      </c>
      <c r="W512" s="220" t="e">
        <v>#N/A</v>
      </c>
      <c r="X512" s="219" t="e">
        <v>#N/A</v>
      </c>
      <c r="Y512" s="220" t="e">
        <v>#N/A</v>
      </c>
      <c r="Z512" s="213" t="e">
        <v>#N/A</v>
      </c>
      <c r="AA512" s="228" t="e">
        <v>#N/A</v>
      </c>
    </row>
    <row r="513" spans="1:27">
      <c r="A513" s="356"/>
      <c r="B513" s="39"/>
      <c r="C513" s="39"/>
      <c r="D513" s="39"/>
      <c r="E513" s="39">
        <v>0</v>
      </c>
      <c r="F513" s="39">
        <v>0</v>
      </c>
      <c r="G513" s="39">
        <v>0</v>
      </c>
      <c r="H513" s="214" t="e">
        <v>#N/A</v>
      </c>
      <c r="I513" s="134" t="e">
        <v>#N/A</v>
      </c>
      <c r="J513" s="104" t="e">
        <v>#N/A</v>
      </c>
      <c r="K513" s="208" t="e">
        <v>#N/A</v>
      </c>
      <c r="L513" s="223"/>
      <c r="M513" s="222"/>
      <c r="N513" s="222"/>
      <c r="O513" s="222"/>
      <c r="P513" s="226"/>
      <c r="Q513" s="134" t="e">
        <v>#N/A</v>
      </c>
      <c r="R513" s="104" t="e">
        <v>#N/A</v>
      </c>
      <c r="S513" s="208" t="e">
        <v>#N/A</v>
      </c>
      <c r="T513" s="229" t="e">
        <v>#N/A</v>
      </c>
      <c r="U513" s="287">
        <v>3</v>
      </c>
      <c r="V513" s="246">
        <v>94</v>
      </c>
      <c r="W513" s="214">
        <v>14</v>
      </c>
      <c r="X513" s="31"/>
      <c r="Y513" s="1"/>
      <c r="Z513" s="283"/>
      <c r="AA513" s="289" t="e">
        <v>#N/A</v>
      </c>
    </row>
    <row r="514" spans="1:27">
      <c r="A514" s="88" t="s">
        <v>321</v>
      </c>
      <c r="B514" s="42">
        <v>0</v>
      </c>
      <c r="C514" s="42">
        <v>0</v>
      </c>
      <c r="D514" s="42">
        <v>0</v>
      </c>
      <c r="E514" s="39"/>
      <c r="F514" s="39"/>
      <c r="G514" s="39"/>
      <c r="H514" s="214">
        <v>0</v>
      </c>
      <c r="I514" s="134" t="e">
        <v>#N/A</v>
      </c>
      <c r="J514" s="104" t="e">
        <v>#N/A</v>
      </c>
      <c r="K514" s="208" t="e">
        <v>#N/A</v>
      </c>
      <c r="L514" s="224">
        <v>108</v>
      </c>
      <c r="M514" s="118">
        <v>3</v>
      </c>
      <c r="N514" s="118">
        <v>26</v>
      </c>
      <c r="O514" s="118">
        <v>3</v>
      </c>
      <c r="P514" s="176">
        <v>83</v>
      </c>
      <c r="Q514" s="31">
        <f>L514+M514</f>
        <v>111</v>
      </c>
      <c r="R514" s="115">
        <f>N514+O514+P514</f>
        <v>112</v>
      </c>
      <c r="S514" s="127">
        <f>Q514-R514</f>
        <v>-1</v>
      </c>
      <c r="T514" s="230"/>
      <c r="U514" s="31"/>
      <c r="V514" s="1"/>
      <c r="W514" s="1"/>
      <c r="X514" s="287">
        <v>-3</v>
      </c>
      <c r="Y514" s="246">
        <v>-95</v>
      </c>
      <c r="Z514" s="214">
        <v>-14</v>
      </c>
      <c r="AA514" s="289">
        <f>I515+J515+K515</f>
        <v>164</v>
      </c>
    </row>
    <row r="515" spans="1:27" ht="13.5" thickBot="1">
      <c r="A515" s="89"/>
      <c r="B515" s="87"/>
      <c r="C515" s="87"/>
      <c r="D515" s="87"/>
      <c r="E515" s="43"/>
      <c r="F515" s="43"/>
      <c r="G515" s="43"/>
      <c r="H515" s="215" t="e">
        <v>#N/A</v>
      </c>
      <c r="I515" s="131">
        <v>14</v>
      </c>
      <c r="J515" s="106">
        <v>124</v>
      </c>
      <c r="K515" s="128">
        <v>26</v>
      </c>
      <c r="L515" s="225"/>
      <c r="M515" s="124"/>
      <c r="N515" s="124"/>
      <c r="O515" s="124"/>
      <c r="P515" s="227"/>
      <c r="Q515" s="131" t="e">
        <v>#N/A</v>
      </c>
      <c r="R515" s="106" t="e">
        <v>#N/A</v>
      </c>
      <c r="S515" s="128" t="e">
        <v>#N/A</v>
      </c>
      <c r="T515" s="231" t="e">
        <v>#N/A</v>
      </c>
      <c r="U515" s="282" t="e">
        <v>#N/A</v>
      </c>
      <c r="V515" s="87" t="e">
        <v>#N/A</v>
      </c>
      <c r="W515" s="87" t="e">
        <v>#N/A</v>
      </c>
      <c r="X515" s="282" t="e">
        <v>#N/A</v>
      </c>
      <c r="Y515" s="87" t="e">
        <v>#N/A</v>
      </c>
      <c r="Z515" s="215" t="e">
        <v>#N/A</v>
      </c>
      <c r="AA515" s="290" t="e">
        <v>#N/A</v>
      </c>
    </row>
    <row r="516" spans="1:27">
      <c r="A516" s="219"/>
      <c r="B516" s="220" t="e">
        <v>#N/A</v>
      </c>
      <c r="C516" s="220" t="e">
        <v>#N/A</v>
      </c>
      <c r="D516" s="220" t="e">
        <v>#N/A</v>
      </c>
      <c r="E516" s="220" t="e">
        <v>#N/A</v>
      </c>
      <c r="F516" s="220" t="e">
        <v>#N/A</v>
      </c>
      <c r="G516" s="220" t="e">
        <v>#N/A</v>
      </c>
      <c r="H516" s="213" t="e">
        <v>#N/A</v>
      </c>
      <c r="I516" s="219" t="e">
        <v>#N/A</v>
      </c>
      <c r="J516" s="220" t="e">
        <v>#N/A</v>
      </c>
      <c r="K516" s="213" t="e">
        <v>#N/A</v>
      </c>
      <c r="L516" s="219" t="e">
        <v>#N/A</v>
      </c>
      <c r="M516" s="220" t="e">
        <v>#N/A</v>
      </c>
      <c r="N516" s="220" t="e">
        <v>#N/A</v>
      </c>
      <c r="O516" s="220" t="e">
        <v>#N/A</v>
      </c>
      <c r="P516" s="213" t="e">
        <v>#N/A</v>
      </c>
      <c r="Q516" s="219" t="e">
        <v>#N/A</v>
      </c>
      <c r="R516" s="220" t="e">
        <v>#N/A</v>
      </c>
      <c r="S516" s="213" t="e">
        <v>#N/A</v>
      </c>
      <c r="T516" s="228" t="e">
        <v>#N/A</v>
      </c>
      <c r="U516" s="219" t="e">
        <v>#N/A</v>
      </c>
      <c r="V516" s="220" t="e">
        <v>#N/A</v>
      </c>
      <c r="W516" s="220" t="e">
        <v>#N/A</v>
      </c>
      <c r="X516" s="219" t="e">
        <v>#N/A</v>
      </c>
      <c r="Y516" s="220" t="e">
        <v>#N/A</v>
      </c>
      <c r="Z516" s="213" t="e">
        <v>#N/A</v>
      </c>
      <c r="AA516" s="228" t="e">
        <v>#N/A</v>
      </c>
    </row>
    <row r="517" spans="1:27">
      <c r="A517" s="356"/>
      <c r="B517" s="39"/>
      <c r="C517" s="39"/>
      <c r="D517" s="39"/>
      <c r="E517" s="39">
        <v>0</v>
      </c>
      <c r="F517" s="39">
        <v>0</v>
      </c>
      <c r="G517" s="39">
        <v>0</v>
      </c>
      <c r="H517" s="214" t="e">
        <v>#N/A</v>
      </c>
      <c r="I517" s="134" t="e">
        <v>#N/A</v>
      </c>
      <c r="J517" s="104" t="e">
        <v>#N/A</v>
      </c>
      <c r="K517" s="208" t="e">
        <v>#N/A</v>
      </c>
      <c r="L517" s="223"/>
      <c r="M517" s="222"/>
      <c r="N517" s="222"/>
      <c r="O517" s="222"/>
      <c r="P517" s="226"/>
      <c r="Q517" s="134" t="e">
        <v>#N/A</v>
      </c>
      <c r="R517" s="104" t="e">
        <v>#N/A</v>
      </c>
      <c r="S517" s="208" t="e">
        <v>#N/A</v>
      </c>
      <c r="T517" s="229" t="e">
        <v>#N/A</v>
      </c>
      <c r="U517" s="287">
        <v>7</v>
      </c>
      <c r="V517" s="246">
        <v>3</v>
      </c>
      <c r="W517" s="214">
        <v>2</v>
      </c>
      <c r="X517" s="31"/>
      <c r="Y517" s="1"/>
      <c r="Z517" s="283"/>
      <c r="AA517" s="289" t="e">
        <v>#N/A</v>
      </c>
    </row>
    <row r="518" spans="1:27">
      <c r="A518" s="88" t="s">
        <v>322</v>
      </c>
      <c r="B518" s="42">
        <v>0</v>
      </c>
      <c r="C518" s="42">
        <v>0</v>
      </c>
      <c r="D518" s="42">
        <v>0</v>
      </c>
      <c r="E518" s="39"/>
      <c r="F518" s="39"/>
      <c r="G518" s="39"/>
      <c r="H518" s="214">
        <v>0</v>
      </c>
      <c r="I518" s="134" t="e">
        <v>#N/A</v>
      </c>
      <c r="J518" s="104" t="e">
        <v>#N/A</v>
      </c>
      <c r="K518" s="208" t="e">
        <v>#N/A</v>
      </c>
      <c r="L518" s="224">
        <v>12</v>
      </c>
      <c r="M518" s="118">
        <v>0</v>
      </c>
      <c r="N518" s="118">
        <v>5</v>
      </c>
      <c r="O518" s="118">
        <v>0</v>
      </c>
      <c r="P518" s="176">
        <v>10</v>
      </c>
      <c r="Q518" s="31">
        <f>L518+M518</f>
        <v>12</v>
      </c>
      <c r="R518" s="115">
        <f>N518+O518+P518</f>
        <v>15</v>
      </c>
      <c r="S518" s="127">
        <f>Q518-R518</f>
        <v>-3</v>
      </c>
      <c r="T518" s="230"/>
      <c r="U518" s="31"/>
      <c r="V518" s="1"/>
      <c r="W518" s="1"/>
      <c r="X518" s="287">
        <v>-13</v>
      </c>
      <c r="Y518" s="246">
        <v>-2</v>
      </c>
      <c r="Z518" s="214">
        <v>0</v>
      </c>
      <c r="AA518" s="289">
        <f>I519+J519+K519</f>
        <v>153</v>
      </c>
    </row>
    <row r="519" spans="1:27" ht="13.5" thickBot="1">
      <c r="A519" s="89"/>
      <c r="B519" s="87"/>
      <c r="C519" s="87"/>
      <c r="D519" s="87"/>
      <c r="E519" s="43"/>
      <c r="F519" s="43"/>
      <c r="G519" s="43"/>
      <c r="H519" s="215" t="e">
        <v>#N/A</v>
      </c>
      <c r="I519" s="131">
        <v>8</v>
      </c>
      <c r="J519" s="106">
        <v>118</v>
      </c>
      <c r="K519" s="128">
        <v>27</v>
      </c>
      <c r="L519" s="225"/>
      <c r="M519" s="124"/>
      <c r="N519" s="124"/>
      <c r="O519" s="124"/>
      <c r="P519" s="227"/>
      <c r="Q519" s="131" t="e">
        <v>#N/A</v>
      </c>
      <c r="R519" s="106" t="e">
        <v>#N/A</v>
      </c>
      <c r="S519" s="128" t="e">
        <v>#N/A</v>
      </c>
      <c r="T519" s="231" t="e">
        <v>#N/A</v>
      </c>
      <c r="U519" s="282" t="e">
        <v>#N/A</v>
      </c>
      <c r="V519" s="87" t="e">
        <v>#N/A</v>
      </c>
      <c r="W519" s="87" t="e">
        <v>#N/A</v>
      </c>
      <c r="X519" s="282" t="e">
        <v>#N/A</v>
      </c>
      <c r="Y519" s="87" t="e">
        <v>#N/A</v>
      </c>
      <c r="Z519" s="215" t="e">
        <v>#N/A</v>
      </c>
      <c r="AA519" s="290" t="e">
        <v>#N/A</v>
      </c>
    </row>
    <row r="520" spans="1:27">
      <c r="A520" s="219"/>
      <c r="B520" s="220" t="e">
        <v>#N/A</v>
      </c>
      <c r="C520" s="220" t="e">
        <v>#N/A</v>
      </c>
      <c r="D520" s="220" t="e">
        <v>#N/A</v>
      </c>
      <c r="E520" s="220" t="e">
        <v>#N/A</v>
      </c>
      <c r="F520" s="220" t="e">
        <v>#N/A</v>
      </c>
      <c r="G520" s="220" t="e">
        <v>#N/A</v>
      </c>
      <c r="H520" s="213" t="e">
        <v>#N/A</v>
      </c>
      <c r="I520" s="219" t="e">
        <v>#N/A</v>
      </c>
      <c r="J520" s="220" t="e">
        <v>#N/A</v>
      </c>
      <c r="K520" s="213" t="e">
        <v>#N/A</v>
      </c>
      <c r="L520" s="219" t="e">
        <v>#N/A</v>
      </c>
      <c r="M520" s="220" t="e">
        <v>#N/A</v>
      </c>
      <c r="N520" s="220" t="e">
        <v>#N/A</v>
      </c>
      <c r="O520" s="220" t="e">
        <v>#N/A</v>
      </c>
      <c r="P520" s="213" t="e">
        <v>#N/A</v>
      </c>
      <c r="Q520" s="219" t="e">
        <v>#N/A</v>
      </c>
      <c r="R520" s="220" t="e">
        <v>#N/A</v>
      </c>
      <c r="S520" s="213" t="e">
        <v>#N/A</v>
      </c>
      <c r="T520" s="228" t="e">
        <v>#N/A</v>
      </c>
      <c r="U520" s="219" t="e">
        <v>#N/A</v>
      </c>
      <c r="V520" s="220" t="e">
        <v>#N/A</v>
      </c>
      <c r="W520" s="220" t="e">
        <v>#N/A</v>
      </c>
      <c r="X520" s="219" t="e">
        <v>#N/A</v>
      </c>
      <c r="Y520" s="220" t="e">
        <v>#N/A</v>
      </c>
      <c r="Z520" s="213" t="e">
        <v>#N/A</v>
      </c>
      <c r="AA520" s="228" t="e">
        <v>#N/A</v>
      </c>
    </row>
    <row r="521" spans="1:27">
      <c r="A521" s="356"/>
      <c r="B521" s="39"/>
      <c r="C521" s="39"/>
      <c r="D521" s="39"/>
      <c r="E521" s="39">
        <v>0</v>
      </c>
      <c r="F521" s="39">
        <v>0</v>
      </c>
      <c r="G521" s="39">
        <v>0</v>
      </c>
      <c r="H521" s="214" t="e">
        <v>#N/A</v>
      </c>
      <c r="I521" s="134" t="e">
        <v>#N/A</v>
      </c>
      <c r="J521" s="104" t="e">
        <v>#N/A</v>
      </c>
      <c r="K521" s="208" t="e">
        <v>#N/A</v>
      </c>
      <c r="L521" s="223"/>
      <c r="M521" s="222"/>
      <c r="N521" s="222"/>
      <c r="O521" s="222"/>
      <c r="P521" s="226"/>
      <c r="Q521" s="134" t="e">
        <v>#N/A</v>
      </c>
      <c r="R521" s="104" t="e">
        <v>#N/A</v>
      </c>
      <c r="S521" s="208" t="e">
        <v>#N/A</v>
      </c>
      <c r="T521" s="229" t="e">
        <v>#N/A</v>
      </c>
      <c r="U521" s="287">
        <v>3</v>
      </c>
      <c r="V521" s="246">
        <v>62</v>
      </c>
      <c r="W521" s="214">
        <v>1</v>
      </c>
      <c r="X521" s="31"/>
      <c r="Y521" s="1"/>
      <c r="Z521" s="283"/>
      <c r="AA521" s="289" t="e">
        <v>#N/A</v>
      </c>
    </row>
    <row r="522" spans="1:27">
      <c r="A522" s="88" t="s">
        <v>324</v>
      </c>
      <c r="B522" s="42">
        <v>0</v>
      </c>
      <c r="C522" s="42">
        <v>0</v>
      </c>
      <c r="D522" s="42">
        <v>0</v>
      </c>
      <c r="E522" s="39"/>
      <c r="F522" s="39"/>
      <c r="G522" s="39"/>
      <c r="H522" s="214">
        <v>0</v>
      </c>
      <c r="I522" s="134" t="e">
        <v>#N/A</v>
      </c>
      <c r="J522" s="104" t="e">
        <v>#N/A</v>
      </c>
      <c r="K522" s="208" t="e">
        <v>#N/A</v>
      </c>
      <c r="L522" s="224">
        <v>66</v>
      </c>
      <c r="M522" s="118">
        <v>0</v>
      </c>
      <c r="N522" s="118">
        <v>34</v>
      </c>
      <c r="O522" s="118">
        <v>5</v>
      </c>
      <c r="P522" s="176">
        <v>38</v>
      </c>
      <c r="Q522" s="31">
        <f>L522+M522</f>
        <v>66</v>
      </c>
      <c r="R522" s="115">
        <f>N522+O522+P522</f>
        <v>77</v>
      </c>
      <c r="S522" s="127">
        <f>Q522-R522</f>
        <v>-11</v>
      </c>
      <c r="T522" s="230"/>
      <c r="U522" s="31"/>
      <c r="V522" s="1"/>
      <c r="W522" s="1"/>
      <c r="X522" s="287">
        <v>-6</v>
      </c>
      <c r="Y522" s="246">
        <v>-71</v>
      </c>
      <c r="Z522" s="214">
        <v>0</v>
      </c>
      <c r="AA522" s="289">
        <f>I523+J523+K523</f>
        <v>146</v>
      </c>
    </row>
    <row r="523" spans="1:27" ht="13.5" thickBot="1">
      <c r="A523" s="89"/>
      <c r="B523" s="87"/>
      <c r="C523" s="87"/>
      <c r="D523" s="87"/>
      <c r="E523" s="43"/>
      <c r="F523" s="43"/>
      <c r="G523" s="43"/>
      <c r="H523" s="215" t="e">
        <v>#N/A</v>
      </c>
      <c r="I523" s="131">
        <v>6</v>
      </c>
      <c r="J523" s="106">
        <v>110</v>
      </c>
      <c r="K523" s="128">
        <v>30</v>
      </c>
      <c r="L523" s="225"/>
      <c r="M523" s="124"/>
      <c r="N523" s="124"/>
      <c r="O523" s="124"/>
      <c r="P523" s="227"/>
      <c r="Q523" s="131" t="e">
        <v>#N/A</v>
      </c>
      <c r="R523" s="106" t="e">
        <v>#N/A</v>
      </c>
      <c r="S523" s="128" t="e">
        <v>#N/A</v>
      </c>
      <c r="T523" s="231" t="e">
        <v>#N/A</v>
      </c>
      <c r="U523" s="282" t="e">
        <v>#N/A</v>
      </c>
      <c r="V523" s="87" t="e">
        <v>#N/A</v>
      </c>
      <c r="W523" s="87" t="e">
        <v>#N/A</v>
      </c>
      <c r="X523" s="282" t="e">
        <v>#N/A</v>
      </c>
      <c r="Y523" s="87" t="e">
        <v>#N/A</v>
      </c>
      <c r="Z523" s="215" t="e">
        <v>#N/A</v>
      </c>
      <c r="AA523" s="290" t="e">
        <v>#N/A</v>
      </c>
    </row>
    <row r="524" spans="1:27">
      <c r="A524" s="219"/>
      <c r="B524" s="220" t="e">
        <v>#N/A</v>
      </c>
      <c r="C524" s="220" t="e">
        <v>#N/A</v>
      </c>
      <c r="D524" s="220" t="e">
        <v>#N/A</v>
      </c>
      <c r="E524" s="220" t="e">
        <v>#N/A</v>
      </c>
      <c r="F524" s="220" t="e">
        <v>#N/A</v>
      </c>
      <c r="G524" s="220" t="e">
        <v>#N/A</v>
      </c>
      <c r="H524" s="213" t="e">
        <v>#N/A</v>
      </c>
      <c r="I524" s="219" t="e">
        <v>#N/A</v>
      </c>
      <c r="J524" s="220" t="e">
        <v>#N/A</v>
      </c>
      <c r="K524" s="213" t="e">
        <v>#N/A</v>
      </c>
      <c r="L524" s="219" t="e">
        <v>#N/A</v>
      </c>
      <c r="M524" s="220" t="e">
        <v>#N/A</v>
      </c>
      <c r="N524" s="220" t="e">
        <v>#N/A</v>
      </c>
      <c r="O524" s="220" t="e">
        <v>#N/A</v>
      </c>
      <c r="P524" s="213" t="e">
        <v>#N/A</v>
      </c>
      <c r="Q524" s="219" t="e">
        <v>#N/A</v>
      </c>
      <c r="R524" s="220" t="e">
        <v>#N/A</v>
      </c>
      <c r="S524" s="213" t="e">
        <v>#N/A</v>
      </c>
      <c r="T524" s="228" t="e">
        <v>#N/A</v>
      </c>
      <c r="U524" s="219" t="e">
        <v>#N/A</v>
      </c>
      <c r="V524" s="220" t="e">
        <v>#N/A</v>
      </c>
      <c r="W524" s="220" t="e">
        <v>#N/A</v>
      </c>
      <c r="X524" s="219" t="e">
        <v>#N/A</v>
      </c>
      <c r="Y524" s="220" t="e">
        <v>#N/A</v>
      </c>
      <c r="Z524" s="213" t="e">
        <v>#N/A</v>
      </c>
      <c r="AA524" s="228" t="e">
        <v>#N/A</v>
      </c>
    </row>
    <row r="525" spans="1:27">
      <c r="A525" s="356"/>
      <c r="B525" s="39"/>
      <c r="C525" s="39"/>
      <c r="D525" s="39"/>
      <c r="E525" s="39">
        <v>0</v>
      </c>
      <c r="F525" s="39">
        <v>0</v>
      </c>
      <c r="G525" s="39">
        <v>0</v>
      </c>
      <c r="H525" s="214" t="e">
        <v>#N/A</v>
      </c>
      <c r="I525" s="134" t="e">
        <v>#N/A</v>
      </c>
      <c r="J525" s="104" t="e">
        <v>#N/A</v>
      </c>
      <c r="K525" s="208" t="e">
        <v>#N/A</v>
      </c>
      <c r="L525" s="223"/>
      <c r="M525" s="222"/>
      <c r="N525" s="222"/>
      <c r="O525" s="222"/>
      <c r="P525" s="226"/>
      <c r="Q525" s="134" t="e">
        <v>#N/A</v>
      </c>
      <c r="R525" s="104" t="e">
        <v>#N/A</v>
      </c>
      <c r="S525" s="208" t="e">
        <v>#N/A</v>
      </c>
      <c r="T525" s="229" t="e">
        <v>#N/A</v>
      </c>
      <c r="U525" s="287">
        <v>3</v>
      </c>
      <c r="V525" s="246">
        <v>4</v>
      </c>
      <c r="W525" s="214">
        <v>6</v>
      </c>
      <c r="X525" s="31"/>
      <c r="Y525" s="1"/>
      <c r="Z525" s="283"/>
      <c r="AA525" s="289" t="e">
        <v>#N/A</v>
      </c>
    </row>
    <row r="526" spans="1:27">
      <c r="A526" s="88" t="s">
        <v>350</v>
      </c>
      <c r="B526" s="42">
        <v>0</v>
      </c>
      <c r="C526" s="42">
        <v>0</v>
      </c>
      <c r="D526" s="42">
        <v>0</v>
      </c>
      <c r="E526" s="39"/>
      <c r="F526" s="39"/>
      <c r="G526" s="39"/>
      <c r="H526" s="214">
        <v>0</v>
      </c>
      <c r="I526" s="134" t="e">
        <v>#N/A</v>
      </c>
      <c r="J526" s="104" t="e">
        <v>#N/A</v>
      </c>
      <c r="K526" s="208" t="e">
        <v>#N/A</v>
      </c>
      <c r="L526" s="224">
        <v>13</v>
      </c>
      <c r="M526" s="118">
        <v>0</v>
      </c>
      <c r="N526" s="118">
        <v>0</v>
      </c>
      <c r="O526" s="118">
        <v>0</v>
      </c>
      <c r="P526" s="176">
        <v>0</v>
      </c>
      <c r="Q526" s="31">
        <f>L526+M526</f>
        <v>13</v>
      </c>
      <c r="R526" s="115">
        <f>N526+O526+P526</f>
        <v>0</v>
      </c>
      <c r="S526" s="127">
        <f>Q526-R526</f>
        <v>13</v>
      </c>
      <c r="T526" s="230"/>
      <c r="U526" s="31"/>
      <c r="V526" s="1"/>
      <c r="W526" s="1"/>
      <c r="X526" s="287">
        <v>0</v>
      </c>
      <c r="Y526" s="246">
        <v>0</v>
      </c>
      <c r="Z526" s="214">
        <v>0</v>
      </c>
      <c r="AA526" s="289">
        <f>I527+J527+K527</f>
        <v>3</v>
      </c>
    </row>
    <row r="527" spans="1:27" ht="13.5" thickBot="1">
      <c r="A527" s="89"/>
      <c r="B527" s="87"/>
      <c r="C527" s="87"/>
      <c r="D527" s="87"/>
      <c r="E527" s="43"/>
      <c r="F527" s="43"/>
      <c r="G527" s="43"/>
      <c r="H527" s="215" t="e">
        <v>#N/A</v>
      </c>
      <c r="I527" s="131">
        <v>2</v>
      </c>
      <c r="J527" s="106">
        <v>0</v>
      </c>
      <c r="K527" s="128">
        <v>1</v>
      </c>
      <c r="L527" s="225"/>
      <c r="M527" s="124"/>
      <c r="N527" s="124"/>
      <c r="O527" s="124"/>
      <c r="P527" s="227"/>
      <c r="Q527" s="131" t="e">
        <v>#N/A</v>
      </c>
      <c r="R527" s="106" t="e">
        <v>#N/A</v>
      </c>
      <c r="S527" s="128" t="e">
        <v>#N/A</v>
      </c>
      <c r="T527" s="231" t="e">
        <v>#N/A</v>
      </c>
      <c r="U527" s="282" t="e">
        <v>#N/A</v>
      </c>
      <c r="V527" s="87" t="e">
        <v>#N/A</v>
      </c>
      <c r="W527" s="87" t="e">
        <v>#N/A</v>
      </c>
      <c r="X527" s="282" t="e">
        <v>#N/A</v>
      </c>
      <c r="Y527" s="87" t="e">
        <v>#N/A</v>
      </c>
      <c r="Z527" s="215" t="e">
        <v>#N/A</v>
      </c>
      <c r="AA527" s="290" t="e">
        <v>#N/A</v>
      </c>
    </row>
  </sheetData>
  <mergeCells count="14">
    <mergeCell ref="T1:T2"/>
    <mergeCell ref="S1:S2"/>
    <mergeCell ref="Q1:Q2"/>
    <mergeCell ref="A1:A2"/>
    <mergeCell ref="B1:D1"/>
    <mergeCell ref="E1:G1"/>
    <mergeCell ref="O1:O2"/>
    <mergeCell ref="H1:H2"/>
    <mergeCell ref="L1:L2"/>
    <mergeCell ref="M1:M2"/>
    <mergeCell ref="N1:N2"/>
    <mergeCell ref="I1:K1"/>
    <mergeCell ref="R1:R2"/>
    <mergeCell ref="P1:P2"/>
  </mergeCells>
  <phoneticPr fontId="104" type="noConversion"/>
  <conditionalFormatting sqref="Q11:S12 Q14:S15 Q17:S18 Q20:S21 Q23:S24 Q38:S39 Q41:S42 Q44:S48 Q3:S3 Q5:S6 Q8:S9 Q26:S27 Q29:S30 Q32:S33 Q35:S36 Q50:S51 Q53:S54 Q119:S120 Q122:S123 Q125:S126 Q128:S129 Q131:S132 Q134:S135 Q137:S138 Q140:S141 Q143:S144 Q146:S147 Q149:S150 Q152:S153 Q56:S117 Q155:S156 Q158:S159 Q161:S162 Q164:S165 Q167:S168 Q170:S171 Q176:T177 Q179:T180 Q182:T183 Q185:T186 Q188:T189 Q191:T192 Q194:T195 Q197:T198 T3:T172 Q173:T174 Q200:T201 Q203:T204 Q206:T207 Q209:T210 Q212:T213 H44:H54 H107:H108 H110:H111 H113:H114 H116:H117 H212:H213 H8:H9 H11:H12 H14:H15 H17:H18 H20:H21 H23:H24 H26:H27 H29:H30 H32:H33 H35:H36 H56:H57 H59:H60 H62:H63 H65:H66 H68:H69 H71:H72 H74:H75 H77:H78 H80:H81 H83:H84 H86:H87 H89:H90 H92:H93 H95:H96 H98:H99 H101:H102 H104:H105 H41:H42 H38:H39 H122:H123 H152:H153 H125:H126 H128:H129 H131:H132 H134:H135 H137:H138 H140:H141 H143:H144 H146:H147 H149:H150 H155:H156 H158:H159 H161:H162 H164:H165 H167:H168 H170:H171 H173:H174 H176:H177 H179:H180 H182:H183 H185:H186 H188:H189 H191:H192 H194:H195 H197:H198 H200:H201 H203:H204 H206:H207 H209:H210 H3:J3 H5:H6 H119:H120 K3:K215 Q215:T215 I4:J215 H215:H217 Q217:T217 L216:T216 A216:G216 Q219:T219 Q221:T221 A220:G220 L220:T220 H219:H221 Q223:T223 Q225:T225 A224:G224 L224:T224 H223:H225 Q227:T227 Q229:T229 A228:G228 L228:T228 H227:H229 Q231:T231 Q233:T233 A232:G232 L232:T232 H231:H233 Q235:T235 Q237:T237 A236:G236 L236:T236 H235:H237 Q239:T239 Q241:T241 A240:G240 L240:T240 H239:H241 Q243:T243 Q245:T245 A244:G244 L244:T244 H243:H245 Q247:T247 Q249:T249 A248:G248 L248:T248 H247:H249 Q251:T251 Q253:T253 A252:G252 L252:T252 H251:H253 Q255:T255 Q257:T257 A256:G256 L256:T256 H255:H257 Q259:T259 Q261:T261 A260:G260 L260:T260 H259:H261 Q263:T263 Q265:T265 A264:G264 L264:T264 H263:H265 Q267:T267 Q269:T269 A268:G268 L268:T268 H267:H269 Q271:T271 Q273:T273 A272:G272 L272:T272 H271:H273 Q275:T275 Q277:T277 A276:G276 L276:T276 H275:H277 Q279:T279 Q281:T281 A280:G280 L280:T280 H279:H281 Q283:T283 Q285:T285 A284:G284 L284:T284 H283:H285 Q287:T287 Q289:T289 A288:G288 L288:T288 H287:H289 Q291:T291 Q293:T293 A292:G292 L292:T292 H291:H293 Q295:T295 Q297:T297 A296:G296 L296:T296 H295:H297 Q299:T299 Q301:T301 A300:G300 L300:T300 H299:H301 Q303:T303 Q305:T305 A304:G304 L304:T304 H303:H305 Q307:T307 Q309:T309 A308:G308 L308:T308 H307:H309 Q311:T311 Q313:T313 A312:G312 L312:T312 H311:H313 Q315:T315 Q317:T317 A316:G316 L316:T316 H315:H317 Q319:T319 Q321:T321 A320:G320 L320:T320 H319:H321 Q323:T323 Q325:T325 A324:G324 L324:T324 H323:H325 Q327:T327 Q329:T329 A328:G328 L328:T328 H327:H329 Q331:T331 Q333:T333 A332:G332 L332:T332 H331:H333 Q335:T335 Q337:T337 A336:G336 L336:T336 H335:H337 Q339:T339 Q341:T341 A340:G340 H339:H341 Q343:T343 Q345:T345 A344:G344 L344:T344 H343:H345 Q347:T347 Q349:T349 A348:G348 L348:T348 H347:H349 Q351:T351 Q353:T353 A352:G352 L352:T352 H351:H353 Q355:T355 Q357:T357 A356:G356 L356:T356 H355:H357 A360:G360 L360:T360 A364:G364 L364:T364 A368:G368 L368:T368 A372:G372 L372:T372 A376:G376 L376:T376 U347:Z348 U375:Z376 U371:Z372 U367:Z368 U363:Z364 U359:Z360 U355:Z356 U351:Z352 A380:G380 L380:T380 H359:H527 Q359:T527 A384:G384 L384:T384 A388:G388 L388:T388 A392:G392 L392:T392 A396:G396 L396:T396 A400:G400 L400:T400 A404:G404 L404:T404 A408:G408 L408:T408 A412:G412 L412:T412 A416:G416 L416:T416 A420:G420 L420:T420 L340:Z340 U343:Z344 I216:K527 A424:G424 L424:T424 A428:G428 L428:T428 A432:G432 L432:T432 A436:G436 L436:T436 A440:G440 L440:T440 A444:G444 L444:T444 A448:G448 L448:T448 A524:G524 L524:T524 Q387:W527 AA340:AA527 U350:W350 U346:W346 U342:W342 U354:W354 U358:W358 U362:W362 U366:W366 U370:W370 U374:W374 U378:W378 X377:Z377 X349:Z349 X353:Z353 X357:Z357 X361:Z361 X365:Z365 X369:Z369 X345:Z345 X341:Z341 X373:Z373 U379:Z527 A452:G452 L452:T452 A456:G456 L456:T456 A460:G460 L460:T460 A464:G464 L464:T464 A468:G468 L468:T468 A472:G472 L472:T472 A476:G476 L476:T476 A480:G480 L480:T480 A484:G484 L484:T484 A488:G488 L488:T488 A492:G492 L492:T492 A496:G496 L496:T496 A500:G500 L500:T500 A504:G504 L504:T504 A508:G508 L508:T508 A512:G512 L512:T512 A516:G516 L516:T516 A520:G520 L520:T520 Q452:AA523 H380:K527">
    <cfRule type="expression" dxfId="12" priority="261" stopIfTrue="1">
      <formula>IF(ISNA(A3),TRUE,FALSE)</formula>
    </cfRule>
  </conditionalFormatting>
  <conditionalFormatting sqref="H115 H121 H106 H109 H112 H118 H7 H1:I1 H10 H13 H16 H19 H22 H25 H28 H31 H34 H37 H40 H55 H58 H61 H64 H67 H70 H73 H76 H79 H82 H85 H88 H91 H94 H97 H100 H103 H43 H124 H127 H130 H133 H136 H139 H142 H145 H148 H151 H154 H157 H160 H163 H166 H169 H172 H175 H178 H181 H184 H187 H190 H193 H196 H199 H202 H205 H208 H211 H4 H214 H218 H222 H226 H230 H234 H238 H242 H246 H250 H254 H258 H262 H266 H270 H274 H278 H282 H286 H290 H294 H298 H302 H306 H310 H314 H318 H322 H326 H330 H334 H338 H342 H346 H350 H354 H358 H362 H366 H370 H374 H378 H382 H386 H390 H394 H398 H402 H406 H410 H414 H418 H422 H426 H430 H434 H438 H442 H446 H450 H526 H454 H458 H462 H466 H470 H474 H478 H482 H486">
    <cfRule type="cellIs" dxfId="11" priority="262" stopIfTrue="1" operator="equal">
      <formula>#N/A</formula>
    </cfRule>
  </conditionalFormatting>
  <conditionalFormatting sqref="H490">
    <cfRule type="cellIs" dxfId="10" priority="9" stopIfTrue="1" operator="equal">
      <formula>#N/A</formula>
    </cfRule>
  </conditionalFormatting>
  <conditionalFormatting sqref="H494">
    <cfRule type="cellIs" dxfId="9" priority="8" stopIfTrue="1" operator="equal">
      <formula>#N/A</formula>
    </cfRule>
  </conditionalFormatting>
  <conditionalFormatting sqref="H498">
    <cfRule type="cellIs" dxfId="8" priority="7" stopIfTrue="1" operator="equal">
      <formula>#N/A</formula>
    </cfRule>
  </conditionalFormatting>
  <conditionalFormatting sqref="H502">
    <cfRule type="cellIs" dxfId="7" priority="6" stopIfTrue="1" operator="equal">
      <formula>#N/A</formula>
    </cfRule>
  </conditionalFormatting>
  <conditionalFormatting sqref="H506">
    <cfRule type="cellIs" dxfId="6" priority="5" stopIfTrue="1" operator="equal">
      <formula>#N/A</formula>
    </cfRule>
  </conditionalFormatting>
  <conditionalFormatting sqref="H510">
    <cfRule type="cellIs" dxfId="5" priority="4" stopIfTrue="1" operator="equal">
      <formula>#N/A</formula>
    </cfRule>
  </conditionalFormatting>
  <conditionalFormatting sqref="H514">
    <cfRule type="cellIs" dxfId="4" priority="3" stopIfTrue="1" operator="equal">
      <formula>#N/A</formula>
    </cfRule>
  </conditionalFormatting>
  <conditionalFormatting sqref="H518">
    <cfRule type="cellIs" dxfId="3" priority="2" stopIfTrue="1" operator="equal">
      <formula>#N/A</formula>
    </cfRule>
  </conditionalFormatting>
  <conditionalFormatting sqref="H522">
    <cfRule type="cellIs" dxfId="2" priority="1" stopIfTrue="1" operator="equal">
      <formula>#N/A</formula>
    </cfRule>
  </conditionalFormatting>
  <pageMargins left="0.78740157499999996" right="0.78740157499999996" top="0.984251969" bottom="0.984251969" header="0.4921259845" footer="0.4921259845"/>
  <pageSetup paperSize="9" orientation="portrait" verticalDpi="0" r:id="rId1"/>
  <headerFooter alignWithMargins="0"/>
</worksheet>
</file>

<file path=xl/worksheets/sheet5.xml><?xml version="1.0" encoding="utf-8"?>
<worksheet xmlns="http://schemas.openxmlformats.org/spreadsheetml/2006/main" xmlns:r="http://schemas.openxmlformats.org/officeDocument/2006/relationships">
  <sheetPr codeName="Feuil5" filterMode="1">
    <pageSetUpPr fitToPage="1"/>
  </sheetPr>
  <dimension ref="A1:G283"/>
  <sheetViews>
    <sheetView workbookViewId="0">
      <selection activeCell="B288" sqref="B288"/>
    </sheetView>
  </sheetViews>
  <sheetFormatPr baseColWidth="10" defaultRowHeight="12.75"/>
  <cols>
    <col min="1" max="1" width="21.28515625" customWidth="1"/>
    <col min="2" max="2" width="31.42578125" customWidth="1"/>
    <col min="3" max="3" width="5.5703125" customWidth="1"/>
    <col min="5" max="5" width="8.42578125" bestFit="1" customWidth="1"/>
    <col min="6" max="6" width="7.5703125" bestFit="1" customWidth="1"/>
    <col min="7" max="7" width="3" customWidth="1"/>
    <col min="8" max="8" width="21.140625" customWidth="1"/>
  </cols>
  <sheetData>
    <row r="1" spans="1:7" ht="13.5" thickBot="1">
      <c r="A1" s="251" t="s">
        <v>233</v>
      </c>
      <c r="B1" s="252" t="str">
        <f>"Ref Ei / Reste:"&amp;(COUNTBLANK(E2:E1648)-COUNTBLANK(A2:A1648))</f>
        <v>Ref Ei / Reste:0</v>
      </c>
      <c r="C1" s="252" t="s">
        <v>234</v>
      </c>
      <c r="D1" s="253" t="s">
        <v>235</v>
      </c>
      <c r="E1" s="252" t="s">
        <v>236</v>
      </c>
      <c r="F1" s="254" t="s">
        <v>237</v>
      </c>
      <c r="G1" s="4"/>
    </row>
    <row r="2" spans="1:7" hidden="1">
      <c r="A2" s="136" t="s">
        <v>146</v>
      </c>
      <c r="B2" s="20"/>
      <c r="C2" s="20"/>
      <c r="D2" s="258">
        <v>40582</v>
      </c>
      <c r="E2" s="20" t="s">
        <v>236</v>
      </c>
      <c r="F2" s="137"/>
    </row>
    <row r="3" spans="1:7" hidden="1">
      <c r="A3" s="31" t="s">
        <v>147</v>
      </c>
      <c r="B3" s="1"/>
      <c r="C3" s="1"/>
      <c r="D3" s="257">
        <v>40582</v>
      </c>
      <c r="E3" s="20" t="s">
        <v>236</v>
      </c>
      <c r="F3" s="138"/>
    </row>
    <row r="4" spans="1:7" hidden="1">
      <c r="A4" s="31" t="s">
        <v>148</v>
      </c>
      <c r="B4" s="1"/>
      <c r="C4" s="1"/>
      <c r="D4" s="257">
        <v>40582</v>
      </c>
      <c r="E4" s="20" t="s">
        <v>236</v>
      </c>
      <c r="F4" s="138"/>
    </row>
    <row r="5" spans="1:7" hidden="1">
      <c r="A5" s="31" t="s">
        <v>149</v>
      </c>
      <c r="B5" s="1"/>
      <c r="C5" s="1"/>
      <c r="D5" s="257">
        <v>40582</v>
      </c>
      <c r="E5" s="20" t="s">
        <v>236</v>
      </c>
      <c r="F5" s="138"/>
    </row>
    <row r="6" spans="1:7" hidden="1">
      <c r="A6" s="31" t="s">
        <v>150</v>
      </c>
      <c r="B6" s="1"/>
      <c r="C6" s="1"/>
      <c r="D6" s="257">
        <v>40582</v>
      </c>
      <c r="E6" s="20" t="s">
        <v>236</v>
      </c>
      <c r="F6" s="138"/>
    </row>
    <row r="7" spans="1:7" hidden="1">
      <c r="A7" s="31" t="s">
        <v>151</v>
      </c>
      <c r="B7" s="1"/>
      <c r="C7" s="1"/>
      <c r="D7" s="257">
        <v>40582</v>
      </c>
      <c r="E7" s="20" t="s">
        <v>236</v>
      </c>
      <c r="F7" s="138"/>
    </row>
    <row r="8" spans="1:7" hidden="1">
      <c r="A8" s="31" t="s">
        <v>152</v>
      </c>
      <c r="B8" s="1"/>
      <c r="C8" s="1"/>
      <c r="D8" s="257">
        <v>40582</v>
      </c>
      <c r="E8" s="20" t="s">
        <v>236</v>
      </c>
      <c r="F8" s="138"/>
    </row>
    <row r="9" spans="1:7" hidden="1">
      <c r="A9" s="31" t="s">
        <v>153</v>
      </c>
      <c r="B9" s="1"/>
      <c r="C9" s="1"/>
      <c r="D9" s="257">
        <v>40582</v>
      </c>
      <c r="E9" s="20" t="s">
        <v>236</v>
      </c>
      <c r="F9" s="138"/>
    </row>
    <row r="10" spans="1:7" hidden="1">
      <c r="A10" s="31" t="s">
        <v>154</v>
      </c>
      <c r="B10" s="1"/>
      <c r="C10" s="1"/>
      <c r="D10" s="257">
        <v>40582</v>
      </c>
      <c r="E10" s="20" t="s">
        <v>236</v>
      </c>
      <c r="F10" s="138"/>
    </row>
    <row r="11" spans="1:7" hidden="1">
      <c r="A11" s="31" t="s">
        <v>155</v>
      </c>
      <c r="B11" s="1"/>
      <c r="C11" s="1"/>
      <c r="D11" s="257">
        <v>40582</v>
      </c>
      <c r="E11" s="20" t="s">
        <v>236</v>
      </c>
      <c r="F11" s="138"/>
    </row>
    <row r="12" spans="1:7" hidden="1">
      <c r="A12" s="31" t="s">
        <v>156</v>
      </c>
      <c r="B12" s="1"/>
      <c r="C12" s="1"/>
      <c r="D12" s="257">
        <v>40582</v>
      </c>
      <c r="E12" s="20" t="s">
        <v>236</v>
      </c>
      <c r="F12" s="138"/>
    </row>
    <row r="13" spans="1:7" hidden="1">
      <c r="A13" s="31" t="s">
        <v>157</v>
      </c>
      <c r="B13" s="1"/>
      <c r="C13" s="1"/>
      <c r="D13" s="257">
        <v>40582</v>
      </c>
      <c r="E13" s="20" t="s">
        <v>236</v>
      </c>
      <c r="F13" s="138"/>
    </row>
    <row r="14" spans="1:7" hidden="1">
      <c r="A14" s="31" t="s">
        <v>158</v>
      </c>
      <c r="B14" s="1"/>
      <c r="C14" s="1"/>
      <c r="D14" s="257">
        <v>40582</v>
      </c>
      <c r="E14" s="20" t="s">
        <v>236</v>
      </c>
      <c r="F14" s="138"/>
    </row>
    <row r="15" spans="1:7" hidden="1">
      <c r="A15" s="31" t="s">
        <v>159</v>
      </c>
      <c r="B15" s="1"/>
      <c r="C15" s="1"/>
      <c r="D15" s="257">
        <v>40582</v>
      </c>
      <c r="E15" s="20" t="s">
        <v>236</v>
      </c>
      <c r="F15" s="138"/>
    </row>
    <row r="16" spans="1:7" hidden="1">
      <c r="A16" s="31" t="s">
        <v>160</v>
      </c>
      <c r="B16" s="1"/>
      <c r="C16" s="1"/>
      <c r="D16" s="257">
        <v>40582</v>
      </c>
      <c r="E16" s="20" t="s">
        <v>236</v>
      </c>
      <c r="F16" s="138"/>
    </row>
    <row r="17" spans="1:6" hidden="1">
      <c r="A17" s="31" t="s">
        <v>161</v>
      </c>
      <c r="B17" s="1"/>
      <c r="C17" s="1"/>
      <c r="D17" s="257">
        <v>40582</v>
      </c>
      <c r="E17" s="20" t="s">
        <v>236</v>
      </c>
      <c r="F17" s="138"/>
    </row>
    <row r="18" spans="1:6" hidden="1">
      <c r="A18" s="31" t="s">
        <v>162</v>
      </c>
      <c r="B18" s="1"/>
      <c r="C18" s="1"/>
      <c r="D18" s="257">
        <v>40582</v>
      </c>
      <c r="E18" s="20" t="s">
        <v>236</v>
      </c>
      <c r="F18" s="138"/>
    </row>
    <row r="19" spans="1:6" hidden="1">
      <c r="A19" s="31" t="s">
        <v>163</v>
      </c>
      <c r="B19" s="1"/>
      <c r="C19" s="1"/>
      <c r="D19" s="257">
        <v>40582</v>
      </c>
      <c r="E19" s="20" t="s">
        <v>236</v>
      </c>
      <c r="F19" s="138"/>
    </row>
    <row r="20" spans="1:6" hidden="1">
      <c r="A20" s="31" t="s">
        <v>164</v>
      </c>
      <c r="B20" s="1"/>
      <c r="C20" s="1"/>
      <c r="D20" s="257">
        <v>40582</v>
      </c>
      <c r="E20" s="20" t="s">
        <v>236</v>
      </c>
      <c r="F20" s="138"/>
    </row>
    <row r="21" spans="1:6" hidden="1">
      <c r="A21" s="31" t="s">
        <v>165</v>
      </c>
      <c r="B21" s="1"/>
      <c r="C21" s="1"/>
      <c r="D21" s="257">
        <v>40582</v>
      </c>
      <c r="E21" s="20" t="s">
        <v>236</v>
      </c>
      <c r="F21" s="138"/>
    </row>
    <row r="22" spans="1:6" hidden="1">
      <c r="A22" s="31" t="s">
        <v>166</v>
      </c>
      <c r="B22" s="1"/>
      <c r="C22" s="1"/>
      <c r="D22" s="257">
        <v>40582</v>
      </c>
      <c r="E22" s="20" t="s">
        <v>236</v>
      </c>
      <c r="F22" s="138"/>
    </row>
    <row r="23" spans="1:6" hidden="1">
      <c r="A23" s="31" t="s">
        <v>167</v>
      </c>
      <c r="B23" s="1"/>
      <c r="C23" s="1"/>
      <c r="D23" s="257">
        <v>40582</v>
      </c>
      <c r="E23" s="20" t="s">
        <v>236</v>
      </c>
      <c r="F23" s="138"/>
    </row>
    <row r="24" spans="1:6" hidden="1">
      <c r="A24" s="31" t="s">
        <v>168</v>
      </c>
      <c r="B24" s="1"/>
      <c r="C24" s="1"/>
      <c r="D24" s="257">
        <v>40582</v>
      </c>
      <c r="E24" s="20" t="s">
        <v>236</v>
      </c>
      <c r="F24" s="138"/>
    </row>
    <row r="25" spans="1:6" hidden="1">
      <c r="A25" s="31" t="s">
        <v>169</v>
      </c>
      <c r="B25" s="1"/>
      <c r="C25" s="1"/>
      <c r="D25" s="257">
        <v>40582</v>
      </c>
      <c r="E25" s="20" t="s">
        <v>236</v>
      </c>
      <c r="F25" s="138"/>
    </row>
    <row r="26" spans="1:6" hidden="1">
      <c r="A26" s="31" t="s">
        <v>170</v>
      </c>
      <c r="B26" s="1"/>
      <c r="C26" s="1"/>
      <c r="D26" s="257">
        <v>40582</v>
      </c>
      <c r="E26" s="20" t="s">
        <v>236</v>
      </c>
      <c r="F26" s="138"/>
    </row>
    <row r="27" spans="1:6" hidden="1">
      <c r="A27" s="31" t="s">
        <v>171</v>
      </c>
      <c r="B27" s="1"/>
      <c r="C27" s="1"/>
      <c r="D27" s="257">
        <v>40582</v>
      </c>
      <c r="E27" s="20" t="s">
        <v>236</v>
      </c>
      <c r="F27" s="138"/>
    </row>
    <row r="28" spans="1:6" hidden="1">
      <c r="A28" s="31" t="s">
        <v>172</v>
      </c>
      <c r="B28" s="1"/>
      <c r="C28" s="1"/>
      <c r="D28" s="257">
        <v>40582</v>
      </c>
      <c r="E28" s="20" t="s">
        <v>236</v>
      </c>
      <c r="F28" s="138"/>
    </row>
    <row r="29" spans="1:6" hidden="1">
      <c r="A29" s="238" t="s">
        <v>173</v>
      </c>
      <c r="B29" s="6"/>
      <c r="C29" s="6"/>
      <c r="D29" s="260">
        <v>40582</v>
      </c>
      <c r="E29" s="261" t="s">
        <v>236</v>
      </c>
      <c r="F29" s="29"/>
    </row>
    <row r="30" spans="1:6" hidden="1">
      <c r="A30" s="136">
        <v>589</v>
      </c>
      <c r="B30" s="20"/>
      <c r="C30" s="20"/>
      <c r="D30" s="258">
        <v>40595</v>
      </c>
      <c r="E30" s="268" t="s">
        <v>236</v>
      </c>
      <c r="F30" s="137"/>
    </row>
    <row r="31" spans="1:6" hidden="1">
      <c r="A31" s="31">
        <v>590</v>
      </c>
      <c r="B31" s="1"/>
      <c r="C31" s="1"/>
      <c r="D31" s="257">
        <v>40595</v>
      </c>
      <c r="E31" s="269" t="s">
        <v>236</v>
      </c>
      <c r="F31" s="138"/>
    </row>
    <row r="32" spans="1:6" hidden="1">
      <c r="A32" s="31">
        <v>591</v>
      </c>
      <c r="B32" s="1"/>
      <c r="C32" s="1"/>
      <c r="D32" s="257">
        <v>40595</v>
      </c>
      <c r="E32" s="269" t="s">
        <v>236</v>
      </c>
      <c r="F32" s="138"/>
    </row>
    <row r="33" spans="1:6" hidden="1">
      <c r="A33" s="31">
        <v>592</v>
      </c>
      <c r="B33" s="1"/>
      <c r="C33" s="1"/>
      <c r="D33" s="257">
        <v>40595</v>
      </c>
      <c r="E33" s="269" t="s">
        <v>236</v>
      </c>
      <c r="F33" s="138"/>
    </row>
    <row r="34" spans="1:6" hidden="1">
      <c r="A34" s="31">
        <v>593</v>
      </c>
      <c r="B34" s="1"/>
      <c r="C34" s="1"/>
      <c r="D34" s="257">
        <v>40595</v>
      </c>
      <c r="E34" s="269" t="s">
        <v>236</v>
      </c>
      <c r="F34" s="138"/>
    </row>
    <row r="35" spans="1:6" hidden="1">
      <c r="A35" s="31">
        <v>594</v>
      </c>
      <c r="B35" s="1"/>
      <c r="C35" s="1"/>
      <c r="D35" s="257">
        <v>40595</v>
      </c>
      <c r="E35" s="269" t="s">
        <v>236</v>
      </c>
      <c r="F35" s="138"/>
    </row>
    <row r="36" spans="1:6" hidden="1">
      <c r="A36" s="31">
        <v>595</v>
      </c>
      <c r="B36" s="1"/>
      <c r="C36" s="1"/>
      <c r="D36" s="257">
        <v>40595</v>
      </c>
      <c r="E36" s="269" t="s">
        <v>236</v>
      </c>
      <c r="F36" s="138"/>
    </row>
    <row r="37" spans="1:6" hidden="1">
      <c r="A37" s="31">
        <v>596</v>
      </c>
      <c r="B37" s="1"/>
      <c r="C37" s="1"/>
      <c r="D37" s="257">
        <v>40595</v>
      </c>
      <c r="E37" s="269" t="s">
        <v>236</v>
      </c>
      <c r="F37" s="138"/>
    </row>
    <row r="38" spans="1:6" hidden="1">
      <c r="A38" s="31">
        <v>597</v>
      </c>
      <c r="B38" s="1"/>
      <c r="C38" s="1"/>
      <c r="D38" s="257">
        <v>40595</v>
      </c>
      <c r="E38" s="269" t="s">
        <v>236</v>
      </c>
      <c r="F38" s="138"/>
    </row>
    <row r="39" spans="1:6" hidden="1">
      <c r="A39" s="31">
        <v>598</v>
      </c>
      <c r="B39" s="1"/>
      <c r="C39" s="1"/>
      <c r="D39" s="257">
        <v>40595</v>
      </c>
      <c r="E39" s="269" t="s">
        <v>236</v>
      </c>
      <c r="F39" s="138"/>
    </row>
    <row r="40" spans="1:6" hidden="1">
      <c r="A40" s="31">
        <v>599</v>
      </c>
      <c r="B40" s="1"/>
      <c r="C40" s="1"/>
      <c r="D40" s="257">
        <v>40595</v>
      </c>
      <c r="E40" s="269" t="s">
        <v>236</v>
      </c>
      <c r="F40" s="138"/>
    </row>
    <row r="41" spans="1:6" hidden="1">
      <c r="A41" s="31">
        <v>600</v>
      </c>
      <c r="B41" s="1"/>
      <c r="C41" s="1"/>
      <c r="D41" s="257">
        <v>40595</v>
      </c>
      <c r="E41" s="269" t="s">
        <v>236</v>
      </c>
      <c r="F41" s="138"/>
    </row>
    <row r="42" spans="1:6" hidden="1">
      <c r="A42" s="31">
        <v>601</v>
      </c>
      <c r="B42" s="1"/>
      <c r="C42" s="1"/>
      <c r="D42" s="257">
        <v>40595</v>
      </c>
      <c r="E42" s="269" t="s">
        <v>236</v>
      </c>
      <c r="F42" s="138"/>
    </row>
    <row r="43" spans="1:6" hidden="1">
      <c r="A43" s="31">
        <v>602</v>
      </c>
      <c r="B43" s="1"/>
      <c r="C43" s="1"/>
      <c r="D43" s="257">
        <v>40595</v>
      </c>
      <c r="E43" s="269" t="s">
        <v>236</v>
      </c>
      <c r="F43" s="138"/>
    </row>
    <row r="44" spans="1:6" hidden="1">
      <c r="A44" s="31">
        <v>603</v>
      </c>
      <c r="B44" s="1"/>
      <c r="C44" s="1"/>
      <c r="D44" s="257">
        <v>40595</v>
      </c>
      <c r="E44" s="269" t="s">
        <v>236</v>
      </c>
      <c r="F44" s="138"/>
    </row>
    <row r="45" spans="1:6" hidden="1">
      <c r="A45" s="31">
        <v>604</v>
      </c>
      <c r="B45" s="1"/>
      <c r="C45" s="1"/>
      <c r="D45" s="257">
        <v>40595</v>
      </c>
      <c r="E45" s="269" t="s">
        <v>236</v>
      </c>
      <c r="F45" s="138"/>
    </row>
    <row r="46" spans="1:6" hidden="1">
      <c r="A46" s="31">
        <v>605</v>
      </c>
      <c r="B46" s="1"/>
      <c r="C46" s="1"/>
      <c r="D46" s="257">
        <v>40595</v>
      </c>
      <c r="E46" s="269" t="s">
        <v>236</v>
      </c>
      <c r="F46" s="138"/>
    </row>
    <row r="47" spans="1:6" hidden="1">
      <c r="A47" s="31">
        <v>606</v>
      </c>
      <c r="B47" s="1"/>
      <c r="C47" s="1"/>
      <c r="D47" s="257">
        <v>40595</v>
      </c>
      <c r="E47" s="269" t="s">
        <v>236</v>
      </c>
      <c r="F47" s="138"/>
    </row>
    <row r="48" spans="1:6" hidden="1">
      <c r="A48" s="238">
        <v>607</v>
      </c>
      <c r="B48" s="6"/>
      <c r="C48" s="6"/>
      <c r="D48" s="260">
        <v>40595</v>
      </c>
      <c r="E48" s="304" t="s">
        <v>236</v>
      </c>
      <c r="F48" s="29"/>
    </row>
    <row r="49" spans="1:6" hidden="1">
      <c r="A49" s="305" t="s">
        <v>484</v>
      </c>
      <c r="B49" s="20"/>
      <c r="C49" s="20"/>
      <c r="D49" s="258">
        <v>40652</v>
      </c>
      <c r="E49" s="307" t="s">
        <v>236</v>
      </c>
      <c r="F49" s="137"/>
    </row>
    <row r="50" spans="1:6" hidden="1">
      <c r="A50" s="306" t="s">
        <v>485</v>
      </c>
      <c r="B50" s="1"/>
      <c r="C50" s="1"/>
      <c r="D50" s="257">
        <v>40652</v>
      </c>
      <c r="E50" s="308" t="s">
        <v>236</v>
      </c>
      <c r="F50" s="138"/>
    </row>
    <row r="51" spans="1:6" hidden="1">
      <c r="A51" s="306" t="s">
        <v>486</v>
      </c>
      <c r="B51" s="1"/>
      <c r="C51" s="1"/>
      <c r="D51" s="257">
        <v>40652</v>
      </c>
      <c r="E51" s="308" t="s">
        <v>236</v>
      </c>
      <c r="F51" s="138"/>
    </row>
    <row r="52" spans="1:6" hidden="1">
      <c r="A52" s="306" t="s">
        <v>487</v>
      </c>
      <c r="B52" s="1"/>
      <c r="C52" s="1"/>
      <c r="D52" s="257">
        <v>40652</v>
      </c>
      <c r="E52" s="308" t="s">
        <v>236</v>
      </c>
      <c r="F52" s="138"/>
    </row>
    <row r="53" spans="1:6" hidden="1">
      <c r="A53" s="306" t="s">
        <v>488</v>
      </c>
      <c r="B53" s="1"/>
      <c r="C53" s="1"/>
      <c r="D53" s="257">
        <v>40652</v>
      </c>
      <c r="E53" s="308" t="s">
        <v>236</v>
      </c>
      <c r="F53" s="138"/>
    </row>
    <row r="54" spans="1:6" hidden="1">
      <c r="A54" s="306" t="s">
        <v>489</v>
      </c>
      <c r="B54" s="1"/>
      <c r="C54" s="1"/>
      <c r="D54" s="257">
        <v>40652</v>
      </c>
      <c r="E54" s="308" t="s">
        <v>236</v>
      </c>
      <c r="F54" s="138"/>
    </row>
    <row r="55" spans="1:6" hidden="1">
      <c r="A55" s="306" t="s">
        <v>490</v>
      </c>
      <c r="B55" s="1"/>
      <c r="C55" s="1"/>
      <c r="D55" s="257">
        <v>40652</v>
      </c>
      <c r="E55" s="308" t="s">
        <v>236</v>
      </c>
      <c r="F55" s="138"/>
    </row>
    <row r="56" spans="1:6" hidden="1">
      <c r="A56" s="306" t="s">
        <v>491</v>
      </c>
      <c r="B56" s="1"/>
      <c r="C56" s="1"/>
      <c r="D56" s="257">
        <v>40652</v>
      </c>
      <c r="E56" s="308" t="s">
        <v>236</v>
      </c>
      <c r="F56" s="138"/>
    </row>
    <row r="57" spans="1:6" hidden="1">
      <c r="A57" s="306" t="s">
        <v>492</v>
      </c>
      <c r="B57" s="1"/>
      <c r="C57" s="1"/>
      <c r="D57" s="257">
        <v>40652</v>
      </c>
      <c r="E57" s="308" t="s">
        <v>236</v>
      </c>
      <c r="F57" s="138"/>
    </row>
    <row r="58" spans="1:6" hidden="1">
      <c r="A58" s="306" t="s">
        <v>493</v>
      </c>
      <c r="B58" s="1"/>
      <c r="C58" s="1"/>
      <c r="D58" s="257">
        <v>40652</v>
      </c>
      <c r="E58" s="308" t="s">
        <v>236</v>
      </c>
      <c r="F58" s="138"/>
    </row>
    <row r="59" spans="1:6" hidden="1">
      <c r="A59" s="306" t="s">
        <v>494</v>
      </c>
      <c r="B59" s="1"/>
      <c r="C59" s="1"/>
      <c r="D59" s="257">
        <v>40652</v>
      </c>
      <c r="E59" s="308" t="s">
        <v>236</v>
      </c>
      <c r="F59" s="138"/>
    </row>
    <row r="60" spans="1:6" hidden="1">
      <c r="A60" s="319" t="s">
        <v>495</v>
      </c>
      <c r="B60" s="6"/>
      <c r="C60" s="6"/>
      <c r="D60" s="260">
        <v>40652</v>
      </c>
      <c r="E60" s="320" t="s">
        <v>236</v>
      </c>
      <c r="F60" s="29"/>
    </row>
    <row r="61" spans="1:6" hidden="1">
      <c r="A61" s="136" t="s">
        <v>517</v>
      </c>
      <c r="B61" s="20"/>
      <c r="C61" s="20"/>
      <c r="D61" s="258">
        <v>40679</v>
      </c>
      <c r="E61" s="321" t="s">
        <v>236</v>
      </c>
      <c r="F61" s="137"/>
    </row>
    <row r="62" spans="1:6" hidden="1">
      <c r="A62" s="31" t="s">
        <v>518</v>
      </c>
      <c r="B62" s="1"/>
      <c r="C62" s="1"/>
      <c r="D62" s="257">
        <v>40679</v>
      </c>
      <c r="E62" s="321" t="s">
        <v>236</v>
      </c>
      <c r="F62" s="138"/>
    </row>
    <row r="63" spans="1:6" hidden="1">
      <c r="A63" s="31" t="s">
        <v>519</v>
      </c>
      <c r="B63" s="1"/>
      <c r="C63" s="1"/>
      <c r="D63" s="257">
        <v>40679</v>
      </c>
      <c r="E63" s="321" t="s">
        <v>236</v>
      </c>
      <c r="F63" s="138"/>
    </row>
    <row r="64" spans="1:6" hidden="1">
      <c r="A64" s="31" t="s">
        <v>520</v>
      </c>
      <c r="B64" s="1"/>
      <c r="C64" s="1"/>
      <c r="D64" s="257">
        <v>40679</v>
      </c>
      <c r="E64" s="321" t="s">
        <v>236</v>
      </c>
      <c r="F64" s="138"/>
    </row>
    <row r="65" spans="1:6" hidden="1">
      <c r="A65" s="31" t="s">
        <v>521</v>
      </c>
      <c r="B65" s="1"/>
      <c r="C65" s="1"/>
      <c r="D65" s="257">
        <v>40679</v>
      </c>
      <c r="E65" s="321" t="s">
        <v>236</v>
      </c>
      <c r="F65" s="138"/>
    </row>
    <row r="66" spans="1:6" hidden="1">
      <c r="A66" s="31" t="s">
        <v>522</v>
      </c>
      <c r="B66" s="1"/>
      <c r="C66" s="1"/>
      <c r="D66" s="257">
        <v>40679</v>
      </c>
      <c r="E66" s="321" t="s">
        <v>236</v>
      </c>
      <c r="F66" s="138"/>
    </row>
    <row r="67" spans="1:6" hidden="1">
      <c r="A67" s="31" t="s">
        <v>523</v>
      </c>
      <c r="B67" s="1"/>
      <c r="C67" s="1"/>
      <c r="D67" s="257">
        <v>40679</v>
      </c>
      <c r="E67" s="321" t="s">
        <v>236</v>
      </c>
      <c r="F67" s="138"/>
    </row>
    <row r="68" spans="1:6" hidden="1">
      <c r="A68" s="31" t="s">
        <v>524</v>
      </c>
      <c r="B68" s="1"/>
      <c r="C68" s="1"/>
      <c r="D68" s="257">
        <v>40679</v>
      </c>
      <c r="E68" s="321" t="s">
        <v>236</v>
      </c>
      <c r="F68" s="138"/>
    </row>
    <row r="69" spans="1:6" hidden="1">
      <c r="A69" s="31" t="s">
        <v>525</v>
      </c>
      <c r="B69" s="1"/>
      <c r="C69" s="1"/>
      <c r="D69" s="257">
        <v>40679</v>
      </c>
      <c r="E69" s="321" t="s">
        <v>236</v>
      </c>
      <c r="F69" s="138"/>
    </row>
    <row r="70" spans="1:6" hidden="1">
      <c r="A70" s="31" t="s">
        <v>526</v>
      </c>
      <c r="B70" s="1"/>
      <c r="C70" s="1"/>
      <c r="D70" s="257">
        <v>40679</v>
      </c>
      <c r="E70" s="321" t="s">
        <v>236</v>
      </c>
      <c r="F70" s="138"/>
    </row>
    <row r="71" spans="1:6" hidden="1">
      <c r="A71" s="31" t="s">
        <v>527</v>
      </c>
      <c r="B71" s="1"/>
      <c r="C71" s="1"/>
      <c r="D71" s="257">
        <v>40679</v>
      </c>
      <c r="E71" s="321" t="s">
        <v>236</v>
      </c>
      <c r="F71" s="138"/>
    </row>
    <row r="72" spans="1:6" hidden="1">
      <c r="A72" s="31" t="s">
        <v>528</v>
      </c>
      <c r="B72" s="1"/>
      <c r="C72" s="1"/>
      <c r="D72" s="257">
        <v>40679</v>
      </c>
      <c r="E72" s="321" t="s">
        <v>236</v>
      </c>
      <c r="F72" s="138"/>
    </row>
    <row r="73" spans="1:6" hidden="1">
      <c r="A73" s="31" t="s">
        <v>529</v>
      </c>
      <c r="B73" s="1"/>
      <c r="C73" s="1"/>
      <c r="D73" s="257">
        <v>40679</v>
      </c>
      <c r="E73" s="321" t="s">
        <v>236</v>
      </c>
      <c r="F73" s="138"/>
    </row>
    <row r="74" spans="1:6" hidden="1">
      <c r="A74" s="31" t="s">
        <v>530</v>
      </c>
      <c r="B74" s="1"/>
      <c r="C74" s="1"/>
      <c r="D74" s="257">
        <v>40679</v>
      </c>
      <c r="E74" s="321" t="s">
        <v>236</v>
      </c>
      <c r="F74" s="138"/>
    </row>
    <row r="75" spans="1:6" hidden="1">
      <c r="A75" s="31" t="s">
        <v>531</v>
      </c>
      <c r="B75" s="1"/>
      <c r="C75" s="1"/>
      <c r="D75" s="257">
        <v>40679</v>
      </c>
      <c r="E75" s="321" t="s">
        <v>236</v>
      </c>
      <c r="F75" s="138"/>
    </row>
    <row r="76" spans="1:6" hidden="1">
      <c r="A76" s="31" t="s">
        <v>532</v>
      </c>
      <c r="B76" s="1"/>
      <c r="C76" s="1"/>
      <c r="D76" s="257">
        <v>40679</v>
      </c>
      <c r="E76" s="321" t="s">
        <v>236</v>
      </c>
      <c r="F76" s="138"/>
    </row>
    <row r="77" spans="1:6" hidden="1">
      <c r="A77" s="31" t="s">
        <v>533</v>
      </c>
      <c r="B77" s="1"/>
      <c r="C77" s="1"/>
      <c r="D77" s="257">
        <v>40679</v>
      </c>
      <c r="E77" s="321" t="s">
        <v>236</v>
      </c>
      <c r="F77" s="138"/>
    </row>
    <row r="78" spans="1:6" hidden="1">
      <c r="A78" s="31" t="s">
        <v>534</v>
      </c>
      <c r="B78" s="1"/>
      <c r="C78" s="1"/>
      <c r="D78" s="257">
        <v>40679</v>
      </c>
      <c r="E78" s="321" t="s">
        <v>236</v>
      </c>
      <c r="F78" s="138"/>
    </row>
    <row r="79" spans="1:6" hidden="1">
      <c r="A79" s="31" t="s">
        <v>535</v>
      </c>
      <c r="B79" s="1"/>
      <c r="C79" s="1"/>
      <c r="D79" s="257">
        <v>40679</v>
      </c>
      <c r="E79" s="321" t="s">
        <v>236</v>
      </c>
      <c r="F79" s="138"/>
    </row>
    <row r="80" spans="1:6" hidden="1">
      <c r="A80" s="31" t="s">
        <v>536</v>
      </c>
      <c r="B80" s="1"/>
      <c r="C80" s="1"/>
      <c r="D80" s="257">
        <v>40679</v>
      </c>
      <c r="E80" s="321" t="s">
        <v>236</v>
      </c>
      <c r="F80" s="138"/>
    </row>
    <row r="81" spans="1:6" hidden="1">
      <c r="A81" s="31" t="s">
        <v>537</v>
      </c>
      <c r="B81" s="1"/>
      <c r="C81" s="1"/>
      <c r="D81" s="257">
        <v>40679</v>
      </c>
      <c r="E81" s="321" t="s">
        <v>236</v>
      </c>
      <c r="F81" s="138"/>
    </row>
    <row r="82" spans="1:6" hidden="1">
      <c r="A82" s="31" t="s">
        <v>538</v>
      </c>
      <c r="B82" s="1"/>
      <c r="C82" s="1"/>
      <c r="D82" s="257">
        <v>40679</v>
      </c>
      <c r="E82" s="321" t="s">
        <v>236</v>
      </c>
      <c r="F82" s="138"/>
    </row>
    <row r="83" spans="1:6" hidden="1">
      <c r="A83" s="31" t="s">
        <v>539</v>
      </c>
      <c r="B83" s="1"/>
      <c r="C83" s="1"/>
      <c r="D83" s="257">
        <v>40679</v>
      </c>
      <c r="E83" s="321" t="s">
        <v>236</v>
      </c>
      <c r="F83" s="138"/>
    </row>
    <row r="84" spans="1:6" hidden="1">
      <c r="A84" s="31" t="s">
        <v>540</v>
      </c>
      <c r="B84" s="1"/>
      <c r="C84" s="1"/>
      <c r="D84" s="257">
        <v>40679</v>
      </c>
      <c r="E84" s="321" t="s">
        <v>236</v>
      </c>
      <c r="F84" s="138"/>
    </row>
    <row r="85" spans="1:6" hidden="1">
      <c r="A85" s="31" t="s">
        <v>541</v>
      </c>
      <c r="B85" s="1"/>
      <c r="C85" s="1"/>
      <c r="D85" s="257">
        <v>40679</v>
      </c>
      <c r="E85" s="321" t="s">
        <v>236</v>
      </c>
      <c r="F85" s="138"/>
    </row>
    <row r="86" spans="1:6" hidden="1">
      <c r="A86" s="31" t="s">
        <v>542</v>
      </c>
      <c r="B86" s="1"/>
      <c r="C86" s="1"/>
      <c r="D86" s="257">
        <v>40679</v>
      </c>
      <c r="E86" s="321" t="s">
        <v>236</v>
      </c>
      <c r="F86" s="138"/>
    </row>
    <row r="87" spans="1:6" hidden="1">
      <c r="A87" s="31" t="s">
        <v>543</v>
      </c>
      <c r="B87" s="1"/>
      <c r="C87" s="1"/>
      <c r="D87" s="257">
        <v>40679</v>
      </c>
      <c r="E87" s="321" t="s">
        <v>236</v>
      </c>
      <c r="F87" s="138"/>
    </row>
    <row r="88" spans="1:6" hidden="1">
      <c r="A88" s="31" t="s">
        <v>544</v>
      </c>
      <c r="B88" s="1"/>
      <c r="C88" s="1"/>
      <c r="D88" s="257">
        <v>40679</v>
      </c>
      <c r="E88" s="321" t="s">
        <v>236</v>
      </c>
      <c r="F88" s="138"/>
    </row>
    <row r="89" spans="1:6" hidden="1">
      <c r="A89" s="31" t="s">
        <v>545</v>
      </c>
      <c r="B89" s="1"/>
      <c r="C89" s="1"/>
      <c r="D89" s="257">
        <v>40679</v>
      </c>
      <c r="E89" s="321" t="s">
        <v>236</v>
      </c>
      <c r="F89" s="138"/>
    </row>
    <row r="90" spans="1:6" hidden="1">
      <c r="A90" s="31" t="s">
        <v>546</v>
      </c>
      <c r="B90" s="1"/>
      <c r="C90" s="1"/>
      <c r="D90" s="257">
        <v>40679</v>
      </c>
      <c r="E90" s="321" t="s">
        <v>236</v>
      </c>
      <c r="F90" s="138"/>
    </row>
    <row r="91" spans="1:6" hidden="1">
      <c r="A91" s="31" t="s">
        <v>547</v>
      </c>
      <c r="B91" s="1"/>
      <c r="C91" s="1"/>
      <c r="D91" s="257">
        <v>40679</v>
      </c>
      <c r="E91" s="321" t="s">
        <v>236</v>
      </c>
      <c r="F91" s="138"/>
    </row>
    <row r="92" spans="1:6" hidden="1">
      <c r="A92" s="31" t="s">
        <v>548</v>
      </c>
      <c r="B92" s="1"/>
      <c r="C92" s="1"/>
      <c r="D92" s="257">
        <v>40679</v>
      </c>
      <c r="E92" s="321" t="s">
        <v>236</v>
      </c>
      <c r="F92" s="138"/>
    </row>
    <row r="93" spans="1:6" hidden="1">
      <c r="A93" s="31" t="s">
        <v>549</v>
      </c>
      <c r="B93" s="1"/>
      <c r="C93" s="1"/>
      <c r="D93" s="257">
        <v>40679</v>
      </c>
      <c r="E93" s="321" t="s">
        <v>236</v>
      </c>
      <c r="F93" s="138"/>
    </row>
    <row r="94" spans="1:6" hidden="1">
      <c r="A94" s="31" t="s">
        <v>550</v>
      </c>
      <c r="B94" s="1"/>
      <c r="C94" s="1"/>
      <c r="D94" s="257">
        <v>40679</v>
      </c>
      <c r="E94" s="321" t="s">
        <v>236</v>
      </c>
      <c r="F94" s="138"/>
    </row>
    <row r="95" spans="1:6" hidden="1">
      <c r="A95" s="31" t="s">
        <v>551</v>
      </c>
      <c r="B95" s="1"/>
      <c r="C95" s="1"/>
      <c r="D95" s="257">
        <v>40679</v>
      </c>
      <c r="E95" s="321" t="s">
        <v>236</v>
      </c>
      <c r="F95" s="138"/>
    </row>
    <row r="96" spans="1:6" hidden="1">
      <c r="A96" s="31" t="s">
        <v>552</v>
      </c>
      <c r="B96" s="1"/>
      <c r="C96" s="1"/>
      <c r="D96" s="257">
        <v>40679</v>
      </c>
      <c r="E96" s="321" t="s">
        <v>236</v>
      </c>
      <c r="F96" s="138"/>
    </row>
    <row r="97" spans="1:6" hidden="1">
      <c r="A97" s="31" t="s">
        <v>553</v>
      </c>
      <c r="B97" s="1"/>
      <c r="C97" s="1"/>
      <c r="D97" s="257">
        <v>40679</v>
      </c>
      <c r="E97" s="321" t="s">
        <v>236</v>
      </c>
      <c r="F97" s="138"/>
    </row>
    <row r="98" spans="1:6" hidden="1">
      <c r="A98" s="31" t="s">
        <v>554</v>
      </c>
      <c r="B98" s="1"/>
      <c r="C98" s="1"/>
      <c r="D98" s="257">
        <v>40679</v>
      </c>
      <c r="E98" s="321" t="s">
        <v>236</v>
      </c>
      <c r="F98" s="138"/>
    </row>
    <row r="99" spans="1:6" hidden="1">
      <c r="A99" s="31" t="s">
        <v>555</v>
      </c>
      <c r="B99" s="1"/>
      <c r="C99" s="1"/>
      <c r="D99" s="257">
        <v>40679</v>
      </c>
      <c r="E99" s="321" t="s">
        <v>236</v>
      </c>
      <c r="F99" s="138"/>
    </row>
    <row r="100" spans="1:6" hidden="1">
      <c r="A100" s="31" t="s">
        <v>556</v>
      </c>
      <c r="B100" s="1"/>
      <c r="C100" s="1"/>
      <c r="D100" s="257">
        <v>40679</v>
      </c>
      <c r="E100" s="321" t="s">
        <v>236</v>
      </c>
      <c r="F100" s="138"/>
    </row>
    <row r="101" spans="1:6" hidden="1">
      <c r="A101" s="31" t="s">
        <v>557</v>
      </c>
      <c r="B101" s="1"/>
      <c r="C101" s="1"/>
      <c r="D101" s="257">
        <v>40679</v>
      </c>
      <c r="E101" s="321" t="s">
        <v>236</v>
      </c>
      <c r="F101" s="138"/>
    </row>
    <row r="102" spans="1:6" hidden="1">
      <c r="A102" s="31" t="s">
        <v>558</v>
      </c>
      <c r="B102" s="1"/>
      <c r="C102" s="1"/>
      <c r="D102" s="257">
        <v>40679</v>
      </c>
      <c r="E102" s="321" t="s">
        <v>236</v>
      </c>
      <c r="F102" s="138"/>
    </row>
    <row r="103" spans="1:6" hidden="1">
      <c r="A103" s="31" t="s">
        <v>559</v>
      </c>
      <c r="B103" s="1"/>
      <c r="C103" s="1"/>
      <c r="D103" s="257">
        <v>40679</v>
      </c>
      <c r="E103" s="321" t="s">
        <v>236</v>
      </c>
      <c r="F103" s="138"/>
    </row>
    <row r="104" spans="1:6" hidden="1">
      <c r="A104" s="31" t="s">
        <v>560</v>
      </c>
      <c r="B104" s="1"/>
      <c r="C104" s="1"/>
      <c r="D104" s="257">
        <v>40679</v>
      </c>
      <c r="E104" s="321" t="s">
        <v>236</v>
      </c>
      <c r="F104" s="138"/>
    </row>
    <row r="105" spans="1:6" hidden="1">
      <c r="A105" s="31" t="s">
        <v>561</v>
      </c>
      <c r="B105" s="1"/>
      <c r="C105" s="1"/>
      <c r="D105" s="257">
        <v>40679</v>
      </c>
      <c r="E105" s="321" t="s">
        <v>236</v>
      </c>
      <c r="F105" s="138"/>
    </row>
    <row r="106" spans="1:6" hidden="1">
      <c r="A106" s="31" t="s">
        <v>562</v>
      </c>
      <c r="B106" s="1"/>
      <c r="C106" s="1"/>
      <c r="D106" s="257">
        <v>40679</v>
      </c>
      <c r="E106" s="321" t="s">
        <v>236</v>
      </c>
      <c r="F106" s="138"/>
    </row>
    <row r="107" spans="1:6" hidden="1">
      <c r="A107" s="31" t="s">
        <v>563</v>
      </c>
      <c r="B107" s="1"/>
      <c r="C107" s="1"/>
      <c r="D107" s="257">
        <v>40679</v>
      </c>
      <c r="E107" s="321" t="s">
        <v>236</v>
      </c>
      <c r="F107" s="138"/>
    </row>
    <row r="108" spans="1:6" hidden="1">
      <c r="A108" s="31" t="s">
        <v>570</v>
      </c>
      <c r="B108" s="1"/>
      <c r="C108" s="1"/>
      <c r="D108" s="257">
        <v>40679</v>
      </c>
      <c r="E108" s="321" t="s">
        <v>236</v>
      </c>
      <c r="F108" s="138"/>
    </row>
    <row r="109" spans="1:6" hidden="1">
      <c r="A109" s="31" t="s">
        <v>571</v>
      </c>
      <c r="B109" s="1"/>
      <c r="C109" s="1"/>
      <c r="D109" s="257">
        <v>40679</v>
      </c>
      <c r="E109" s="321" t="s">
        <v>236</v>
      </c>
      <c r="F109" s="138"/>
    </row>
    <row r="110" spans="1:6" hidden="1">
      <c r="A110" s="31" t="s">
        <v>572</v>
      </c>
      <c r="B110" s="1"/>
      <c r="C110" s="1"/>
      <c r="D110" s="257">
        <v>40679</v>
      </c>
      <c r="E110" s="321" t="s">
        <v>236</v>
      </c>
      <c r="F110" s="138"/>
    </row>
    <row r="111" spans="1:6" hidden="1">
      <c r="A111" s="31" t="s">
        <v>573</v>
      </c>
      <c r="B111" s="1"/>
      <c r="C111" s="1"/>
      <c r="D111" s="257">
        <v>40679</v>
      </c>
      <c r="E111" s="321" t="s">
        <v>236</v>
      </c>
      <c r="F111" s="138"/>
    </row>
    <row r="112" spans="1:6" hidden="1">
      <c r="A112" s="31" t="s">
        <v>574</v>
      </c>
      <c r="B112" s="1"/>
      <c r="C112" s="1"/>
      <c r="D112" s="257">
        <v>40679</v>
      </c>
      <c r="E112" s="321" t="s">
        <v>236</v>
      </c>
      <c r="F112" s="138"/>
    </row>
    <row r="113" spans="1:6" hidden="1">
      <c r="A113" s="31" t="s">
        <v>575</v>
      </c>
      <c r="B113" s="1"/>
      <c r="C113" s="1"/>
      <c r="D113" s="257">
        <v>40679</v>
      </c>
      <c r="E113" s="321" t="s">
        <v>236</v>
      </c>
      <c r="F113" s="138"/>
    </row>
    <row r="114" spans="1:6" hidden="1">
      <c r="A114" s="31" t="s">
        <v>576</v>
      </c>
      <c r="B114" s="1"/>
      <c r="C114" s="1"/>
      <c r="D114" s="257">
        <v>40679</v>
      </c>
      <c r="E114" s="321" t="s">
        <v>236</v>
      </c>
      <c r="F114" s="138"/>
    </row>
    <row r="115" spans="1:6" hidden="1">
      <c r="A115" s="31" t="s">
        <v>577</v>
      </c>
      <c r="B115" s="1"/>
      <c r="C115" s="1"/>
      <c r="D115" s="257">
        <v>40679</v>
      </c>
      <c r="E115" s="321" t="s">
        <v>236</v>
      </c>
      <c r="F115" s="138"/>
    </row>
    <row r="116" spans="1:6" hidden="1">
      <c r="A116" s="31" t="s">
        <v>578</v>
      </c>
      <c r="B116" s="1"/>
      <c r="C116" s="1"/>
      <c r="D116" s="257">
        <v>40679</v>
      </c>
      <c r="E116" s="321" t="s">
        <v>236</v>
      </c>
      <c r="F116" s="138"/>
    </row>
    <row r="117" spans="1:6" hidden="1">
      <c r="A117" s="31" t="s">
        <v>564</v>
      </c>
      <c r="B117" s="1"/>
      <c r="C117" s="1"/>
      <c r="D117" s="257">
        <v>40679</v>
      </c>
      <c r="E117" s="321" t="s">
        <v>236</v>
      </c>
      <c r="F117" s="138"/>
    </row>
    <row r="118" spans="1:6" hidden="1">
      <c r="A118" s="31" t="s">
        <v>565</v>
      </c>
      <c r="B118" s="1"/>
      <c r="C118" s="1"/>
      <c r="D118" s="257">
        <v>40679</v>
      </c>
      <c r="E118" s="321" t="s">
        <v>236</v>
      </c>
      <c r="F118" s="138"/>
    </row>
    <row r="119" spans="1:6" hidden="1">
      <c r="A119" s="31" t="s">
        <v>566</v>
      </c>
      <c r="B119" s="1"/>
      <c r="C119" s="1"/>
      <c r="D119" s="257">
        <v>40679</v>
      </c>
      <c r="E119" s="321" t="s">
        <v>236</v>
      </c>
      <c r="F119" s="138"/>
    </row>
    <row r="120" spans="1:6" hidden="1">
      <c r="A120" s="31" t="s">
        <v>567</v>
      </c>
      <c r="B120" s="1"/>
      <c r="C120" s="1"/>
      <c r="D120" s="257">
        <v>40679</v>
      </c>
      <c r="E120" s="321" t="s">
        <v>236</v>
      </c>
      <c r="F120" s="138"/>
    </row>
    <row r="121" spans="1:6" hidden="1">
      <c r="A121" s="31" t="s">
        <v>568</v>
      </c>
      <c r="B121" s="1"/>
      <c r="C121" s="1"/>
      <c r="D121" s="257">
        <v>40679</v>
      </c>
      <c r="E121" s="321" t="s">
        <v>236</v>
      </c>
      <c r="F121" s="138"/>
    </row>
    <row r="122" spans="1:6" hidden="1">
      <c r="A122" s="238" t="s">
        <v>569</v>
      </c>
      <c r="B122" s="6"/>
      <c r="C122" s="6"/>
      <c r="D122" s="260">
        <v>40679</v>
      </c>
      <c r="E122" s="321" t="s">
        <v>236</v>
      </c>
      <c r="F122" s="29"/>
    </row>
    <row r="123" spans="1:6" hidden="1">
      <c r="A123" s="136" t="s">
        <v>579</v>
      </c>
      <c r="B123" s="20"/>
      <c r="C123" s="20"/>
      <c r="D123" s="258">
        <v>40680</v>
      </c>
      <c r="E123" s="326" t="s">
        <v>236</v>
      </c>
      <c r="F123" s="137"/>
    </row>
    <row r="124" spans="1:6" hidden="1">
      <c r="A124" s="31" t="s">
        <v>580</v>
      </c>
      <c r="B124" s="1"/>
      <c r="C124" s="1"/>
      <c r="D124" s="257">
        <v>40680</v>
      </c>
      <c r="E124" s="327" t="s">
        <v>236</v>
      </c>
      <c r="F124" s="138"/>
    </row>
    <row r="125" spans="1:6" hidden="1">
      <c r="A125" s="31" t="s">
        <v>581</v>
      </c>
      <c r="B125" s="1"/>
      <c r="C125" s="1"/>
      <c r="D125" s="257">
        <v>40680</v>
      </c>
      <c r="E125" s="327" t="s">
        <v>236</v>
      </c>
      <c r="F125" s="138"/>
    </row>
    <row r="126" spans="1:6" hidden="1">
      <c r="A126" s="31" t="s">
        <v>582</v>
      </c>
      <c r="B126" s="1"/>
      <c r="C126" s="1"/>
      <c r="D126" s="257">
        <v>40680</v>
      </c>
      <c r="E126" s="327" t="s">
        <v>236</v>
      </c>
      <c r="F126" s="138"/>
    </row>
    <row r="127" spans="1:6" hidden="1">
      <c r="A127" s="31" t="s">
        <v>583</v>
      </c>
      <c r="B127" s="1"/>
      <c r="C127" s="1"/>
      <c r="D127" s="257">
        <v>40680</v>
      </c>
      <c r="E127" s="327" t="s">
        <v>236</v>
      </c>
      <c r="F127" s="138"/>
    </row>
    <row r="128" spans="1:6" hidden="1">
      <c r="A128" s="31" t="s">
        <v>584</v>
      </c>
      <c r="B128" s="1"/>
      <c r="C128" s="1"/>
      <c r="D128" s="257">
        <v>40680</v>
      </c>
      <c r="E128" s="327" t="s">
        <v>236</v>
      </c>
      <c r="F128" s="138"/>
    </row>
    <row r="129" spans="1:6" hidden="1">
      <c r="A129" s="31" t="s">
        <v>585</v>
      </c>
      <c r="B129" s="1"/>
      <c r="C129" s="1"/>
      <c r="D129" s="257">
        <v>40680</v>
      </c>
      <c r="E129" s="327" t="s">
        <v>236</v>
      </c>
      <c r="F129" s="138"/>
    </row>
    <row r="130" spans="1:6" hidden="1">
      <c r="A130" s="31" t="s">
        <v>586</v>
      </c>
      <c r="B130" s="1"/>
      <c r="C130" s="1"/>
      <c r="D130" s="257">
        <v>40680</v>
      </c>
      <c r="E130" s="327" t="s">
        <v>236</v>
      </c>
      <c r="F130" s="138"/>
    </row>
    <row r="131" spans="1:6" hidden="1">
      <c r="A131" s="31" t="s">
        <v>587</v>
      </c>
      <c r="B131" s="1"/>
      <c r="C131" s="1"/>
      <c r="D131" s="257">
        <v>40680</v>
      </c>
      <c r="E131" s="327" t="s">
        <v>236</v>
      </c>
      <c r="F131" s="138"/>
    </row>
    <row r="132" spans="1:6" hidden="1">
      <c r="A132" s="31" t="s">
        <v>588</v>
      </c>
      <c r="B132" s="1"/>
      <c r="C132" s="1"/>
      <c r="D132" s="257">
        <v>40680</v>
      </c>
      <c r="E132" s="327" t="s">
        <v>236</v>
      </c>
      <c r="F132" s="138"/>
    </row>
    <row r="133" spans="1:6" hidden="1">
      <c r="A133" s="31" t="s">
        <v>589</v>
      </c>
      <c r="B133" s="1"/>
      <c r="C133" s="1"/>
      <c r="D133" s="257">
        <v>40680</v>
      </c>
      <c r="E133" s="327" t="s">
        <v>236</v>
      </c>
      <c r="F133" s="138"/>
    </row>
    <row r="134" spans="1:6" hidden="1">
      <c r="A134" s="31" t="s">
        <v>590</v>
      </c>
      <c r="B134" s="1"/>
      <c r="C134" s="1"/>
      <c r="D134" s="257">
        <v>40680</v>
      </c>
      <c r="E134" s="327" t="s">
        <v>236</v>
      </c>
      <c r="F134" s="138"/>
    </row>
    <row r="135" spans="1:6" hidden="1">
      <c r="A135" s="31" t="s">
        <v>591</v>
      </c>
      <c r="B135" s="1"/>
      <c r="C135" s="1"/>
      <c r="D135" s="257">
        <v>40680</v>
      </c>
      <c r="E135" s="327" t="s">
        <v>236</v>
      </c>
      <c r="F135" s="138"/>
    </row>
    <row r="136" spans="1:6" hidden="1">
      <c r="A136" s="31" t="s">
        <v>592</v>
      </c>
      <c r="B136" s="1"/>
      <c r="C136" s="1"/>
      <c r="D136" s="257">
        <v>40680</v>
      </c>
      <c r="E136" s="327" t="s">
        <v>236</v>
      </c>
      <c r="F136" s="138"/>
    </row>
    <row r="137" spans="1:6" hidden="1">
      <c r="A137" s="31" t="s">
        <v>593</v>
      </c>
      <c r="B137" s="1"/>
      <c r="C137" s="1"/>
      <c r="D137" s="257">
        <v>40680</v>
      </c>
      <c r="E137" s="327" t="s">
        <v>236</v>
      </c>
      <c r="F137" s="138"/>
    </row>
    <row r="138" spans="1:6" hidden="1">
      <c r="A138" s="31" t="s">
        <v>594</v>
      </c>
      <c r="B138" s="1"/>
      <c r="C138" s="1"/>
      <c r="D138" s="257">
        <v>40680</v>
      </c>
      <c r="E138" s="327" t="s">
        <v>236</v>
      </c>
      <c r="F138" s="138"/>
    </row>
    <row r="139" spans="1:6" hidden="1">
      <c r="A139" s="31" t="s">
        <v>595</v>
      </c>
      <c r="B139" s="1"/>
      <c r="C139" s="1"/>
      <c r="D139" s="257">
        <v>40680</v>
      </c>
      <c r="E139" s="327" t="s">
        <v>236</v>
      </c>
      <c r="F139" s="138"/>
    </row>
    <row r="140" spans="1:6" hidden="1">
      <c r="A140" s="31" t="s">
        <v>596</v>
      </c>
      <c r="B140" s="1"/>
      <c r="C140" s="1"/>
      <c r="D140" s="257">
        <v>40680</v>
      </c>
      <c r="E140" s="327" t="s">
        <v>236</v>
      </c>
      <c r="F140" s="138"/>
    </row>
    <row r="141" spans="1:6" hidden="1">
      <c r="A141" s="31" t="s">
        <v>597</v>
      </c>
      <c r="B141" s="1"/>
      <c r="C141" s="1"/>
      <c r="D141" s="257">
        <v>40680</v>
      </c>
      <c r="E141" s="327" t="s">
        <v>236</v>
      </c>
      <c r="F141" s="138"/>
    </row>
    <row r="142" spans="1:6" hidden="1">
      <c r="A142" s="31" t="s">
        <v>598</v>
      </c>
      <c r="B142" s="1"/>
      <c r="C142" s="1"/>
      <c r="D142" s="257">
        <v>40680</v>
      </c>
      <c r="E142" s="327" t="s">
        <v>236</v>
      </c>
      <c r="F142" s="138"/>
    </row>
    <row r="143" spans="1:6" hidden="1">
      <c r="A143" s="31" t="s">
        <v>599</v>
      </c>
      <c r="B143" s="1"/>
      <c r="C143" s="1"/>
      <c r="D143" s="257">
        <v>40680</v>
      </c>
      <c r="E143" s="327" t="s">
        <v>236</v>
      </c>
      <c r="F143" s="138"/>
    </row>
    <row r="144" spans="1:6" hidden="1">
      <c r="A144" s="31" t="s">
        <v>600</v>
      </c>
      <c r="B144" s="1"/>
      <c r="C144" s="1"/>
      <c r="D144" s="257">
        <v>40680</v>
      </c>
      <c r="E144" s="327" t="s">
        <v>236</v>
      </c>
      <c r="F144" s="138"/>
    </row>
    <row r="145" spans="1:6" hidden="1">
      <c r="A145" s="31" t="s">
        <v>601</v>
      </c>
      <c r="B145" s="1"/>
      <c r="C145" s="1"/>
      <c r="D145" s="257">
        <v>40680</v>
      </c>
      <c r="E145" s="327" t="s">
        <v>236</v>
      </c>
      <c r="F145" s="138"/>
    </row>
    <row r="146" spans="1:6" hidden="1">
      <c r="A146" s="31" t="s">
        <v>602</v>
      </c>
      <c r="B146" s="1"/>
      <c r="C146" s="1"/>
      <c r="D146" s="257">
        <v>40680</v>
      </c>
      <c r="E146" s="327" t="s">
        <v>236</v>
      </c>
      <c r="F146" s="138"/>
    </row>
    <row r="147" spans="1:6" hidden="1">
      <c r="A147" s="31" t="s">
        <v>603</v>
      </c>
      <c r="B147" s="1"/>
      <c r="C147" s="1"/>
      <c r="D147" s="257">
        <v>40680</v>
      </c>
      <c r="E147" s="327" t="s">
        <v>236</v>
      </c>
      <c r="F147" s="138"/>
    </row>
    <row r="148" spans="1:6" hidden="1">
      <c r="A148" s="31" t="s">
        <v>604</v>
      </c>
      <c r="B148" s="1"/>
      <c r="C148" s="1"/>
      <c r="D148" s="257">
        <v>40680</v>
      </c>
      <c r="E148" s="327" t="s">
        <v>236</v>
      </c>
      <c r="F148" s="138"/>
    </row>
    <row r="149" spans="1:6" hidden="1">
      <c r="A149" s="31" t="s">
        <v>605</v>
      </c>
      <c r="B149" s="1"/>
      <c r="C149" s="1"/>
      <c r="D149" s="257">
        <v>40680</v>
      </c>
      <c r="E149" s="327" t="s">
        <v>236</v>
      </c>
      <c r="F149" s="138"/>
    </row>
    <row r="150" spans="1:6" hidden="1">
      <c r="A150" s="31" t="s">
        <v>606</v>
      </c>
      <c r="B150" s="1"/>
      <c r="C150" s="1"/>
      <c r="D150" s="257">
        <v>40680</v>
      </c>
      <c r="E150" s="327" t="s">
        <v>236</v>
      </c>
      <c r="F150" s="138"/>
    </row>
    <row r="151" spans="1:6" hidden="1">
      <c r="A151" s="31" t="s">
        <v>607</v>
      </c>
      <c r="B151" s="1"/>
      <c r="C151" s="1"/>
      <c r="D151" s="257">
        <v>40680</v>
      </c>
      <c r="E151" s="327" t="s">
        <v>236</v>
      </c>
      <c r="F151" s="138"/>
    </row>
    <row r="152" spans="1:6" hidden="1">
      <c r="A152" s="31" t="s">
        <v>608</v>
      </c>
      <c r="B152" s="1"/>
      <c r="C152" s="1"/>
      <c r="D152" s="257">
        <v>40680</v>
      </c>
      <c r="E152" s="327" t="s">
        <v>236</v>
      </c>
      <c r="F152" s="138"/>
    </row>
    <row r="153" spans="1:6" hidden="1">
      <c r="A153" s="238" t="s">
        <v>609</v>
      </c>
      <c r="B153" s="6"/>
      <c r="C153" s="6"/>
      <c r="D153" s="260">
        <v>40680</v>
      </c>
      <c r="E153" s="328" t="s">
        <v>236</v>
      </c>
      <c r="F153" s="29"/>
    </row>
    <row r="154" spans="1:6" hidden="1">
      <c r="A154" s="136" t="s">
        <v>619</v>
      </c>
      <c r="B154" s="20"/>
      <c r="C154" s="20"/>
      <c r="D154" s="258">
        <v>40693</v>
      </c>
      <c r="E154" s="329" t="s">
        <v>236</v>
      </c>
      <c r="F154" s="137"/>
    </row>
    <row r="155" spans="1:6" hidden="1">
      <c r="A155" s="31" t="s">
        <v>620</v>
      </c>
      <c r="B155" s="1"/>
      <c r="C155" s="1"/>
      <c r="D155" s="257">
        <v>40693</v>
      </c>
      <c r="E155" s="330" t="s">
        <v>236</v>
      </c>
      <c r="F155" s="138"/>
    </row>
    <row r="156" spans="1:6" hidden="1">
      <c r="A156" s="31" t="s">
        <v>621</v>
      </c>
      <c r="B156" s="1"/>
      <c r="C156" s="1"/>
      <c r="D156" s="257">
        <v>40693</v>
      </c>
      <c r="E156" s="330" t="s">
        <v>236</v>
      </c>
      <c r="F156" s="138"/>
    </row>
    <row r="157" spans="1:6" hidden="1">
      <c r="A157" s="31" t="s">
        <v>622</v>
      </c>
      <c r="B157" s="1"/>
      <c r="C157" s="1"/>
      <c r="D157" s="257">
        <v>40693</v>
      </c>
      <c r="E157" s="330" t="s">
        <v>236</v>
      </c>
      <c r="F157" s="138"/>
    </row>
    <row r="158" spans="1:6" hidden="1">
      <c r="A158" s="31" t="s">
        <v>623</v>
      </c>
      <c r="B158" s="1"/>
      <c r="C158" s="1"/>
      <c r="D158" s="257">
        <v>40693</v>
      </c>
      <c r="E158" s="330" t="s">
        <v>236</v>
      </c>
      <c r="F158" s="138"/>
    </row>
    <row r="159" spans="1:6" hidden="1">
      <c r="A159" s="31" t="s">
        <v>624</v>
      </c>
      <c r="B159" s="1"/>
      <c r="C159" s="1"/>
      <c r="D159" s="257">
        <v>40693</v>
      </c>
      <c r="E159" s="330" t="s">
        <v>236</v>
      </c>
      <c r="F159" s="138"/>
    </row>
    <row r="160" spans="1:6" hidden="1">
      <c r="A160" s="31" t="s">
        <v>625</v>
      </c>
      <c r="B160" s="1"/>
      <c r="C160" s="1"/>
      <c r="D160" s="257">
        <v>40693</v>
      </c>
      <c r="E160" s="330" t="s">
        <v>236</v>
      </c>
      <c r="F160" s="138"/>
    </row>
    <row r="161" spans="1:6" hidden="1">
      <c r="A161" s="31" t="s">
        <v>626</v>
      </c>
      <c r="B161" s="1"/>
      <c r="C161" s="1"/>
      <c r="D161" s="257">
        <v>40693</v>
      </c>
      <c r="E161" s="330" t="s">
        <v>236</v>
      </c>
      <c r="F161" s="138"/>
    </row>
    <row r="162" spans="1:6" hidden="1">
      <c r="A162" s="31" t="s">
        <v>627</v>
      </c>
      <c r="B162" s="1"/>
      <c r="C162" s="1"/>
      <c r="D162" s="257">
        <v>40693</v>
      </c>
      <c r="E162" s="330" t="s">
        <v>236</v>
      </c>
      <c r="F162" s="138"/>
    </row>
    <row r="163" spans="1:6" hidden="1">
      <c r="A163" s="31" t="s">
        <v>628</v>
      </c>
      <c r="B163" s="1"/>
      <c r="C163" s="1"/>
      <c r="D163" s="257">
        <v>40693</v>
      </c>
      <c r="E163" s="330" t="s">
        <v>236</v>
      </c>
      <c r="F163" s="138"/>
    </row>
    <row r="164" spans="1:6" hidden="1">
      <c r="A164" s="31" t="s">
        <v>629</v>
      </c>
      <c r="B164" s="1"/>
      <c r="C164" s="1"/>
      <c r="D164" s="257">
        <v>40693</v>
      </c>
      <c r="E164" s="330" t="s">
        <v>236</v>
      </c>
      <c r="F164" s="138"/>
    </row>
    <row r="165" spans="1:6" hidden="1">
      <c r="A165" s="31" t="s">
        <v>630</v>
      </c>
      <c r="B165" s="1"/>
      <c r="C165" s="1"/>
      <c r="D165" s="257">
        <v>40693</v>
      </c>
      <c r="E165" s="330" t="s">
        <v>236</v>
      </c>
      <c r="F165" s="138"/>
    </row>
    <row r="166" spans="1:6" hidden="1">
      <c r="A166" s="31" t="s">
        <v>631</v>
      </c>
      <c r="B166" s="1"/>
      <c r="C166" s="1"/>
      <c r="D166" s="257">
        <v>40693</v>
      </c>
      <c r="E166" s="330" t="s">
        <v>236</v>
      </c>
      <c r="F166" s="138"/>
    </row>
    <row r="167" spans="1:6" hidden="1">
      <c r="A167" s="31" t="s">
        <v>632</v>
      </c>
      <c r="B167" s="1"/>
      <c r="C167" s="1"/>
      <c r="D167" s="257">
        <v>40693</v>
      </c>
      <c r="E167" s="330" t="s">
        <v>236</v>
      </c>
      <c r="F167" s="138"/>
    </row>
    <row r="168" spans="1:6" hidden="1">
      <c r="A168" s="31" t="s">
        <v>633</v>
      </c>
      <c r="B168" s="1"/>
      <c r="C168" s="1"/>
      <c r="D168" s="257">
        <v>40693</v>
      </c>
      <c r="E168" s="330" t="s">
        <v>236</v>
      </c>
      <c r="F168" s="138"/>
    </row>
    <row r="169" spans="1:6" hidden="1">
      <c r="A169" s="31" t="s">
        <v>634</v>
      </c>
      <c r="B169" s="1"/>
      <c r="C169" s="1"/>
      <c r="D169" s="257">
        <v>40693</v>
      </c>
      <c r="E169" s="330" t="s">
        <v>236</v>
      </c>
      <c r="F169" s="138"/>
    </row>
    <row r="170" spans="1:6" hidden="1">
      <c r="A170" s="31" t="s">
        <v>635</v>
      </c>
      <c r="B170" s="1"/>
      <c r="C170" s="1"/>
      <c r="D170" s="257">
        <v>40693</v>
      </c>
      <c r="E170" s="330" t="s">
        <v>236</v>
      </c>
      <c r="F170" s="138"/>
    </row>
    <row r="171" spans="1:6" hidden="1">
      <c r="A171" s="31" t="s">
        <v>636</v>
      </c>
      <c r="B171" s="1"/>
      <c r="C171" s="1"/>
      <c r="D171" s="257">
        <v>40693</v>
      </c>
      <c r="E171" s="330" t="s">
        <v>236</v>
      </c>
      <c r="F171" s="138"/>
    </row>
    <row r="172" spans="1:6" hidden="1">
      <c r="A172" s="31" t="s">
        <v>637</v>
      </c>
      <c r="B172" s="1"/>
      <c r="C172" s="1"/>
      <c r="D172" s="257">
        <v>40693</v>
      </c>
      <c r="E172" s="330" t="s">
        <v>236</v>
      </c>
      <c r="F172" s="138"/>
    </row>
    <row r="173" spans="1:6" hidden="1">
      <c r="A173" s="31" t="s">
        <v>638</v>
      </c>
      <c r="B173" s="1"/>
      <c r="C173" s="1"/>
      <c r="D173" s="257">
        <v>40693</v>
      </c>
      <c r="E173" s="330" t="s">
        <v>236</v>
      </c>
      <c r="F173" s="138"/>
    </row>
    <row r="174" spans="1:6" hidden="1">
      <c r="A174" s="31" t="s">
        <v>639</v>
      </c>
      <c r="B174" s="1"/>
      <c r="C174" s="1"/>
      <c r="D174" s="257">
        <v>40693</v>
      </c>
      <c r="E174" s="330" t="s">
        <v>236</v>
      </c>
      <c r="F174" s="138"/>
    </row>
    <row r="175" spans="1:6" hidden="1">
      <c r="A175" s="31" t="s">
        <v>640</v>
      </c>
      <c r="B175" s="1"/>
      <c r="C175" s="1"/>
      <c r="D175" s="257">
        <v>40693</v>
      </c>
      <c r="E175" s="330" t="s">
        <v>236</v>
      </c>
      <c r="F175" s="138"/>
    </row>
    <row r="176" spans="1:6" hidden="1">
      <c r="A176" s="31" t="s">
        <v>641</v>
      </c>
      <c r="B176" s="1"/>
      <c r="C176" s="1"/>
      <c r="D176" s="257">
        <v>40693</v>
      </c>
      <c r="E176" s="330" t="s">
        <v>236</v>
      </c>
      <c r="F176" s="138"/>
    </row>
    <row r="177" spans="1:6" hidden="1">
      <c r="A177" s="31" t="s">
        <v>642</v>
      </c>
      <c r="B177" s="1"/>
      <c r="C177" s="1"/>
      <c r="D177" s="257">
        <v>40693</v>
      </c>
      <c r="E177" s="330" t="s">
        <v>236</v>
      </c>
      <c r="F177" s="138"/>
    </row>
    <row r="178" spans="1:6" hidden="1">
      <c r="A178" s="31" t="s">
        <v>643</v>
      </c>
      <c r="B178" s="1"/>
      <c r="C178" s="1"/>
      <c r="D178" s="257">
        <v>40693</v>
      </c>
      <c r="E178" s="330" t="s">
        <v>236</v>
      </c>
      <c r="F178" s="138"/>
    </row>
    <row r="179" spans="1:6" hidden="1">
      <c r="A179" s="31" t="s">
        <v>644</v>
      </c>
      <c r="B179" s="1"/>
      <c r="C179" s="1"/>
      <c r="D179" s="257">
        <v>40693</v>
      </c>
      <c r="E179" s="330" t="s">
        <v>236</v>
      </c>
      <c r="F179" s="138"/>
    </row>
    <row r="180" spans="1:6" hidden="1">
      <c r="A180" s="31" t="s">
        <v>645</v>
      </c>
      <c r="B180" s="1"/>
      <c r="C180" s="1"/>
      <c r="D180" s="257">
        <v>40693</v>
      </c>
      <c r="E180" s="330" t="s">
        <v>236</v>
      </c>
      <c r="F180" s="138"/>
    </row>
    <row r="181" spans="1:6" hidden="1">
      <c r="A181" s="31" t="s">
        <v>646</v>
      </c>
      <c r="B181" s="1"/>
      <c r="C181" s="1"/>
      <c r="D181" s="257">
        <v>40693</v>
      </c>
      <c r="E181" s="330" t="s">
        <v>236</v>
      </c>
      <c r="F181" s="138"/>
    </row>
    <row r="182" spans="1:6" hidden="1">
      <c r="A182" s="31" t="s">
        <v>647</v>
      </c>
      <c r="B182" s="1"/>
      <c r="C182" s="1"/>
      <c r="D182" s="257">
        <v>40693</v>
      </c>
      <c r="E182" s="330" t="s">
        <v>236</v>
      </c>
      <c r="F182" s="138"/>
    </row>
    <row r="183" spans="1:6" hidden="1">
      <c r="A183" s="31" t="s">
        <v>648</v>
      </c>
      <c r="B183" s="1"/>
      <c r="C183" s="1"/>
      <c r="D183" s="257">
        <v>40693</v>
      </c>
      <c r="E183" s="330" t="s">
        <v>236</v>
      </c>
      <c r="F183" s="138"/>
    </row>
    <row r="184" spans="1:6" hidden="1">
      <c r="A184" s="31" t="s">
        <v>649</v>
      </c>
      <c r="B184" s="1"/>
      <c r="C184" s="1"/>
      <c r="D184" s="257">
        <v>40693</v>
      </c>
      <c r="E184" s="330" t="s">
        <v>236</v>
      </c>
      <c r="F184" s="138"/>
    </row>
    <row r="185" spans="1:6" hidden="1">
      <c r="A185" s="31" t="s">
        <v>650</v>
      </c>
      <c r="B185" s="1"/>
      <c r="C185" s="1"/>
      <c r="D185" s="257">
        <v>40693</v>
      </c>
      <c r="E185" s="330" t="s">
        <v>236</v>
      </c>
      <c r="F185" s="138"/>
    </row>
    <row r="186" spans="1:6" hidden="1">
      <c r="A186" s="31" t="s">
        <v>651</v>
      </c>
      <c r="B186" s="1"/>
      <c r="C186" s="1"/>
      <c r="D186" s="257">
        <v>40693</v>
      </c>
      <c r="E186" s="330" t="s">
        <v>236</v>
      </c>
      <c r="F186" s="138"/>
    </row>
    <row r="187" spans="1:6" hidden="1">
      <c r="A187" s="31" t="s">
        <v>652</v>
      </c>
      <c r="B187" s="1"/>
      <c r="C187" s="1"/>
      <c r="D187" s="257">
        <v>40693</v>
      </c>
      <c r="E187" s="330" t="s">
        <v>236</v>
      </c>
      <c r="F187" s="138"/>
    </row>
    <row r="188" spans="1:6" hidden="1">
      <c r="A188" s="238" t="s">
        <v>653</v>
      </c>
      <c r="B188" s="6"/>
      <c r="C188" s="6"/>
      <c r="D188" s="260">
        <v>40693</v>
      </c>
      <c r="E188" s="375" t="s">
        <v>236</v>
      </c>
      <c r="F188" s="29"/>
    </row>
    <row r="189" spans="1:6" hidden="1">
      <c r="A189" s="136" t="s">
        <v>731</v>
      </c>
      <c r="B189" s="258"/>
      <c r="C189" s="20"/>
      <c r="D189" s="258">
        <v>40800</v>
      </c>
      <c r="E189" s="376" t="s">
        <v>236</v>
      </c>
      <c r="F189" s="137"/>
    </row>
    <row r="190" spans="1:6" hidden="1">
      <c r="A190" s="31" t="s">
        <v>732</v>
      </c>
      <c r="B190" s="257"/>
      <c r="C190" s="1"/>
      <c r="D190" s="257">
        <v>40800</v>
      </c>
      <c r="E190" s="376" t="s">
        <v>236</v>
      </c>
      <c r="F190" s="138"/>
    </row>
    <row r="191" spans="1:6" hidden="1">
      <c r="A191" s="31" t="s">
        <v>733</v>
      </c>
      <c r="B191" s="257"/>
      <c r="C191" s="1"/>
      <c r="D191" s="257">
        <v>40800</v>
      </c>
      <c r="E191" s="376" t="s">
        <v>236</v>
      </c>
      <c r="F191" s="138"/>
    </row>
    <row r="192" spans="1:6" hidden="1">
      <c r="A192" s="31" t="s">
        <v>734</v>
      </c>
      <c r="B192" s="257"/>
      <c r="C192" s="1"/>
      <c r="D192" s="257">
        <v>40800</v>
      </c>
      <c r="E192" s="376" t="s">
        <v>236</v>
      </c>
      <c r="F192" s="138"/>
    </row>
    <row r="193" spans="1:6" hidden="1">
      <c r="A193" s="31" t="s">
        <v>735</v>
      </c>
      <c r="B193" s="257"/>
      <c r="C193" s="1"/>
      <c r="D193" s="257">
        <v>40800</v>
      </c>
      <c r="E193" s="376" t="s">
        <v>236</v>
      </c>
      <c r="F193" s="138"/>
    </row>
    <row r="194" spans="1:6" hidden="1">
      <c r="A194" s="31" t="s">
        <v>736</v>
      </c>
      <c r="B194" s="257"/>
      <c r="C194" s="1"/>
      <c r="D194" s="257">
        <v>40800</v>
      </c>
      <c r="E194" s="376" t="s">
        <v>236</v>
      </c>
      <c r="F194" s="138"/>
    </row>
    <row r="195" spans="1:6" hidden="1">
      <c r="A195" s="31" t="s">
        <v>737</v>
      </c>
      <c r="B195" s="257"/>
      <c r="C195" s="1"/>
      <c r="D195" s="257">
        <v>40800</v>
      </c>
      <c r="E195" s="376" t="s">
        <v>236</v>
      </c>
      <c r="F195" s="138"/>
    </row>
    <row r="196" spans="1:6" hidden="1">
      <c r="A196" s="31" t="s">
        <v>738</v>
      </c>
      <c r="B196" s="257"/>
      <c r="C196" s="1"/>
      <c r="D196" s="257">
        <v>40800</v>
      </c>
      <c r="E196" s="376" t="s">
        <v>236</v>
      </c>
      <c r="F196" s="138"/>
    </row>
    <row r="197" spans="1:6" hidden="1">
      <c r="A197" s="31" t="s">
        <v>739</v>
      </c>
      <c r="B197" s="257"/>
      <c r="C197" s="1"/>
      <c r="D197" s="257">
        <v>40800</v>
      </c>
      <c r="E197" s="376" t="s">
        <v>236</v>
      </c>
      <c r="F197" s="138"/>
    </row>
    <row r="198" spans="1:6" hidden="1">
      <c r="A198" s="31" t="s">
        <v>740</v>
      </c>
      <c r="B198" s="257"/>
      <c r="C198" s="1"/>
      <c r="D198" s="257">
        <v>40800</v>
      </c>
      <c r="E198" s="376" t="s">
        <v>236</v>
      </c>
      <c r="F198" s="138"/>
    </row>
    <row r="199" spans="1:6" hidden="1">
      <c r="A199" s="31" t="s">
        <v>741</v>
      </c>
      <c r="B199" s="257"/>
      <c r="C199" s="1"/>
      <c r="D199" s="257">
        <v>40800</v>
      </c>
      <c r="E199" s="376" t="s">
        <v>236</v>
      </c>
      <c r="F199" s="138"/>
    </row>
    <row r="200" spans="1:6" hidden="1">
      <c r="A200" s="31" t="s">
        <v>742</v>
      </c>
      <c r="B200" s="257"/>
      <c r="C200" s="1"/>
      <c r="D200" s="257">
        <v>40800</v>
      </c>
      <c r="E200" s="376" t="s">
        <v>236</v>
      </c>
      <c r="F200" s="138"/>
    </row>
    <row r="201" spans="1:6" hidden="1">
      <c r="A201" s="31" t="s">
        <v>743</v>
      </c>
      <c r="B201" s="257"/>
      <c r="C201" s="1"/>
      <c r="D201" s="257">
        <v>40800</v>
      </c>
      <c r="E201" s="376" t="s">
        <v>236</v>
      </c>
      <c r="F201" s="138"/>
    </row>
    <row r="202" spans="1:6" hidden="1">
      <c r="A202" s="31" t="s">
        <v>744</v>
      </c>
      <c r="B202" s="257"/>
      <c r="C202" s="1"/>
      <c r="D202" s="257">
        <v>40800</v>
      </c>
      <c r="E202" s="376" t="s">
        <v>236</v>
      </c>
      <c r="F202" s="138"/>
    </row>
    <row r="203" spans="1:6" hidden="1">
      <c r="A203" s="31" t="s">
        <v>745</v>
      </c>
      <c r="B203" s="257"/>
      <c r="C203" s="1"/>
      <c r="D203" s="257">
        <v>40800</v>
      </c>
      <c r="E203" s="376" t="s">
        <v>236</v>
      </c>
      <c r="F203" s="138"/>
    </row>
    <row r="204" spans="1:6" hidden="1">
      <c r="A204" s="31" t="s">
        <v>746</v>
      </c>
      <c r="B204" s="257"/>
      <c r="C204" s="1"/>
      <c r="D204" s="257">
        <v>40800</v>
      </c>
      <c r="E204" s="376" t="s">
        <v>236</v>
      </c>
      <c r="F204" s="138"/>
    </row>
    <row r="205" spans="1:6" hidden="1">
      <c r="A205" s="31" t="s">
        <v>747</v>
      </c>
      <c r="B205" s="257"/>
      <c r="C205" s="1"/>
      <c r="D205" s="257">
        <v>40800</v>
      </c>
      <c r="E205" s="376" t="s">
        <v>236</v>
      </c>
      <c r="F205" s="138"/>
    </row>
    <row r="206" spans="1:6" hidden="1">
      <c r="A206" s="31" t="s">
        <v>748</v>
      </c>
      <c r="B206" s="257"/>
      <c r="C206" s="1"/>
      <c r="D206" s="257">
        <v>40800</v>
      </c>
      <c r="E206" s="376" t="s">
        <v>236</v>
      </c>
      <c r="F206" s="138"/>
    </row>
    <row r="207" spans="1:6" hidden="1">
      <c r="A207" s="31" t="s">
        <v>749</v>
      </c>
      <c r="B207" s="257"/>
      <c r="C207" s="1"/>
      <c r="D207" s="257">
        <v>40800</v>
      </c>
      <c r="E207" s="376" t="s">
        <v>236</v>
      </c>
      <c r="F207" s="138"/>
    </row>
    <row r="208" spans="1:6" hidden="1">
      <c r="A208" s="31" t="s">
        <v>750</v>
      </c>
      <c r="B208" s="257"/>
      <c r="C208" s="1"/>
      <c r="D208" s="257">
        <v>40800</v>
      </c>
      <c r="E208" s="376" t="s">
        <v>236</v>
      </c>
      <c r="F208" s="138"/>
    </row>
    <row r="209" spans="1:6" hidden="1">
      <c r="A209" s="31" t="s">
        <v>751</v>
      </c>
      <c r="B209" s="257"/>
      <c r="C209" s="1"/>
      <c r="D209" s="257">
        <v>40800</v>
      </c>
      <c r="E209" s="376" t="s">
        <v>236</v>
      </c>
      <c r="F209" s="138"/>
    </row>
    <row r="210" spans="1:6" hidden="1">
      <c r="A210" s="31" t="s">
        <v>752</v>
      </c>
      <c r="B210" s="257"/>
      <c r="C210" s="1"/>
      <c r="D210" s="257">
        <v>40800</v>
      </c>
      <c r="E210" s="382" t="s">
        <v>236</v>
      </c>
      <c r="F210" s="138"/>
    </row>
    <row r="211" spans="1:6" hidden="1">
      <c r="A211" s="31" t="s">
        <v>753</v>
      </c>
      <c r="B211" s="257"/>
      <c r="C211" s="1"/>
      <c r="D211" s="257">
        <v>40800</v>
      </c>
      <c r="E211" s="382" t="s">
        <v>236</v>
      </c>
      <c r="F211" s="138"/>
    </row>
    <row r="212" spans="1:6" hidden="1">
      <c r="A212" s="31" t="s">
        <v>754</v>
      </c>
      <c r="B212" s="257"/>
      <c r="C212" s="1"/>
      <c r="D212" s="257">
        <v>40800</v>
      </c>
      <c r="E212" s="383" t="s">
        <v>236</v>
      </c>
      <c r="F212" s="138"/>
    </row>
    <row r="213" spans="1:6" hidden="1">
      <c r="A213" s="31" t="s">
        <v>755</v>
      </c>
      <c r="B213" s="257"/>
      <c r="C213" s="1"/>
      <c r="D213" s="257">
        <v>40800</v>
      </c>
      <c r="E213" s="383" t="s">
        <v>236</v>
      </c>
      <c r="F213" s="138"/>
    </row>
    <row r="214" spans="1:6" hidden="1">
      <c r="A214" s="31" t="s">
        <v>756</v>
      </c>
      <c r="B214" s="257"/>
      <c r="C214" s="1"/>
      <c r="D214" s="257">
        <v>40800</v>
      </c>
      <c r="E214" s="383" t="s">
        <v>236</v>
      </c>
      <c r="F214" s="138"/>
    </row>
    <row r="215" spans="1:6" hidden="1">
      <c r="A215" s="31" t="s">
        <v>757</v>
      </c>
      <c r="B215" s="257"/>
      <c r="C215" s="1"/>
      <c r="D215" s="257">
        <v>40800</v>
      </c>
      <c r="E215" s="383" t="s">
        <v>236</v>
      </c>
      <c r="F215" s="138"/>
    </row>
    <row r="216" spans="1:6" hidden="1">
      <c r="A216" s="31" t="s">
        <v>758</v>
      </c>
      <c r="B216" s="257"/>
      <c r="C216" s="1"/>
      <c r="D216" s="257">
        <v>40800</v>
      </c>
      <c r="E216" s="383" t="s">
        <v>236</v>
      </c>
      <c r="F216" s="138"/>
    </row>
    <row r="217" spans="1:6" hidden="1">
      <c r="A217" s="31" t="s">
        <v>759</v>
      </c>
      <c r="B217" s="257"/>
      <c r="C217" s="1"/>
      <c r="D217" s="257">
        <v>40800</v>
      </c>
      <c r="E217" s="383" t="s">
        <v>236</v>
      </c>
      <c r="F217" s="138"/>
    </row>
    <row r="218" spans="1:6" hidden="1">
      <c r="A218" s="31" t="s">
        <v>760</v>
      </c>
      <c r="B218" s="257"/>
      <c r="C218" s="1"/>
      <c r="D218" s="257">
        <v>40800</v>
      </c>
      <c r="E218" s="383" t="s">
        <v>236</v>
      </c>
      <c r="F218" s="138"/>
    </row>
    <row r="219" spans="1:6" hidden="1">
      <c r="A219" s="31" t="s">
        <v>761</v>
      </c>
      <c r="B219" s="257"/>
      <c r="C219" s="1"/>
      <c r="D219" s="257">
        <v>40800</v>
      </c>
      <c r="E219" s="383" t="s">
        <v>236</v>
      </c>
      <c r="F219" s="138"/>
    </row>
    <row r="220" spans="1:6" hidden="1">
      <c r="A220" s="31" t="s">
        <v>762</v>
      </c>
      <c r="B220" s="257"/>
      <c r="C220" s="1"/>
      <c r="D220" s="257">
        <v>40800</v>
      </c>
      <c r="E220" s="383" t="s">
        <v>236</v>
      </c>
      <c r="F220" s="138"/>
    </row>
    <row r="221" spans="1:6" hidden="1">
      <c r="A221" s="31" t="s">
        <v>763</v>
      </c>
      <c r="B221" s="257"/>
      <c r="C221" s="1"/>
      <c r="D221" s="257">
        <v>40800</v>
      </c>
      <c r="E221" s="383" t="s">
        <v>236</v>
      </c>
      <c r="F221" s="138"/>
    </row>
    <row r="222" spans="1:6" hidden="1">
      <c r="A222" s="31" t="s">
        <v>764</v>
      </c>
      <c r="B222" s="257"/>
      <c r="C222" s="1"/>
      <c r="D222" s="257">
        <v>40800</v>
      </c>
      <c r="E222" s="383" t="s">
        <v>236</v>
      </c>
      <c r="F222" s="138"/>
    </row>
    <row r="223" spans="1:6" hidden="1">
      <c r="A223" s="31" t="s">
        <v>765</v>
      </c>
      <c r="B223" s="257"/>
      <c r="C223" s="1"/>
      <c r="D223" s="257">
        <v>40800</v>
      </c>
      <c r="E223" s="383" t="s">
        <v>236</v>
      </c>
      <c r="F223" s="138"/>
    </row>
    <row r="224" spans="1:6" hidden="1">
      <c r="A224" s="31" t="s">
        <v>766</v>
      </c>
      <c r="B224" s="257"/>
      <c r="C224" s="1"/>
      <c r="D224" s="257">
        <v>40800</v>
      </c>
      <c r="E224" s="383" t="s">
        <v>236</v>
      </c>
      <c r="F224" s="138"/>
    </row>
    <row r="225" spans="1:6" hidden="1">
      <c r="A225" s="31" t="s">
        <v>767</v>
      </c>
      <c r="B225" s="257"/>
      <c r="C225" s="1"/>
      <c r="D225" s="257">
        <v>40800</v>
      </c>
      <c r="E225" s="383" t="s">
        <v>236</v>
      </c>
      <c r="F225" s="138"/>
    </row>
    <row r="226" spans="1:6" hidden="1">
      <c r="A226" s="31" t="s">
        <v>768</v>
      </c>
      <c r="B226" s="257"/>
      <c r="C226" s="1"/>
      <c r="D226" s="257">
        <v>40800</v>
      </c>
      <c r="E226" s="383" t="s">
        <v>236</v>
      </c>
      <c r="F226" s="138"/>
    </row>
    <row r="227" spans="1:6" hidden="1">
      <c r="A227" s="31" t="s">
        <v>769</v>
      </c>
      <c r="B227" s="257"/>
      <c r="C227" s="1"/>
      <c r="D227" s="257">
        <v>40800</v>
      </c>
      <c r="E227" s="383" t="s">
        <v>236</v>
      </c>
      <c r="F227" s="138"/>
    </row>
    <row r="228" spans="1:6" hidden="1">
      <c r="A228" s="31" t="s">
        <v>770</v>
      </c>
      <c r="B228" s="257"/>
      <c r="C228" s="1"/>
      <c r="D228" s="257">
        <v>40800</v>
      </c>
      <c r="E228" s="383" t="s">
        <v>236</v>
      </c>
      <c r="F228" s="138"/>
    </row>
    <row r="229" spans="1:6" hidden="1">
      <c r="A229" s="31" t="s">
        <v>771</v>
      </c>
      <c r="B229" s="257"/>
      <c r="C229" s="1"/>
      <c r="D229" s="257">
        <v>40800</v>
      </c>
      <c r="E229" s="383" t="s">
        <v>236</v>
      </c>
      <c r="F229" s="138"/>
    </row>
    <row r="230" spans="1:6" hidden="1">
      <c r="A230" s="31" t="s">
        <v>772</v>
      </c>
      <c r="B230" s="257"/>
      <c r="C230" s="1"/>
      <c r="D230" s="257">
        <v>40800</v>
      </c>
      <c r="E230" s="383" t="s">
        <v>236</v>
      </c>
      <c r="F230" s="138"/>
    </row>
    <row r="231" spans="1:6" hidden="1">
      <c r="A231" s="31" t="s">
        <v>773</v>
      </c>
      <c r="B231" s="257"/>
      <c r="C231" s="1"/>
      <c r="D231" s="257">
        <v>40800</v>
      </c>
      <c r="E231" s="383" t="s">
        <v>236</v>
      </c>
      <c r="F231" s="138"/>
    </row>
    <row r="232" spans="1:6" hidden="1">
      <c r="A232" s="31" t="s">
        <v>774</v>
      </c>
      <c r="B232" s="257"/>
      <c r="C232" s="1"/>
      <c r="D232" s="257">
        <v>40800</v>
      </c>
      <c r="E232" s="383" t="s">
        <v>236</v>
      </c>
      <c r="F232" s="138"/>
    </row>
    <row r="233" spans="1:6" hidden="1">
      <c r="A233" s="31" t="s">
        <v>775</v>
      </c>
      <c r="B233" s="257"/>
      <c r="C233" s="1"/>
      <c r="D233" s="257">
        <v>40800</v>
      </c>
      <c r="E233" s="383" t="s">
        <v>236</v>
      </c>
      <c r="F233" s="138"/>
    </row>
    <row r="234" spans="1:6" hidden="1">
      <c r="A234" s="31" t="s">
        <v>776</v>
      </c>
      <c r="B234" s="257"/>
      <c r="C234" s="1"/>
      <c r="D234" s="257">
        <v>40800</v>
      </c>
      <c r="E234" s="383" t="s">
        <v>236</v>
      </c>
      <c r="F234" s="138"/>
    </row>
    <row r="235" spans="1:6" hidden="1">
      <c r="A235" s="31" t="s">
        <v>777</v>
      </c>
      <c r="B235" s="257"/>
      <c r="C235" s="1"/>
      <c r="D235" s="257">
        <v>40800</v>
      </c>
      <c r="E235" s="383" t="s">
        <v>236</v>
      </c>
      <c r="F235" s="138"/>
    </row>
    <row r="236" spans="1:6" hidden="1">
      <c r="A236" s="31" t="s">
        <v>778</v>
      </c>
      <c r="B236" s="257"/>
      <c r="C236" s="1"/>
      <c r="D236" s="257">
        <v>40800</v>
      </c>
      <c r="E236" s="383" t="s">
        <v>236</v>
      </c>
      <c r="F236" s="138"/>
    </row>
    <row r="237" spans="1:6" hidden="1">
      <c r="A237" s="31" t="s">
        <v>779</v>
      </c>
      <c r="B237" s="257"/>
      <c r="C237" s="1"/>
      <c r="D237" s="257">
        <v>40800</v>
      </c>
      <c r="E237" s="383" t="s">
        <v>236</v>
      </c>
      <c r="F237" s="138"/>
    </row>
    <row r="238" spans="1:6" hidden="1">
      <c r="A238" s="31" t="s">
        <v>780</v>
      </c>
      <c r="B238" s="257"/>
      <c r="C238" s="1"/>
      <c r="D238" s="257">
        <v>40800</v>
      </c>
      <c r="E238" s="383" t="s">
        <v>236</v>
      </c>
      <c r="F238" s="138"/>
    </row>
    <row r="239" spans="1:6" hidden="1">
      <c r="A239" s="31" t="s">
        <v>781</v>
      </c>
      <c r="B239" s="257"/>
      <c r="C239" s="1"/>
      <c r="D239" s="257">
        <v>40800</v>
      </c>
      <c r="E239" s="383" t="s">
        <v>236</v>
      </c>
      <c r="F239" s="138"/>
    </row>
    <row r="240" spans="1:6" hidden="1">
      <c r="A240" s="31" t="s">
        <v>782</v>
      </c>
      <c r="B240" s="257"/>
      <c r="C240" s="1"/>
      <c r="D240" s="257">
        <v>40800</v>
      </c>
      <c r="E240" s="383" t="s">
        <v>236</v>
      </c>
      <c r="F240" s="138"/>
    </row>
    <row r="241" spans="1:6" hidden="1">
      <c r="A241" s="31" t="s">
        <v>783</v>
      </c>
      <c r="B241" s="257"/>
      <c r="C241" s="1"/>
      <c r="D241" s="257">
        <v>40800</v>
      </c>
      <c r="E241" s="383" t="s">
        <v>236</v>
      </c>
      <c r="F241" s="138"/>
    </row>
    <row r="242" spans="1:6" hidden="1">
      <c r="A242" s="31" t="s">
        <v>784</v>
      </c>
      <c r="B242" s="257"/>
      <c r="C242" s="1"/>
      <c r="D242" s="257">
        <v>40800</v>
      </c>
      <c r="E242" s="383" t="s">
        <v>236</v>
      </c>
      <c r="F242" s="138"/>
    </row>
    <row r="243" spans="1:6" hidden="1">
      <c r="A243" s="31" t="s">
        <v>785</v>
      </c>
      <c r="B243" s="257"/>
      <c r="C243" s="1"/>
      <c r="D243" s="257">
        <v>40800</v>
      </c>
      <c r="E243" s="383" t="s">
        <v>236</v>
      </c>
      <c r="F243" s="138"/>
    </row>
    <row r="244" spans="1:6">
      <c r="A244" s="31" t="s">
        <v>786</v>
      </c>
      <c r="B244" s="257"/>
      <c r="C244" s="1"/>
      <c r="D244" s="257">
        <v>40800</v>
      </c>
      <c r="E244" s="385" t="s">
        <v>236</v>
      </c>
      <c r="F244" s="138"/>
    </row>
    <row r="245" spans="1:6">
      <c r="A245" s="31" t="s">
        <v>787</v>
      </c>
      <c r="B245" s="257"/>
      <c r="C245" s="1"/>
      <c r="D245" s="257">
        <v>40800</v>
      </c>
      <c r="E245" s="385" t="s">
        <v>236</v>
      </c>
      <c r="F245" s="138"/>
    </row>
    <row r="246" spans="1:6">
      <c r="A246" s="31" t="s">
        <v>788</v>
      </c>
      <c r="B246" s="257"/>
      <c r="C246" s="1"/>
      <c r="D246" s="257">
        <v>40800</v>
      </c>
      <c r="E246" s="385" t="s">
        <v>236</v>
      </c>
      <c r="F246" s="138"/>
    </row>
    <row r="247" spans="1:6">
      <c r="A247" s="31" t="s">
        <v>789</v>
      </c>
      <c r="B247" s="257"/>
      <c r="C247" s="1"/>
      <c r="D247" s="257">
        <v>40800</v>
      </c>
      <c r="E247" s="385" t="s">
        <v>236</v>
      </c>
      <c r="F247" s="138"/>
    </row>
    <row r="248" spans="1:6">
      <c r="A248" s="31" t="s">
        <v>790</v>
      </c>
      <c r="B248" s="257"/>
      <c r="C248" s="1"/>
      <c r="D248" s="257">
        <v>40800</v>
      </c>
      <c r="E248" s="385" t="s">
        <v>236</v>
      </c>
      <c r="F248" s="138"/>
    </row>
    <row r="249" spans="1:6">
      <c r="A249" s="31" t="s">
        <v>791</v>
      </c>
      <c r="B249" s="257"/>
      <c r="C249" s="1"/>
      <c r="D249" s="257">
        <v>40800</v>
      </c>
      <c r="E249" s="385" t="s">
        <v>236</v>
      </c>
      <c r="F249" s="138"/>
    </row>
    <row r="250" spans="1:6">
      <c r="A250" s="31" t="s">
        <v>792</v>
      </c>
      <c r="B250" s="257"/>
      <c r="C250" s="1"/>
      <c r="D250" s="257">
        <v>40800</v>
      </c>
      <c r="E250" s="385" t="s">
        <v>236</v>
      </c>
      <c r="F250" s="138"/>
    </row>
    <row r="251" spans="1:6">
      <c r="A251" s="31" t="s">
        <v>793</v>
      </c>
      <c r="B251" s="257"/>
      <c r="C251" s="1"/>
      <c r="D251" s="257">
        <v>40800</v>
      </c>
      <c r="E251" s="385" t="s">
        <v>236</v>
      </c>
      <c r="F251" s="138"/>
    </row>
    <row r="252" spans="1:6">
      <c r="A252" s="31" t="s">
        <v>794</v>
      </c>
      <c r="B252" s="257"/>
      <c r="C252" s="1"/>
      <c r="D252" s="257">
        <v>40800</v>
      </c>
      <c r="E252" s="385" t="s">
        <v>236</v>
      </c>
      <c r="F252" s="138"/>
    </row>
    <row r="253" spans="1:6">
      <c r="A253" s="31" t="s">
        <v>795</v>
      </c>
      <c r="B253" s="257"/>
      <c r="C253" s="1"/>
      <c r="D253" s="257">
        <v>40800</v>
      </c>
      <c r="E253" s="385" t="s">
        <v>236</v>
      </c>
      <c r="F253" s="138"/>
    </row>
    <row r="254" spans="1:6">
      <c r="A254" s="31" t="s">
        <v>796</v>
      </c>
      <c r="B254" s="257"/>
      <c r="C254" s="1"/>
      <c r="D254" s="257">
        <v>40800</v>
      </c>
      <c r="E254" s="385" t="s">
        <v>236</v>
      </c>
      <c r="F254" s="138"/>
    </row>
    <row r="255" spans="1:6">
      <c r="A255" s="31" t="s">
        <v>797</v>
      </c>
      <c r="B255" s="257"/>
      <c r="C255" s="1"/>
      <c r="D255" s="257">
        <v>40800</v>
      </c>
      <c r="E255" s="385" t="s">
        <v>236</v>
      </c>
      <c r="F255" s="138"/>
    </row>
    <row r="256" spans="1:6">
      <c r="A256" s="31" t="s">
        <v>798</v>
      </c>
      <c r="B256" s="257"/>
      <c r="C256" s="1"/>
      <c r="D256" s="257">
        <v>40800</v>
      </c>
      <c r="E256" s="385" t="s">
        <v>236</v>
      </c>
      <c r="F256" s="138"/>
    </row>
    <row r="257" spans="1:6">
      <c r="A257" s="31" t="s">
        <v>799</v>
      </c>
      <c r="B257" s="257"/>
      <c r="C257" s="1"/>
      <c r="D257" s="257">
        <v>40800</v>
      </c>
      <c r="E257" s="385" t="s">
        <v>236</v>
      </c>
      <c r="F257" s="138"/>
    </row>
    <row r="258" spans="1:6">
      <c r="A258" s="31" t="s">
        <v>800</v>
      </c>
      <c r="B258" s="257"/>
      <c r="C258" s="1"/>
      <c r="D258" s="257">
        <v>40800</v>
      </c>
      <c r="E258" s="385" t="s">
        <v>236</v>
      </c>
      <c r="F258" s="138"/>
    </row>
    <row r="259" spans="1:6" hidden="1">
      <c r="A259" s="31" t="s">
        <v>801</v>
      </c>
      <c r="B259" s="257"/>
      <c r="C259" s="1"/>
      <c r="D259" s="257">
        <v>40800</v>
      </c>
      <c r="E259" s="383" t="s">
        <v>236</v>
      </c>
      <c r="F259" s="138"/>
    </row>
    <row r="260" spans="1:6" ht="13.5" hidden="1" thickBot="1">
      <c r="A260" s="32" t="s">
        <v>802</v>
      </c>
      <c r="B260" s="259"/>
      <c r="C260" s="21"/>
      <c r="D260" s="259">
        <v>40800</v>
      </c>
      <c r="E260" s="384" t="s">
        <v>236</v>
      </c>
      <c r="F260" s="139"/>
    </row>
    <row r="261" spans="1:6" hidden="1">
      <c r="A261" s="377" t="s">
        <v>803</v>
      </c>
      <c r="B261" s="378"/>
      <c r="C261" s="379"/>
      <c r="D261" s="378">
        <v>40801</v>
      </c>
      <c r="E261" s="380" t="s">
        <v>236</v>
      </c>
      <c r="F261" s="381"/>
    </row>
    <row r="262" spans="1:6" hidden="1">
      <c r="A262" s="31" t="s">
        <v>804</v>
      </c>
      <c r="B262" s="257"/>
      <c r="C262" s="1"/>
      <c r="D262" s="257">
        <v>40801</v>
      </c>
      <c r="E262" s="376" t="s">
        <v>236</v>
      </c>
      <c r="F262" s="138"/>
    </row>
    <row r="263" spans="1:6" hidden="1">
      <c r="A263" s="31" t="s">
        <v>805</v>
      </c>
      <c r="B263" s="257"/>
      <c r="C263" s="1"/>
      <c r="D263" s="257">
        <v>40801</v>
      </c>
      <c r="E263" s="376" t="s">
        <v>236</v>
      </c>
      <c r="F263" s="138"/>
    </row>
    <row r="264" spans="1:6" hidden="1">
      <c r="A264" s="31" t="s">
        <v>806</v>
      </c>
      <c r="B264" s="257"/>
      <c r="C264" s="1"/>
      <c r="D264" s="257">
        <v>40801</v>
      </c>
      <c r="E264" s="376" t="s">
        <v>236</v>
      </c>
      <c r="F264" s="138"/>
    </row>
    <row r="265" spans="1:6" hidden="1">
      <c r="A265" s="31" t="s">
        <v>807</v>
      </c>
      <c r="B265" s="257"/>
      <c r="C265" s="1"/>
      <c r="D265" s="257">
        <v>40801</v>
      </c>
      <c r="E265" s="376" t="s">
        <v>236</v>
      </c>
      <c r="F265" s="138"/>
    </row>
    <row r="266" spans="1:6" hidden="1">
      <c r="A266" s="31" t="s">
        <v>808</v>
      </c>
      <c r="B266" s="257"/>
      <c r="C266" s="1"/>
      <c r="D266" s="257">
        <v>40801</v>
      </c>
      <c r="E266" s="376" t="s">
        <v>236</v>
      </c>
      <c r="F266" s="138"/>
    </row>
    <row r="267" spans="1:6" hidden="1">
      <c r="A267" s="31" t="s">
        <v>809</v>
      </c>
      <c r="B267" s="257"/>
      <c r="C267" s="1"/>
      <c r="D267" s="257">
        <v>40801</v>
      </c>
      <c r="E267" s="376" t="s">
        <v>236</v>
      </c>
      <c r="F267" s="138"/>
    </row>
    <row r="268" spans="1:6" hidden="1">
      <c r="A268" s="31" t="s">
        <v>810</v>
      </c>
      <c r="B268" s="257"/>
      <c r="C268" s="1"/>
      <c r="D268" s="257">
        <v>40801</v>
      </c>
      <c r="E268" s="376" t="s">
        <v>236</v>
      </c>
      <c r="F268" s="138"/>
    </row>
    <row r="269" spans="1:6" hidden="1">
      <c r="A269" s="31" t="s">
        <v>811</v>
      </c>
      <c r="B269" s="257"/>
      <c r="C269" s="1"/>
      <c r="D269" s="257">
        <v>40801</v>
      </c>
      <c r="E269" s="376" t="s">
        <v>236</v>
      </c>
      <c r="F269" s="138"/>
    </row>
    <row r="270" spans="1:6" hidden="1">
      <c r="A270" s="31" t="s">
        <v>812</v>
      </c>
      <c r="B270" s="257"/>
      <c r="C270" s="1"/>
      <c r="D270" s="257">
        <v>40801</v>
      </c>
      <c r="E270" s="376" t="s">
        <v>236</v>
      </c>
      <c r="F270" s="138"/>
    </row>
    <row r="271" spans="1:6" hidden="1">
      <c r="A271" s="31" t="s">
        <v>813</v>
      </c>
      <c r="B271" s="257"/>
      <c r="C271" s="1"/>
      <c r="D271" s="257">
        <v>40801</v>
      </c>
      <c r="E271" s="376" t="s">
        <v>236</v>
      </c>
      <c r="F271" s="138"/>
    </row>
    <row r="272" spans="1:6" hidden="1">
      <c r="A272" s="31" t="s">
        <v>814</v>
      </c>
      <c r="B272" s="257"/>
      <c r="C272" s="1"/>
      <c r="D272" s="257">
        <v>40801</v>
      </c>
      <c r="E272" s="376" t="s">
        <v>236</v>
      </c>
      <c r="F272" s="138"/>
    </row>
    <row r="273" spans="1:6" hidden="1">
      <c r="A273" s="31" t="s">
        <v>815</v>
      </c>
      <c r="B273" s="257"/>
      <c r="C273" s="1"/>
      <c r="D273" s="257">
        <v>40801</v>
      </c>
      <c r="E273" s="376" t="s">
        <v>236</v>
      </c>
      <c r="F273" s="138"/>
    </row>
    <row r="274" spans="1:6" hidden="1">
      <c r="A274" s="31" t="s">
        <v>816</v>
      </c>
      <c r="B274" s="257"/>
      <c r="C274" s="1"/>
      <c r="D274" s="257">
        <v>40801</v>
      </c>
      <c r="E274" s="376" t="s">
        <v>236</v>
      </c>
      <c r="F274" s="138"/>
    </row>
    <row r="275" spans="1:6" hidden="1">
      <c r="A275" s="31" t="s">
        <v>817</v>
      </c>
      <c r="B275" s="257"/>
      <c r="C275" s="1"/>
      <c r="D275" s="257">
        <v>40801</v>
      </c>
      <c r="E275" s="376" t="s">
        <v>236</v>
      </c>
      <c r="F275" s="138"/>
    </row>
    <row r="276" spans="1:6" hidden="1">
      <c r="A276" s="31" t="s">
        <v>818</v>
      </c>
      <c r="B276" s="257"/>
      <c r="C276" s="1"/>
      <c r="D276" s="257">
        <v>40801</v>
      </c>
      <c r="E276" s="376" t="s">
        <v>236</v>
      </c>
      <c r="F276" s="138"/>
    </row>
    <row r="277" spans="1:6" hidden="1">
      <c r="A277" s="31" t="s">
        <v>819</v>
      </c>
      <c r="B277" s="257"/>
      <c r="C277" s="1"/>
      <c r="D277" s="257">
        <v>40801</v>
      </c>
      <c r="E277" s="376" t="s">
        <v>236</v>
      </c>
      <c r="F277" s="138"/>
    </row>
    <row r="278" spans="1:6" hidden="1">
      <c r="A278" s="31" t="s">
        <v>820</v>
      </c>
      <c r="B278" s="257"/>
      <c r="C278" s="1"/>
      <c r="D278" s="257">
        <v>40801</v>
      </c>
      <c r="E278" s="376" t="s">
        <v>236</v>
      </c>
      <c r="F278" s="138"/>
    </row>
    <row r="279" spans="1:6" hidden="1">
      <c r="A279" s="31" t="s">
        <v>821</v>
      </c>
      <c r="B279" s="257"/>
      <c r="C279" s="1"/>
      <c r="D279" s="257">
        <v>40801</v>
      </c>
      <c r="E279" s="376" t="s">
        <v>236</v>
      </c>
      <c r="F279" s="138"/>
    </row>
    <row r="280" spans="1:6" hidden="1">
      <c r="A280" s="31" t="s">
        <v>822</v>
      </c>
      <c r="B280" s="257"/>
      <c r="C280" s="1"/>
      <c r="D280" s="257">
        <v>40801</v>
      </c>
      <c r="E280" s="376" t="s">
        <v>236</v>
      </c>
      <c r="F280" s="138"/>
    </row>
    <row r="281" spans="1:6" hidden="1">
      <c r="A281" s="31" t="s">
        <v>823</v>
      </c>
      <c r="B281" s="257"/>
      <c r="C281" s="1"/>
      <c r="D281" s="257">
        <v>40801</v>
      </c>
      <c r="E281" s="376" t="s">
        <v>236</v>
      </c>
      <c r="F281" s="138"/>
    </row>
    <row r="282" spans="1:6" hidden="1">
      <c r="A282" s="31" t="s">
        <v>824</v>
      </c>
      <c r="B282" s="257"/>
      <c r="C282" s="1"/>
      <c r="D282" s="257">
        <v>40801</v>
      </c>
      <c r="E282" s="376" t="s">
        <v>236</v>
      </c>
      <c r="F282" s="138"/>
    </row>
    <row r="283" spans="1:6" ht="13.5" hidden="1" thickBot="1">
      <c r="A283" s="32" t="s">
        <v>825</v>
      </c>
      <c r="B283" s="259"/>
      <c r="C283" s="21"/>
      <c r="D283" s="259">
        <v>40801</v>
      </c>
      <c r="E283" s="376" t="s">
        <v>236</v>
      </c>
      <c r="F283" s="139"/>
    </row>
  </sheetData>
  <autoFilter ref="A1:G283">
    <filterColumn colId="4">
      <filters blank="1"/>
    </filterColumn>
  </autoFilter>
  <phoneticPr fontId="104" type="noConversion"/>
  <pageMargins left="0.73" right="0.39370078740157483" top="0.51181102362204722" bottom="0.47244094488188981" header="0.51181102362204722" footer="0.51181102362204722"/>
  <pageSetup paperSize="9" scale="61" orientation="portrait" verticalDpi="0" r:id="rId1"/>
  <headerFooter alignWithMargins="0"/>
</worksheet>
</file>

<file path=xl/worksheets/sheet6.xml><?xml version="1.0" encoding="utf-8"?>
<worksheet xmlns="http://schemas.openxmlformats.org/spreadsheetml/2006/main" xmlns:r="http://schemas.openxmlformats.org/officeDocument/2006/relationships">
  <sheetPr codeName="Feuil4"/>
  <dimension ref="A1:M154"/>
  <sheetViews>
    <sheetView view="pageBreakPreview" topLeftCell="A121" workbookViewId="0">
      <selection activeCell="G11" sqref="G11:G23"/>
    </sheetView>
  </sheetViews>
  <sheetFormatPr baseColWidth="10" defaultRowHeight="12.75" outlineLevelRow="1"/>
  <sheetData>
    <row r="1" spans="1:13" ht="18">
      <c r="A1" s="8" t="s">
        <v>389</v>
      </c>
    </row>
    <row r="2" spans="1:13">
      <c r="A2" s="485" t="s">
        <v>347</v>
      </c>
      <c r="B2" s="485"/>
      <c r="C2" s="529">
        <v>40879</v>
      </c>
      <c r="D2" s="530"/>
    </row>
    <row r="4" spans="1:13" ht="20.25">
      <c r="E4" s="140" t="s">
        <v>390</v>
      </c>
    </row>
    <row r="5" spans="1:13" ht="15.75">
      <c r="E5" s="141" t="s">
        <v>391</v>
      </c>
    </row>
    <row r="6" spans="1:13" outlineLevel="1"/>
    <row r="7" spans="1:13" ht="20.25" outlineLevel="1">
      <c r="C7" s="142" t="s">
        <v>305</v>
      </c>
      <c r="J7" s="143" t="s">
        <v>306</v>
      </c>
    </row>
    <row r="8" spans="1:13" outlineLevel="1"/>
    <row r="9" spans="1:13" outlineLevel="1"/>
    <row r="10" spans="1:13" ht="3.75" customHeight="1" outlineLevel="1" thickBot="1"/>
    <row r="11" spans="1:13" ht="15.75" outlineLevel="1">
      <c r="B11" s="152" t="s">
        <v>392</v>
      </c>
      <c r="C11" s="161" t="s">
        <v>393</v>
      </c>
      <c r="D11" s="161" t="s">
        <v>394</v>
      </c>
      <c r="E11" s="161" t="s">
        <v>395</v>
      </c>
      <c r="F11" s="162" t="s">
        <v>257</v>
      </c>
      <c r="H11" s="145"/>
      <c r="I11" s="152" t="s">
        <v>392</v>
      </c>
      <c r="J11" s="167" t="s">
        <v>393</v>
      </c>
      <c r="K11" s="167" t="s">
        <v>394</v>
      </c>
      <c r="L11" s="167" t="s">
        <v>395</v>
      </c>
      <c r="M11" s="162" t="s">
        <v>257</v>
      </c>
    </row>
    <row r="12" spans="1:13" outlineLevel="1">
      <c r="B12" s="154" t="s">
        <v>375</v>
      </c>
      <c r="C12" s="146">
        <v>2</v>
      </c>
      <c r="D12" s="146">
        <v>11</v>
      </c>
      <c r="E12" s="146">
        <v>1</v>
      </c>
      <c r="F12" s="163">
        <v>14</v>
      </c>
      <c r="G12" s="147"/>
      <c r="H12" s="148"/>
      <c r="I12" s="153" t="s">
        <v>442</v>
      </c>
      <c r="J12" s="146">
        <v>4</v>
      </c>
      <c r="K12" s="146">
        <v>10</v>
      </c>
      <c r="L12" s="146">
        <v>1</v>
      </c>
      <c r="M12" s="164">
        <v>15</v>
      </c>
    </row>
    <row r="13" spans="1:13" outlineLevel="1">
      <c r="B13" s="154" t="s">
        <v>415</v>
      </c>
      <c r="C13" s="146">
        <v>4</v>
      </c>
      <c r="D13" s="146">
        <v>11</v>
      </c>
      <c r="E13" s="146">
        <v>2</v>
      </c>
      <c r="F13" s="163">
        <v>17</v>
      </c>
      <c r="G13" s="147"/>
      <c r="H13" s="148"/>
      <c r="I13" s="153" t="s">
        <v>422</v>
      </c>
      <c r="J13" s="146">
        <v>7</v>
      </c>
      <c r="K13" s="146">
        <v>29</v>
      </c>
      <c r="L13" s="146">
        <v>0</v>
      </c>
      <c r="M13" s="164">
        <v>36</v>
      </c>
    </row>
    <row r="14" spans="1:13" outlineLevel="1">
      <c r="B14" s="154" t="s">
        <v>416</v>
      </c>
      <c r="C14" s="146">
        <v>4</v>
      </c>
      <c r="D14" s="146">
        <v>10</v>
      </c>
      <c r="E14" s="146">
        <v>0</v>
      </c>
      <c r="F14" s="164">
        <v>14</v>
      </c>
      <c r="G14" s="147"/>
      <c r="H14" s="147"/>
      <c r="I14" s="153" t="s">
        <v>423</v>
      </c>
      <c r="J14" s="146">
        <v>2</v>
      </c>
      <c r="K14" s="146">
        <v>11</v>
      </c>
      <c r="L14" s="146">
        <v>0</v>
      </c>
      <c r="M14" s="164">
        <v>13</v>
      </c>
    </row>
    <row r="15" spans="1:13" outlineLevel="1">
      <c r="B15" s="154" t="s">
        <v>417</v>
      </c>
      <c r="C15" s="146">
        <v>1</v>
      </c>
      <c r="D15" s="146">
        <v>18</v>
      </c>
      <c r="E15" s="146">
        <v>0</v>
      </c>
      <c r="F15" s="163">
        <v>19</v>
      </c>
      <c r="G15" s="147"/>
      <c r="H15" s="147"/>
      <c r="I15" s="153" t="s">
        <v>424</v>
      </c>
      <c r="J15" s="146">
        <v>8</v>
      </c>
      <c r="K15" s="146">
        <v>24</v>
      </c>
      <c r="L15" s="146">
        <v>0</v>
      </c>
      <c r="M15" s="164">
        <v>32</v>
      </c>
    </row>
    <row r="16" spans="1:13" outlineLevel="1">
      <c r="B16" s="154" t="s">
        <v>418</v>
      </c>
      <c r="C16" s="146">
        <v>8</v>
      </c>
      <c r="D16" s="146">
        <v>15</v>
      </c>
      <c r="E16" s="146">
        <v>0</v>
      </c>
      <c r="F16" s="163">
        <v>23</v>
      </c>
      <c r="G16" s="147"/>
      <c r="H16" s="147"/>
      <c r="I16" s="153" t="s">
        <v>425</v>
      </c>
      <c r="J16" s="146">
        <v>2</v>
      </c>
      <c r="K16" s="146">
        <v>8</v>
      </c>
      <c r="L16" s="146">
        <v>0</v>
      </c>
      <c r="M16" s="164">
        <v>10</v>
      </c>
    </row>
    <row r="17" spans="2:13" outlineLevel="1">
      <c r="B17" s="154" t="s">
        <v>419</v>
      </c>
      <c r="C17" s="151">
        <v>11</v>
      </c>
      <c r="D17" s="151">
        <v>9</v>
      </c>
      <c r="E17" s="151">
        <v>1</v>
      </c>
      <c r="F17" s="163">
        <v>21</v>
      </c>
      <c r="G17" s="147"/>
      <c r="H17" s="147"/>
      <c r="I17" s="154" t="s">
        <v>426</v>
      </c>
      <c r="J17" s="151">
        <v>10</v>
      </c>
      <c r="K17" s="151">
        <v>19</v>
      </c>
      <c r="L17" s="151">
        <v>5</v>
      </c>
      <c r="M17" s="163">
        <v>34</v>
      </c>
    </row>
    <row r="18" spans="2:13" outlineLevel="1">
      <c r="B18" s="154" t="s">
        <v>420</v>
      </c>
      <c r="C18" s="151">
        <v>8</v>
      </c>
      <c r="D18" s="151">
        <v>40</v>
      </c>
      <c r="E18" s="151">
        <v>12</v>
      </c>
      <c r="F18" s="163">
        <v>60</v>
      </c>
      <c r="G18" s="147"/>
      <c r="H18" s="147"/>
      <c r="I18" s="154" t="s">
        <v>427</v>
      </c>
      <c r="J18" s="151">
        <v>2</v>
      </c>
      <c r="K18" s="151">
        <v>13</v>
      </c>
      <c r="L18" s="151">
        <v>4</v>
      </c>
      <c r="M18" s="163">
        <v>19</v>
      </c>
    </row>
    <row r="19" spans="2:13" outlineLevel="1">
      <c r="B19" s="154" t="s">
        <v>421</v>
      </c>
      <c r="C19" s="151">
        <v>6</v>
      </c>
      <c r="D19" s="151">
        <v>4</v>
      </c>
      <c r="E19" s="151">
        <v>4</v>
      </c>
      <c r="F19" s="163">
        <v>14</v>
      </c>
      <c r="G19" s="147"/>
      <c r="H19" s="147"/>
      <c r="I19" s="154" t="s">
        <v>428</v>
      </c>
      <c r="J19" s="151">
        <v>2</v>
      </c>
      <c r="K19" s="151">
        <v>19</v>
      </c>
      <c r="L19" s="151">
        <v>11</v>
      </c>
      <c r="M19" s="163">
        <v>32</v>
      </c>
    </row>
    <row r="20" spans="2:13" outlineLevel="1">
      <c r="B20" s="154" t="s">
        <v>11</v>
      </c>
      <c r="C20" s="146">
        <v>8</v>
      </c>
      <c r="D20" s="146">
        <v>14</v>
      </c>
      <c r="E20" s="146">
        <v>1</v>
      </c>
      <c r="F20" s="163">
        <v>23</v>
      </c>
      <c r="G20" s="147"/>
      <c r="H20" s="147"/>
      <c r="I20" s="154" t="s">
        <v>15</v>
      </c>
      <c r="J20" s="146">
        <v>12</v>
      </c>
      <c r="K20" s="146">
        <v>18</v>
      </c>
      <c r="L20" s="146">
        <v>5</v>
      </c>
      <c r="M20" s="164">
        <v>35</v>
      </c>
    </row>
    <row r="21" spans="2:13" outlineLevel="1">
      <c r="B21" s="154" t="s">
        <v>12</v>
      </c>
      <c r="C21" s="151">
        <v>4</v>
      </c>
      <c r="D21" s="151">
        <v>22</v>
      </c>
      <c r="E21" s="151">
        <v>2</v>
      </c>
      <c r="F21" s="163">
        <v>28</v>
      </c>
      <c r="G21" s="147"/>
      <c r="H21" s="147"/>
      <c r="I21" s="154" t="s">
        <v>16</v>
      </c>
      <c r="J21" s="151">
        <v>3</v>
      </c>
      <c r="K21" s="151">
        <v>8</v>
      </c>
      <c r="L21" s="151">
        <v>1</v>
      </c>
      <c r="M21" s="163">
        <v>12</v>
      </c>
    </row>
    <row r="22" spans="2:13" outlineLevel="1">
      <c r="B22" s="154" t="s">
        <v>13</v>
      </c>
      <c r="C22" s="151">
        <v>4</v>
      </c>
      <c r="D22" s="151">
        <v>10</v>
      </c>
      <c r="E22" s="151">
        <v>4</v>
      </c>
      <c r="F22" s="163">
        <v>18</v>
      </c>
      <c r="G22" s="147"/>
      <c r="H22" s="147"/>
      <c r="I22" s="154" t="s">
        <v>17</v>
      </c>
      <c r="J22" s="151">
        <v>3</v>
      </c>
      <c r="K22" s="151">
        <v>27</v>
      </c>
      <c r="L22" s="151">
        <v>5</v>
      </c>
      <c r="M22" s="163">
        <v>35</v>
      </c>
    </row>
    <row r="23" spans="2:13" ht="13.5" outlineLevel="1" thickBot="1">
      <c r="B23" s="155" t="s">
        <v>14</v>
      </c>
      <c r="C23" s="165">
        <v>20</v>
      </c>
      <c r="D23" s="165">
        <v>69</v>
      </c>
      <c r="E23" s="165">
        <v>7</v>
      </c>
      <c r="F23" s="166">
        <v>96</v>
      </c>
      <c r="G23" s="147"/>
      <c r="H23" s="147"/>
      <c r="I23" s="155" t="s">
        <v>18</v>
      </c>
      <c r="J23" s="165">
        <v>41</v>
      </c>
      <c r="K23" s="165">
        <v>125</v>
      </c>
      <c r="L23" s="165">
        <v>1</v>
      </c>
      <c r="M23" s="166">
        <v>167</v>
      </c>
    </row>
    <row r="24" spans="2:13" ht="217.5" customHeight="1" outlineLevel="1"/>
    <row r="25" spans="2:13" outlineLevel="1"/>
    <row r="26" spans="2:13" ht="20.25">
      <c r="E26" s="140" t="s">
        <v>396</v>
      </c>
    </row>
    <row r="27" spans="2:13" ht="15">
      <c r="E27" s="144" t="s">
        <v>403</v>
      </c>
    </row>
    <row r="28" spans="2:13" outlineLevel="1"/>
    <row r="29" spans="2:13" ht="20.25" outlineLevel="1">
      <c r="C29" s="142" t="s">
        <v>305</v>
      </c>
      <c r="J29" s="143" t="s">
        <v>306</v>
      </c>
    </row>
    <row r="30" spans="2:13" outlineLevel="1"/>
    <row r="31" spans="2:13" outlineLevel="1"/>
    <row r="32" spans="2:13" ht="3.75" customHeight="1" outlineLevel="1" thickBot="1"/>
    <row r="33" spans="2:12" ht="15.75" outlineLevel="1">
      <c r="B33" s="152" t="s">
        <v>397</v>
      </c>
      <c r="C33" s="157" t="s">
        <v>393</v>
      </c>
      <c r="D33" s="157" t="s">
        <v>394</v>
      </c>
      <c r="E33" s="158" t="s">
        <v>395</v>
      </c>
      <c r="I33" s="152" t="s">
        <v>397</v>
      </c>
      <c r="J33" s="157" t="s">
        <v>393</v>
      </c>
      <c r="K33" s="157" t="s">
        <v>394</v>
      </c>
      <c r="L33" s="158" t="s">
        <v>395</v>
      </c>
    </row>
    <row r="34" spans="2:12" outlineLevel="1">
      <c r="B34" s="154" t="s">
        <v>375</v>
      </c>
      <c r="C34" s="168">
        <v>0</v>
      </c>
      <c r="D34" s="168">
        <v>22.636363636363637</v>
      </c>
      <c r="E34" s="169">
        <v>0</v>
      </c>
      <c r="F34" s="147"/>
      <c r="G34" s="147"/>
      <c r="H34" s="147"/>
      <c r="I34" s="154" t="s">
        <v>442</v>
      </c>
      <c r="J34" s="168">
        <v>10</v>
      </c>
      <c r="K34" s="168">
        <v>36.1</v>
      </c>
      <c r="L34" s="169">
        <v>6</v>
      </c>
    </row>
    <row r="35" spans="2:12" outlineLevel="1">
      <c r="B35" s="154" t="s">
        <v>415</v>
      </c>
      <c r="C35" s="168">
        <v>10.25</v>
      </c>
      <c r="D35" s="168">
        <v>20.636363636363637</v>
      </c>
      <c r="E35" s="169">
        <v>2.5</v>
      </c>
      <c r="F35" s="147"/>
      <c r="G35" s="147"/>
      <c r="H35" s="147"/>
      <c r="I35" s="154" t="s">
        <v>422</v>
      </c>
      <c r="J35" s="168">
        <v>11.142857142857142</v>
      </c>
      <c r="K35" s="168">
        <v>26.379310344827587</v>
      </c>
      <c r="L35" s="169" t="e">
        <v>#N/A</v>
      </c>
    </row>
    <row r="36" spans="2:12" outlineLevel="1">
      <c r="B36" s="154" t="s">
        <v>416</v>
      </c>
      <c r="C36" s="168">
        <v>4.5</v>
      </c>
      <c r="D36" s="168">
        <v>24.1</v>
      </c>
      <c r="E36" s="169" t="e">
        <v>#N/A</v>
      </c>
      <c r="F36" s="147"/>
      <c r="G36" s="147"/>
      <c r="H36" s="147"/>
      <c r="I36" s="154" t="s">
        <v>423</v>
      </c>
      <c r="J36" s="168">
        <v>20.5</v>
      </c>
      <c r="K36" s="168">
        <v>6.2727272727272725</v>
      </c>
      <c r="L36" s="169" t="e">
        <v>#N/A</v>
      </c>
    </row>
    <row r="37" spans="2:12" outlineLevel="1">
      <c r="B37" s="154" t="s">
        <v>417</v>
      </c>
      <c r="C37" s="168">
        <v>0</v>
      </c>
      <c r="D37" s="168">
        <v>4.7222222222222223</v>
      </c>
      <c r="E37" s="169" t="e">
        <v>#N/A</v>
      </c>
      <c r="F37" s="147"/>
      <c r="G37" s="147"/>
      <c r="H37" s="147"/>
      <c r="I37" s="154" t="s">
        <v>424</v>
      </c>
      <c r="J37" s="168">
        <v>14.375</v>
      </c>
      <c r="K37" s="168">
        <v>9.7916666666666661</v>
      </c>
      <c r="L37" s="169" t="e">
        <v>#N/A</v>
      </c>
    </row>
    <row r="38" spans="2:12" outlineLevel="1">
      <c r="B38" s="154" t="s">
        <v>418</v>
      </c>
      <c r="C38" s="168">
        <v>4.75</v>
      </c>
      <c r="D38" s="168">
        <v>4.1333333333333337</v>
      </c>
      <c r="E38" s="169" t="e">
        <v>#N/A</v>
      </c>
      <c r="F38" s="147"/>
      <c r="G38" s="147"/>
      <c r="H38" s="147"/>
      <c r="I38" s="154" t="s">
        <v>425</v>
      </c>
      <c r="J38" s="168">
        <v>5</v>
      </c>
      <c r="K38" s="168">
        <v>6.875</v>
      </c>
      <c r="L38" s="169" t="e">
        <v>#N/A</v>
      </c>
    </row>
    <row r="39" spans="2:12" outlineLevel="1">
      <c r="B39" s="154" t="s">
        <v>419</v>
      </c>
      <c r="C39" s="168">
        <v>6.1818181818181817</v>
      </c>
      <c r="D39" s="168">
        <v>9.4444444444444446</v>
      </c>
      <c r="E39" s="169">
        <v>3</v>
      </c>
      <c r="F39" s="147"/>
      <c r="G39" s="147"/>
      <c r="H39" s="147"/>
      <c r="I39" s="154" t="s">
        <v>426</v>
      </c>
      <c r="J39" s="168">
        <v>3.4</v>
      </c>
      <c r="K39" s="168">
        <v>11.894736842105264</v>
      </c>
      <c r="L39" s="169">
        <v>0</v>
      </c>
    </row>
    <row r="40" spans="2:12" outlineLevel="1">
      <c r="B40" s="154" t="s">
        <v>420</v>
      </c>
      <c r="C40" s="168">
        <v>8</v>
      </c>
      <c r="D40" s="168">
        <v>8.9749999999999996</v>
      </c>
      <c r="E40" s="169">
        <v>1.9166666666666667</v>
      </c>
      <c r="F40" s="147"/>
      <c r="G40" s="147"/>
      <c r="H40" s="147"/>
      <c r="I40" s="154" t="s">
        <v>427</v>
      </c>
      <c r="J40" s="168">
        <v>0</v>
      </c>
      <c r="K40" s="168">
        <v>3.7692307692307692</v>
      </c>
      <c r="L40" s="169">
        <v>5.5</v>
      </c>
    </row>
    <row r="41" spans="2:12" outlineLevel="1">
      <c r="B41" s="154" t="s">
        <v>421</v>
      </c>
      <c r="C41" s="168">
        <v>6.833333333333333</v>
      </c>
      <c r="D41" s="168">
        <v>6.25</v>
      </c>
      <c r="E41" s="169">
        <v>0</v>
      </c>
      <c r="F41" s="147"/>
      <c r="G41" s="147"/>
      <c r="H41" s="147"/>
      <c r="I41" s="154" t="s">
        <v>428</v>
      </c>
      <c r="J41" s="168">
        <v>3.5</v>
      </c>
      <c r="K41" s="168">
        <v>3.4736842105263159</v>
      </c>
      <c r="L41" s="169">
        <v>0</v>
      </c>
    </row>
    <row r="42" spans="2:12" outlineLevel="1">
      <c r="B42" s="154" t="s">
        <v>11</v>
      </c>
      <c r="C42" s="168">
        <v>4</v>
      </c>
      <c r="D42" s="168">
        <v>1.5</v>
      </c>
      <c r="E42" s="169">
        <v>0</v>
      </c>
      <c r="F42" s="147"/>
      <c r="G42" s="147"/>
      <c r="H42" s="147"/>
      <c r="I42" s="154" t="s">
        <v>15</v>
      </c>
      <c r="J42" s="168">
        <v>8.0833333333333339</v>
      </c>
      <c r="K42" s="168">
        <v>3.3888888888888888</v>
      </c>
      <c r="L42" s="169">
        <v>0</v>
      </c>
    </row>
    <row r="43" spans="2:12" outlineLevel="1">
      <c r="B43" s="154" t="s">
        <v>12</v>
      </c>
      <c r="C43" s="168">
        <v>2.5</v>
      </c>
      <c r="D43" s="168">
        <v>24.09090909090909</v>
      </c>
      <c r="E43" s="169">
        <v>0</v>
      </c>
      <c r="F43" s="147"/>
      <c r="G43" s="147"/>
      <c r="H43" s="147"/>
      <c r="I43" s="154" t="s">
        <v>16</v>
      </c>
      <c r="J43" s="168">
        <v>0</v>
      </c>
      <c r="K43" s="168">
        <v>6.375</v>
      </c>
      <c r="L43" s="169">
        <v>0</v>
      </c>
    </row>
    <row r="44" spans="2:12" outlineLevel="1">
      <c r="B44" s="154" t="s">
        <v>13</v>
      </c>
      <c r="C44" s="168">
        <v>4.25</v>
      </c>
      <c r="D44" s="168">
        <v>4.5</v>
      </c>
      <c r="E44" s="169">
        <v>12.5</v>
      </c>
      <c r="F44" s="147"/>
      <c r="G44" s="147"/>
      <c r="H44" s="147"/>
      <c r="I44" s="154" t="s">
        <v>17</v>
      </c>
      <c r="J44" s="168">
        <v>5</v>
      </c>
      <c r="K44" s="168">
        <v>2.7777777777777777</v>
      </c>
      <c r="L44" s="169">
        <v>1.6</v>
      </c>
    </row>
    <row r="45" spans="2:12" ht="13.5" outlineLevel="1" thickBot="1">
      <c r="B45" s="155" t="s">
        <v>14</v>
      </c>
      <c r="C45" s="170">
        <v>4.7</v>
      </c>
      <c r="D45" s="170">
        <v>5.7681159420289854</v>
      </c>
      <c r="E45" s="171">
        <v>19.428571428571427</v>
      </c>
      <c r="F45" s="147"/>
      <c r="G45" s="147"/>
      <c r="H45" s="147"/>
      <c r="I45" s="155" t="s">
        <v>18</v>
      </c>
      <c r="J45" s="170">
        <v>6.1951219512195124</v>
      </c>
      <c r="K45" s="170">
        <v>9.2720000000000002</v>
      </c>
      <c r="L45" s="171">
        <v>0</v>
      </c>
    </row>
    <row r="46" spans="2:12" ht="217.5" customHeight="1" outlineLevel="1"/>
    <row r="47" spans="2:12" outlineLevel="1"/>
    <row r="48" spans="2:12" ht="20.25">
      <c r="E48" s="140" t="s">
        <v>398</v>
      </c>
    </row>
    <row r="49" spans="2:13" ht="15">
      <c r="E49" s="144" t="s">
        <v>441</v>
      </c>
      <c r="F49" s="144"/>
      <c r="G49" s="144"/>
      <c r="H49" s="144"/>
      <c r="I49" s="144"/>
    </row>
    <row r="50" spans="2:13" outlineLevel="1"/>
    <row r="51" spans="2:13" ht="20.25" outlineLevel="1">
      <c r="C51" s="142" t="s">
        <v>305</v>
      </c>
      <c r="J51" s="143" t="s">
        <v>306</v>
      </c>
    </row>
    <row r="52" spans="2:13" outlineLevel="1"/>
    <row r="53" spans="2:13" outlineLevel="1"/>
    <row r="54" spans="2:13" ht="3.75" customHeight="1" outlineLevel="1" thickBot="1"/>
    <row r="55" spans="2:13" ht="15.75" outlineLevel="1">
      <c r="B55" s="152" t="s">
        <v>402</v>
      </c>
      <c r="C55" s="157" t="s">
        <v>438</v>
      </c>
      <c r="D55" s="157" t="s">
        <v>399</v>
      </c>
      <c r="E55" s="157" t="s">
        <v>400</v>
      </c>
      <c r="F55" s="158" t="s">
        <v>401</v>
      </c>
      <c r="I55" s="152" t="s">
        <v>402</v>
      </c>
      <c r="J55" s="157" t="s">
        <v>438</v>
      </c>
      <c r="K55" s="157" t="s">
        <v>399</v>
      </c>
      <c r="L55" s="157" t="s">
        <v>400</v>
      </c>
      <c r="M55" s="158" t="s">
        <v>401</v>
      </c>
    </row>
    <row r="56" spans="2:13" outlineLevel="1">
      <c r="B56" s="159" t="s">
        <v>375</v>
      </c>
      <c r="C56" s="150">
        <v>1</v>
      </c>
      <c r="D56" s="150">
        <v>0</v>
      </c>
      <c r="E56" s="150">
        <v>0</v>
      </c>
      <c r="F56" s="172">
        <v>0</v>
      </c>
      <c r="G56" s="149"/>
      <c r="H56" s="149"/>
      <c r="I56" s="159" t="s">
        <v>442</v>
      </c>
      <c r="J56" s="150">
        <v>0.75</v>
      </c>
      <c r="K56" s="150">
        <v>0.25</v>
      </c>
      <c r="L56" s="150">
        <v>0.25</v>
      </c>
      <c r="M56" s="172">
        <v>0.25</v>
      </c>
    </row>
    <row r="57" spans="2:13" outlineLevel="1">
      <c r="B57" s="159" t="s">
        <v>415</v>
      </c>
      <c r="C57" s="150">
        <v>0.5</v>
      </c>
      <c r="D57" s="150">
        <v>0.5</v>
      </c>
      <c r="E57" s="150">
        <v>0.25</v>
      </c>
      <c r="F57" s="172">
        <v>0.25</v>
      </c>
      <c r="G57" s="149"/>
      <c r="H57" s="149"/>
      <c r="I57" s="159" t="s">
        <v>422</v>
      </c>
      <c r="J57" s="150">
        <v>0.4285714285714286</v>
      </c>
      <c r="K57" s="150">
        <v>0.5714285714285714</v>
      </c>
      <c r="L57" s="150">
        <v>0.5714285714285714</v>
      </c>
      <c r="M57" s="172">
        <v>0.2857142857142857</v>
      </c>
    </row>
    <row r="58" spans="2:13" outlineLevel="1">
      <c r="B58" s="159" t="s">
        <v>416</v>
      </c>
      <c r="C58" s="150">
        <v>0.75</v>
      </c>
      <c r="D58" s="150">
        <v>0.25</v>
      </c>
      <c r="E58" s="150">
        <v>0.25</v>
      </c>
      <c r="F58" s="172">
        <v>0</v>
      </c>
      <c r="G58" s="149"/>
      <c r="H58" s="149"/>
      <c r="I58" s="159" t="s">
        <v>423</v>
      </c>
      <c r="J58" s="150">
        <v>0.5</v>
      </c>
      <c r="K58" s="150">
        <v>0.5</v>
      </c>
      <c r="L58" s="150">
        <v>0.5</v>
      </c>
      <c r="M58" s="172">
        <v>0.5</v>
      </c>
    </row>
    <row r="59" spans="2:13" outlineLevel="1">
      <c r="B59" s="159" t="s">
        <v>417</v>
      </c>
      <c r="C59" s="150">
        <v>1</v>
      </c>
      <c r="D59" s="150">
        <v>0</v>
      </c>
      <c r="E59" s="150">
        <v>0</v>
      </c>
      <c r="F59" s="172">
        <v>0</v>
      </c>
      <c r="G59" s="149"/>
      <c r="H59" s="149"/>
      <c r="I59" s="159" t="s">
        <v>424</v>
      </c>
      <c r="J59" s="150">
        <v>0.5</v>
      </c>
      <c r="K59" s="150">
        <v>0.5</v>
      </c>
      <c r="L59" s="150">
        <v>0.25</v>
      </c>
      <c r="M59" s="172">
        <v>0.125</v>
      </c>
    </row>
    <row r="60" spans="2:13" outlineLevel="1">
      <c r="B60" s="159" t="s">
        <v>418</v>
      </c>
      <c r="C60" s="150">
        <v>0.625</v>
      </c>
      <c r="D60" s="150">
        <v>0.375</v>
      </c>
      <c r="E60" s="150">
        <v>0.25</v>
      </c>
      <c r="F60" s="172">
        <v>0</v>
      </c>
      <c r="G60" s="149"/>
      <c r="H60" s="149"/>
      <c r="I60" s="159" t="s">
        <v>425</v>
      </c>
      <c r="J60" s="150">
        <v>0.5</v>
      </c>
      <c r="K60" s="150">
        <v>0.5</v>
      </c>
      <c r="L60" s="150">
        <v>0</v>
      </c>
      <c r="M60" s="172">
        <v>0</v>
      </c>
    </row>
    <row r="61" spans="2:13" outlineLevel="1">
      <c r="B61" s="159" t="s">
        <v>419</v>
      </c>
      <c r="C61" s="150">
        <v>0.72727272727272729</v>
      </c>
      <c r="D61" s="150">
        <v>0.27272727272727271</v>
      </c>
      <c r="E61" s="150">
        <v>0.18181818181818182</v>
      </c>
      <c r="F61" s="172">
        <v>9.0909090909090912E-2</v>
      </c>
      <c r="G61" s="149"/>
      <c r="H61" s="149"/>
      <c r="I61" s="159" t="s">
        <v>426</v>
      </c>
      <c r="J61" s="150">
        <v>0.8</v>
      </c>
      <c r="K61" s="150">
        <v>0.2</v>
      </c>
      <c r="L61" s="150">
        <v>0.1</v>
      </c>
      <c r="M61" s="172">
        <v>0</v>
      </c>
    </row>
    <row r="62" spans="2:13" outlineLevel="1">
      <c r="B62" s="159" t="s">
        <v>420</v>
      </c>
      <c r="C62" s="150">
        <v>0.625</v>
      </c>
      <c r="D62" s="150">
        <v>0.375</v>
      </c>
      <c r="E62" s="150">
        <v>0.25</v>
      </c>
      <c r="F62" s="172">
        <v>0.125</v>
      </c>
      <c r="G62" s="149"/>
      <c r="H62" s="149"/>
      <c r="I62" s="159" t="s">
        <v>427</v>
      </c>
      <c r="J62" s="150">
        <v>1</v>
      </c>
      <c r="K62" s="150">
        <v>0</v>
      </c>
      <c r="L62" s="150">
        <v>0</v>
      </c>
      <c r="M62" s="172">
        <v>0</v>
      </c>
    </row>
    <row r="63" spans="2:13" outlineLevel="1">
      <c r="B63" s="159" t="s">
        <v>421</v>
      </c>
      <c r="C63" s="150">
        <v>0.33333333333333337</v>
      </c>
      <c r="D63" s="150">
        <v>0.66666666666666663</v>
      </c>
      <c r="E63" s="150">
        <v>0.16666666666666666</v>
      </c>
      <c r="F63" s="172">
        <v>0</v>
      </c>
      <c r="G63" s="149"/>
      <c r="H63" s="149"/>
      <c r="I63" s="159" t="s">
        <v>428</v>
      </c>
      <c r="J63" s="150">
        <v>0.5</v>
      </c>
      <c r="K63" s="150">
        <v>0.5</v>
      </c>
      <c r="L63" s="150">
        <v>0</v>
      </c>
      <c r="M63" s="172">
        <v>0</v>
      </c>
    </row>
    <row r="64" spans="2:13" outlineLevel="1">
      <c r="B64" s="159" t="s">
        <v>11</v>
      </c>
      <c r="C64" s="150">
        <v>0.875</v>
      </c>
      <c r="D64" s="150">
        <v>0.125</v>
      </c>
      <c r="E64" s="150">
        <v>0.125</v>
      </c>
      <c r="F64" s="172">
        <v>0</v>
      </c>
      <c r="G64" s="149"/>
      <c r="H64" s="149"/>
      <c r="I64" s="159" t="s">
        <v>15</v>
      </c>
      <c r="J64" s="150">
        <v>0.83333333333333337</v>
      </c>
      <c r="K64" s="150">
        <v>0.16666666666666666</v>
      </c>
      <c r="L64" s="150">
        <v>0.16666666666666666</v>
      </c>
      <c r="M64" s="172">
        <v>8.3333333333333329E-2</v>
      </c>
    </row>
    <row r="65" spans="2:13" outlineLevel="1">
      <c r="B65" s="159" t="s">
        <v>12</v>
      </c>
      <c r="C65" s="150">
        <v>0.75</v>
      </c>
      <c r="D65" s="150">
        <v>0.25</v>
      </c>
      <c r="E65" s="150">
        <v>0</v>
      </c>
      <c r="F65" s="172">
        <v>0</v>
      </c>
      <c r="G65" s="149"/>
      <c r="H65" s="149"/>
      <c r="I65" s="159" t="s">
        <v>16</v>
      </c>
      <c r="J65" s="150">
        <v>1</v>
      </c>
      <c r="K65" s="150">
        <v>0</v>
      </c>
      <c r="L65" s="150">
        <v>0</v>
      </c>
      <c r="M65" s="172">
        <v>0</v>
      </c>
    </row>
    <row r="66" spans="2:13" outlineLevel="1">
      <c r="B66" s="159" t="s">
        <v>13</v>
      </c>
      <c r="C66" s="150">
        <v>0.75</v>
      </c>
      <c r="D66" s="150">
        <v>0.25</v>
      </c>
      <c r="E66" s="150">
        <v>0.25</v>
      </c>
      <c r="F66" s="172">
        <v>0</v>
      </c>
      <c r="G66" s="149"/>
      <c r="H66" s="149"/>
      <c r="I66" s="159" t="s">
        <v>17</v>
      </c>
      <c r="J66" s="150">
        <v>0.66666666666666674</v>
      </c>
      <c r="K66" s="150">
        <v>0.33333333333333331</v>
      </c>
      <c r="L66" s="150">
        <v>0.33333333333333331</v>
      </c>
      <c r="M66" s="172">
        <v>0</v>
      </c>
    </row>
    <row r="67" spans="2:13" ht="13.5" outlineLevel="1" thickBot="1">
      <c r="B67" s="160" t="s">
        <v>14</v>
      </c>
      <c r="C67" s="156">
        <v>0.85</v>
      </c>
      <c r="D67" s="156">
        <v>0.15</v>
      </c>
      <c r="E67" s="156">
        <v>0.15</v>
      </c>
      <c r="F67" s="173">
        <v>0.1</v>
      </c>
      <c r="G67" s="149"/>
      <c r="H67" s="149"/>
      <c r="I67" s="160" t="s">
        <v>18</v>
      </c>
      <c r="J67" s="156">
        <v>0.65853658536585358</v>
      </c>
      <c r="K67" s="156">
        <v>0.34146341463414637</v>
      </c>
      <c r="L67" s="156">
        <v>0.21951219512195122</v>
      </c>
      <c r="M67" s="173">
        <v>7.3170731707317069E-2</v>
      </c>
    </row>
    <row r="68" spans="2:13" ht="217.5" customHeight="1" outlineLevel="1"/>
    <row r="69" spans="2:13" outlineLevel="1"/>
    <row r="70" spans="2:13" ht="20.25">
      <c r="E70" s="140" t="s">
        <v>430</v>
      </c>
    </row>
    <row r="71" spans="2:13" ht="15">
      <c r="E71" s="144" t="s">
        <v>404</v>
      </c>
    </row>
    <row r="72" spans="2:13" outlineLevel="1"/>
    <row r="73" spans="2:13" ht="20.25" outlineLevel="1">
      <c r="C73" s="142" t="s">
        <v>305</v>
      </c>
      <c r="J73" s="143" t="s">
        <v>306</v>
      </c>
    </row>
    <row r="74" spans="2:13" outlineLevel="1"/>
    <row r="75" spans="2:13" outlineLevel="1"/>
    <row r="76" spans="2:13" ht="3.75" customHeight="1" outlineLevel="1" thickBot="1"/>
    <row r="77" spans="2:13" ht="15.75" outlineLevel="1">
      <c r="B77" s="152" t="s">
        <v>397</v>
      </c>
      <c r="C77" s="157" t="s">
        <v>393</v>
      </c>
      <c r="D77" s="157" t="s">
        <v>394</v>
      </c>
      <c r="E77" s="158" t="s">
        <v>395</v>
      </c>
      <c r="I77" s="152" t="s">
        <v>397</v>
      </c>
      <c r="J77" s="157" t="s">
        <v>393</v>
      </c>
      <c r="K77" s="157" t="s">
        <v>394</v>
      </c>
      <c r="L77" s="158" t="s">
        <v>395</v>
      </c>
    </row>
    <row r="78" spans="2:13" outlineLevel="1">
      <c r="B78" s="154" t="s">
        <v>375</v>
      </c>
      <c r="C78" s="168">
        <v>21</v>
      </c>
      <c r="D78" s="168">
        <v>25.363636363636363</v>
      </c>
      <c r="E78" s="169">
        <v>0</v>
      </c>
      <c r="F78" s="147"/>
      <c r="G78" s="147"/>
      <c r="H78" s="147"/>
      <c r="I78" s="154" t="s">
        <v>442</v>
      </c>
      <c r="J78" s="168">
        <v>14</v>
      </c>
      <c r="K78" s="168">
        <v>40.9</v>
      </c>
      <c r="L78" s="169">
        <v>6</v>
      </c>
    </row>
    <row r="79" spans="2:13" outlineLevel="1">
      <c r="B79" s="154" t="s">
        <v>415</v>
      </c>
      <c r="C79" s="168">
        <v>17.75</v>
      </c>
      <c r="D79" s="168">
        <v>28.636363636363637</v>
      </c>
      <c r="E79" s="169">
        <v>2.5</v>
      </c>
      <c r="F79" s="147"/>
      <c r="G79" s="147"/>
      <c r="H79" s="147"/>
      <c r="I79" s="154" t="s">
        <v>422</v>
      </c>
      <c r="J79" s="168">
        <v>19.714285714285715</v>
      </c>
      <c r="K79" s="168">
        <v>30.068965517241381</v>
      </c>
      <c r="L79" s="169" t="e">
        <v>#N/A</v>
      </c>
    </row>
    <row r="80" spans="2:13" outlineLevel="1">
      <c r="B80" s="154" t="s">
        <v>416</v>
      </c>
      <c r="C80" s="168">
        <v>6.5</v>
      </c>
      <c r="D80" s="168">
        <v>24.4</v>
      </c>
      <c r="E80" s="169" t="e">
        <v>#N/A</v>
      </c>
      <c r="F80" s="147"/>
      <c r="G80" s="147"/>
      <c r="H80" s="147"/>
      <c r="I80" s="154" t="s">
        <v>423</v>
      </c>
      <c r="J80" s="168">
        <v>23.5</v>
      </c>
      <c r="K80" s="168">
        <v>9.454545454545455</v>
      </c>
      <c r="L80" s="169" t="e">
        <v>#N/A</v>
      </c>
    </row>
    <row r="81" spans="2:12" outlineLevel="1">
      <c r="B81" s="154" t="s">
        <v>417</v>
      </c>
      <c r="C81" s="168">
        <v>0</v>
      </c>
      <c r="D81" s="168">
        <v>7.5</v>
      </c>
      <c r="E81" s="169" t="e">
        <v>#N/A</v>
      </c>
      <c r="F81" s="147"/>
      <c r="G81" s="147"/>
      <c r="H81" s="147"/>
      <c r="I81" s="154" t="s">
        <v>424</v>
      </c>
      <c r="J81" s="168">
        <v>15.75</v>
      </c>
      <c r="K81" s="168">
        <v>10.458333333333334</v>
      </c>
      <c r="L81" s="169" t="e">
        <v>#N/A</v>
      </c>
    </row>
    <row r="82" spans="2:12" outlineLevel="1">
      <c r="B82" s="154" t="s">
        <v>418</v>
      </c>
      <c r="C82" s="168">
        <v>4.875</v>
      </c>
      <c r="D82" s="168">
        <v>8</v>
      </c>
      <c r="E82" s="169" t="e">
        <v>#N/A</v>
      </c>
      <c r="F82" s="147"/>
      <c r="G82" s="147"/>
      <c r="H82" s="147"/>
      <c r="I82" s="154" t="s">
        <v>425</v>
      </c>
      <c r="J82" s="168">
        <v>5</v>
      </c>
      <c r="K82" s="168">
        <v>18</v>
      </c>
      <c r="L82" s="169" t="e">
        <v>#N/A</v>
      </c>
    </row>
    <row r="83" spans="2:12" outlineLevel="1">
      <c r="B83" s="154" t="s">
        <v>419</v>
      </c>
      <c r="C83" s="168">
        <v>6.5454545454545459</v>
      </c>
      <c r="D83" s="168">
        <v>17.444444444444443</v>
      </c>
      <c r="E83" s="169">
        <v>37</v>
      </c>
      <c r="F83" s="147"/>
      <c r="G83" s="147"/>
      <c r="H83" s="147"/>
      <c r="I83" s="154" t="s">
        <v>426</v>
      </c>
      <c r="J83" s="168">
        <v>3.6</v>
      </c>
      <c r="K83" s="168">
        <v>18.315789473684209</v>
      </c>
      <c r="L83" s="169">
        <v>0</v>
      </c>
    </row>
    <row r="84" spans="2:12" outlineLevel="1">
      <c r="B84" s="154" t="s">
        <v>420</v>
      </c>
      <c r="C84" s="168">
        <v>10.125</v>
      </c>
      <c r="D84" s="168">
        <v>16.375</v>
      </c>
      <c r="E84" s="169">
        <v>2.1666666666666665</v>
      </c>
      <c r="F84" s="147"/>
      <c r="G84" s="147"/>
      <c r="H84" s="147"/>
      <c r="I84" s="154" t="s">
        <v>427</v>
      </c>
      <c r="J84" s="168">
        <v>10.5</v>
      </c>
      <c r="K84" s="168">
        <v>14.384615384615385</v>
      </c>
      <c r="L84" s="169">
        <v>7.5</v>
      </c>
    </row>
    <row r="85" spans="2:12" outlineLevel="1">
      <c r="B85" s="154" t="s">
        <v>421</v>
      </c>
      <c r="C85" s="168">
        <v>10.166666666666666</v>
      </c>
      <c r="D85" s="168">
        <v>6.25</v>
      </c>
      <c r="E85" s="169">
        <v>0</v>
      </c>
      <c r="F85" s="147"/>
      <c r="G85" s="147"/>
      <c r="H85" s="147"/>
      <c r="I85" s="154" t="s">
        <v>428</v>
      </c>
      <c r="J85" s="168">
        <v>3.5</v>
      </c>
      <c r="K85" s="168">
        <v>7.6842105263157894</v>
      </c>
      <c r="L85" s="169">
        <v>7</v>
      </c>
    </row>
    <row r="86" spans="2:12" outlineLevel="1">
      <c r="B86" s="154" t="s">
        <v>11</v>
      </c>
      <c r="C86" s="168">
        <v>12.125</v>
      </c>
      <c r="D86" s="168">
        <v>7.2857142857142856</v>
      </c>
      <c r="E86" s="169">
        <v>0</v>
      </c>
      <c r="F86" s="147"/>
      <c r="G86" s="147"/>
      <c r="H86" s="147"/>
      <c r="I86" s="154" t="s">
        <v>15</v>
      </c>
      <c r="J86" s="168">
        <v>14.75</v>
      </c>
      <c r="K86" s="168">
        <v>15.833333333333334</v>
      </c>
      <c r="L86" s="169">
        <v>0</v>
      </c>
    </row>
    <row r="87" spans="2:12" outlineLevel="1">
      <c r="B87" s="154" t="s">
        <v>12</v>
      </c>
      <c r="C87" s="168">
        <v>13.5</v>
      </c>
      <c r="D87" s="168">
        <v>26.5</v>
      </c>
      <c r="E87" s="169">
        <v>0</v>
      </c>
      <c r="F87" s="147"/>
      <c r="G87" s="147"/>
      <c r="H87" s="147"/>
      <c r="I87" s="154" t="s">
        <v>16</v>
      </c>
      <c r="J87" s="168">
        <v>2.6666666666666665</v>
      </c>
      <c r="K87" s="168">
        <v>8.125</v>
      </c>
      <c r="L87" s="169">
        <v>0</v>
      </c>
    </row>
    <row r="88" spans="2:12" outlineLevel="1">
      <c r="B88" s="154" t="s">
        <v>13</v>
      </c>
      <c r="C88" s="168">
        <v>14</v>
      </c>
      <c r="D88" s="168">
        <v>4.8</v>
      </c>
      <c r="E88" s="169">
        <v>14.75</v>
      </c>
      <c r="F88" s="147"/>
      <c r="G88" s="147"/>
      <c r="H88" s="147"/>
      <c r="I88" s="154" t="s">
        <v>17</v>
      </c>
      <c r="J88" s="168">
        <v>5</v>
      </c>
      <c r="K88" s="168">
        <v>7.0370370370370372</v>
      </c>
      <c r="L88" s="169">
        <v>1.8</v>
      </c>
    </row>
    <row r="89" spans="2:12" ht="13.5" outlineLevel="1" thickBot="1">
      <c r="B89" s="155" t="s">
        <v>14</v>
      </c>
      <c r="C89" s="170">
        <v>8.4499999999999993</v>
      </c>
      <c r="D89" s="170">
        <v>6.1449275362318838</v>
      </c>
      <c r="E89" s="171">
        <v>22.857142857142858</v>
      </c>
      <c r="F89" s="147"/>
      <c r="G89" s="147"/>
      <c r="H89" s="147"/>
      <c r="I89" s="155" t="s">
        <v>18</v>
      </c>
      <c r="J89" s="170">
        <v>7.1707317073170733</v>
      </c>
      <c r="K89" s="170">
        <v>11.832000000000001</v>
      </c>
      <c r="L89" s="171">
        <v>0</v>
      </c>
    </row>
    <row r="90" spans="2:12" ht="217.5" customHeight="1" outlineLevel="1"/>
    <row r="91" spans="2:12" outlineLevel="1"/>
    <row r="92" spans="2:12" ht="20.25">
      <c r="E92" s="140" t="s">
        <v>435</v>
      </c>
    </row>
    <row r="93" spans="2:12" ht="15">
      <c r="E93" s="144" t="s">
        <v>440</v>
      </c>
      <c r="F93" s="144"/>
      <c r="G93" s="144"/>
      <c r="H93" s="144"/>
      <c r="I93" s="144"/>
    </row>
    <row r="94" spans="2:12" outlineLevel="1"/>
    <row r="95" spans="2:12" ht="20.25" outlineLevel="1">
      <c r="C95" s="142" t="s">
        <v>305</v>
      </c>
      <c r="J95" s="143" t="s">
        <v>306</v>
      </c>
    </row>
    <row r="96" spans="2:12" outlineLevel="1"/>
    <row r="97" spans="2:13" outlineLevel="1"/>
    <row r="98" spans="2:13" ht="3.75" customHeight="1" outlineLevel="1" thickBot="1"/>
    <row r="99" spans="2:13" ht="15.75" outlineLevel="1">
      <c r="B99" s="152" t="s">
        <v>402</v>
      </c>
      <c r="C99" s="157" t="s">
        <v>439</v>
      </c>
      <c r="D99" s="157" t="s">
        <v>436</v>
      </c>
      <c r="E99" s="157" t="s">
        <v>401</v>
      </c>
      <c r="F99" s="158" t="s">
        <v>437</v>
      </c>
      <c r="I99" s="152" t="s">
        <v>402</v>
      </c>
      <c r="J99" s="157" t="s">
        <v>439</v>
      </c>
      <c r="K99" s="157" t="s">
        <v>436</v>
      </c>
      <c r="L99" s="157" t="s">
        <v>401</v>
      </c>
      <c r="M99" s="158" t="s">
        <v>437</v>
      </c>
    </row>
    <row r="100" spans="2:13" outlineLevel="1">
      <c r="B100" s="159" t="s">
        <v>375</v>
      </c>
      <c r="C100" s="150">
        <v>0.5</v>
      </c>
      <c r="D100" s="150">
        <v>0.5</v>
      </c>
      <c r="E100" s="150">
        <v>0.5</v>
      </c>
      <c r="F100" s="172">
        <v>0.5</v>
      </c>
      <c r="G100" s="149"/>
      <c r="H100" s="149"/>
      <c r="I100" s="159" t="s">
        <v>442</v>
      </c>
      <c r="J100" s="150">
        <v>0.5</v>
      </c>
      <c r="K100" s="150">
        <v>0.5</v>
      </c>
      <c r="L100" s="150">
        <v>0.25</v>
      </c>
      <c r="M100" s="172">
        <v>0.25</v>
      </c>
    </row>
    <row r="101" spans="2:13" outlineLevel="1">
      <c r="B101" s="159" t="s">
        <v>415</v>
      </c>
      <c r="C101" s="150">
        <v>0.75</v>
      </c>
      <c r="D101" s="150">
        <v>0.25</v>
      </c>
      <c r="E101" s="150">
        <v>0.25</v>
      </c>
      <c r="F101" s="172">
        <v>0.25</v>
      </c>
      <c r="G101" s="149"/>
      <c r="H101" s="149"/>
      <c r="I101" s="159" t="s">
        <v>422</v>
      </c>
      <c r="J101" s="150">
        <v>0.2857142857142857</v>
      </c>
      <c r="K101" s="150">
        <v>0.7142857142857143</v>
      </c>
      <c r="L101" s="150">
        <v>0.5714285714285714</v>
      </c>
      <c r="M101" s="172">
        <v>0.14285714285714285</v>
      </c>
    </row>
    <row r="102" spans="2:13" outlineLevel="1">
      <c r="B102" s="159" t="s">
        <v>416</v>
      </c>
      <c r="C102" s="150">
        <v>1</v>
      </c>
      <c r="D102" s="150">
        <v>0</v>
      </c>
      <c r="E102" s="150">
        <v>0</v>
      </c>
      <c r="F102" s="172">
        <v>0</v>
      </c>
      <c r="G102" s="149"/>
      <c r="H102" s="149"/>
      <c r="I102" s="159" t="s">
        <v>423</v>
      </c>
      <c r="J102" s="150">
        <v>0.5</v>
      </c>
      <c r="K102" s="150">
        <v>0.5</v>
      </c>
      <c r="L102" s="150">
        <v>0.5</v>
      </c>
      <c r="M102" s="172">
        <v>0.5</v>
      </c>
    </row>
    <row r="103" spans="2:13" outlineLevel="1">
      <c r="B103" s="159" t="s">
        <v>417</v>
      </c>
      <c r="C103" s="150">
        <v>1</v>
      </c>
      <c r="D103" s="150">
        <v>0</v>
      </c>
      <c r="E103" s="150">
        <v>0</v>
      </c>
      <c r="F103" s="172">
        <v>0</v>
      </c>
      <c r="G103" s="149"/>
      <c r="H103" s="149"/>
      <c r="I103" s="159" t="s">
        <v>424</v>
      </c>
      <c r="J103" s="150">
        <v>0.875</v>
      </c>
      <c r="K103" s="150">
        <v>0.125</v>
      </c>
      <c r="L103" s="150">
        <v>0.125</v>
      </c>
      <c r="M103" s="172">
        <v>0.125</v>
      </c>
    </row>
    <row r="104" spans="2:13" outlineLevel="1">
      <c r="B104" s="159" t="s">
        <v>418</v>
      </c>
      <c r="C104" s="150">
        <v>1</v>
      </c>
      <c r="D104" s="150">
        <v>0</v>
      </c>
      <c r="E104" s="150">
        <v>0</v>
      </c>
      <c r="F104" s="172">
        <v>0</v>
      </c>
      <c r="G104" s="149"/>
      <c r="H104" s="149"/>
      <c r="I104" s="159" t="s">
        <v>425</v>
      </c>
      <c r="J104" s="150">
        <v>1</v>
      </c>
      <c r="K104" s="150">
        <v>0</v>
      </c>
      <c r="L104" s="150">
        <v>0</v>
      </c>
      <c r="M104" s="172">
        <v>0</v>
      </c>
    </row>
    <row r="105" spans="2:13" outlineLevel="1">
      <c r="B105" s="159" t="s">
        <v>419</v>
      </c>
      <c r="C105" s="150">
        <v>0.81818181818181812</v>
      </c>
      <c r="D105" s="150">
        <v>0.18181818181818182</v>
      </c>
      <c r="E105" s="150">
        <v>9.0909090909090912E-2</v>
      </c>
      <c r="F105" s="172">
        <v>0</v>
      </c>
      <c r="G105" s="149"/>
      <c r="H105" s="149"/>
      <c r="I105" s="159" t="s">
        <v>426</v>
      </c>
      <c r="J105" s="150">
        <v>1</v>
      </c>
      <c r="K105" s="150">
        <v>0</v>
      </c>
      <c r="L105" s="150">
        <v>0</v>
      </c>
      <c r="M105" s="172">
        <v>0</v>
      </c>
    </row>
    <row r="106" spans="2:13" outlineLevel="1">
      <c r="B106" s="159" t="s">
        <v>420</v>
      </c>
      <c r="C106" s="150">
        <v>0.75</v>
      </c>
      <c r="D106" s="150">
        <v>0.25</v>
      </c>
      <c r="E106" s="150">
        <v>0.125</v>
      </c>
      <c r="F106" s="172">
        <v>0.125</v>
      </c>
      <c r="G106" s="149"/>
      <c r="H106" s="149"/>
      <c r="I106" s="159" t="s">
        <v>427</v>
      </c>
      <c r="J106" s="150">
        <v>1</v>
      </c>
      <c r="K106" s="150">
        <v>0</v>
      </c>
      <c r="L106" s="150">
        <v>0</v>
      </c>
      <c r="M106" s="172">
        <v>0</v>
      </c>
    </row>
    <row r="107" spans="2:13" outlineLevel="1">
      <c r="B107" s="159" t="s">
        <v>421</v>
      </c>
      <c r="C107" s="150">
        <v>0.66666666666666674</v>
      </c>
      <c r="D107" s="150">
        <v>0.33333333333333331</v>
      </c>
      <c r="E107" s="150">
        <v>0.16666666666666666</v>
      </c>
      <c r="F107" s="172">
        <v>0</v>
      </c>
      <c r="G107" s="149"/>
      <c r="H107" s="149"/>
      <c r="I107" s="159" t="s">
        <v>428</v>
      </c>
      <c r="J107" s="150">
        <v>1</v>
      </c>
      <c r="K107" s="150">
        <v>0</v>
      </c>
      <c r="L107" s="150">
        <v>0</v>
      </c>
      <c r="M107" s="172">
        <v>0</v>
      </c>
    </row>
    <row r="108" spans="2:13" outlineLevel="1">
      <c r="B108" s="159" t="s">
        <v>11</v>
      </c>
      <c r="C108" s="150">
        <v>0.625</v>
      </c>
      <c r="D108" s="150">
        <v>0.375</v>
      </c>
      <c r="E108" s="150">
        <v>0.25</v>
      </c>
      <c r="F108" s="172">
        <v>0.125</v>
      </c>
      <c r="G108" s="149"/>
      <c r="H108" s="149"/>
      <c r="I108" s="159" t="s">
        <v>15</v>
      </c>
      <c r="J108" s="150">
        <v>0.75</v>
      </c>
      <c r="K108" s="150">
        <v>0.25</v>
      </c>
      <c r="L108" s="150">
        <v>0.25</v>
      </c>
      <c r="M108" s="172">
        <v>8.3333333333333329E-2</v>
      </c>
    </row>
    <row r="109" spans="2:13" outlineLevel="1">
      <c r="B109" s="159" t="s">
        <v>12</v>
      </c>
      <c r="C109" s="150">
        <v>0.75</v>
      </c>
      <c r="D109" s="150">
        <v>0.25</v>
      </c>
      <c r="E109" s="150">
        <v>0.25</v>
      </c>
      <c r="F109" s="172">
        <v>0.25</v>
      </c>
      <c r="G109" s="149"/>
      <c r="H109" s="149"/>
      <c r="I109" s="159" t="s">
        <v>16</v>
      </c>
      <c r="J109" s="150">
        <v>1</v>
      </c>
      <c r="K109" s="150">
        <v>0</v>
      </c>
      <c r="L109" s="150">
        <v>0</v>
      </c>
      <c r="M109" s="172">
        <v>0</v>
      </c>
    </row>
    <row r="110" spans="2:13" outlineLevel="1">
      <c r="B110" s="159" t="s">
        <v>13</v>
      </c>
      <c r="C110" s="150">
        <v>0.75</v>
      </c>
      <c r="D110" s="150">
        <v>0.25</v>
      </c>
      <c r="E110" s="150">
        <v>0.25</v>
      </c>
      <c r="F110" s="172">
        <v>0.25</v>
      </c>
      <c r="G110" s="149"/>
      <c r="H110" s="149"/>
      <c r="I110" s="159" t="s">
        <v>17</v>
      </c>
      <c r="J110" s="150">
        <v>1</v>
      </c>
      <c r="K110" s="150">
        <v>0</v>
      </c>
      <c r="L110" s="150">
        <v>0</v>
      </c>
      <c r="M110" s="172">
        <v>0</v>
      </c>
    </row>
    <row r="111" spans="2:13" ht="13.5" outlineLevel="1" thickBot="1">
      <c r="B111" s="160" t="s">
        <v>14</v>
      </c>
      <c r="C111" s="156">
        <v>0.85</v>
      </c>
      <c r="D111" s="156">
        <v>0.15</v>
      </c>
      <c r="E111" s="156">
        <v>0.15</v>
      </c>
      <c r="F111" s="173">
        <v>0.1</v>
      </c>
      <c r="G111" s="149"/>
      <c r="H111" s="149"/>
      <c r="I111" s="160" t="s">
        <v>18</v>
      </c>
      <c r="J111" s="156">
        <v>0.85365853658536583</v>
      </c>
      <c r="K111" s="156">
        <v>0.14634146341463414</v>
      </c>
      <c r="L111" s="156">
        <v>0.12195121951219512</v>
      </c>
      <c r="M111" s="173">
        <v>2.4390243902439025E-2</v>
      </c>
    </row>
    <row r="112" spans="2:13" ht="217.5" customHeight="1" outlineLevel="1"/>
    <row r="113" spans="2:10" outlineLevel="1"/>
    <row r="114" spans="2:10" ht="20.25">
      <c r="E114" s="140" t="s">
        <v>405</v>
      </c>
    </row>
    <row r="115" spans="2:10" ht="15.75">
      <c r="E115" s="141" t="s">
        <v>406</v>
      </c>
    </row>
    <row r="116" spans="2:10" outlineLevel="1"/>
    <row r="117" spans="2:10" ht="20.25" outlineLevel="1">
      <c r="C117" s="142" t="s">
        <v>305</v>
      </c>
    </row>
    <row r="118" spans="2:10" outlineLevel="1"/>
    <row r="119" spans="2:10" outlineLevel="1"/>
    <row r="120" spans="2:10" ht="3.75" customHeight="1" outlineLevel="1" thickBot="1"/>
    <row r="121" spans="2:10" ht="16.5" outlineLevel="1" thickBot="1">
      <c r="B121" s="198" t="s">
        <v>407</v>
      </c>
      <c r="C121" s="199" t="s">
        <v>249</v>
      </c>
      <c r="D121" s="199" t="s">
        <v>408</v>
      </c>
      <c r="E121" s="199" t="s">
        <v>429</v>
      </c>
      <c r="F121" s="199" t="s">
        <v>255</v>
      </c>
      <c r="G121" s="199" t="s">
        <v>409</v>
      </c>
      <c r="H121" s="199" t="s">
        <v>256</v>
      </c>
      <c r="I121" s="199" t="s">
        <v>410</v>
      </c>
      <c r="J121" s="200" t="s">
        <v>414</v>
      </c>
    </row>
    <row r="122" spans="2:10" outlineLevel="1">
      <c r="B122" s="204" t="s">
        <v>375</v>
      </c>
      <c r="C122" s="202">
        <v>0</v>
      </c>
      <c r="D122" s="202">
        <v>0</v>
      </c>
      <c r="E122" s="202">
        <v>7.1428571428571425E-2</v>
      </c>
      <c r="F122" s="202">
        <v>0.7857142857142857</v>
      </c>
      <c r="G122" s="202">
        <v>0</v>
      </c>
      <c r="H122" s="202">
        <v>0.14285714285714285</v>
      </c>
      <c r="I122" s="202">
        <v>0</v>
      </c>
      <c r="J122" s="203">
        <f t="shared" ref="J122:J131" si="0">IF(SUM(C122:I122)=0,"-",SUM(E122:I122))</f>
        <v>1</v>
      </c>
    </row>
    <row r="123" spans="2:10" outlineLevel="1">
      <c r="B123" s="154" t="s">
        <v>415</v>
      </c>
      <c r="C123" s="150">
        <v>0</v>
      </c>
      <c r="D123" s="150">
        <v>0</v>
      </c>
      <c r="E123" s="150">
        <v>0.11764705882352941</v>
      </c>
      <c r="F123" s="150">
        <v>0.41176470588235292</v>
      </c>
      <c r="G123" s="150">
        <v>5.8823529411764705E-2</v>
      </c>
      <c r="H123" s="150">
        <v>0.29411764705882354</v>
      </c>
      <c r="I123" s="150">
        <v>0.11764705882352941</v>
      </c>
      <c r="J123" s="172">
        <f t="shared" si="0"/>
        <v>1</v>
      </c>
    </row>
    <row r="124" spans="2:10" outlineLevel="1">
      <c r="B124" s="154" t="s">
        <v>416</v>
      </c>
      <c r="C124" s="150">
        <v>0</v>
      </c>
      <c r="D124" s="150">
        <v>0</v>
      </c>
      <c r="E124" s="150">
        <v>0.14285714285714285</v>
      </c>
      <c r="F124" s="150">
        <v>0.21428571428571427</v>
      </c>
      <c r="G124" s="150">
        <v>0</v>
      </c>
      <c r="H124" s="150">
        <v>0.5</v>
      </c>
      <c r="I124" s="150">
        <v>0.14285714285714285</v>
      </c>
      <c r="J124" s="172">
        <f t="shared" si="0"/>
        <v>1</v>
      </c>
    </row>
    <row r="125" spans="2:10" outlineLevel="1">
      <c r="B125" s="154" t="s">
        <v>417</v>
      </c>
      <c r="C125" s="150">
        <v>0</v>
      </c>
      <c r="D125" s="150">
        <v>0</v>
      </c>
      <c r="E125" s="150">
        <v>0</v>
      </c>
      <c r="F125" s="150">
        <v>0.68421052631578949</v>
      </c>
      <c r="G125" s="150">
        <v>5.2631578947368418E-2</v>
      </c>
      <c r="H125" s="150">
        <v>0.21052631578947367</v>
      </c>
      <c r="I125" s="150">
        <v>5.2631578947368418E-2</v>
      </c>
      <c r="J125" s="172">
        <f t="shared" si="0"/>
        <v>1</v>
      </c>
    </row>
    <row r="126" spans="2:10" outlineLevel="1">
      <c r="B126" s="154" t="s">
        <v>418</v>
      </c>
      <c r="C126" s="150">
        <v>0</v>
      </c>
      <c r="D126" s="150">
        <v>0</v>
      </c>
      <c r="E126" s="150">
        <v>8.6956521739130432E-2</v>
      </c>
      <c r="F126" s="150">
        <v>0.69565217391304346</v>
      </c>
      <c r="G126" s="150">
        <v>4.3478260869565216E-2</v>
      </c>
      <c r="H126" s="150">
        <v>0.13043478260869565</v>
      </c>
      <c r="I126" s="150">
        <v>4.3478260869565216E-2</v>
      </c>
      <c r="J126" s="172">
        <f>IF(SUM(C126:I126)=0,"-",SUM(E126:I126))</f>
        <v>0.99999999999999989</v>
      </c>
    </row>
    <row r="127" spans="2:10" outlineLevel="1">
      <c r="B127" s="154" t="s">
        <v>419</v>
      </c>
      <c r="C127" s="150">
        <v>0</v>
      </c>
      <c r="D127" s="150">
        <v>0</v>
      </c>
      <c r="E127" s="150">
        <v>9.5238095238095233E-2</v>
      </c>
      <c r="F127" s="150">
        <v>0.42857142857142855</v>
      </c>
      <c r="G127" s="150">
        <v>0.23809523809523808</v>
      </c>
      <c r="H127" s="150">
        <v>0.19047619047619047</v>
      </c>
      <c r="I127" s="150">
        <v>4.7619047619047616E-2</v>
      </c>
      <c r="J127" s="172">
        <f>IF(SUM(C127:I127)=0,"-",SUM(E127:I127))</f>
        <v>1</v>
      </c>
    </row>
    <row r="128" spans="2:10" outlineLevel="1">
      <c r="B128" s="154" t="s">
        <v>420</v>
      </c>
      <c r="C128" s="150">
        <v>0</v>
      </c>
      <c r="D128" s="150">
        <v>0</v>
      </c>
      <c r="E128" s="150">
        <v>0.1</v>
      </c>
      <c r="F128" s="150">
        <v>0.5</v>
      </c>
      <c r="G128" s="150">
        <v>3.3333333333333333E-2</v>
      </c>
      <c r="H128" s="150">
        <v>0.28333333333333333</v>
      </c>
      <c r="I128" s="150">
        <v>8.3333333333333329E-2</v>
      </c>
      <c r="J128" s="172">
        <f>IF(ISNA(I128),"#N/A",SUM(E128:I128)/SUM(C128:I128))</f>
        <v>1</v>
      </c>
    </row>
    <row r="129" spans="2:10" outlineLevel="1">
      <c r="B129" s="154" t="s">
        <v>421</v>
      </c>
      <c r="C129" s="150">
        <v>0</v>
      </c>
      <c r="D129" s="150">
        <v>0</v>
      </c>
      <c r="E129" s="150">
        <v>0</v>
      </c>
      <c r="F129" s="150">
        <v>0.21428571428571427</v>
      </c>
      <c r="G129" s="150">
        <v>0.21428571428571427</v>
      </c>
      <c r="H129" s="150">
        <v>0.5</v>
      </c>
      <c r="I129" s="150">
        <v>7.1428571428571425E-2</v>
      </c>
      <c r="J129" s="172">
        <f>IF(ISNA(I129),"#N/A",SUM(E129:I129)/SUM(C129:I129))</f>
        <v>1</v>
      </c>
    </row>
    <row r="130" spans="2:10" outlineLevel="1">
      <c r="B130" s="154" t="s">
        <v>11</v>
      </c>
      <c r="C130" s="150">
        <v>0</v>
      </c>
      <c r="D130" s="150">
        <v>0</v>
      </c>
      <c r="E130" s="150">
        <v>4.3478260869565216E-2</v>
      </c>
      <c r="F130" s="150">
        <v>0.73913043478260865</v>
      </c>
      <c r="G130" s="150">
        <v>4.3478260869565216E-2</v>
      </c>
      <c r="H130" s="150">
        <v>0.17391304347826086</v>
      </c>
      <c r="I130" s="150">
        <v>0</v>
      </c>
      <c r="J130" s="172">
        <f t="shared" si="0"/>
        <v>0.99999999999999989</v>
      </c>
    </row>
    <row r="131" spans="2:10" outlineLevel="1">
      <c r="B131" s="154" t="s">
        <v>12</v>
      </c>
      <c r="C131" s="150">
        <v>0</v>
      </c>
      <c r="D131" s="150">
        <v>0</v>
      </c>
      <c r="E131" s="150">
        <v>0</v>
      </c>
      <c r="F131" s="150">
        <v>0.39285714285714285</v>
      </c>
      <c r="G131" s="150">
        <v>0.10714285714285714</v>
      </c>
      <c r="H131" s="150">
        <v>0.42857142857142855</v>
      </c>
      <c r="I131" s="150">
        <v>7.1428571428571425E-2</v>
      </c>
      <c r="J131" s="172">
        <f t="shared" si="0"/>
        <v>1</v>
      </c>
    </row>
    <row r="132" spans="2:10" outlineLevel="1">
      <c r="B132" s="154" t="s">
        <v>13</v>
      </c>
      <c r="C132" s="150">
        <v>0</v>
      </c>
      <c r="D132" s="150">
        <v>0</v>
      </c>
      <c r="E132" s="150">
        <v>0</v>
      </c>
      <c r="F132" s="150">
        <v>0.3888888888888889</v>
      </c>
      <c r="G132" s="150">
        <v>0.16666666666666666</v>
      </c>
      <c r="H132" s="150">
        <v>0.27777777777777779</v>
      </c>
      <c r="I132" s="150">
        <v>0.16666666666666666</v>
      </c>
      <c r="J132" s="172">
        <f>IF(ISNA(I132),"#N/A",SUM(E132:I132)/SUM(C132:I132))</f>
        <v>1</v>
      </c>
    </row>
    <row r="133" spans="2:10" ht="13.5" outlineLevel="1" thickBot="1">
      <c r="B133" s="155" t="s">
        <v>14</v>
      </c>
      <c r="C133" s="156">
        <v>0</v>
      </c>
      <c r="D133" s="156">
        <v>0</v>
      </c>
      <c r="E133" s="156">
        <v>8.3333333333333329E-2</v>
      </c>
      <c r="F133" s="156">
        <v>0.38541666666666669</v>
      </c>
      <c r="G133" s="156">
        <v>9.375E-2</v>
      </c>
      <c r="H133" s="156">
        <v>0.39583333333333331</v>
      </c>
      <c r="I133" s="156">
        <v>4.1666666666666664E-2</v>
      </c>
      <c r="J133" s="173">
        <f>IF(ISNA(I133),"#N/A",SUM(E133:I133)/SUM(C133:I133))</f>
        <v>1</v>
      </c>
    </row>
    <row r="134" spans="2:10" outlineLevel="1"/>
    <row r="135" spans="2:10" outlineLevel="1"/>
    <row r="136" spans="2:10" ht="20.25" outlineLevel="1">
      <c r="C136" s="143" t="s">
        <v>306</v>
      </c>
    </row>
    <row r="137" spans="2:10" outlineLevel="1"/>
    <row r="138" spans="2:10" ht="15" outlineLevel="1">
      <c r="B138" s="144"/>
      <c r="E138" s="144"/>
      <c r="F138" s="144"/>
    </row>
    <row r="139" spans="2:10" ht="3.75" customHeight="1" outlineLevel="1" thickBot="1"/>
    <row r="140" spans="2:10" ht="16.5" outlineLevel="1" thickBot="1">
      <c r="B140" s="198" t="s">
        <v>407</v>
      </c>
      <c r="C140" s="199" t="s">
        <v>249</v>
      </c>
      <c r="D140" s="199" t="s">
        <v>408</v>
      </c>
      <c r="E140" s="199" t="s">
        <v>429</v>
      </c>
      <c r="F140" s="199" t="s">
        <v>255</v>
      </c>
      <c r="G140" s="199" t="s">
        <v>409</v>
      </c>
      <c r="H140" s="199" t="s">
        <v>256</v>
      </c>
      <c r="I140" s="199" t="s">
        <v>410</v>
      </c>
      <c r="J140" s="200" t="s">
        <v>414</v>
      </c>
    </row>
    <row r="141" spans="2:10" outlineLevel="1">
      <c r="B141" s="201" t="s">
        <v>442</v>
      </c>
      <c r="C141" s="202">
        <v>0</v>
      </c>
      <c r="D141" s="202">
        <v>0</v>
      </c>
      <c r="E141" s="202">
        <v>6.6666666666666666E-2</v>
      </c>
      <c r="F141" s="202">
        <v>0.53333333333333333</v>
      </c>
      <c r="G141" s="202">
        <v>6.6666666666666666E-2</v>
      </c>
      <c r="H141" s="202">
        <v>0.33333333333333331</v>
      </c>
      <c r="I141" s="202">
        <v>0</v>
      </c>
      <c r="J141" s="203">
        <f>IF(SUM(C141:I141)=0,"-",SUM(E141:I141))</f>
        <v>1</v>
      </c>
    </row>
    <row r="142" spans="2:10" outlineLevel="1">
      <c r="B142" s="153" t="s">
        <v>422</v>
      </c>
      <c r="C142" s="150">
        <v>0</v>
      </c>
      <c r="D142" s="150">
        <v>0</v>
      </c>
      <c r="E142" s="150">
        <v>2.7777777777777776E-2</v>
      </c>
      <c r="F142" s="150">
        <v>0.47222222222222221</v>
      </c>
      <c r="G142" s="150">
        <v>0.16666666666666666</v>
      </c>
      <c r="H142" s="150">
        <v>0.25</v>
      </c>
      <c r="I142" s="150">
        <v>8.3333333333333329E-2</v>
      </c>
      <c r="J142" s="172">
        <f>IF(SUM(C142:I142)=0,"-",SUM(E142:I142))</f>
        <v>1</v>
      </c>
    </row>
    <row r="143" spans="2:10" outlineLevel="1">
      <c r="B143" s="153" t="s">
        <v>423</v>
      </c>
      <c r="C143" s="150">
        <v>0</v>
      </c>
      <c r="D143" s="150">
        <v>0</v>
      </c>
      <c r="E143" s="150">
        <v>7.6923076923076927E-2</v>
      </c>
      <c r="F143" s="150">
        <v>0.61538461538461542</v>
      </c>
      <c r="G143" s="150">
        <v>0</v>
      </c>
      <c r="H143" s="150">
        <v>0.30769230769230771</v>
      </c>
      <c r="I143" s="150">
        <v>0</v>
      </c>
      <c r="J143" s="172">
        <f>IF(SUM(C143:I143)=0,"-",SUM(E143:I143))</f>
        <v>1</v>
      </c>
    </row>
    <row r="144" spans="2:10" outlineLevel="1">
      <c r="B144" s="153" t="s">
        <v>424</v>
      </c>
      <c r="C144" s="150">
        <v>0</v>
      </c>
      <c r="D144" s="150">
        <v>0</v>
      </c>
      <c r="E144" s="150">
        <v>0</v>
      </c>
      <c r="F144" s="150">
        <v>0.53125</v>
      </c>
      <c r="G144" s="150">
        <v>0.125</v>
      </c>
      <c r="H144" s="150">
        <v>0.34375</v>
      </c>
      <c r="I144" s="150">
        <v>0</v>
      </c>
      <c r="J144" s="172">
        <f>IF(SUM(C144:I144)=0,"-",SUM(E144:I144))</f>
        <v>1</v>
      </c>
    </row>
    <row r="145" spans="2:10" outlineLevel="1">
      <c r="B145" s="153" t="s">
        <v>425</v>
      </c>
      <c r="C145" s="150">
        <v>0</v>
      </c>
      <c r="D145" s="150">
        <v>0</v>
      </c>
      <c r="E145" s="150">
        <v>0.1</v>
      </c>
      <c r="F145" s="150">
        <v>0.5</v>
      </c>
      <c r="G145" s="150">
        <v>0.1</v>
      </c>
      <c r="H145" s="150">
        <v>0.3</v>
      </c>
      <c r="I145" s="150">
        <v>0</v>
      </c>
      <c r="J145" s="172">
        <f t="shared" ref="J145:J152" si="1">IF(ISNA(I145),"#N/A",SUM(E145:I145)/SUM(C145:I145))</f>
        <v>1</v>
      </c>
    </row>
    <row r="146" spans="2:10" outlineLevel="1">
      <c r="B146" s="154" t="s">
        <v>426</v>
      </c>
      <c r="C146" s="150">
        <v>0</v>
      </c>
      <c r="D146" s="150">
        <v>0</v>
      </c>
      <c r="E146" s="150">
        <v>2.9411764705882353E-2</v>
      </c>
      <c r="F146" s="150">
        <v>0.55882352941176472</v>
      </c>
      <c r="G146" s="150">
        <v>0.17647058823529413</v>
      </c>
      <c r="H146" s="150">
        <v>0.17647058823529413</v>
      </c>
      <c r="I146" s="150">
        <v>5.8823529411764705E-2</v>
      </c>
      <c r="J146" s="172">
        <f t="shared" si="1"/>
        <v>1</v>
      </c>
    </row>
    <row r="147" spans="2:10" outlineLevel="1">
      <c r="B147" s="154" t="s">
        <v>427</v>
      </c>
      <c r="C147" s="150">
        <v>0</v>
      </c>
      <c r="D147" s="150">
        <v>0</v>
      </c>
      <c r="E147" s="150">
        <v>0</v>
      </c>
      <c r="F147" s="150">
        <v>0.68421052631578949</v>
      </c>
      <c r="G147" s="150">
        <v>0</v>
      </c>
      <c r="H147" s="150">
        <v>0.31578947368421051</v>
      </c>
      <c r="I147" s="150">
        <v>0</v>
      </c>
      <c r="J147" s="172">
        <f t="shared" si="1"/>
        <v>1</v>
      </c>
    </row>
    <row r="148" spans="2:10" outlineLevel="1">
      <c r="B148" s="154" t="s">
        <v>428</v>
      </c>
      <c r="C148" s="150">
        <v>0</v>
      </c>
      <c r="D148" s="150">
        <v>0</v>
      </c>
      <c r="E148" s="150">
        <v>6.25E-2</v>
      </c>
      <c r="F148" s="150">
        <v>0.34375</v>
      </c>
      <c r="G148" s="150">
        <v>9.375E-2</v>
      </c>
      <c r="H148" s="150">
        <v>0.4375</v>
      </c>
      <c r="I148" s="150">
        <v>6.25E-2</v>
      </c>
      <c r="J148" s="172">
        <f t="shared" si="1"/>
        <v>1</v>
      </c>
    </row>
    <row r="149" spans="2:10" outlineLevel="1">
      <c r="B149" s="154" t="s">
        <v>15</v>
      </c>
      <c r="C149" s="150">
        <v>0</v>
      </c>
      <c r="D149" s="150">
        <v>0</v>
      </c>
      <c r="E149" s="150">
        <v>0</v>
      </c>
      <c r="F149" s="150">
        <v>0.62857142857142856</v>
      </c>
      <c r="G149" s="150">
        <v>2.8571428571428571E-2</v>
      </c>
      <c r="H149" s="150">
        <v>0.2857142857142857</v>
      </c>
      <c r="I149" s="150">
        <v>5.7142857142857141E-2</v>
      </c>
      <c r="J149" s="172">
        <f t="shared" si="1"/>
        <v>1</v>
      </c>
    </row>
    <row r="150" spans="2:10" outlineLevel="1">
      <c r="B150" s="154" t="s">
        <v>16</v>
      </c>
      <c r="C150" s="150">
        <v>0</v>
      </c>
      <c r="D150" s="150">
        <v>0</v>
      </c>
      <c r="E150" s="150">
        <v>0</v>
      </c>
      <c r="F150" s="150">
        <v>0.33333333333333331</v>
      </c>
      <c r="G150" s="150">
        <v>8.3333333333333329E-2</v>
      </c>
      <c r="H150" s="150">
        <v>0.41666666666666669</v>
      </c>
      <c r="I150" s="150">
        <v>0.16666666666666666</v>
      </c>
      <c r="J150" s="172">
        <f t="shared" si="1"/>
        <v>1</v>
      </c>
    </row>
    <row r="151" spans="2:10" outlineLevel="1">
      <c r="B151" s="154" t="s">
        <v>17</v>
      </c>
      <c r="C151" s="150">
        <v>0</v>
      </c>
      <c r="D151" s="150">
        <v>0</v>
      </c>
      <c r="E151" s="150">
        <v>5.7142857142857141E-2</v>
      </c>
      <c r="F151" s="150">
        <v>0.51428571428571423</v>
      </c>
      <c r="G151" s="150">
        <v>2.8571428571428571E-2</v>
      </c>
      <c r="H151" s="150">
        <v>0.2857142857142857</v>
      </c>
      <c r="I151" s="150">
        <v>0.11428571428571428</v>
      </c>
      <c r="J151" s="172">
        <f t="shared" si="1"/>
        <v>1</v>
      </c>
    </row>
    <row r="152" spans="2:10" ht="13.5" outlineLevel="1" thickBot="1">
      <c r="B152" s="155" t="s">
        <v>18</v>
      </c>
      <c r="C152" s="156">
        <v>0</v>
      </c>
      <c r="D152" s="156">
        <v>0</v>
      </c>
      <c r="E152" s="156">
        <v>2.3952095808383235E-2</v>
      </c>
      <c r="F152" s="156">
        <v>0.43113772455089822</v>
      </c>
      <c r="G152" s="156">
        <v>8.3832335329341312E-2</v>
      </c>
      <c r="H152" s="156">
        <v>0.41317365269461076</v>
      </c>
      <c r="I152" s="156">
        <v>4.790419161676647E-2</v>
      </c>
      <c r="J152" s="173">
        <f t="shared" si="1"/>
        <v>1</v>
      </c>
    </row>
    <row r="153" spans="2:10" ht="247.5" customHeight="1" outlineLevel="1"/>
    <row r="154" spans="2:10" outlineLevel="1"/>
  </sheetData>
  <mergeCells count="2">
    <mergeCell ref="A2:B2"/>
    <mergeCell ref="C2:D2"/>
  </mergeCells>
  <phoneticPr fontId="104" type="noConversion"/>
  <conditionalFormatting sqref="C78:E89 J56:M67 J34:L45 I132:I133 I130:J131 J100:M111 C126:H133 C34:E45 C56:F67 J78:L89 C100:F111 C122:J125 I128:I129 I126:J127 C141:J144 C145:I152">
    <cfRule type="expression" dxfId="1" priority="1" stopIfTrue="1">
      <formula>IF(ISNA(C34),TRUE,FALSE)</formula>
    </cfRule>
  </conditionalFormatting>
  <conditionalFormatting sqref="J132:J133 J128:J129 J145:J152">
    <cfRule type="expression" dxfId="0" priority="2" stopIfTrue="1">
      <formula>IF(ISNA(I128),TRUE,FALSE)</formula>
    </cfRule>
  </conditionalFormatting>
  <pageMargins left="0.33" right="0.46" top="0.62" bottom="0.41" header="0.62" footer="0.42"/>
  <pageSetup paperSize="9" scale="60" fitToHeight="10" orientation="portrait" r:id="rId1"/>
  <headerFooter alignWithMargins="0"/>
  <rowBreaks count="2" manualBreakCount="2">
    <brk id="47" max="16383" man="1"/>
    <brk id="91" max="16383" man="1"/>
  </row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6" baseType="variant">
      <vt:variant>
        <vt:lpstr>Feuilles de calcul</vt:lpstr>
      </vt:variant>
      <vt:variant>
        <vt:i4>6</vt:i4>
      </vt:variant>
      <vt:variant>
        <vt:lpstr>Graphiques</vt:lpstr>
      </vt:variant>
      <vt:variant>
        <vt:i4>4</vt:i4>
      </vt:variant>
      <vt:variant>
        <vt:lpstr>Plages nommées</vt:lpstr>
      </vt:variant>
      <vt:variant>
        <vt:i4>12</vt:i4>
      </vt:variant>
    </vt:vector>
  </HeadingPairs>
  <TitlesOfParts>
    <vt:vector size="22" baseType="lpstr">
      <vt:lpstr>FI_Ouvertes</vt:lpstr>
      <vt:lpstr>FI</vt:lpstr>
      <vt:lpstr>Infos générales</vt:lpstr>
      <vt:lpstr>Stat</vt:lpstr>
      <vt:lpstr>Nouvelles FI</vt:lpstr>
      <vt:lpstr>IQx</vt:lpstr>
      <vt:lpstr>Evolution</vt:lpstr>
      <vt:lpstr>Evolution_DBox</vt:lpstr>
      <vt:lpstr>Evolution_DBox sev1</vt:lpstr>
      <vt:lpstr>Evolution_DBox sev2</vt:lpstr>
      <vt:lpstr>Chomés</vt:lpstr>
      <vt:lpstr>Etats_possibles</vt:lpstr>
      <vt:lpstr>Etats_possibles_Corr</vt:lpstr>
      <vt:lpstr>Etats_possibles_Reje</vt:lpstr>
      <vt:lpstr>J1A</vt:lpstr>
      <vt:lpstr>J1C</vt:lpstr>
      <vt:lpstr>J2A</vt:lpstr>
      <vt:lpstr>J2C</vt:lpstr>
      <vt:lpstr>J3A</vt:lpstr>
      <vt:lpstr>J3C</vt:lpstr>
      <vt:lpstr>FI!Zone_d_impression</vt:lpstr>
      <vt:lpstr>'Nouvelles FI'!Zone_d_impression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A.REMLI</dc:creator>
  <cp:lastModifiedBy>J. DEVAY</cp:lastModifiedBy>
  <cp:lastPrinted>2011-12-19T07:52:45Z</cp:lastPrinted>
  <dcterms:created xsi:type="dcterms:W3CDTF">2011-02-21T07:48:27Z</dcterms:created>
  <dcterms:modified xsi:type="dcterms:W3CDTF">2013-07-18T13:32:25Z</dcterms:modified>
</cp:coreProperties>
</file>